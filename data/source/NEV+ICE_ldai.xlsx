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BFC03944-5AE2-4CE8-B2DA-F6CFDF8FD2F9}" xr6:coauthVersionLast="47" xr6:coauthVersionMax="47" xr10:uidLastSave="{00000000-0000-0000-0000-000000000000}"/>
  <bookViews>
    <workbookView xWindow="-120" yWindow="-120" windowWidth="29040" windowHeight="15720" activeTab="1" xr2:uid="{4F6CCF54-37E5-4816-9B51-3E2CFD892ED8}"/>
  </bookViews>
  <sheets>
    <sheet name="来店日趋势汇总" sheetId="2" r:id="rId1"/>
    <sheet name="来店简报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0" i="2" l="1"/>
  <c r="AE120" i="2"/>
  <c r="AD120" i="2"/>
  <c r="AC120" i="2"/>
  <c r="AB120" i="2"/>
  <c r="AB121" i="2" s="1"/>
  <c r="AA120" i="2"/>
  <c r="AA121" i="2" s="1"/>
  <c r="Z120" i="2"/>
  <c r="Y120" i="2"/>
  <c r="X120" i="2"/>
  <c r="X121" i="2" s="1"/>
  <c r="W120" i="2"/>
  <c r="W121" i="2" s="1"/>
  <c r="V120" i="2"/>
  <c r="U120" i="2"/>
  <c r="T120" i="2"/>
  <c r="T121" i="2" s="1"/>
  <c r="S120" i="2"/>
  <c r="S121" i="2" s="1"/>
  <c r="R120" i="2"/>
  <c r="Q120" i="2"/>
  <c r="P120" i="2"/>
  <c r="P121" i="2" s="1"/>
  <c r="O120" i="2"/>
  <c r="O121" i="2" s="1"/>
  <c r="N120" i="2"/>
  <c r="M120" i="2"/>
  <c r="L120" i="2"/>
  <c r="L121" i="2" s="1"/>
  <c r="K120" i="2"/>
  <c r="K121" i="2" s="1"/>
  <c r="J120" i="2"/>
  <c r="I120" i="2"/>
  <c r="H120" i="2"/>
  <c r="H121" i="2" s="1"/>
  <c r="G120" i="2"/>
  <c r="G121" i="2" s="1"/>
  <c r="F120" i="2"/>
  <c r="E120" i="2"/>
  <c r="D120" i="2"/>
  <c r="D121" i="2" s="1"/>
  <c r="C120" i="2"/>
  <c r="C121" i="2" s="1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P116" i="2"/>
  <c r="O116" i="2"/>
  <c r="N78" i="2"/>
  <c r="M78" i="2"/>
  <c r="AF77" i="2"/>
  <c r="AE77" i="2"/>
  <c r="AD77" i="2"/>
  <c r="AC77" i="2"/>
  <c r="AB77" i="2"/>
  <c r="AB78" i="2" s="1"/>
  <c r="AA77" i="2"/>
  <c r="AA78" i="2" s="1"/>
  <c r="Z77" i="2"/>
  <c r="Z78" i="2" s="1"/>
  <c r="Y77" i="2"/>
  <c r="Y78" i="2" s="1"/>
  <c r="X77" i="2"/>
  <c r="W77" i="2"/>
  <c r="V77" i="2"/>
  <c r="V78" i="2" s="1"/>
  <c r="U77" i="2"/>
  <c r="U78" i="2" s="1"/>
  <c r="T77" i="2"/>
  <c r="T78" i="2" s="1"/>
  <c r="S77" i="2"/>
  <c r="S78" i="2" s="1"/>
  <c r="R77" i="2"/>
  <c r="R78" i="2" s="1"/>
  <c r="Q77" i="2"/>
  <c r="Q78" i="2" s="1"/>
  <c r="P77" i="2"/>
  <c r="O77" i="2"/>
  <c r="N77" i="2"/>
  <c r="M77" i="2"/>
  <c r="L77" i="2"/>
  <c r="L78" i="2" s="1"/>
  <c r="K77" i="2"/>
  <c r="K78" i="2" s="1"/>
  <c r="J77" i="2"/>
  <c r="J78" i="2" s="1"/>
  <c r="I77" i="2"/>
  <c r="I78" i="2" s="1"/>
  <c r="H77" i="2"/>
  <c r="G77" i="2"/>
  <c r="F77" i="2"/>
  <c r="E77" i="2"/>
  <c r="D77" i="2"/>
  <c r="D78" i="2" s="1"/>
  <c r="C77" i="2"/>
  <c r="C78" i="2" s="1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F74" i="2"/>
  <c r="AE74" i="2"/>
  <c r="AD74" i="2"/>
  <c r="AD78" i="2" s="1"/>
  <c r="AC74" i="2"/>
  <c r="AC78" i="2" s="1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F78" i="2" s="1"/>
  <c r="E74" i="2"/>
  <c r="E78" i="2" s="1"/>
  <c r="D74" i="2"/>
  <c r="C74" i="2"/>
  <c r="K37" i="2"/>
  <c r="J37" i="2"/>
  <c r="I37" i="2"/>
  <c r="H37" i="2"/>
  <c r="G37" i="2"/>
  <c r="F37" i="2"/>
  <c r="E37" i="2"/>
  <c r="D37" i="2"/>
  <c r="C37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I34" i="2"/>
  <c r="H34" i="2"/>
  <c r="AF33" i="2"/>
  <c r="AF34" i="2" s="1"/>
  <c r="AE33" i="2"/>
  <c r="AD33" i="2"/>
  <c r="AC33" i="2"/>
  <c r="AB33" i="2"/>
  <c r="AA33" i="2"/>
  <c r="Z33" i="2"/>
  <c r="Y33" i="2"/>
  <c r="Y34" i="2" s="1"/>
  <c r="X33" i="2"/>
  <c r="X34" i="2" s="1"/>
  <c r="W33" i="2"/>
  <c r="V33" i="2"/>
  <c r="U33" i="2"/>
  <c r="T33" i="2"/>
  <c r="S33" i="2"/>
  <c r="R33" i="2"/>
  <c r="Q33" i="2"/>
  <c r="Q34" i="2" s="1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B32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F30" i="2"/>
  <c r="AF73" i="2" s="1"/>
  <c r="AE30" i="2"/>
  <c r="AE73" i="2" s="1"/>
  <c r="AD30" i="2"/>
  <c r="AD116" i="2" s="1"/>
  <c r="AC30" i="2"/>
  <c r="AC116" i="2" s="1"/>
  <c r="AB30" i="2"/>
  <c r="AB116" i="2" s="1"/>
  <c r="AA30" i="2"/>
  <c r="AA116" i="2" s="1"/>
  <c r="Z30" i="2"/>
  <c r="Z73" i="2" s="1"/>
  <c r="Y30" i="2"/>
  <c r="Y73" i="2" s="1"/>
  <c r="X30" i="2"/>
  <c r="X73" i="2" s="1"/>
  <c r="W30" i="2"/>
  <c r="W73" i="2" s="1"/>
  <c r="V30" i="2"/>
  <c r="V116" i="2" s="1"/>
  <c r="U30" i="2"/>
  <c r="U116" i="2" s="1"/>
  <c r="T30" i="2"/>
  <c r="T116" i="2" s="1"/>
  <c r="S30" i="2"/>
  <c r="S116" i="2" s="1"/>
  <c r="R30" i="2"/>
  <c r="R73" i="2" s="1"/>
  <c r="Q30" i="2"/>
  <c r="Q73" i="2" s="1"/>
  <c r="P30" i="2"/>
  <c r="P73" i="2" s="1"/>
  <c r="O30" i="2"/>
  <c r="O73" i="2" s="1"/>
  <c r="N30" i="2"/>
  <c r="N116" i="2" s="1"/>
  <c r="M30" i="2"/>
  <c r="M116" i="2" s="1"/>
  <c r="L30" i="2"/>
  <c r="L116" i="2" s="1"/>
  <c r="K30" i="2"/>
  <c r="K116" i="2" s="1"/>
  <c r="J30" i="2"/>
  <c r="J73" i="2" s="1"/>
  <c r="I30" i="2"/>
  <c r="I73" i="2" s="1"/>
  <c r="H30" i="2"/>
  <c r="H73" i="2" s="1"/>
  <c r="G30" i="2"/>
  <c r="G73" i="2" s="1"/>
  <c r="F30" i="2"/>
  <c r="F116" i="2" s="1"/>
  <c r="E30" i="2"/>
  <c r="E116" i="2" s="1"/>
  <c r="D30" i="2"/>
  <c r="D116" i="2" s="1"/>
  <c r="C30" i="2"/>
  <c r="C116" i="2" s="1"/>
  <c r="J238" i="1"/>
  <c r="F238" i="1"/>
  <c r="E238" i="1"/>
  <c r="D238" i="1"/>
  <c r="C238" i="1"/>
  <c r="A238" i="1"/>
  <c r="B238" i="1" s="1"/>
  <c r="M237" i="1"/>
  <c r="L237" i="1"/>
  <c r="J237" i="1"/>
  <c r="K237" i="1" s="1"/>
  <c r="D237" i="1"/>
  <c r="C237" i="1"/>
  <c r="B237" i="1"/>
  <c r="A237" i="1"/>
  <c r="F237" i="1" s="1"/>
  <c r="J236" i="1"/>
  <c r="F236" i="1"/>
  <c r="E236" i="1"/>
  <c r="D236" i="1"/>
  <c r="C236" i="1"/>
  <c r="A236" i="1"/>
  <c r="B236" i="1" s="1"/>
  <c r="J235" i="1"/>
  <c r="K235" i="1" s="1"/>
  <c r="D235" i="1"/>
  <c r="C235" i="1"/>
  <c r="B235" i="1"/>
  <c r="A235" i="1"/>
  <c r="F235" i="1" s="1"/>
  <c r="J234" i="1"/>
  <c r="E234" i="1"/>
  <c r="D234" i="1"/>
  <c r="C234" i="1"/>
  <c r="A234" i="1"/>
  <c r="B234" i="1" s="1"/>
  <c r="J233" i="1"/>
  <c r="K233" i="1" s="1"/>
  <c r="D233" i="1"/>
  <c r="C233" i="1"/>
  <c r="B233" i="1"/>
  <c r="A233" i="1"/>
  <c r="F233" i="1" s="1"/>
  <c r="J232" i="1"/>
  <c r="D232" i="1"/>
  <c r="C232" i="1"/>
  <c r="A232" i="1"/>
  <c r="B232" i="1" s="1"/>
  <c r="O231" i="1"/>
  <c r="N231" i="1"/>
  <c r="M231" i="1"/>
  <c r="L231" i="1"/>
  <c r="J231" i="1"/>
  <c r="K231" i="1" s="1"/>
  <c r="D231" i="1"/>
  <c r="C231" i="1"/>
  <c r="B231" i="1"/>
  <c r="A231" i="1"/>
  <c r="F231" i="1" s="1"/>
  <c r="J230" i="1"/>
  <c r="A230" i="1"/>
  <c r="B230" i="1" s="1"/>
  <c r="O229" i="1"/>
  <c r="N229" i="1"/>
  <c r="M229" i="1"/>
  <c r="L229" i="1"/>
  <c r="J229" i="1"/>
  <c r="K229" i="1" s="1"/>
  <c r="C229" i="1"/>
  <c r="B229" i="1"/>
  <c r="A229" i="1"/>
  <c r="F229" i="1" s="1"/>
  <c r="O228" i="1"/>
  <c r="N228" i="1"/>
  <c r="M228" i="1"/>
  <c r="L228" i="1"/>
  <c r="K228" i="1"/>
  <c r="F228" i="1"/>
  <c r="E228" i="1"/>
  <c r="D228" i="1"/>
  <c r="C228" i="1"/>
  <c r="B228" i="1"/>
  <c r="J223" i="1"/>
  <c r="K223" i="1" s="1"/>
  <c r="D223" i="1"/>
  <c r="C223" i="1"/>
  <c r="B223" i="1"/>
  <c r="A223" i="1"/>
  <c r="F223" i="1" s="1"/>
  <c r="J222" i="1"/>
  <c r="E222" i="1"/>
  <c r="D222" i="1"/>
  <c r="C222" i="1"/>
  <c r="A222" i="1"/>
  <c r="B222" i="1" s="1"/>
  <c r="J221" i="1"/>
  <c r="K221" i="1" s="1"/>
  <c r="D221" i="1"/>
  <c r="C221" i="1"/>
  <c r="B221" i="1"/>
  <c r="A221" i="1"/>
  <c r="F221" i="1" s="1"/>
  <c r="J220" i="1"/>
  <c r="D220" i="1"/>
  <c r="C220" i="1"/>
  <c r="B220" i="1"/>
  <c r="A220" i="1"/>
  <c r="F220" i="1" s="1"/>
  <c r="J219" i="1"/>
  <c r="K219" i="1" s="1"/>
  <c r="D219" i="1"/>
  <c r="C219" i="1"/>
  <c r="B219" i="1"/>
  <c r="A219" i="1"/>
  <c r="F219" i="1" s="1"/>
  <c r="J218" i="1"/>
  <c r="K218" i="1" s="1"/>
  <c r="D218" i="1"/>
  <c r="C218" i="1"/>
  <c r="B218" i="1"/>
  <c r="A218" i="1"/>
  <c r="F218" i="1" s="1"/>
  <c r="J217" i="1"/>
  <c r="K217" i="1" s="1"/>
  <c r="D217" i="1"/>
  <c r="C217" i="1"/>
  <c r="B217" i="1"/>
  <c r="A217" i="1"/>
  <c r="F217" i="1" s="1"/>
  <c r="K216" i="1"/>
  <c r="J216" i="1"/>
  <c r="E216" i="1"/>
  <c r="D216" i="1"/>
  <c r="C216" i="1"/>
  <c r="B216" i="1"/>
  <c r="A216" i="1"/>
  <c r="F216" i="1" s="1"/>
  <c r="J215" i="1"/>
  <c r="K215" i="1" s="1"/>
  <c r="D215" i="1"/>
  <c r="C215" i="1"/>
  <c r="B215" i="1"/>
  <c r="A215" i="1"/>
  <c r="F215" i="1" s="1"/>
  <c r="K214" i="1"/>
  <c r="J214" i="1"/>
  <c r="F214" i="1"/>
  <c r="E214" i="1"/>
  <c r="D214" i="1"/>
  <c r="C214" i="1"/>
  <c r="B214" i="1"/>
  <c r="A214" i="1"/>
  <c r="O213" i="1"/>
  <c r="N213" i="1"/>
  <c r="M213" i="1"/>
  <c r="L213" i="1"/>
  <c r="K213" i="1"/>
  <c r="F213" i="1"/>
  <c r="E213" i="1"/>
  <c r="D213" i="1"/>
  <c r="C213" i="1"/>
  <c r="B213" i="1"/>
  <c r="O208" i="1"/>
  <c r="N208" i="1"/>
  <c r="M208" i="1"/>
  <c r="L208" i="1"/>
  <c r="K208" i="1"/>
  <c r="A208" i="1"/>
  <c r="C208" i="1" s="1"/>
  <c r="O207" i="1"/>
  <c r="N207" i="1"/>
  <c r="M207" i="1"/>
  <c r="L207" i="1"/>
  <c r="K207" i="1"/>
  <c r="A207" i="1"/>
  <c r="B207" i="1" s="1"/>
  <c r="O206" i="1"/>
  <c r="N206" i="1"/>
  <c r="M206" i="1"/>
  <c r="L206" i="1"/>
  <c r="K206" i="1"/>
  <c r="A206" i="1"/>
  <c r="F206" i="1" s="1"/>
  <c r="O205" i="1"/>
  <c r="N205" i="1"/>
  <c r="M205" i="1"/>
  <c r="L205" i="1"/>
  <c r="K205" i="1"/>
  <c r="E205" i="1"/>
  <c r="D205" i="1"/>
  <c r="C205" i="1"/>
  <c r="B205" i="1"/>
  <c r="A205" i="1"/>
  <c r="F205" i="1" s="1"/>
  <c r="O204" i="1"/>
  <c r="N204" i="1"/>
  <c r="M204" i="1"/>
  <c r="L204" i="1"/>
  <c r="K204" i="1"/>
  <c r="C204" i="1"/>
  <c r="B204" i="1"/>
  <c r="A204" i="1"/>
  <c r="F204" i="1" s="1"/>
  <c r="O203" i="1"/>
  <c r="N203" i="1"/>
  <c r="M203" i="1"/>
  <c r="L203" i="1"/>
  <c r="K203" i="1"/>
  <c r="F203" i="1"/>
  <c r="E203" i="1"/>
  <c r="D203" i="1"/>
  <c r="A203" i="1"/>
  <c r="B203" i="1" s="1"/>
  <c r="O202" i="1"/>
  <c r="N202" i="1"/>
  <c r="M202" i="1"/>
  <c r="L202" i="1"/>
  <c r="K202" i="1"/>
  <c r="A202" i="1"/>
  <c r="O201" i="1"/>
  <c r="N201" i="1"/>
  <c r="M201" i="1"/>
  <c r="L201" i="1"/>
  <c r="K201" i="1"/>
  <c r="D201" i="1"/>
  <c r="C201" i="1"/>
  <c r="B201" i="1"/>
  <c r="A201" i="1"/>
  <c r="F201" i="1" s="1"/>
  <c r="O200" i="1"/>
  <c r="N200" i="1"/>
  <c r="M200" i="1"/>
  <c r="L200" i="1"/>
  <c r="K200" i="1"/>
  <c r="F200" i="1"/>
  <c r="E200" i="1"/>
  <c r="D200" i="1"/>
  <c r="C200" i="1"/>
  <c r="B200" i="1"/>
  <c r="O195" i="1"/>
  <c r="N195" i="1"/>
  <c r="M195" i="1"/>
  <c r="L195" i="1"/>
  <c r="J195" i="1"/>
  <c r="K195" i="1" s="1"/>
  <c r="A195" i="1"/>
  <c r="F195" i="1" s="1"/>
  <c r="K194" i="1"/>
  <c r="J194" i="1"/>
  <c r="A194" i="1"/>
  <c r="E194" i="1" s="1"/>
  <c r="O193" i="1"/>
  <c r="N193" i="1"/>
  <c r="M193" i="1"/>
  <c r="L193" i="1"/>
  <c r="J193" i="1"/>
  <c r="K193" i="1" s="1"/>
  <c r="A193" i="1"/>
  <c r="F193" i="1" s="1"/>
  <c r="J192" i="1"/>
  <c r="A192" i="1"/>
  <c r="E192" i="1" s="1"/>
  <c r="O191" i="1"/>
  <c r="N191" i="1"/>
  <c r="M191" i="1"/>
  <c r="L191" i="1"/>
  <c r="J191" i="1"/>
  <c r="K191" i="1" s="1"/>
  <c r="A191" i="1"/>
  <c r="F191" i="1" s="1"/>
  <c r="J190" i="1"/>
  <c r="F190" i="1"/>
  <c r="A190" i="1"/>
  <c r="E190" i="1" s="1"/>
  <c r="O189" i="1"/>
  <c r="N189" i="1"/>
  <c r="M189" i="1"/>
  <c r="L189" i="1"/>
  <c r="J189" i="1"/>
  <c r="K189" i="1" s="1"/>
  <c r="A189" i="1"/>
  <c r="F189" i="1" s="1"/>
  <c r="J188" i="1"/>
  <c r="K188" i="1" s="1"/>
  <c r="F188" i="1"/>
  <c r="A188" i="1"/>
  <c r="E188" i="1" s="1"/>
  <c r="O187" i="1"/>
  <c r="N187" i="1"/>
  <c r="M187" i="1"/>
  <c r="L187" i="1"/>
  <c r="J187" i="1"/>
  <c r="K187" i="1" s="1"/>
  <c r="A187" i="1"/>
  <c r="F187" i="1" s="1"/>
  <c r="J186" i="1"/>
  <c r="K186" i="1" s="1"/>
  <c r="A186" i="1"/>
  <c r="F186" i="1" s="1"/>
  <c r="O185" i="1"/>
  <c r="N185" i="1"/>
  <c r="M185" i="1"/>
  <c r="L185" i="1"/>
  <c r="K185" i="1"/>
  <c r="F185" i="1"/>
  <c r="E185" i="1"/>
  <c r="D185" i="1"/>
  <c r="C185" i="1"/>
  <c r="B185" i="1"/>
  <c r="J180" i="1"/>
  <c r="F180" i="1"/>
  <c r="E180" i="1"/>
  <c r="D180" i="1"/>
  <c r="C180" i="1"/>
  <c r="B180" i="1"/>
  <c r="N179" i="1"/>
  <c r="M179" i="1"/>
  <c r="L179" i="1"/>
  <c r="K179" i="1"/>
  <c r="J179" i="1"/>
  <c r="O179" i="1" s="1"/>
  <c r="F179" i="1"/>
  <c r="E179" i="1"/>
  <c r="D179" i="1"/>
  <c r="C179" i="1"/>
  <c r="B179" i="1"/>
  <c r="J178" i="1"/>
  <c r="O178" i="1" s="1"/>
  <c r="F178" i="1"/>
  <c r="E178" i="1"/>
  <c r="D178" i="1"/>
  <c r="C178" i="1"/>
  <c r="B178" i="1"/>
  <c r="J177" i="1"/>
  <c r="K177" i="1" s="1"/>
  <c r="F177" i="1"/>
  <c r="E177" i="1"/>
  <c r="D177" i="1"/>
  <c r="C177" i="1"/>
  <c r="B177" i="1"/>
  <c r="L176" i="1"/>
  <c r="J176" i="1"/>
  <c r="K176" i="1" s="1"/>
  <c r="F176" i="1"/>
  <c r="E176" i="1"/>
  <c r="D176" i="1"/>
  <c r="C176" i="1"/>
  <c r="B176" i="1"/>
  <c r="J175" i="1"/>
  <c r="F175" i="1"/>
  <c r="E175" i="1"/>
  <c r="D175" i="1"/>
  <c r="C175" i="1"/>
  <c r="B175" i="1"/>
  <c r="J174" i="1"/>
  <c r="O174" i="1" s="1"/>
  <c r="F174" i="1"/>
  <c r="E174" i="1"/>
  <c r="D174" i="1"/>
  <c r="C174" i="1"/>
  <c r="B174" i="1"/>
  <c r="J173" i="1"/>
  <c r="L173" i="1" s="1"/>
  <c r="F173" i="1"/>
  <c r="E173" i="1"/>
  <c r="D173" i="1"/>
  <c r="C173" i="1"/>
  <c r="B173" i="1"/>
  <c r="J172" i="1"/>
  <c r="K172" i="1" s="1"/>
  <c r="F172" i="1"/>
  <c r="E172" i="1"/>
  <c r="D172" i="1"/>
  <c r="C172" i="1"/>
  <c r="B172" i="1"/>
  <c r="J171" i="1"/>
  <c r="O171" i="1" s="1"/>
  <c r="F171" i="1"/>
  <c r="E171" i="1"/>
  <c r="D171" i="1"/>
  <c r="C171" i="1"/>
  <c r="B171" i="1"/>
  <c r="O170" i="1"/>
  <c r="N170" i="1"/>
  <c r="M170" i="1"/>
  <c r="L170" i="1"/>
  <c r="K170" i="1"/>
  <c r="F170" i="1"/>
  <c r="E170" i="1"/>
  <c r="D170" i="1"/>
  <c r="C170" i="1"/>
  <c r="B170" i="1"/>
  <c r="O165" i="1"/>
  <c r="M165" i="1"/>
  <c r="L165" i="1"/>
  <c r="K165" i="1"/>
  <c r="J165" i="1"/>
  <c r="N165" i="1" s="1"/>
  <c r="A165" i="1"/>
  <c r="B165" i="1" s="1"/>
  <c r="O164" i="1"/>
  <c r="N164" i="1"/>
  <c r="M164" i="1"/>
  <c r="L164" i="1"/>
  <c r="K164" i="1"/>
  <c r="J164" i="1"/>
  <c r="F164" i="1"/>
  <c r="E164" i="1"/>
  <c r="D164" i="1"/>
  <c r="C164" i="1"/>
  <c r="A164" i="1"/>
  <c r="B164" i="1" s="1"/>
  <c r="L163" i="1"/>
  <c r="K163" i="1"/>
  <c r="J163" i="1"/>
  <c r="N163" i="1" s="1"/>
  <c r="A163" i="1"/>
  <c r="D163" i="1" s="1"/>
  <c r="O162" i="1"/>
  <c r="J162" i="1"/>
  <c r="N162" i="1" s="1"/>
  <c r="F162" i="1"/>
  <c r="E162" i="1"/>
  <c r="D162" i="1"/>
  <c r="C162" i="1"/>
  <c r="A162" i="1"/>
  <c r="B162" i="1" s="1"/>
  <c r="J161" i="1"/>
  <c r="N161" i="1" s="1"/>
  <c r="A161" i="1"/>
  <c r="J160" i="1"/>
  <c r="O160" i="1" s="1"/>
  <c r="F160" i="1"/>
  <c r="E160" i="1"/>
  <c r="D160" i="1"/>
  <c r="C160" i="1"/>
  <c r="A160" i="1"/>
  <c r="B160" i="1" s="1"/>
  <c r="J159" i="1"/>
  <c r="N159" i="1" s="1"/>
  <c r="A159" i="1"/>
  <c r="D159" i="1" s="1"/>
  <c r="O158" i="1"/>
  <c r="J158" i="1"/>
  <c r="N158" i="1" s="1"/>
  <c r="F158" i="1"/>
  <c r="E158" i="1"/>
  <c r="D158" i="1"/>
  <c r="C158" i="1"/>
  <c r="A158" i="1"/>
  <c r="B158" i="1" s="1"/>
  <c r="J157" i="1"/>
  <c r="N157" i="1" s="1"/>
  <c r="A157" i="1"/>
  <c r="J156" i="1"/>
  <c r="O156" i="1" s="1"/>
  <c r="F156" i="1"/>
  <c r="E156" i="1"/>
  <c r="D156" i="1"/>
  <c r="C156" i="1"/>
  <c r="A156" i="1"/>
  <c r="B156" i="1" s="1"/>
  <c r="O155" i="1"/>
  <c r="N155" i="1"/>
  <c r="M155" i="1"/>
  <c r="L155" i="1"/>
  <c r="K155" i="1"/>
  <c r="F155" i="1"/>
  <c r="E155" i="1"/>
  <c r="D155" i="1"/>
  <c r="C155" i="1"/>
  <c r="B155" i="1"/>
  <c r="A150" i="1"/>
  <c r="K150" i="1" s="1"/>
  <c r="O149" i="1"/>
  <c r="N149" i="1"/>
  <c r="M149" i="1"/>
  <c r="G149" i="1"/>
  <c r="F149" i="1"/>
  <c r="E149" i="1"/>
  <c r="C149" i="1"/>
  <c r="B149" i="1"/>
  <c r="A149" i="1"/>
  <c r="L149" i="1" s="1"/>
  <c r="A148" i="1"/>
  <c r="O148" i="1" s="1"/>
  <c r="M147" i="1"/>
  <c r="K147" i="1"/>
  <c r="H147" i="1"/>
  <c r="F147" i="1"/>
  <c r="E147" i="1"/>
  <c r="D147" i="1"/>
  <c r="C147" i="1"/>
  <c r="A147" i="1"/>
  <c r="I147" i="1" s="1"/>
  <c r="O146" i="1"/>
  <c r="N146" i="1"/>
  <c r="M146" i="1"/>
  <c r="L146" i="1"/>
  <c r="K146" i="1"/>
  <c r="F146" i="1"/>
  <c r="E146" i="1"/>
  <c r="D146" i="1"/>
  <c r="C146" i="1"/>
  <c r="B146" i="1"/>
  <c r="A146" i="1"/>
  <c r="I146" i="1" s="1"/>
  <c r="A145" i="1"/>
  <c r="H145" i="1" s="1"/>
  <c r="A144" i="1"/>
  <c r="I144" i="1" s="1"/>
  <c r="K143" i="1"/>
  <c r="B143" i="1"/>
  <c r="A143" i="1"/>
  <c r="I142" i="1"/>
  <c r="H142" i="1"/>
  <c r="G142" i="1"/>
  <c r="F142" i="1"/>
  <c r="A142" i="1"/>
  <c r="O142" i="1" s="1"/>
  <c r="O141" i="1"/>
  <c r="K141" i="1"/>
  <c r="G141" i="1"/>
  <c r="F141" i="1"/>
  <c r="E141" i="1"/>
  <c r="D141" i="1"/>
  <c r="C141" i="1"/>
  <c r="A141" i="1"/>
  <c r="L141" i="1" s="1"/>
  <c r="J140" i="1"/>
  <c r="A140" i="1"/>
  <c r="I140" i="1" s="1"/>
  <c r="L134" i="1"/>
  <c r="K134" i="1"/>
  <c r="J134" i="1"/>
  <c r="I134" i="1"/>
  <c r="H134" i="1"/>
  <c r="G134" i="1"/>
  <c r="F134" i="1"/>
  <c r="B134" i="1"/>
  <c r="D134" i="1" s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C112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C111" i="1" s="1"/>
  <c r="B105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J97" i="1"/>
  <c r="I97" i="1"/>
  <c r="H97" i="1"/>
  <c r="H25" i="1" s="1"/>
  <c r="H24" i="1" s="1"/>
  <c r="G97" i="1"/>
  <c r="G25" i="1" s="1"/>
  <c r="I25" i="1" s="1"/>
  <c r="D97" i="1"/>
  <c r="C97" i="1"/>
  <c r="B97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F77" i="1"/>
  <c r="C77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C76" i="1" s="1"/>
  <c r="B71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H63" i="1"/>
  <c r="G63" i="1"/>
  <c r="I63" i="1" s="1"/>
  <c r="E63" i="1"/>
  <c r="C63" i="1"/>
  <c r="H62" i="1"/>
  <c r="G62" i="1"/>
  <c r="C62" i="1"/>
  <c r="J62" i="1" s="1"/>
  <c r="H61" i="1"/>
  <c r="G61" i="1"/>
  <c r="C61" i="1"/>
  <c r="J60" i="1"/>
  <c r="I60" i="1"/>
  <c r="H60" i="1"/>
  <c r="G60" i="1"/>
  <c r="D60" i="1"/>
  <c r="C60" i="1"/>
  <c r="L60" i="1" s="1"/>
  <c r="B60" i="1"/>
  <c r="B26" i="1" s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AA35" i="1" s="1"/>
  <c r="E38" i="1"/>
  <c r="Z35" i="1" s="1"/>
  <c r="D38" i="1"/>
  <c r="C38" i="1"/>
  <c r="B38" i="1"/>
  <c r="AF37" i="1"/>
  <c r="AF34" i="1" s="1"/>
  <c r="AE37" i="1"/>
  <c r="AE34" i="1" s="1"/>
  <c r="AD37" i="1"/>
  <c r="AD33" i="1" s="1"/>
  <c r="AC37" i="1"/>
  <c r="AC34" i="1" s="1"/>
  <c r="AB37" i="1"/>
  <c r="AA37" i="1"/>
  <c r="Z37" i="1"/>
  <c r="Y37" i="1"/>
  <c r="X37" i="1"/>
  <c r="X34" i="1" s="1"/>
  <c r="W37" i="1"/>
  <c r="W34" i="1" s="1"/>
  <c r="V37" i="1"/>
  <c r="V34" i="1" s="1"/>
  <c r="U37" i="1"/>
  <c r="U34" i="1" s="1"/>
  <c r="T37" i="1"/>
  <c r="S37" i="1"/>
  <c r="R37" i="1"/>
  <c r="Q37" i="1"/>
  <c r="P37" i="1"/>
  <c r="P34" i="1" s="1"/>
  <c r="O37" i="1"/>
  <c r="O34" i="1" s="1"/>
  <c r="N37" i="1"/>
  <c r="N34" i="1" s="1"/>
  <c r="M37" i="1"/>
  <c r="M34" i="1" s="1"/>
  <c r="L37" i="1"/>
  <c r="K37" i="1"/>
  <c r="J37" i="1"/>
  <c r="I37" i="1"/>
  <c r="H37" i="1"/>
  <c r="H34" i="1" s="1"/>
  <c r="G37" i="1"/>
  <c r="G34" i="1" s="1"/>
  <c r="F37" i="1"/>
  <c r="F33" i="1" s="1"/>
  <c r="E37" i="1"/>
  <c r="E33" i="1" s="1"/>
  <c r="D37" i="1"/>
  <c r="J34" i="1" s="1"/>
  <c r="C37" i="1"/>
  <c r="B37" i="1"/>
  <c r="AB35" i="1"/>
  <c r="T35" i="1"/>
  <c r="L35" i="1"/>
  <c r="E35" i="1"/>
  <c r="D35" i="1"/>
  <c r="C35" i="1"/>
  <c r="B35" i="1"/>
  <c r="AB34" i="1"/>
  <c r="AA34" i="1"/>
  <c r="Z34" i="1"/>
  <c r="Y34" i="1"/>
  <c r="T34" i="1"/>
  <c r="S34" i="1"/>
  <c r="R34" i="1"/>
  <c r="Q34" i="1"/>
  <c r="L34" i="1"/>
  <c r="K34" i="1"/>
  <c r="D34" i="1"/>
  <c r="C34" i="1"/>
  <c r="B34" i="1"/>
  <c r="AB33" i="1"/>
  <c r="AA33" i="1"/>
  <c r="Z33" i="1"/>
  <c r="Y33" i="1"/>
  <c r="T33" i="1"/>
  <c r="S33" i="1"/>
  <c r="R33" i="1"/>
  <c r="Q33" i="1"/>
  <c r="L33" i="1"/>
  <c r="K33" i="1"/>
  <c r="J33" i="1"/>
  <c r="I33" i="1"/>
  <c r="D33" i="1"/>
  <c r="C33" i="1"/>
  <c r="B33" i="1"/>
  <c r="O26" i="1"/>
  <c r="H26" i="1"/>
  <c r="G26" i="1"/>
  <c r="O25" i="1"/>
  <c r="C25" i="1"/>
  <c r="E25" i="1" s="1"/>
  <c r="B25" i="1"/>
  <c r="O24" i="1"/>
  <c r="G24" i="1"/>
  <c r="A19" i="1"/>
  <c r="A4" i="1"/>
  <c r="B24" i="1" l="1"/>
  <c r="F192" i="1"/>
  <c r="F194" i="1"/>
  <c r="G116" i="2"/>
  <c r="H116" i="2"/>
  <c r="N144" i="1"/>
  <c r="B140" i="1"/>
  <c r="L140" i="1"/>
  <c r="K171" i="1"/>
  <c r="J34" i="2"/>
  <c r="E62" i="1"/>
  <c r="K156" i="1"/>
  <c r="L157" i="1"/>
  <c r="L161" i="1"/>
  <c r="B189" i="1"/>
  <c r="B193" i="1"/>
  <c r="B206" i="1"/>
  <c r="L215" i="1"/>
  <c r="C230" i="1"/>
  <c r="L235" i="1"/>
  <c r="C34" i="2"/>
  <c r="S34" i="2"/>
  <c r="AA34" i="2"/>
  <c r="D140" i="1"/>
  <c r="N140" i="1"/>
  <c r="M141" i="1"/>
  <c r="F144" i="1"/>
  <c r="I145" i="1"/>
  <c r="G146" i="1"/>
  <c r="N147" i="1"/>
  <c r="H149" i="1"/>
  <c r="L156" i="1"/>
  <c r="M157" i="1"/>
  <c r="K158" i="1"/>
  <c r="L160" i="1"/>
  <c r="M161" i="1"/>
  <c r="K162" i="1"/>
  <c r="D165" i="1"/>
  <c r="M171" i="1"/>
  <c r="O173" i="1"/>
  <c r="L174" i="1"/>
  <c r="N176" i="1"/>
  <c r="L178" i="1"/>
  <c r="C186" i="1"/>
  <c r="C187" i="1"/>
  <c r="B188" i="1"/>
  <c r="C189" i="1"/>
  <c r="B190" i="1"/>
  <c r="C191" i="1"/>
  <c r="B192" i="1"/>
  <c r="C193" i="1"/>
  <c r="B194" i="1"/>
  <c r="B195" i="1"/>
  <c r="C206" i="1"/>
  <c r="D208" i="1"/>
  <c r="M215" i="1"/>
  <c r="L217" i="1"/>
  <c r="E218" i="1"/>
  <c r="L219" i="1"/>
  <c r="E220" i="1"/>
  <c r="L221" i="1"/>
  <c r="F222" i="1"/>
  <c r="M223" i="1"/>
  <c r="D229" i="1"/>
  <c r="D230" i="1"/>
  <c r="E232" i="1"/>
  <c r="L233" i="1"/>
  <c r="F234" i="1"/>
  <c r="M235" i="1"/>
  <c r="N237" i="1"/>
  <c r="D34" i="2"/>
  <c r="L34" i="2"/>
  <c r="T34" i="2"/>
  <c r="AB34" i="2"/>
  <c r="W116" i="2"/>
  <c r="E121" i="2"/>
  <c r="M121" i="2"/>
  <c r="U121" i="2"/>
  <c r="AC121" i="2"/>
  <c r="K157" i="1"/>
  <c r="B159" i="1"/>
  <c r="K161" i="1"/>
  <c r="B163" i="1"/>
  <c r="Z34" i="2"/>
  <c r="M140" i="1"/>
  <c r="K160" i="1"/>
  <c r="B187" i="1"/>
  <c r="L223" i="1"/>
  <c r="A18" i="1"/>
  <c r="E140" i="1"/>
  <c r="N141" i="1"/>
  <c r="H144" i="1"/>
  <c r="O145" i="1"/>
  <c r="H146" i="1"/>
  <c r="J149" i="1"/>
  <c r="M156" i="1"/>
  <c r="O157" i="1"/>
  <c r="L158" i="1"/>
  <c r="M160" i="1"/>
  <c r="O161" i="1"/>
  <c r="L162" i="1"/>
  <c r="N171" i="1"/>
  <c r="M174" i="1"/>
  <c r="O176" i="1"/>
  <c r="M178" i="1"/>
  <c r="D186" i="1"/>
  <c r="D187" i="1"/>
  <c r="C188" i="1"/>
  <c r="D189" i="1"/>
  <c r="C190" i="1"/>
  <c r="D191" i="1"/>
  <c r="C192" i="1"/>
  <c r="D193" i="1"/>
  <c r="C194" i="1"/>
  <c r="C195" i="1"/>
  <c r="D206" i="1"/>
  <c r="E208" i="1"/>
  <c r="N215" i="1"/>
  <c r="M217" i="1"/>
  <c r="M219" i="1"/>
  <c r="M221" i="1"/>
  <c r="N223" i="1"/>
  <c r="E230" i="1"/>
  <c r="F232" i="1"/>
  <c r="M233" i="1"/>
  <c r="N235" i="1"/>
  <c r="O237" i="1"/>
  <c r="E34" i="2"/>
  <c r="M34" i="2"/>
  <c r="U34" i="2"/>
  <c r="AC34" i="2"/>
  <c r="F73" i="2"/>
  <c r="X116" i="2"/>
  <c r="F121" i="2"/>
  <c r="N121" i="2"/>
  <c r="V121" i="2"/>
  <c r="AD121" i="2"/>
  <c r="AG2" i="1"/>
  <c r="C144" i="1"/>
  <c r="D144" i="1"/>
  <c r="F145" i="1"/>
  <c r="R34" i="2"/>
  <c r="G145" i="1"/>
  <c r="B191" i="1"/>
  <c r="K34" i="2"/>
  <c r="J63" i="1"/>
  <c r="A15" i="1" s="1"/>
  <c r="F140" i="1"/>
  <c r="L144" i="1"/>
  <c r="J146" i="1"/>
  <c r="K149" i="1"/>
  <c r="N156" i="1"/>
  <c r="M158" i="1"/>
  <c r="N160" i="1"/>
  <c r="M162" i="1"/>
  <c r="N178" i="1"/>
  <c r="E186" i="1"/>
  <c r="D188" i="1"/>
  <c r="D190" i="1"/>
  <c r="D192" i="1"/>
  <c r="D194" i="1"/>
  <c r="D195" i="1"/>
  <c r="C203" i="1"/>
  <c r="E206" i="1"/>
  <c r="F208" i="1"/>
  <c r="O215" i="1"/>
  <c r="N217" i="1"/>
  <c r="N219" i="1"/>
  <c r="N221" i="1"/>
  <c r="O223" i="1"/>
  <c r="F230" i="1"/>
  <c r="N233" i="1"/>
  <c r="O235" i="1"/>
  <c r="G78" i="2"/>
  <c r="O78" i="2"/>
  <c r="W78" i="2"/>
  <c r="AE78" i="2"/>
  <c r="AE116" i="2"/>
  <c r="I121" i="2"/>
  <c r="Q121" i="2"/>
  <c r="Y121" i="2"/>
  <c r="K140" i="1"/>
  <c r="E60" i="1"/>
  <c r="C140" i="1"/>
  <c r="E144" i="1"/>
  <c r="L171" i="1"/>
  <c r="N173" i="1"/>
  <c r="K174" i="1"/>
  <c r="M176" i="1"/>
  <c r="K178" i="1"/>
  <c r="B186" i="1"/>
  <c r="J61" i="1"/>
  <c r="E97" i="1"/>
  <c r="H140" i="1"/>
  <c r="M144" i="1"/>
  <c r="O217" i="1"/>
  <c r="O219" i="1"/>
  <c r="O221" i="1"/>
  <c r="O233" i="1"/>
  <c r="H78" i="2"/>
  <c r="P78" i="2"/>
  <c r="X78" i="2"/>
  <c r="AF78" i="2"/>
  <c r="AF116" i="2"/>
  <c r="J121" i="2"/>
  <c r="R121" i="2"/>
  <c r="Z121" i="2"/>
  <c r="N143" i="1"/>
  <c r="F143" i="1"/>
  <c r="J143" i="1"/>
  <c r="J148" i="1"/>
  <c r="O172" i="1"/>
  <c r="N172" i="1"/>
  <c r="M172" i="1"/>
  <c r="L172" i="1"/>
  <c r="N175" i="1"/>
  <c r="M175" i="1"/>
  <c r="L175" i="1"/>
  <c r="K175" i="1"/>
  <c r="O175" i="1"/>
  <c r="O177" i="1"/>
  <c r="N177" i="1"/>
  <c r="M177" i="1"/>
  <c r="O186" i="1"/>
  <c r="N186" i="1"/>
  <c r="M186" i="1"/>
  <c r="L186" i="1"/>
  <c r="O216" i="1"/>
  <c r="N216" i="1"/>
  <c r="M216" i="1"/>
  <c r="L216" i="1"/>
  <c r="E73" i="2"/>
  <c r="U33" i="1"/>
  <c r="E61" i="1"/>
  <c r="M150" i="1"/>
  <c r="E150" i="1"/>
  <c r="J150" i="1"/>
  <c r="B150" i="1"/>
  <c r="F161" i="1"/>
  <c r="E161" i="1"/>
  <c r="C161" i="1"/>
  <c r="F34" i="2"/>
  <c r="V33" i="1"/>
  <c r="F35" i="1"/>
  <c r="C143" i="1"/>
  <c r="L143" i="1"/>
  <c r="J145" i="1"/>
  <c r="B148" i="1"/>
  <c r="M148" i="1"/>
  <c r="C150" i="1"/>
  <c r="N150" i="1"/>
  <c r="K159" i="1"/>
  <c r="B161" i="1"/>
  <c r="M163" i="1"/>
  <c r="L177" i="1"/>
  <c r="O190" i="1"/>
  <c r="N190" i="1"/>
  <c r="M190" i="1"/>
  <c r="L190" i="1"/>
  <c r="E202" i="1"/>
  <c r="D202" i="1"/>
  <c r="C202" i="1"/>
  <c r="B202" i="1"/>
  <c r="F202" i="1"/>
  <c r="O220" i="1"/>
  <c r="N220" i="1"/>
  <c r="M220" i="1"/>
  <c r="L220" i="1"/>
  <c r="O222" i="1"/>
  <c r="N222" i="1"/>
  <c r="M222" i="1"/>
  <c r="L222" i="1"/>
  <c r="G34" i="2"/>
  <c r="O34" i="2"/>
  <c r="W34" i="2"/>
  <c r="AE34" i="2"/>
  <c r="M73" i="2"/>
  <c r="M33" i="1"/>
  <c r="AC35" i="1"/>
  <c r="N33" i="1"/>
  <c r="F34" i="1"/>
  <c r="AD35" i="1"/>
  <c r="G33" i="1"/>
  <c r="O33" i="1"/>
  <c r="W33" i="1"/>
  <c r="AE33" i="1"/>
  <c r="G35" i="1"/>
  <c r="O35" i="1"/>
  <c r="W35" i="1"/>
  <c r="AE35" i="1"/>
  <c r="M142" i="1"/>
  <c r="E142" i="1"/>
  <c r="J142" i="1"/>
  <c r="D143" i="1"/>
  <c r="M143" i="1"/>
  <c r="B145" i="1"/>
  <c r="K145" i="1"/>
  <c r="D148" i="1"/>
  <c r="N148" i="1"/>
  <c r="D150" i="1"/>
  <c r="O150" i="1"/>
  <c r="F157" i="1"/>
  <c r="E157" i="1"/>
  <c r="C157" i="1"/>
  <c r="L159" i="1"/>
  <c r="D161" i="1"/>
  <c r="O163" i="1"/>
  <c r="K190" i="1"/>
  <c r="O192" i="1"/>
  <c r="N192" i="1"/>
  <c r="M192" i="1"/>
  <c r="L192" i="1"/>
  <c r="K220" i="1"/>
  <c r="K222" i="1"/>
  <c r="N73" i="2"/>
  <c r="AC33" i="1"/>
  <c r="U35" i="1"/>
  <c r="V34" i="2"/>
  <c r="AD34" i="1"/>
  <c r="H33" i="1"/>
  <c r="P33" i="1"/>
  <c r="X33" i="1"/>
  <c r="AF33" i="1"/>
  <c r="H35" i="1"/>
  <c r="P35" i="1"/>
  <c r="X35" i="1"/>
  <c r="AF35" i="1"/>
  <c r="I62" i="1"/>
  <c r="L97" i="1"/>
  <c r="G140" i="1"/>
  <c r="O140" i="1"/>
  <c r="H141" i="1"/>
  <c r="B142" i="1"/>
  <c r="K142" i="1"/>
  <c r="E143" i="1"/>
  <c r="O143" i="1"/>
  <c r="C145" i="1"/>
  <c r="L145" i="1"/>
  <c r="E148" i="1"/>
  <c r="F150" i="1"/>
  <c r="B157" i="1"/>
  <c r="M159" i="1"/>
  <c r="F163" i="1"/>
  <c r="E163" i="1"/>
  <c r="C163" i="1"/>
  <c r="K192" i="1"/>
  <c r="O194" i="1"/>
  <c r="N194" i="1"/>
  <c r="M194" i="1"/>
  <c r="L194" i="1"/>
  <c r="U73" i="2"/>
  <c r="M35" i="1"/>
  <c r="K148" i="1"/>
  <c r="C148" i="1"/>
  <c r="H148" i="1"/>
  <c r="L148" i="1"/>
  <c r="L150" i="1"/>
  <c r="O188" i="1"/>
  <c r="N188" i="1"/>
  <c r="M188" i="1"/>
  <c r="L188" i="1"/>
  <c r="O218" i="1"/>
  <c r="N218" i="1"/>
  <c r="M218" i="1"/>
  <c r="L218" i="1"/>
  <c r="AD34" i="2"/>
  <c r="V35" i="1"/>
  <c r="A14" i="1"/>
  <c r="C26" i="1"/>
  <c r="I34" i="1"/>
  <c r="I35" i="1"/>
  <c r="Q35" i="1"/>
  <c r="Y35" i="1"/>
  <c r="I61" i="1"/>
  <c r="I141" i="1"/>
  <c r="C142" i="1"/>
  <c r="L142" i="1"/>
  <c r="G143" i="1"/>
  <c r="O144" i="1"/>
  <c r="G144" i="1"/>
  <c r="J144" i="1"/>
  <c r="D145" i="1"/>
  <c r="M145" i="1"/>
  <c r="F148" i="1"/>
  <c r="G150" i="1"/>
  <c r="D157" i="1"/>
  <c r="O159" i="1"/>
  <c r="O180" i="1"/>
  <c r="N180" i="1"/>
  <c r="M180" i="1"/>
  <c r="L180" i="1"/>
  <c r="O230" i="1"/>
  <c r="N230" i="1"/>
  <c r="M230" i="1"/>
  <c r="L230" i="1"/>
  <c r="O232" i="1"/>
  <c r="N232" i="1"/>
  <c r="M232" i="1"/>
  <c r="L232" i="1"/>
  <c r="O234" i="1"/>
  <c r="N234" i="1"/>
  <c r="M234" i="1"/>
  <c r="L234" i="1"/>
  <c r="O236" i="1"/>
  <c r="N236" i="1"/>
  <c r="M236" i="1"/>
  <c r="L236" i="1"/>
  <c r="O238" i="1"/>
  <c r="N238" i="1"/>
  <c r="M238" i="1"/>
  <c r="L238" i="1"/>
  <c r="V73" i="2"/>
  <c r="E34" i="1"/>
  <c r="N34" i="2"/>
  <c r="J25" i="1"/>
  <c r="N35" i="1"/>
  <c r="J35" i="1"/>
  <c r="R35" i="1"/>
  <c r="B141" i="1"/>
  <c r="J141" i="1"/>
  <c r="D142" i="1"/>
  <c r="N142" i="1"/>
  <c r="H143" i="1"/>
  <c r="B144" i="1"/>
  <c r="K144" i="1"/>
  <c r="E145" i="1"/>
  <c r="N145" i="1"/>
  <c r="J147" i="1"/>
  <c r="B147" i="1"/>
  <c r="O147" i="1"/>
  <c r="G147" i="1"/>
  <c r="L147" i="1"/>
  <c r="G148" i="1"/>
  <c r="H150" i="1"/>
  <c r="F159" i="1"/>
  <c r="E159" i="1"/>
  <c r="C159" i="1"/>
  <c r="K180" i="1"/>
  <c r="K230" i="1"/>
  <c r="K232" i="1"/>
  <c r="K234" i="1"/>
  <c r="K236" i="1"/>
  <c r="K238" i="1"/>
  <c r="AC73" i="2"/>
  <c r="K35" i="1"/>
  <c r="S35" i="1"/>
  <c r="I143" i="1"/>
  <c r="I148" i="1"/>
  <c r="I150" i="1"/>
  <c r="F165" i="1"/>
  <c r="E165" i="1"/>
  <c r="C165" i="1"/>
  <c r="F207" i="1"/>
  <c r="E207" i="1"/>
  <c r="D207" i="1"/>
  <c r="C207" i="1"/>
  <c r="O214" i="1"/>
  <c r="N214" i="1"/>
  <c r="M214" i="1"/>
  <c r="L214" i="1"/>
  <c r="AD73" i="2"/>
  <c r="M173" i="1"/>
  <c r="C73" i="2"/>
  <c r="K73" i="2"/>
  <c r="S73" i="2"/>
  <c r="AA73" i="2"/>
  <c r="D73" i="2"/>
  <c r="L73" i="2"/>
  <c r="T73" i="2"/>
  <c r="AB73" i="2"/>
  <c r="I149" i="1"/>
  <c r="N174" i="1"/>
  <c r="E187" i="1"/>
  <c r="E189" i="1"/>
  <c r="E191" i="1"/>
  <c r="E193" i="1"/>
  <c r="E195" i="1"/>
  <c r="E201" i="1"/>
  <c r="D204" i="1"/>
  <c r="E215" i="1"/>
  <c r="E217" i="1"/>
  <c r="E219" i="1"/>
  <c r="E221" i="1"/>
  <c r="E223" i="1"/>
  <c r="E229" i="1"/>
  <c r="E231" i="1"/>
  <c r="E233" i="1"/>
  <c r="E235" i="1"/>
  <c r="E237" i="1"/>
  <c r="I116" i="2"/>
  <c r="Q116" i="2"/>
  <c r="Y116" i="2"/>
  <c r="E204" i="1"/>
  <c r="J116" i="2"/>
  <c r="R116" i="2"/>
  <c r="Z116" i="2"/>
  <c r="K173" i="1"/>
  <c r="B208" i="1"/>
  <c r="D149" i="1"/>
  <c r="A13" i="1" l="1"/>
  <c r="E26" i="1"/>
  <c r="I26" i="1"/>
  <c r="J26" i="1"/>
  <c r="C24" i="1"/>
  <c r="I24" i="1" l="1"/>
  <c r="J24" i="1"/>
  <c r="E24" i="1"/>
  <c r="L24" i="1"/>
  <c r="A3" i="1" l="1"/>
  <c r="A35" i="1"/>
  <c r="O137" i="1"/>
  <c r="A106" i="1"/>
  <c r="A105" i="1"/>
  <c r="A104" i="1"/>
  <c r="A72" i="1"/>
  <c r="A34" i="1"/>
  <c r="A70" i="1"/>
  <c r="A33" i="1"/>
  <c r="A71" i="1"/>
  <c r="B122" i="1"/>
  <c r="B48" i="1"/>
  <c r="C48" i="1" s="1"/>
  <c r="B87" i="1"/>
  <c r="A6" i="1"/>
  <c r="B125" i="1"/>
  <c r="C125" i="1" s="1"/>
  <c r="B53" i="1"/>
  <c r="C53" i="1" s="1"/>
  <c r="B120" i="1"/>
  <c r="C120" i="1" s="1"/>
  <c r="B86" i="1"/>
  <c r="B54" i="1"/>
  <c r="B90" i="1"/>
  <c r="C90" i="1" s="1"/>
  <c r="B85" i="1"/>
  <c r="C85" i="1" s="1"/>
  <c r="B121" i="1"/>
  <c r="B91" i="1"/>
  <c r="B49" i="1"/>
  <c r="B50" i="1"/>
  <c r="B126" i="1"/>
  <c r="A10" i="1"/>
  <c r="F97" i="1" l="1"/>
  <c r="F24" i="1"/>
  <c r="F26" i="1"/>
  <c r="F25" i="1"/>
  <c r="F60" i="1"/>
  <c r="F62" i="1"/>
  <c r="F61" i="1"/>
  <c r="E134" i="1"/>
  <c r="F63" i="1"/>
  <c r="C91" i="1"/>
  <c r="B92" i="1"/>
  <c r="B124" i="1"/>
  <c r="C121" i="1" s="1"/>
  <c r="B123" i="1"/>
  <c r="C123" i="1" s="1"/>
  <c r="C54" i="1"/>
  <c r="B55" i="1"/>
  <c r="B127" i="1"/>
  <c r="C126" i="1"/>
  <c r="B89" i="1"/>
  <c r="C86" i="1" s="1"/>
  <c r="B88" i="1"/>
  <c r="C88" i="1" s="1"/>
  <c r="O198" i="1"/>
  <c r="F153" i="1"/>
  <c r="F226" i="1"/>
  <c r="F198" i="1"/>
  <c r="O211" i="1"/>
  <c r="F183" i="1"/>
  <c r="F168" i="1"/>
  <c r="F211" i="1"/>
  <c r="O168" i="1"/>
  <c r="O183" i="1"/>
  <c r="O226" i="1"/>
  <c r="O153" i="1"/>
  <c r="B52" i="1"/>
  <c r="C49" i="1" s="1"/>
  <c r="B51" i="1"/>
  <c r="C51" i="1" s="1"/>
  <c r="A56" i="1"/>
  <c r="A128" i="1" l="1"/>
  <c r="A93" i="1"/>
  <c r="A8" i="1"/>
</calcChain>
</file>

<file path=xl/sharedStrings.xml><?xml version="1.0" encoding="utf-8"?>
<sst xmlns="http://schemas.openxmlformats.org/spreadsheetml/2006/main" count="355" uniqueCount="97">
  <si>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</si>
  <si>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</si>
  <si>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</si>
  <si>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</si>
  <si>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</si>
  <si>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</si>
  <si>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</si>
  <si>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</si>
  <si>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</si>
  <si>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</si>
  <si>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</si>
  <si>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</si>
  <si>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</si>
  <si>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</si>
  <si>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</si>
  <si>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</si>
  <si>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</si>
  <si>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</si>
  <si>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</si>
  <si>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</si>
  <si>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</si>
  <si>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</si>
  <si>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上期日期</t>
    <phoneticPr fontId="4" type="noConversion"/>
  </si>
  <si>
    <t>本期日期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</si>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</sst>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9" fillId="5" borderId="10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left" vertical="top" wrapText="1"/>
    </xf>
  </cellXfs>
  <cellStyles count="2">
    <cellStyle name="百分比" xfId="1" builtinId="5"/>
    <cellStyle name="常规" xfId="0" builtinId="0"/>
  </cellStyles>
  <dxfs count="27"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  <cell r="D31">
            <v>2641</v>
          </cell>
          <cell r="E31">
            <v>2767</v>
          </cell>
          <cell r="F31">
            <v>4995</v>
          </cell>
          <cell r="G31">
            <v>5344</v>
          </cell>
          <cell r="H31">
            <v>4731</v>
          </cell>
          <cell r="I31">
            <v>3124</v>
          </cell>
          <cell r="J31">
            <v>3931</v>
          </cell>
          <cell r="K31">
            <v>3484</v>
          </cell>
          <cell r="L31">
            <v>3464</v>
          </cell>
          <cell r="M31">
            <v>3733</v>
          </cell>
          <cell r="N31">
            <v>4618</v>
          </cell>
          <cell r="O31">
            <v>5569</v>
          </cell>
          <cell r="P31">
            <v>4334</v>
          </cell>
          <cell r="Q31">
            <v>3017</v>
          </cell>
          <cell r="R31">
            <v>3077</v>
          </cell>
          <cell r="S31">
            <v>3082</v>
          </cell>
          <cell r="T31">
            <v>3199</v>
          </cell>
          <cell r="U31">
            <v>5577</v>
          </cell>
          <cell r="V31">
            <v>5938</v>
          </cell>
          <cell r="W31">
            <v>4265</v>
          </cell>
          <cell r="X31">
            <v>3703</v>
          </cell>
          <cell r="Y31">
            <v>4174</v>
          </cell>
          <cell r="Z31">
            <v>4145</v>
          </cell>
          <cell r="AA31">
            <v>4652</v>
          </cell>
          <cell r="AB31">
            <v>5565</v>
          </cell>
          <cell r="AC31">
            <v>5159</v>
          </cell>
          <cell r="AD31">
            <v>5711</v>
          </cell>
          <cell r="AE31">
            <v>7629</v>
          </cell>
          <cell r="AF31">
            <v>7388</v>
          </cell>
        </row>
        <row r="32">
          <cell r="C32" t="str">
            <v>-</v>
          </cell>
          <cell r="D32" t="str">
            <v>-</v>
          </cell>
          <cell r="E32" t="str">
            <v>-</v>
          </cell>
          <cell r="F32" t="str">
            <v>-</v>
          </cell>
          <cell r="G32" t="str">
            <v>-</v>
          </cell>
          <cell r="H32" t="str">
            <v>-</v>
          </cell>
          <cell r="I32" t="str">
            <v>-</v>
          </cell>
          <cell r="J32" t="str">
            <v>-</v>
          </cell>
          <cell r="K32" t="str">
            <v>-</v>
          </cell>
          <cell r="L32" t="str">
            <v>-</v>
          </cell>
          <cell r="M32" t="str">
            <v>-</v>
          </cell>
          <cell r="N32" t="str">
            <v>-</v>
          </cell>
          <cell r="O32" t="str">
            <v>-</v>
          </cell>
          <cell r="P32" t="str">
            <v>-</v>
          </cell>
          <cell r="Q32" t="str">
            <v>-</v>
          </cell>
          <cell r="R32" t="str">
            <v>-</v>
          </cell>
          <cell r="S32" t="str">
            <v>-</v>
          </cell>
          <cell r="T32" t="str">
            <v>-</v>
          </cell>
          <cell r="U32" t="str">
            <v>-</v>
          </cell>
          <cell r="V32" t="str">
            <v>-</v>
          </cell>
          <cell r="W32" t="str">
            <v>-</v>
          </cell>
          <cell r="X32" t="str">
            <v>-</v>
          </cell>
          <cell r="Y32" t="str">
            <v>-</v>
          </cell>
          <cell r="Z32" t="str">
            <v>-</v>
          </cell>
          <cell r="AA32" t="str">
            <v>-</v>
          </cell>
          <cell r="AB32" t="str">
            <v>-</v>
          </cell>
          <cell r="AC32" t="str">
            <v>-</v>
          </cell>
          <cell r="AD32" t="str">
            <v>-</v>
          </cell>
          <cell r="AE32" t="str">
            <v>-</v>
          </cell>
          <cell r="AF32" t="str">
            <v>-</v>
          </cell>
        </row>
        <row r="33">
          <cell r="C33">
            <v>2474</v>
          </cell>
          <cell r="D33">
            <v>2530</v>
          </cell>
          <cell r="E33">
            <v>2690</v>
          </cell>
          <cell r="F33">
            <v>4943</v>
          </cell>
          <cell r="G33">
            <v>5108</v>
          </cell>
          <cell r="H33">
            <v>4682</v>
          </cell>
          <cell r="I33">
            <v>3172</v>
          </cell>
          <cell r="J33">
            <v>3167</v>
          </cell>
          <cell r="K33">
            <v>3734</v>
          </cell>
          <cell r="L33" t="str">
            <v/>
          </cell>
          <cell r="M33" t="str">
            <v/>
          </cell>
          <cell r="N33" t="str">
            <v/>
          </cell>
          <cell r="O33" t="str">
            <v/>
          </cell>
          <cell r="P33" t="str">
            <v/>
          </cell>
          <cell r="Q33" t="str">
            <v/>
          </cell>
          <cell r="R33" t="str">
            <v/>
          </cell>
          <cell r="S33" t="str">
            <v/>
          </cell>
          <cell r="T33" t="str">
            <v/>
          </cell>
          <cell r="U33" t="str">
            <v/>
          </cell>
          <cell r="V33" t="str">
            <v/>
          </cell>
          <cell r="W33" t="str">
            <v/>
          </cell>
          <cell r="X33" t="str">
            <v/>
          </cell>
          <cell r="Y33" t="str">
            <v/>
          </cell>
          <cell r="Z33" t="str">
            <v/>
          </cell>
          <cell r="AA33" t="str">
            <v/>
          </cell>
          <cell r="AB33" t="str">
            <v/>
          </cell>
          <cell r="AC33" t="str">
            <v/>
          </cell>
          <cell r="AD33" t="str">
            <v/>
          </cell>
          <cell r="AE33" t="str">
            <v/>
          </cell>
          <cell r="AF33" t="str">
            <v/>
          </cell>
        </row>
        <row r="74">
          <cell r="C74">
            <v>2390</v>
          </cell>
          <cell r="D74">
            <v>2533</v>
          </cell>
          <cell r="E74">
            <v>2713</v>
          </cell>
          <cell r="F74">
            <v>4926</v>
          </cell>
          <cell r="G74">
            <v>5284</v>
          </cell>
          <cell r="H74">
            <v>4669</v>
          </cell>
          <cell r="I74">
            <v>3066</v>
          </cell>
          <cell r="J74">
            <v>3895</v>
          </cell>
          <cell r="K74">
            <v>3444</v>
          </cell>
          <cell r="L74">
            <v>3415</v>
          </cell>
          <cell r="M74">
            <v>3656</v>
          </cell>
          <cell r="N74">
            <v>4520</v>
          </cell>
          <cell r="O74">
            <v>5447</v>
          </cell>
          <cell r="P74">
            <v>4293</v>
          </cell>
          <cell r="Q74">
            <v>2885</v>
          </cell>
          <cell r="R74">
            <v>2950</v>
          </cell>
          <cell r="S74">
            <v>2832</v>
          </cell>
          <cell r="T74">
            <v>2924</v>
          </cell>
          <cell r="U74">
            <v>5129</v>
          </cell>
          <cell r="V74">
            <v>5532</v>
          </cell>
          <cell r="W74">
            <v>4002</v>
          </cell>
          <cell r="X74">
            <v>3480</v>
          </cell>
          <cell r="Y74">
            <v>3944</v>
          </cell>
          <cell r="Z74">
            <v>3894</v>
          </cell>
          <cell r="AA74">
            <v>4445</v>
          </cell>
          <cell r="AB74">
            <v>5119</v>
          </cell>
          <cell r="AC74">
            <v>4734</v>
          </cell>
          <cell r="AD74">
            <v>4750</v>
          </cell>
          <cell r="AE74">
            <v>6646</v>
          </cell>
          <cell r="AF74">
            <v>6299</v>
          </cell>
        </row>
        <row r="76">
          <cell r="C76">
            <v>1187</v>
          </cell>
          <cell r="D76">
            <v>2193</v>
          </cell>
          <cell r="E76">
            <v>3252</v>
          </cell>
          <cell r="F76">
            <v>5194</v>
          </cell>
          <cell r="G76">
            <v>7476</v>
          </cell>
          <cell r="H76">
            <v>9427</v>
          </cell>
          <cell r="I76">
            <v>10772</v>
          </cell>
          <cell r="J76">
            <v>12006</v>
          </cell>
          <cell r="K76">
            <v>13280</v>
          </cell>
          <cell r="L76" t="str">
            <v/>
          </cell>
          <cell r="M76" t="str">
            <v/>
          </cell>
          <cell r="N76" t="str">
            <v/>
          </cell>
          <cell r="O76" t="str">
            <v/>
          </cell>
          <cell r="P76" t="str">
            <v/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/>
          </cell>
          <cell r="X76" t="str">
            <v/>
          </cell>
          <cell r="Y76" t="str">
            <v/>
          </cell>
          <cell r="Z76" t="str">
            <v/>
          </cell>
          <cell r="AA76" t="str">
            <v/>
          </cell>
          <cell r="AB76" t="str">
            <v/>
          </cell>
          <cell r="AC76" t="str">
            <v/>
          </cell>
          <cell r="AD76" t="str">
            <v/>
          </cell>
          <cell r="AE76" t="str">
            <v/>
          </cell>
          <cell r="AF76" t="str">
            <v/>
          </cell>
        </row>
        <row r="77">
          <cell r="C77">
            <v>1187</v>
          </cell>
          <cell r="D77">
            <v>1006</v>
          </cell>
          <cell r="E77">
            <v>1059</v>
          </cell>
          <cell r="F77">
            <v>1942</v>
          </cell>
          <cell r="G77">
            <v>2282</v>
          </cell>
          <cell r="H77">
            <v>1951</v>
          </cell>
          <cell r="I77">
            <v>1345</v>
          </cell>
          <cell r="J77">
            <v>1234</v>
          </cell>
          <cell r="K77">
            <v>1274</v>
          </cell>
          <cell r="L77" t="str">
            <v/>
          </cell>
          <cell r="M77" t="str">
            <v/>
          </cell>
          <cell r="N77" t="str">
            <v/>
          </cell>
          <cell r="O77" t="str">
            <v/>
          </cell>
          <cell r="P77" t="str">
            <v/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/>
          </cell>
          <cell r="X77" t="str">
            <v/>
          </cell>
          <cell r="Y77" t="str">
            <v/>
          </cell>
          <cell r="Z77" t="str">
            <v/>
          </cell>
          <cell r="AA77" t="str">
            <v/>
          </cell>
          <cell r="AB77" t="str">
            <v/>
          </cell>
          <cell r="AC77" t="str">
            <v/>
          </cell>
          <cell r="AD77" t="str">
            <v/>
          </cell>
          <cell r="AE77" t="str">
            <v/>
          </cell>
          <cell r="AF77" t="str">
            <v/>
          </cell>
        </row>
        <row r="117">
          <cell r="C117">
            <v>2052</v>
          </cell>
          <cell r="D117">
            <v>1115</v>
          </cell>
          <cell r="E117">
            <v>1052</v>
          </cell>
          <cell r="F117">
            <v>1074</v>
          </cell>
          <cell r="G117">
            <v>1096</v>
          </cell>
          <cell r="H117">
            <v>1232</v>
          </cell>
          <cell r="I117">
            <v>2162</v>
          </cell>
          <cell r="J117">
            <v>2154</v>
          </cell>
          <cell r="K117">
            <v>1117</v>
          </cell>
          <cell r="L117">
            <v>1151</v>
          </cell>
          <cell r="M117">
            <v>1069</v>
          </cell>
          <cell r="N117">
            <v>1148</v>
          </cell>
          <cell r="O117">
            <v>1202</v>
          </cell>
          <cell r="P117">
            <v>1910</v>
          </cell>
          <cell r="Q117">
            <v>2117</v>
          </cell>
          <cell r="R117">
            <v>1133</v>
          </cell>
          <cell r="S117">
            <v>1098</v>
          </cell>
          <cell r="T117">
            <v>1057</v>
          </cell>
          <cell r="U117">
            <v>1081</v>
          </cell>
          <cell r="V117">
            <v>1210</v>
          </cell>
          <cell r="W117">
            <v>1870</v>
          </cell>
          <cell r="X117">
            <v>2077</v>
          </cell>
          <cell r="Y117">
            <v>1190</v>
          </cell>
          <cell r="Z117">
            <v>1193</v>
          </cell>
          <cell r="AA117">
            <v>1213</v>
          </cell>
          <cell r="AB117">
            <v>1251</v>
          </cell>
          <cell r="AC117">
            <v>1456</v>
          </cell>
          <cell r="AD117">
            <v>2166</v>
          </cell>
          <cell r="AE117" t="str">
            <v>-</v>
          </cell>
          <cell r="AF117" t="str">
            <v>-</v>
          </cell>
        </row>
        <row r="118">
          <cell r="C118" t="str">
            <v>-</v>
          </cell>
          <cell r="D118" t="str">
            <v>-</v>
          </cell>
          <cell r="E118" t="str">
            <v>-</v>
          </cell>
          <cell r="F118" t="str">
            <v>-</v>
          </cell>
          <cell r="G118" t="str">
            <v>-</v>
          </cell>
          <cell r="H118" t="str">
            <v>-</v>
          </cell>
          <cell r="I118" t="str">
            <v>-</v>
          </cell>
          <cell r="J118" t="str">
            <v>-</v>
          </cell>
          <cell r="K118" t="str">
            <v>-</v>
          </cell>
          <cell r="L118" t="str">
            <v>-</v>
          </cell>
          <cell r="M118" t="str">
            <v>-</v>
          </cell>
          <cell r="N118" t="str">
            <v>-</v>
          </cell>
          <cell r="O118" t="str">
            <v>-</v>
          </cell>
          <cell r="P118" t="str">
            <v>-</v>
          </cell>
          <cell r="Q118" t="str">
            <v>-</v>
          </cell>
          <cell r="R118" t="str">
            <v>-</v>
          </cell>
          <cell r="S118" t="str">
            <v>-</v>
          </cell>
          <cell r="T118" t="str">
            <v>-</v>
          </cell>
          <cell r="U118" t="str">
            <v>-</v>
          </cell>
          <cell r="V118" t="str">
            <v>-</v>
          </cell>
          <cell r="W118" t="str">
            <v>-</v>
          </cell>
          <cell r="X118" t="str">
            <v>-</v>
          </cell>
          <cell r="Y118" t="str">
            <v>-</v>
          </cell>
          <cell r="Z118" t="str">
            <v>-</v>
          </cell>
          <cell r="AA118" t="str">
            <v>-</v>
          </cell>
          <cell r="AB118" t="str">
            <v>-</v>
          </cell>
          <cell r="AC118" t="str">
            <v>-</v>
          </cell>
          <cell r="AD118" t="str">
            <v>-</v>
          </cell>
          <cell r="AE118" t="str">
            <v>-</v>
          </cell>
          <cell r="AF118" t="str">
            <v>-</v>
          </cell>
        </row>
        <row r="119">
          <cell r="C119">
            <v>1287</v>
          </cell>
          <cell r="D119">
            <v>2811</v>
          </cell>
          <cell r="E119">
            <v>4442</v>
          </cell>
          <cell r="F119">
            <v>7443</v>
          </cell>
          <cell r="G119">
            <v>10269</v>
          </cell>
          <cell r="H119">
            <v>13000</v>
          </cell>
          <cell r="I119">
            <v>14827</v>
          </cell>
          <cell r="J119">
            <v>16760</v>
          </cell>
          <cell r="K119">
            <v>19220</v>
          </cell>
          <cell r="L119" t="str">
            <v/>
          </cell>
          <cell r="M119" t="str">
            <v/>
          </cell>
          <cell r="N119" t="str">
            <v/>
          </cell>
          <cell r="O119" t="str">
            <v/>
          </cell>
          <cell r="P119" t="str">
            <v/>
          </cell>
          <cell r="Q119" t="str">
            <v/>
          </cell>
          <cell r="R119" t="str">
            <v/>
          </cell>
          <cell r="S119" t="str">
            <v/>
          </cell>
          <cell r="T119" t="str">
            <v/>
          </cell>
          <cell r="U119" t="str">
            <v/>
          </cell>
          <cell r="V119" t="str">
            <v/>
          </cell>
          <cell r="W119" t="str">
            <v/>
          </cell>
          <cell r="X119" t="str">
            <v/>
          </cell>
          <cell r="Y119" t="str">
            <v/>
          </cell>
          <cell r="Z119" t="str">
            <v/>
          </cell>
          <cell r="AA119" t="str">
            <v/>
          </cell>
          <cell r="AB119" t="str">
            <v/>
          </cell>
          <cell r="AC119" t="str">
            <v/>
          </cell>
          <cell r="AD119" t="str">
            <v/>
          </cell>
          <cell r="AE119" t="str">
            <v/>
          </cell>
          <cell r="AF119" t="str">
            <v/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78">
          <cell r="B78">
            <v>-0.50334728033472809</v>
          </cell>
          <cell r="C78">
            <v>-0.60284247927358858</v>
          </cell>
          <cell r="D78">
            <v>-0.60965720604496865</v>
          </cell>
          <cell r="E78">
            <v>-0.60576532683719042</v>
          </cell>
          <cell r="F78">
            <v>-0.56813020439061312</v>
          </cell>
          <cell r="G78">
            <v>-0.58213750267723285</v>
          </cell>
          <cell r="H78">
            <v>-0.56131767775603392</v>
          </cell>
          <cell r="I78">
            <v>-0.68318356867779206</v>
          </cell>
          <cell r="J78">
            <v>-0.63008130081300817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  <row r="2">
          <cell r="AA2">
            <v>4</v>
          </cell>
        </row>
        <row r="6">
          <cell r="A6" t="str">
            <v>全国</v>
          </cell>
          <cell r="G6">
            <v>0</v>
          </cell>
          <cell r="H6">
            <v>1274</v>
          </cell>
          <cell r="I6" t="str">
            <v>-</v>
          </cell>
          <cell r="J6">
            <v>0</v>
          </cell>
          <cell r="K6">
            <v>13280</v>
          </cell>
          <cell r="L6" t="str">
            <v>-</v>
          </cell>
          <cell r="M6">
            <v>0</v>
          </cell>
          <cell r="N6">
            <v>13280</v>
          </cell>
          <cell r="O6" t="str">
            <v>-</v>
          </cell>
          <cell r="P6">
            <v>0.3</v>
          </cell>
          <cell r="Q6">
            <v>32920</v>
          </cell>
          <cell r="S6">
            <v>-0.59659781287970837</v>
          </cell>
          <cell r="T6">
            <v>-0.40990890913130418</v>
          </cell>
          <cell r="AC6">
            <v>7515</v>
          </cell>
          <cell r="AD6">
            <v>-0.55941842058978719</v>
          </cell>
          <cell r="AE6">
            <v>-0.390807392996109</v>
          </cell>
          <cell r="AF6">
            <v>4948</v>
          </cell>
          <cell r="AG6">
            <v>-0.64807965860597438</v>
          </cell>
          <cell r="AH6">
            <v>-0.44591265397536395</v>
          </cell>
          <cell r="AI6">
            <v>817</v>
          </cell>
          <cell r="AJ6">
            <v>-0.54686633388796446</v>
          </cell>
          <cell r="AK6">
            <v>-0.34059725585149314</v>
          </cell>
        </row>
        <row r="7">
          <cell r="A7" t="str">
            <v>华东一区</v>
          </cell>
          <cell r="M7">
            <v>0</v>
          </cell>
          <cell r="N7">
            <v>1012</v>
          </cell>
          <cell r="O7" t="str">
            <v>-</v>
          </cell>
          <cell r="S7">
            <v>-0.53514010105649978</v>
          </cell>
          <cell r="T7">
            <v>-0.3125</v>
          </cell>
          <cell r="AC7">
            <v>534</v>
          </cell>
          <cell r="AD7">
            <v>-0.51891891891891895</v>
          </cell>
          <cell r="AE7">
            <v>-0.37028301886792447</v>
          </cell>
          <cell r="AF7">
            <v>437</v>
          </cell>
          <cell r="AG7">
            <v>-0.54384133611691021</v>
          </cell>
          <cell r="AH7">
            <v>-0.20109689213893966</v>
          </cell>
          <cell r="AI7">
            <v>41</v>
          </cell>
          <cell r="AJ7">
            <v>-0.62385321100917435</v>
          </cell>
          <cell r="AK7">
            <v>-0.46753246753246758</v>
          </cell>
        </row>
        <row r="8">
          <cell r="A8" t="str">
            <v>华东二区</v>
          </cell>
          <cell r="M8">
            <v>0</v>
          </cell>
          <cell r="N8">
            <v>1106</v>
          </cell>
          <cell r="O8" t="str">
            <v>-</v>
          </cell>
          <cell r="S8">
            <v>-0.58669656203288489</v>
          </cell>
          <cell r="T8">
            <v>-0.40280777537796975</v>
          </cell>
          <cell r="AC8">
            <v>629</v>
          </cell>
          <cell r="AD8">
            <v>-0.54121079504011671</v>
          </cell>
          <cell r="AE8">
            <v>-0.43486073674752923</v>
          </cell>
          <cell r="AF8">
            <v>373</v>
          </cell>
          <cell r="AG8">
            <v>-0.67165492957746475</v>
          </cell>
          <cell r="AH8">
            <v>-0.38039867109634551</v>
          </cell>
          <cell r="AI8">
            <v>104</v>
          </cell>
          <cell r="AJ8">
            <v>-0.38461538461538458</v>
          </cell>
          <cell r="AK8">
            <v>-0.24087591240875916</v>
          </cell>
        </row>
        <row r="9">
          <cell r="A9" t="str">
            <v>华东三区</v>
          </cell>
          <cell r="M9">
            <v>0</v>
          </cell>
          <cell r="N9">
            <v>1895</v>
          </cell>
          <cell r="O9" t="str">
            <v>-</v>
          </cell>
          <cell r="S9">
            <v>-0.47637468914064662</v>
          </cell>
          <cell r="T9">
            <v>-0.53336616596897324</v>
          </cell>
          <cell r="AC9">
            <v>1116</v>
          </cell>
          <cell r="AD9">
            <v>-0.4713405968735197</v>
          </cell>
          <cell r="AE9">
            <v>-0.43378995433789957</v>
          </cell>
          <cell r="AF9">
            <v>639</v>
          </cell>
          <cell r="AG9">
            <v>-0.48839071257005606</v>
          </cell>
          <cell r="AH9">
            <v>-0.6649187205034085</v>
          </cell>
          <cell r="AI9">
            <v>140</v>
          </cell>
          <cell r="AJ9">
            <v>-0.45945945945945943</v>
          </cell>
          <cell r="AK9">
            <v>-0.23497267759562845</v>
          </cell>
        </row>
        <row r="10">
          <cell r="A10" t="str">
            <v>华南区</v>
          </cell>
          <cell r="M10">
            <v>0</v>
          </cell>
          <cell r="N10">
            <v>1744</v>
          </cell>
          <cell r="O10" t="str">
            <v>-</v>
          </cell>
          <cell r="S10">
            <v>-0.63545150501672243</v>
          </cell>
          <cell r="T10">
            <v>-0.38935574229691872</v>
          </cell>
          <cell r="AC10">
            <v>790</v>
          </cell>
          <cell r="AD10">
            <v>-0.61312438785504408</v>
          </cell>
          <cell r="AE10">
            <v>-0.4046721929163527</v>
          </cell>
          <cell r="AF10">
            <v>854</v>
          </cell>
          <cell r="AG10">
            <v>-0.65270435136234239</v>
          </cell>
          <cell r="AH10">
            <v>-0.37435897435897436</v>
          </cell>
          <cell r="AI10">
            <v>100</v>
          </cell>
          <cell r="AJ10">
            <v>-0.64664310954063597</v>
          </cell>
          <cell r="AK10">
            <v>-0.3902439024390244</v>
          </cell>
        </row>
        <row r="11">
          <cell r="A11" t="str">
            <v>华中一区</v>
          </cell>
          <cell r="M11">
            <v>0</v>
          </cell>
          <cell r="N11">
            <v>1397</v>
          </cell>
          <cell r="O11" t="str">
            <v>-</v>
          </cell>
          <cell r="S11">
            <v>-0.6117287381878822</v>
          </cell>
          <cell r="T11">
            <v>-0.31886884446611408</v>
          </cell>
          <cell r="AC11">
            <v>928</v>
          </cell>
          <cell r="AD11">
            <v>-0.48329621380846322</v>
          </cell>
          <cell r="AE11">
            <v>-0.32704858593183461</v>
          </cell>
          <cell r="AF11">
            <v>388</v>
          </cell>
          <cell r="AG11">
            <v>-0.7702782711663706</v>
          </cell>
          <cell r="AH11">
            <v>-0.31083481349911191</v>
          </cell>
          <cell r="AI11">
            <v>81</v>
          </cell>
          <cell r="AJ11">
            <v>-0.2831858407079646</v>
          </cell>
          <cell r="AK11">
            <v>-0.25688073394495414</v>
          </cell>
        </row>
        <row r="12">
          <cell r="A12" t="str">
            <v>华中二区</v>
          </cell>
          <cell r="M12">
            <v>0</v>
          </cell>
          <cell r="N12">
            <v>1342</v>
          </cell>
          <cell r="O12" t="str">
            <v>-</v>
          </cell>
          <cell r="S12">
            <v>-0.62303370786516854</v>
          </cell>
          <cell r="T12">
            <v>-0.49070208728652753</v>
          </cell>
          <cell r="AC12">
            <v>663</v>
          </cell>
          <cell r="AD12">
            <v>-0.62710911136107983</v>
          </cell>
          <cell r="AE12">
            <v>-0.51570489408327247</v>
          </cell>
          <cell r="AF12">
            <v>595</v>
          </cell>
          <cell r="AG12">
            <v>-0.62150127226463103</v>
          </cell>
          <cell r="AH12">
            <v>-0.45110701107011075</v>
          </cell>
          <cell r="AI12">
            <v>84</v>
          </cell>
          <cell r="AJ12">
            <v>-0.6</v>
          </cell>
          <cell r="AK12">
            <v>-0.53846153846153844</v>
          </cell>
        </row>
        <row r="13">
          <cell r="A13" t="str">
            <v>西南区</v>
          </cell>
          <cell r="M13">
            <v>0</v>
          </cell>
          <cell r="N13">
            <v>857</v>
          </cell>
          <cell r="O13" t="str">
            <v>-</v>
          </cell>
          <cell r="S13">
            <v>-0.5829683698296837</v>
          </cell>
          <cell r="T13">
            <v>-0.3794351918899348</v>
          </cell>
          <cell r="AC13">
            <v>419</v>
          </cell>
          <cell r="AD13">
            <v>-0.6009523809523809</v>
          </cell>
          <cell r="AE13">
            <v>-0.36225266362252662</v>
          </cell>
          <cell r="AF13">
            <v>398</v>
          </cell>
          <cell r="AG13">
            <v>-0.55180180180180183</v>
          </cell>
          <cell r="AH13">
            <v>-0.40329835082458776</v>
          </cell>
          <cell r="AI13">
            <v>40</v>
          </cell>
          <cell r="AJ13">
            <v>-0.65811965811965811</v>
          </cell>
          <cell r="AK13">
            <v>-0.29824561403508776</v>
          </cell>
        </row>
        <row r="14">
          <cell r="A14" t="str">
            <v>西北区</v>
          </cell>
          <cell r="M14">
            <v>0</v>
          </cell>
          <cell r="N14">
            <v>919</v>
          </cell>
          <cell r="O14" t="str">
            <v>-</v>
          </cell>
          <cell r="S14">
            <v>-0.54324055666003979</v>
          </cell>
          <cell r="T14">
            <v>-0.37779282329045361</v>
          </cell>
          <cell r="AC14">
            <v>550</v>
          </cell>
          <cell r="AD14">
            <v>-0.53429297205757831</v>
          </cell>
          <cell r="AE14">
            <v>-0.32680538555691552</v>
          </cell>
          <cell r="AF14">
            <v>321</v>
          </cell>
          <cell r="AG14">
            <v>-0.55724137931034479</v>
          </cell>
          <cell r="AH14">
            <v>-0.46766169154228854</v>
          </cell>
          <cell r="AI14">
            <v>48</v>
          </cell>
          <cell r="AJ14">
            <v>-0.54716981132075471</v>
          </cell>
          <cell r="AK14">
            <v>-0.15789473684210531</v>
          </cell>
        </row>
        <row r="15">
          <cell r="A15" t="str">
            <v>华北区</v>
          </cell>
          <cell r="M15">
            <v>0</v>
          </cell>
          <cell r="N15">
            <v>1706</v>
          </cell>
          <cell r="O15" t="str">
            <v>-</v>
          </cell>
          <cell r="S15">
            <v>-0.62422907488986779</v>
          </cell>
          <cell r="T15">
            <v>-0.32595811932042673</v>
          </cell>
          <cell r="AC15">
            <v>916</v>
          </cell>
          <cell r="AD15">
            <v>-0.5843920145190562</v>
          </cell>
          <cell r="AE15">
            <v>-0.35310734463276838</v>
          </cell>
          <cell r="AF15">
            <v>675</v>
          </cell>
          <cell r="AG15">
            <v>-0.6707317073170731</v>
          </cell>
          <cell r="AH15">
            <v>-0.29467084639498431</v>
          </cell>
          <cell r="AI15">
            <v>115</v>
          </cell>
          <cell r="AJ15">
            <v>-0.59790209790209792</v>
          </cell>
          <cell r="AK15">
            <v>-0.27215189873417722</v>
          </cell>
        </row>
        <row r="16">
          <cell r="A16" t="str">
            <v>东北区</v>
          </cell>
          <cell r="M16">
            <v>0</v>
          </cell>
          <cell r="N16">
            <v>1302</v>
          </cell>
          <cell r="O16" t="str">
            <v>-</v>
          </cell>
          <cell r="S16">
            <v>-0.66606822262118492</v>
          </cell>
          <cell r="T16">
            <v>-0.40520785746916399</v>
          </cell>
          <cell r="AC16">
            <v>970</v>
          </cell>
          <cell r="AD16">
            <v>-0.59817729908864958</v>
          </cell>
          <cell r="AE16">
            <v>-0.32592077831827659</v>
          </cell>
          <cell r="AF16">
            <v>268</v>
          </cell>
          <cell r="AG16">
            <v>-0.79910044977511241</v>
          </cell>
          <cell r="AH16">
            <v>-0.57795275590551176</v>
          </cell>
          <cell r="AI16">
            <v>64</v>
          </cell>
          <cell r="AJ16">
            <v>-0.57615894039735105</v>
          </cell>
          <cell r="AK16">
            <v>-0.44347826086956521</v>
          </cell>
        </row>
        <row r="42">
          <cell r="Q42">
            <v>517</v>
          </cell>
          <cell r="R42">
            <v>509</v>
          </cell>
          <cell r="S42">
            <v>-0.29400386847195359</v>
          </cell>
          <cell r="T42">
            <v>-0.28290766208251472</v>
          </cell>
        </row>
        <row r="43">
          <cell r="M43">
            <v>0</v>
          </cell>
        </row>
      </sheetData>
      <sheetData sheetId="3">
        <row r="6">
          <cell r="G6">
            <v>0</v>
          </cell>
          <cell r="H6">
            <v>19220</v>
          </cell>
          <cell r="K6">
            <v>569</v>
          </cell>
          <cell r="L6">
            <v>13054</v>
          </cell>
          <cell r="M6">
            <v>32.77855887521968</v>
          </cell>
          <cell r="N6">
            <v>0.47234564118277933</v>
          </cell>
        </row>
      </sheetData>
      <sheetData sheetId="4" refreshError="1"/>
      <sheetData sheetId="5">
        <row r="3">
          <cell r="A3" t="str">
            <v>全国</v>
          </cell>
          <cell r="G3">
            <v>0</v>
          </cell>
          <cell r="H3">
            <v>2802</v>
          </cell>
          <cell r="I3" t="str">
            <v>-</v>
          </cell>
          <cell r="M3">
            <v>3.9244288224956065</v>
          </cell>
          <cell r="N3">
            <v>-4.4012282497441158E-2</v>
          </cell>
        </row>
        <row r="4">
          <cell r="A4" t="str">
            <v>华东一区</v>
          </cell>
          <cell r="G4">
            <v>0</v>
          </cell>
          <cell r="H4">
            <v>206</v>
          </cell>
          <cell r="I4" t="str">
            <v>-</v>
          </cell>
          <cell r="M4">
            <v>4.2820512820512819</v>
          </cell>
          <cell r="N4">
            <v>-0.25090909090909086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311</v>
          </cell>
          <cell r="I5" t="str">
            <v>-</v>
          </cell>
          <cell r="M5">
            <v>7.4054054054054053</v>
          </cell>
          <cell r="N5">
            <v>-3.7151702786377694E-2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430</v>
          </cell>
          <cell r="I6" t="str">
            <v>-</v>
          </cell>
          <cell r="M6">
            <v>6.0491803278688527</v>
          </cell>
          <cell r="N6">
            <v>0.21126760563380276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357</v>
          </cell>
          <cell r="I7" t="str">
            <v>-</v>
          </cell>
          <cell r="M7">
            <v>1.2037037037037037</v>
          </cell>
          <cell r="N7">
            <v>-0.18493150684931503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294</v>
          </cell>
          <cell r="I8" t="str">
            <v>-</v>
          </cell>
          <cell r="M8">
            <v>3.083333333333333</v>
          </cell>
          <cell r="N8">
            <v>2.4390243902439046E-2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179</v>
          </cell>
          <cell r="I9" t="str">
            <v>-</v>
          </cell>
          <cell r="M9">
            <v>3.0681818181818183</v>
          </cell>
          <cell r="N9">
            <v>-0.17129629629629628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261</v>
          </cell>
          <cell r="I10" t="str">
            <v>-</v>
          </cell>
          <cell r="M10">
            <v>4.22</v>
          </cell>
          <cell r="N10">
            <v>3.1620553359683834E-2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197</v>
          </cell>
          <cell r="I11" t="str">
            <v>-</v>
          </cell>
          <cell r="M11">
            <v>6.2962962962962967</v>
          </cell>
          <cell r="N11">
            <v>0.39716312056737579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392</v>
          </cell>
          <cell r="I12" t="str">
            <v>-</v>
          </cell>
          <cell r="M12">
            <v>6.2592592592592595</v>
          </cell>
          <cell r="N12">
            <v>-0.1070615034168565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175</v>
          </cell>
          <cell r="I13" t="str">
            <v>-</v>
          </cell>
          <cell r="M13">
            <v>6.6086956521739131</v>
          </cell>
          <cell r="N13">
            <v>-0.14215686274509809</v>
          </cell>
          <cell r="V13" t="e">
            <v>#VALUE!</v>
          </cell>
        </row>
      </sheetData>
      <sheetData sheetId="6">
        <row r="3">
          <cell r="A3" t="str">
            <v>全国</v>
          </cell>
          <cell r="G3">
            <v>0</v>
          </cell>
          <cell r="H3">
            <v>2546</v>
          </cell>
          <cell r="I3" t="str">
            <v>-</v>
          </cell>
          <cell r="M3" t="str">
            <v>-</v>
          </cell>
          <cell r="N3">
            <v>-0.25007363770250368</v>
          </cell>
        </row>
        <row r="4">
          <cell r="A4" t="str">
            <v>华东一区</v>
          </cell>
          <cell r="G4">
            <v>0</v>
          </cell>
          <cell r="H4">
            <v>109</v>
          </cell>
          <cell r="I4" t="str">
            <v>-</v>
          </cell>
          <cell r="M4" t="str">
            <v>-</v>
          </cell>
          <cell r="N4">
            <v>-0.46039603960396036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254</v>
          </cell>
          <cell r="I5" t="str">
            <v>-</v>
          </cell>
          <cell r="M5" t="str">
            <v>-</v>
          </cell>
          <cell r="N5">
            <v>-0.24852071005917165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426</v>
          </cell>
          <cell r="I6" t="str">
            <v>-</v>
          </cell>
          <cell r="M6" t="str">
            <v>-</v>
          </cell>
          <cell r="N6">
            <v>0.15760869565217384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248</v>
          </cell>
          <cell r="I7" t="str">
            <v>-</v>
          </cell>
          <cell r="M7" t="str">
            <v>-</v>
          </cell>
          <cell r="N7">
            <v>-0.48547717842323657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188</v>
          </cell>
          <cell r="I8" t="str">
            <v>-</v>
          </cell>
          <cell r="M8" t="str">
            <v>-</v>
          </cell>
          <cell r="N8">
            <v>-0.41975308641975306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138</v>
          </cell>
          <cell r="I9" t="str">
            <v>-</v>
          </cell>
          <cell r="M9" t="str">
            <v>-</v>
          </cell>
          <cell r="N9">
            <v>-0.45238095238095233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184</v>
          </cell>
          <cell r="I10" t="str">
            <v>-</v>
          </cell>
          <cell r="M10" t="str">
            <v>-</v>
          </cell>
          <cell r="N10">
            <v>-0.29770992366412219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311</v>
          </cell>
          <cell r="I11" t="str">
            <v>-</v>
          </cell>
          <cell r="M11" t="str">
            <v>-</v>
          </cell>
          <cell r="N11">
            <v>0.16917293233082709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424</v>
          </cell>
          <cell r="I12" t="str">
            <v>-</v>
          </cell>
          <cell r="M12" t="str">
            <v>-</v>
          </cell>
          <cell r="N12">
            <v>-0.21189591078066916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264</v>
          </cell>
          <cell r="I13" t="str">
            <v>-</v>
          </cell>
          <cell r="M13" t="str">
            <v>-</v>
          </cell>
          <cell r="N13">
            <v>-0.27272727272727271</v>
          </cell>
          <cell r="V13" t="e">
            <v>#VALUE!</v>
          </cell>
        </row>
      </sheetData>
      <sheetData sheetId="7">
        <row r="3">
          <cell r="A3" t="str">
            <v>全国</v>
          </cell>
          <cell r="G3">
            <v>0</v>
          </cell>
          <cell r="H3">
            <v>4647</v>
          </cell>
          <cell r="I3" t="str">
            <v>-</v>
          </cell>
          <cell r="M3" t="str">
            <v>-</v>
          </cell>
          <cell r="N3">
            <v>-0.30151811212986623</v>
          </cell>
        </row>
        <row r="4">
          <cell r="A4" t="str">
            <v>华东一区</v>
          </cell>
          <cell r="G4">
            <v>0</v>
          </cell>
          <cell r="H4">
            <v>338</v>
          </cell>
          <cell r="I4" t="str">
            <v>-</v>
          </cell>
          <cell r="M4" t="str">
            <v>-</v>
          </cell>
          <cell r="N4">
            <v>-0.42222222222222228</v>
          </cell>
          <cell r="V4" t="e">
            <v>#VALUE!</v>
          </cell>
        </row>
        <row r="5">
          <cell r="A5" t="str">
            <v>华东二区</v>
          </cell>
          <cell r="G5">
            <v>0</v>
          </cell>
          <cell r="H5">
            <v>444</v>
          </cell>
          <cell r="I5" t="str">
            <v>-</v>
          </cell>
          <cell r="M5" t="str">
            <v>-</v>
          </cell>
          <cell r="N5">
            <v>-0.45721271393643037</v>
          </cell>
          <cell r="V5" t="e">
            <v>#VALUE!</v>
          </cell>
        </row>
        <row r="6">
          <cell r="A6" t="str">
            <v>华东三区</v>
          </cell>
          <cell r="G6">
            <v>0</v>
          </cell>
          <cell r="H6">
            <v>940</v>
          </cell>
          <cell r="I6" t="str">
            <v>-</v>
          </cell>
          <cell r="M6" t="str">
            <v>-</v>
          </cell>
          <cell r="N6">
            <v>0.10588235294117654</v>
          </cell>
          <cell r="V6" t="e">
            <v>#VALUE!</v>
          </cell>
        </row>
        <row r="7">
          <cell r="A7" t="str">
            <v>华南区</v>
          </cell>
          <cell r="G7">
            <v>0</v>
          </cell>
          <cell r="H7">
            <v>612</v>
          </cell>
          <cell r="I7" t="str">
            <v>-</v>
          </cell>
          <cell r="M7" t="str">
            <v>-</v>
          </cell>
          <cell r="N7">
            <v>-0.35100742311770938</v>
          </cell>
          <cell r="V7" t="e">
            <v>#VALUE!</v>
          </cell>
        </row>
        <row r="8">
          <cell r="A8" t="str">
            <v>华中一区</v>
          </cell>
          <cell r="G8">
            <v>0</v>
          </cell>
          <cell r="H8">
            <v>582</v>
          </cell>
          <cell r="I8" t="str">
            <v>-</v>
          </cell>
          <cell r="M8" t="str">
            <v>-</v>
          </cell>
          <cell r="N8">
            <v>1.9264448336252293E-2</v>
          </cell>
          <cell r="V8" t="e">
            <v>#VALUE!</v>
          </cell>
        </row>
        <row r="9">
          <cell r="A9" t="str">
            <v>华中二区</v>
          </cell>
          <cell r="G9">
            <v>0</v>
          </cell>
          <cell r="H9">
            <v>316</v>
          </cell>
          <cell r="I9" t="str">
            <v>-</v>
          </cell>
          <cell r="M9" t="str">
            <v>-</v>
          </cell>
          <cell r="N9">
            <v>-0.52906110283159458</v>
          </cell>
          <cell r="V9" t="e">
            <v>#VALUE!</v>
          </cell>
        </row>
        <row r="10">
          <cell r="A10" t="str">
            <v>西南区</v>
          </cell>
          <cell r="G10">
            <v>0</v>
          </cell>
          <cell r="H10">
            <v>356</v>
          </cell>
          <cell r="I10" t="str">
            <v>-</v>
          </cell>
          <cell r="M10" t="str">
            <v>-</v>
          </cell>
          <cell r="N10">
            <v>-0.38301559792027728</v>
          </cell>
          <cell r="V10" t="e">
            <v>#VALUE!</v>
          </cell>
        </row>
        <row r="11">
          <cell r="A11" t="str">
            <v>西北区</v>
          </cell>
          <cell r="G11">
            <v>0</v>
          </cell>
          <cell r="H11">
            <v>185</v>
          </cell>
          <cell r="I11" t="str">
            <v>-</v>
          </cell>
          <cell r="M11" t="str">
            <v>-</v>
          </cell>
          <cell r="N11">
            <v>-0.31985294117647056</v>
          </cell>
          <cell r="V11" t="e">
            <v>#VALUE!</v>
          </cell>
        </row>
        <row r="12">
          <cell r="A12" t="str">
            <v>华北区</v>
          </cell>
          <cell r="G12">
            <v>0</v>
          </cell>
          <cell r="H12">
            <v>513</v>
          </cell>
          <cell r="I12" t="str">
            <v>-</v>
          </cell>
          <cell r="M12" t="str">
            <v>-</v>
          </cell>
          <cell r="N12">
            <v>-0.40762124711316394</v>
          </cell>
          <cell r="V12" t="e">
            <v>#VALUE!</v>
          </cell>
        </row>
        <row r="13">
          <cell r="A13" t="str">
            <v>东北区</v>
          </cell>
          <cell r="G13">
            <v>0</v>
          </cell>
          <cell r="H13">
            <v>361</v>
          </cell>
          <cell r="I13" t="str">
            <v>-</v>
          </cell>
          <cell r="M13" t="str">
            <v>-</v>
          </cell>
          <cell r="N13">
            <v>-0.27800000000000002</v>
          </cell>
          <cell r="V13" t="e">
            <v>#VALUE!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  <cell r="G3">
            <v>0</v>
          </cell>
          <cell r="H3">
            <v>4025</v>
          </cell>
          <cell r="I3" t="str">
            <v>-</v>
          </cell>
          <cell r="M3">
            <v>-0.60211546065638588</v>
          </cell>
          <cell r="N3">
            <v>-0.49624530663329158</v>
          </cell>
        </row>
        <row r="4">
          <cell r="A4" t="str">
            <v>华东一区</v>
          </cell>
          <cell r="G4">
            <v>0</v>
          </cell>
          <cell r="H4">
            <v>272</v>
          </cell>
          <cell r="I4" t="str">
            <v>-</v>
          </cell>
          <cell r="M4">
            <v>-0.55628058727569329</v>
          </cell>
          <cell r="N4">
            <v>-0.45490981963927857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377</v>
          </cell>
          <cell r="I5" t="str">
            <v>-</v>
          </cell>
          <cell r="M5">
            <v>-0.49800266311584551</v>
          </cell>
          <cell r="N5">
            <v>-0.40816326530612246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683</v>
          </cell>
          <cell r="I6" t="str">
            <v>-</v>
          </cell>
          <cell r="M6">
            <v>-0.47862595419847331</v>
          </cell>
          <cell r="N6">
            <v>-0.66568771414586392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449</v>
          </cell>
          <cell r="I7" t="str">
            <v>-</v>
          </cell>
          <cell r="M7">
            <v>-0.6396468699839486</v>
          </cell>
          <cell r="N7">
            <v>-0.42139175257731953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415</v>
          </cell>
          <cell r="I8" t="str">
            <v>-</v>
          </cell>
          <cell r="M8">
            <v>-0.64529914529914523</v>
          </cell>
          <cell r="N8">
            <v>-0.34231378763866882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400</v>
          </cell>
          <cell r="I9" t="str">
            <v>-</v>
          </cell>
          <cell r="M9">
            <v>-0.59432048681541583</v>
          </cell>
          <cell r="N9">
            <v>-0.55555555555555558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214</v>
          </cell>
          <cell r="I10" t="str">
            <v>-</v>
          </cell>
          <cell r="M10">
            <v>-0.58203125</v>
          </cell>
          <cell r="N10">
            <v>-0.51141552511415522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197</v>
          </cell>
          <cell r="I11" t="str">
            <v>-</v>
          </cell>
          <cell r="M11">
            <v>-0.56124721603563477</v>
          </cell>
          <cell r="N11">
            <v>-0.45879120879120883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581</v>
          </cell>
          <cell r="I12" t="str">
            <v>-</v>
          </cell>
          <cell r="M12">
            <v>-0.62636655948553055</v>
          </cell>
          <cell r="N12">
            <v>-0.34498308906426156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437</v>
          </cell>
          <cell r="I13" t="str">
            <v>-</v>
          </cell>
          <cell r="M13">
            <v>-0.71325459317585294</v>
          </cell>
          <cell r="N13">
            <v>-0.46380368098159508</v>
          </cell>
          <cell r="AF13" t="e">
            <v>#VALUE!</v>
          </cell>
        </row>
      </sheetData>
      <sheetData sheetId="15">
        <row r="3">
          <cell r="A3" t="str">
            <v>全国</v>
          </cell>
          <cell r="G3">
            <v>0</v>
          </cell>
          <cell r="H3">
            <v>2436</v>
          </cell>
          <cell r="I3" t="str">
            <v>-</v>
          </cell>
          <cell r="M3">
            <v>-0.65958636109558411</v>
          </cell>
          <cell r="N3">
            <v>-0.48661749209694416</v>
          </cell>
        </row>
        <row r="4">
          <cell r="A4" t="str">
            <v>华东一区</v>
          </cell>
          <cell r="G4">
            <v>0</v>
          </cell>
          <cell r="H4">
            <v>218</v>
          </cell>
          <cell r="I4" t="str">
            <v>-</v>
          </cell>
          <cell r="M4">
            <v>-0.50228310502283113</v>
          </cell>
          <cell r="N4">
            <v>-0.30573248407643316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188</v>
          </cell>
          <cell r="I5" t="str">
            <v>-</v>
          </cell>
          <cell r="M5">
            <v>-0.72949640287769779</v>
          </cell>
          <cell r="N5">
            <v>-0.59395248380129595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345</v>
          </cell>
          <cell r="I6" t="str">
            <v>-</v>
          </cell>
          <cell r="M6">
            <v>-0.45754716981132071</v>
          </cell>
          <cell r="N6">
            <v>-0.47488584474885842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552</v>
          </cell>
          <cell r="I7" t="str">
            <v>-</v>
          </cell>
          <cell r="M7">
            <v>-0.64660691421254801</v>
          </cell>
          <cell r="N7">
            <v>-0.40772532188841204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274</v>
          </cell>
          <cell r="I8" t="str">
            <v>-</v>
          </cell>
          <cell r="M8">
            <v>-0.59407407407407409</v>
          </cell>
          <cell r="N8">
            <v>-0.43035343035343032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335</v>
          </cell>
          <cell r="I9" t="str">
            <v>-</v>
          </cell>
          <cell r="M9">
            <v>-0.70920138888888884</v>
          </cell>
          <cell r="N9">
            <v>-0.5754119138149556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89</v>
          </cell>
          <cell r="I10" t="str">
            <v>-</v>
          </cell>
          <cell r="M10">
            <v>-0.760752688172043</v>
          </cell>
          <cell r="N10">
            <v>-0.54358974358974366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86</v>
          </cell>
          <cell r="I11" t="str">
            <v>-</v>
          </cell>
          <cell r="M11">
            <v>-0.69611307420494706</v>
          </cell>
          <cell r="N11">
            <v>-0.52486187845303867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193</v>
          </cell>
          <cell r="I12" t="str">
            <v>-</v>
          </cell>
          <cell r="M12">
            <v>-0.70307692307692315</v>
          </cell>
          <cell r="N12">
            <v>-0.55936073059360725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156</v>
          </cell>
          <cell r="I13" t="str">
            <v>-</v>
          </cell>
          <cell r="M13">
            <v>-0.77489177489177485</v>
          </cell>
          <cell r="N13">
            <v>-0.47118644067796611</v>
          </cell>
          <cell r="AF13" t="e">
            <v>#VALUE!</v>
          </cell>
        </row>
      </sheetData>
      <sheetData sheetId="16">
        <row r="3">
          <cell r="A3" t="str">
            <v>全国</v>
          </cell>
          <cell r="G3">
            <v>0</v>
          </cell>
          <cell r="H3">
            <v>937</v>
          </cell>
          <cell r="I3" t="str">
            <v>-</v>
          </cell>
          <cell r="M3">
            <v>-0.78295112346536944</v>
          </cell>
          <cell r="N3">
            <v>-0.3219971056439942</v>
          </cell>
        </row>
        <row r="4">
          <cell r="A4" t="str">
            <v>华东一区</v>
          </cell>
          <cell r="G4">
            <v>0</v>
          </cell>
          <cell r="H4">
            <v>79</v>
          </cell>
          <cell r="I4" t="str">
            <v>-</v>
          </cell>
          <cell r="M4">
            <v>-0.8058968058968059</v>
          </cell>
          <cell r="N4">
            <v>-0.37301587301587302</v>
          </cell>
        </row>
        <row r="5">
          <cell r="A5" t="str">
            <v>华东二区</v>
          </cell>
          <cell r="G5">
            <v>0</v>
          </cell>
          <cell r="H5">
            <v>84</v>
          </cell>
          <cell r="I5" t="str">
            <v>-</v>
          </cell>
          <cell r="M5">
            <v>-0.81333333333333335</v>
          </cell>
          <cell r="N5">
            <v>-0.30578512396694213</v>
          </cell>
        </row>
        <row r="6">
          <cell r="A6" t="str">
            <v>华东三区</v>
          </cell>
          <cell r="G6">
            <v>0</v>
          </cell>
          <cell r="H6">
            <v>162</v>
          </cell>
          <cell r="I6" t="str">
            <v>-</v>
          </cell>
          <cell r="M6">
            <v>-0.69318181818181812</v>
          </cell>
          <cell r="N6">
            <v>-0.2429906542056075</v>
          </cell>
        </row>
        <row r="7">
          <cell r="A7" t="str">
            <v>华南区</v>
          </cell>
          <cell r="G7">
            <v>0</v>
          </cell>
          <cell r="H7">
            <v>124</v>
          </cell>
          <cell r="I7" t="str">
            <v>-</v>
          </cell>
          <cell r="M7">
            <v>-0.83422459893048129</v>
          </cell>
          <cell r="N7">
            <v>-0.35416666666666663</v>
          </cell>
        </row>
        <row r="8">
          <cell r="A8" t="str">
            <v>华中一区</v>
          </cell>
          <cell r="G8">
            <v>0</v>
          </cell>
          <cell r="H8">
            <v>118</v>
          </cell>
          <cell r="I8" t="str">
            <v>-</v>
          </cell>
          <cell r="M8">
            <v>-0.70646766169154229</v>
          </cell>
          <cell r="N8">
            <v>-0.39795918367346939</v>
          </cell>
        </row>
        <row r="9">
          <cell r="A9" t="str">
            <v>华中二区</v>
          </cell>
          <cell r="G9">
            <v>0</v>
          </cell>
          <cell r="H9">
            <v>91</v>
          </cell>
          <cell r="I9" t="str">
            <v>-</v>
          </cell>
          <cell r="M9">
            <v>-0.82051282051282048</v>
          </cell>
          <cell r="N9">
            <v>-0.44848484848484849</v>
          </cell>
        </row>
        <row r="10">
          <cell r="A10" t="str">
            <v>西南区</v>
          </cell>
          <cell r="G10">
            <v>0</v>
          </cell>
          <cell r="H10">
            <v>78</v>
          </cell>
          <cell r="I10" t="str">
            <v>-</v>
          </cell>
          <cell r="M10">
            <v>-0.69169960474308301</v>
          </cell>
          <cell r="N10">
            <v>-9.3023255813953543E-2</v>
          </cell>
        </row>
        <row r="11">
          <cell r="A11" t="str">
            <v>西北区</v>
          </cell>
          <cell r="G11">
            <v>0</v>
          </cell>
          <cell r="H11">
            <v>47</v>
          </cell>
          <cell r="I11" t="str">
            <v>-</v>
          </cell>
          <cell r="M11">
            <v>-0.58771929824561409</v>
          </cell>
          <cell r="N11">
            <v>-7.8431372549019662E-2</v>
          </cell>
        </row>
        <row r="12">
          <cell r="A12" t="str">
            <v>华北区</v>
          </cell>
          <cell r="G12">
            <v>0</v>
          </cell>
          <cell r="H12">
            <v>113</v>
          </cell>
          <cell r="I12" t="str">
            <v>-</v>
          </cell>
          <cell r="M12">
            <v>-0.8475033738191633</v>
          </cell>
          <cell r="N12">
            <v>-0.25657894736842102</v>
          </cell>
        </row>
        <row r="13">
          <cell r="A13" t="str">
            <v>东北区</v>
          </cell>
          <cell r="G13">
            <v>0</v>
          </cell>
          <cell r="H13">
            <v>41</v>
          </cell>
          <cell r="I13" t="str">
            <v>-</v>
          </cell>
          <cell r="M13">
            <v>-0.75449101796407181</v>
          </cell>
          <cell r="N13">
            <v>-0.48101265822784811</v>
          </cell>
        </row>
      </sheetData>
      <sheetData sheetId="17">
        <row r="3">
          <cell r="A3" t="str">
            <v>全国</v>
          </cell>
          <cell r="G3">
            <v>0</v>
          </cell>
          <cell r="H3">
            <v>1963</v>
          </cell>
          <cell r="I3" t="str">
            <v>-</v>
          </cell>
          <cell r="M3">
            <v>-0.67179401437886643</v>
          </cell>
          <cell r="N3">
            <v>-0.42952630049404239</v>
          </cell>
        </row>
        <row r="4">
          <cell r="A4" t="str">
            <v>华东一区</v>
          </cell>
          <cell r="G4">
            <v>0</v>
          </cell>
          <cell r="H4">
            <v>157</v>
          </cell>
          <cell r="I4" t="str">
            <v>-</v>
          </cell>
          <cell r="M4">
            <v>-0.58465608465608465</v>
          </cell>
          <cell r="N4">
            <v>-0.27649769585253459</v>
          </cell>
          <cell r="AM4" t="e">
            <v>#VALUE!</v>
          </cell>
        </row>
        <row r="5">
          <cell r="A5" t="str">
            <v>华东二区</v>
          </cell>
          <cell r="G5">
            <v>0</v>
          </cell>
          <cell r="H5">
            <v>142</v>
          </cell>
          <cell r="I5" t="str">
            <v>-</v>
          </cell>
          <cell r="M5">
            <v>-0.65196078431372551</v>
          </cell>
          <cell r="N5">
            <v>-0.42971887550200805</v>
          </cell>
          <cell r="AM5" t="e">
            <v>#VALUE!</v>
          </cell>
        </row>
        <row r="6">
          <cell r="A6" t="str">
            <v>华东三区</v>
          </cell>
          <cell r="G6">
            <v>0</v>
          </cell>
          <cell r="H6">
            <v>205</v>
          </cell>
          <cell r="I6" t="str">
            <v>-</v>
          </cell>
          <cell r="M6">
            <v>-0.60952380952380958</v>
          </cell>
          <cell r="N6">
            <v>-0.60348162475822043</v>
          </cell>
          <cell r="AM6" t="e">
            <v>#VALUE!</v>
          </cell>
        </row>
        <row r="7">
          <cell r="A7" t="str">
            <v>华南区</v>
          </cell>
          <cell r="G7">
            <v>0</v>
          </cell>
          <cell r="H7">
            <v>216</v>
          </cell>
          <cell r="I7" t="str">
            <v>-</v>
          </cell>
          <cell r="M7">
            <v>-0.70652173913043481</v>
          </cell>
          <cell r="N7">
            <v>-0.45038167938931295</v>
          </cell>
          <cell r="AM7" t="e">
            <v>#VALUE!</v>
          </cell>
        </row>
        <row r="8">
          <cell r="A8" t="str">
            <v>华中一区</v>
          </cell>
          <cell r="G8">
            <v>0</v>
          </cell>
          <cell r="H8">
            <v>160</v>
          </cell>
          <cell r="I8" t="str">
            <v>-</v>
          </cell>
          <cell r="M8">
            <v>-0.74068071312803885</v>
          </cell>
          <cell r="N8">
            <v>-0.39393939393939392</v>
          </cell>
          <cell r="AM8" t="e">
            <v>#VALUE!</v>
          </cell>
        </row>
        <row r="9">
          <cell r="A9" t="str">
            <v>华中二区</v>
          </cell>
          <cell r="G9">
            <v>0</v>
          </cell>
          <cell r="H9">
            <v>202</v>
          </cell>
          <cell r="I9" t="str">
            <v>-</v>
          </cell>
          <cell r="M9">
            <v>-0.63864042933810383</v>
          </cell>
          <cell r="N9">
            <v>-0.40412979351032452</v>
          </cell>
          <cell r="AM9" t="e">
            <v>#VALUE!</v>
          </cell>
        </row>
        <row r="10">
          <cell r="A10" t="str">
            <v>西南区</v>
          </cell>
          <cell r="G10">
            <v>0</v>
          </cell>
          <cell r="H10">
            <v>153</v>
          </cell>
          <cell r="I10" t="str">
            <v>-</v>
          </cell>
          <cell r="M10">
            <v>-0.65924276169265039</v>
          </cell>
          <cell r="N10">
            <v>-0.43333333333333335</v>
          </cell>
          <cell r="AM10" t="e">
            <v>#VALUE!</v>
          </cell>
        </row>
        <row r="11">
          <cell r="A11" t="str">
            <v>西北区</v>
          </cell>
          <cell r="G11">
            <v>0</v>
          </cell>
          <cell r="H11">
            <v>189</v>
          </cell>
          <cell r="I11" t="str">
            <v>-</v>
          </cell>
          <cell r="M11">
            <v>-0.69016393442622959</v>
          </cell>
          <cell r="N11">
            <v>-0.51662404092071612</v>
          </cell>
          <cell r="AM11" t="e">
            <v>#VALUE!</v>
          </cell>
        </row>
        <row r="12">
          <cell r="A12" t="str">
            <v>华北区</v>
          </cell>
          <cell r="G12">
            <v>0</v>
          </cell>
          <cell r="H12">
            <v>255</v>
          </cell>
          <cell r="I12" t="str">
            <v>-</v>
          </cell>
          <cell r="M12">
            <v>-0.68045112781954886</v>
          </cell>
          <cell r="N12">
            <v>-0.34278350515463918</v>
          </cell>
          <cell r="AM12" t="e">
            <v>#VALUE!</v>
          </cell>
        </row>
        <row r="13">
          <cell r="A13" t="str">
            <v>东北区</v>
          </cell>
          <cell r="G13">
            <v>0</v>
          </cell>
          <cell r="H13">
            <v>284</v>
          </cell>
          <cell r="I13" t="str">
            <v>-</v>
          </cell>
          <cell r="M13">
            <v>-0.68479467258601556</v>
          </cell>
          <cell r="N13">
            <v>-0.31234866828087171</v>
          </cell>
          <cell r="AM13" t="e">
            <v>#VALUE!</v>
          </cell>
        </row>
      </sheetData>
      <sheetData sheetId="18">
        <row r="3">
          <cell r="A3" t="str">
            <v>全国</v>
          </cell>
          <cell r="G3">
            <v>0</v>
          </cell>
          <cell r="H3">
            <v>82</v>
          </cell>
          <cell r="I3" t="str">
            <v>-</v>
          </cell>
          <cell r="M3">
            <v>-0.875</v>
          </cell>
          <cell r="N3">
            <v>-0.36923076923076925</v>
          </cell>
        </row>
        <row r="4">
          <cell r="A4" t="str">
            <v>华东一区</v>
          </cell>
          <cell r="G4">
            <v>0</v>
          </cell>
          <cell r="H4">
            <v>20</v>
          </cell>
          <cell r="I4" t="str">
            <v>-</v>
          </cell>
          <cell r="M4">
            <v>-0.75609756097560976</v>
          </cell>
          <cell r="N4">
            <v>-0.2857142857142857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12</v>
          </cell>
          <cell r="I5" t="str">
            <v>-</v>
          </cell>
          <cell r="M5">
            <v>-0.82608695652173914</v>
          </cell>
          <cell r="N5">
            <v>-0.5862068965517242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11</v>
          </cell>
          <cell r="I6" t="str">
            <v>-</v>
          </cell>
          <cell r="M6">
            <v>-0.91129032258064513</v>
          </cell>
          <cell r="N6">
            <v>-0.56000000000000005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6</v>
          </cell>
          <cell r="I7" t="str">
            <v>-</v>
          </cell>
          <cell r="M7">
            <v>-0.72727272727272729</v>
          </cell>
          <cell r="N7">
            <v>1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10</v>
          </cell>
          <cell r="I8" t="str">
            <v>-</v>
          </cell>
          <cell r="M8">
            <v>-0.95475113122171951</v>
          </cell>
          <cell r="N8">
            <v>-0.375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0</v>
          </cell>
          <cell r="I9" t="str">
            <v>-</v>
          </cell>
          <cell r="M9">
            <v>-1</v>
          </cell>
          <cell r="N9">
            <v>-1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1</v>
          </cell>
          <cell r="I10" t="str">
            <v>-</v>
          </cell>
          <cell r="M10">
            <v>-0.91666666666666663</v>
          </cell>
          <cell r="N10">
            <v>0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0</v>
          </cell>
          <cell r="I11" t="str">
            <v>-</v>
          </cell>
          <cell r="M11">
            <v>-1</v>
          </cell>
          <cell r="N11">
            <v>-1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20</v>
          </cell>
          <cell r="I12" t="str">
            <v>-</v>
          </cell>
          <cell r="M12">
            <v>-0.73333333333333339</v>
          </cell>
          <cell r="N12">
            <v>-0.13043478260869568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</v>
          </cell>
          <cell r="I13" t="str">
            <v>-</v>
          </cell>
          <cell r="M13">
            <v>-0.91304347826086962</v>
          </cell>
          <cell r="N13">
            <v>1</v>
          </cell>
          <cell r="AF13" t="e">
            <v>#VALUE!</v>
          </cell>
        </row>
      </sheetData>
      <sheetData sheetId="19">
        <row r="3">
          <cell r="A3" t="str">
            <v>全国</v>
          </cell>
          <cell r="G3">
            <v>0</v>
          </cell>
          <cell r="H3">
            <v>1956</v>
          </cell>
          <cell r="I3" t="str">
            <v>-</v>
          </cell>
          <cell r="M3">
            <v>-0.12989323843416367</v>
          </cell>
          <cell r="N3">
            <v>-0.36057535142203334</v>
          </cell>
        </row>
        <row r="4">
          <cell r="A4" t="str">
            <v>华东一区</v>
          </cell>
          <cell r="G4">
            <v>0</v>
          </cell>
          <cell r="H4">
            <v>103</v>
          </cell>
          <cell r="I4" t="str">
            <v>-</v>
          </cell>
          <cell r="M4">
            <v>9.8039215686274161E-3</v>
          </cell>
          <cell r="N4">
            <v>-0.39053254437869822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126</v>
          </cell>
          <cell r="I5" t="str">
            <v>-</v>
          </cell>
          <cell r="M5">
            <v>9.565217391304337E-2</v>
          </cell>
          <cell r="N5">
            <v>-0.21739130434782605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203</v>
          </cell>
          <cell r="I6" t="str">
            <v>-</v>
          </cell>
          <cell r="M6">
            <v>-0.11739130434782608</v>
          </cell>
          <cell r="N6">
            <v>-0.38855421686746983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187</v>
          </cell>
          <cell r="I7" t="str">
            <v>-</v>
          </cell>
          <cell r="M7">
            <v>8.092485549132955E-2</v>
          </cell>
          <cell r="N7">
            <v>-0.38688524590163931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174</v>
          </cell>
          <cell r="I8" t="str">
            <v>-</v>
          </cell>
          <cell r="M8">
            <v>-0.36263736263736268</v>
          </cell>
          <cell r="N8">
            <v>-0.42950819672131146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152</v>
          </cell>
          <cell r="I9" t="str">
            <v>-</v>
          </cell>
          <cell r="M9">
            <v>-7.878787878787874E-2</v>
          </cell>
          <cell r="N9">
            <v>-0.40157480314960625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189</v>
          </cell>
          <cell r="I10" t="str">
            <v>-</v>
          </cell>
          <cell r="M10">
            <v>1.0695187165775444E-2</v>
          </cell>
          <cell r="N10">
            <v>-0.33215547703180215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254</v>
          </cell>
          <cell r="I11" t="str">
            <v>-</v>
          </cell>
          <cell r="M11">
            <v>-0.19365079365079363</v>
          </cell>
          <cell r="N11">
            <v>-0.30027548209366395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311</v>
          </cell>
          <cell r="I12" t="str">
            <v>-</v>
          </cell>
          <cell r="M12">
            <v>1.3029315960912058E-2</v>
          </cell>
          <cell r="N12">
            <v>-0.2963800904977375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257</v>
          </cell>
          <cell r="I13" t="str">
            <v>-</v>
          </cell>
          <cell r="M13">
            <v>-0.32545931758530189</v>
          </cell>
          <cell r="N13">
            <v>-0.42247191011235952</v>
          </cell>
          <cell r="AF13" t="e">
            <v>#VALUE!</v>
          </cell>
        </row>
      </sheetData>
      <sheetData sheetId="20">
        <row r="3">
          <cell r="A3" t="str">
            <v>全国</v>
          </cell>
          <cell r="G3">
            <v>0</v>
          </cell>
          <cell r="H3">
            <v>398</v>
          </cell>
          <cell r="I3" t="str">
            <v>-</v>
          </cell>
          <cell r="M3">
            <v>-0.81199811053377424</v>
          </cell>
          <cell r="N3">
            <v>-0.1440860215053763</v>
          </cell>
        </row>
        <row r="4">
          <cell r="A4" t="str">
            <v>华东一区</v>
          </cell>
          <cell r="G4">
            <v>0</v>
          </cell>
          <cell r="H4">
            <v>22</v>
          </cell>
          <cell r="I4" t="str">
            <v>-</v>
          </cell>
          <cell r="M4">
            <v>-0.83582089552238803</v>
          </cell>
          <cell r="N4">
            <v>0.15789473684210531</v>
          </cell>
          <cell r="AF4" t="e">
            <v>#VALUE!</v>
          </cell>
        </row>
        <row r="5">
          <cell r="A5" t="str">
            <v>华东二区</v>
          </cell>
          <cell r="G5">
            <v>0</v>
          </cell>
          <cell r="H5">
            <v>28</v>
          </cell>
          <cell r="I5" t="str">
            <v>-</v>
          </cell>
          <cell r="M5">
            <v>-0.82051282051282048</v>
          </cell>
          <cell r="N5">
            <v>-0.125</v>
          </cell>
          <cell r="AF5" t="e">
            <v>#VALUE!</v>
          </cell>
        </row>
        <row r="6">
          <cell r="A6" t="str">
            <v>华东三区</v>
          </cell>
          <cell r="G6">
            <v>0</v>
          </cell>
          <cell r="H6">
            <v>50</v>
          </cell>
          <cell r="I6" t="str">
            <v>-</v>
          </cell>
          <cell r="M6">
            <v>-0.77973568281938332</v>
          </cell>
          <cell r="N6">
            <v>0.21951219512195119</v>
          </cell>
          <cell r="AF6" t="e">
            <v>#VALUE!</v>
          </cell>
        </row>
        <row r="7">
          <cell r="A7" t="str">
            <v>华南区</v>
          </cell>
          <cell r="G7">
            <v>0</v>
          </cell>
          <cell r="H7">
            <v>31</v>
          </cell>
          <cell r="I7" t="str">
            <v>-</v>
          </cell>
          <cell r="M7">
            <v>-0.87747035573122534</v>
          </cell>
          <cell r="N7">
            <v>-0.31111111111111112</v>
          </cell>
          <cell r="AF7" t="e">
            <v>#VALUE!</v>
          </cell>
        </row>
        <row r="8">
          <cell r="A8" t="str">
            <v>华中一区</v>
          </cell>
          <cell r="G8">
            <v>0</v>
          </cell>
          <cell r="H8">
            <v>43</v>
          </cell>
          <cell r="I8" t="str">
            <v>-</v>
          </cell>
          <cell r="M8">
            <v>-0.76111111111111107</v>
          </cell>
          <cell r="N8">
            <v>0.22857142857142865</v>
          </cell>
          <cell r="AF8" t="e">
            <v>#VALUE!</v>
          </cell>
        </row>
        <row r="9">
          <cell r="A9" t="str">
            <v>华中二区</v>
          </cell>
          <cell r="G9">
            <v>0</v>
          </cell>
          <cell r="H9">
            <v>21</v>
          </cell>
          <cell r="I9" t="str">
            <v>-</v>
          </cell>
          <cell r="M9">
            <v>-0.86451612903225805</v>
          </cell>
          <cell r="N9">
            <v>-0.19230769230769229</v>
          </cell>
          <cell r="AF9" t="e">
            <v>#VALUE!</v>
          </cell>
        </row>
        <row r="10">
          <cell r="A10" t="str">
            <v>西南区</v>
          </cell>
          <cell r="G10">
            <v>0</v>
          </cell>
          <cell r="H10">
            <v>54</v>
          </cell>
          <cell r="I10" t="str">
            <v>-</v>
          </cell>
          <cell r="M10">
            <v>-0.76824034334763946</v>
          </cell>
          <cell r="N10">
            <v>0.2558139534883721</v>
          </cell>
          <cell r="AF10" t="e">
            <v>#VALUE!</v>
          </cell>
        </row>
        <row r="11">
          <cell r="A11" t="str">
            <v>西北区</v>
          </cell>
          <cell r="G11">
            <v>0</v>
          </cell>
          <cell r="H11">
            <v>55</v>
          </cell>
          <cell r="I11" t="str">
            <v>-</v>
          </cell>
          <cell r="M11">
            <v>-0.7441860465116279</v>
          </cell>
          <cell r="N11">
            <v>-0.12698412698412698</v>
          </cell>
          <cell r="AF11" t="e">
            <v>#VALUE!</v>
          </cell>
        </row>
        <row r="12">
          <cell r="A12" t="str">
            <v>华北区</v>
          </cell>
          <cell r="G12">
            <v>0</v>
          </cell>
          <cell r="H12">
            <v>65</v>
          </cell>
          <cell r="I12" t="str">
            <v>-</v>
          </cell>
          <cell r="M12">
            <v>-0.82573726541554959</v>
          </cell>
          <cell r="N12">
            <v>-0.375</v>
          </cell>
          <cell r="AF12" t="e">
            <v>#VALUE!</v>
          </cell>
        </row>
        <row r="13">
          <cell r="A13" t="str">
            <v>东北区</v>
          </cell>
          <cell r="G13">
            <v>0</v>
          </cell>
          <cell r="H13">
            <v>29</v>
          </cell>
          <cell r="I13" t="str">
            <v>-</v>
          </cell>
          <cell r="M13">
            <v>-0.84816753926701571</v>
          </cell>
          <cell r="N13">
            <v>-0.49122807017543857</v>
          </cell>
          <cell r="AF13" t="e">
            <v>#VALUE!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  <cell r="AC2">
            <v>12336</v>
          </cell>
        </row>
        <row r="3">
          <cell r="AB3">
            <v>14060</v>
          </cell>
          <cell r="AC3">
            <v>8930</v>
          </cell>
        </row>
        <row r="4">
          <cell r="AB4">
            <v>1803</v>
          </cell>
          <cell r="AC4">
            <v>1239</v>
          </cell>
        </row>
        <row r="5">
          <cell r="AB5">
            <v>32920</v>
          </cell>
          <cell r="AC5">
            <v>22505</v>
          </cell>
        </row>
        <row r="33">
          <cell r="AH33">
            <v>19220</v>
          </cell>
          <cell r="AK33">
            <v>32500</v>
          </cell>
          <cell r="AL33">
            <v>-2.953208516229211E-2</v>
          </cell>
          <cell r="AM33">
            <v>-8.60260412272561E-2</v>
          </cell>
          <cell r="AS33">
            <v>0.47234564118277933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  <row r="56">
          <cell r="I56" t="e">
            <v>#N/A</v>
          </cell>
        </row>
        <row r="57">
          <cell r="I57" t="e">
            <v>#N/A</v>
          </cell>
        </row>
        <row r="58">
          <cell r="I58" t="e">
            <v>#N/A</v>
          </cell>
        </row>
        <row r="59">
          <cell r="I59" t="e">
            <v>#N/A</v>
          </cell>
        </row>
        <row r="60">
          <cell r="I60" t="e">
            <v>#N/A</v>
          </cell>
        </row>
        <row r="61">
          <cell r="I61" t="e">
            <v>#N/A</v>
          </cell>
        </row>
        <row r="62">
          <cell r="I62" t="e">
            <v>#N/A</v>
          </cell>
        </row>
        <row r="63">
          <cell r="I63" t="e">
            <v>#N/A</v>
          </cell>
        </row>
        <row r="64">
          <cell r="I64" t="e">
            <v>#N/A</v>
          </cell>
        </row>
      </sheetData>
      <sheetData sheetId="47">
        <row r="4">
          <cell r="C4">
            <v>7515</v>
          </cell>
        </row>
        <row r="5">
          <cell r="C5">
            <v>4948</v>
          </cell>
        </row>
        <row r="6">
          <cell r="C6">
            <v>817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zoomScale="70" zoomScaleNormal="70" workbookViewId="0">
      <selection activeCell="G2" sqref="G2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ht="33.950000000000003" customHeight="1"/>
    <row r="2" ht="29.1" customHeight="1"/>
    <row r="29" spans="2:33">
      <c r="C29" s="153"/>
      <c r="D29" s="153"/>
      <c r="E29" s="153"/>
      <c r="F29" s="153"/>
      <c r="Q29" s="154"/>
      <c r="R29" s="154"/>
      <c r="S29" s="154"/>
      <c r="T29" s="154"/>
      <c r="U29" s="154"/>
      <c r="V29" s="154"/>
      <c r="W29" s="154"/>
      <c r="X29" s="154"/>
      <c r="Y29" s="154"/>
    </row>
    <row r="30" spans="2:33">
      <c r="B30" s="132" t="s">
        <v>16</v>
      </c>
      <c r="C30" s="133">
        <f>[1]来店简报!B32</f>
        <v>46113</v>
      </c>
      <c r="D30" s="133">
        <f>[1]来店简报!C32</f>
        <v>46114</v>
      </c>
      <c r="E30" s="133">
        <f>[1]来店简报!D32</f>
        <v>46115</v>
      </c>
      <c r="F30" s="133">
        <f>[1]来店简报!E32</f>
        <v>46116</v>
      </c>
      <c r="G30" s="134">
        <f>[1]来店简报!F32</f>
        <v>46117</v>
      </c>
      <c r="H30" s="134">
        <f>[1]来店简报!G32</f>
        <v>46118</v>
      </c>
      <c r="I30" s="134">
        <f>[1]来店简报!H32</f>
        <v>46119</v>
      </c>
      <c r="J30" s="134">
        <f>[1]来店简报!I32</f>
        <v>46120</v>
      </c>
      <c r="K30" s="134">
        <f>[1]来店简报!J32</f>
        <v>46121</v>
      </c>
      <c r="L30" s="134">
        <f>[1]来店简报!K32</f>
        <v>46122</v>
      </c>
      <c r="M30" s="134">
        <f>[1]来店简报!L32</f>
        <v>46123</v>
      </c>
      <c r="N30" s="134">
        <f>[1]来店简报!M32</f>
        <v>46124</v>
      </c>
      <c r="O30" s="134">
        <f>[1]来店简报!N32</f>
        <v>46125</v>
      </c>
      <c r="P30" s="134">
        <f>[1]来店简报!O32</f>
        <v>46126</v>
      </c>
      <c r="Q30" s="133">
        <f>[1]来店简报!P32</f>
        <v>46127</v>
      </c>
      <c r="R30" s="133">
        <f>[1]来店简报!Q32</f>
        <v>46128</v>
      </c>
      <c r="S30" s="133">
        <f>[1]来店简报!R32</f>
        <v>46129</v>
      </c>
      <c r="T30" s="133">
        <f>[1]来店简报!S32</f>
        <v>46130</v>
      </c>
      <c r="U30" s="133">
        <f>[1]来店简报!T32</f>
        <v>46131</v>
      </c>
      <c r="V30" s="133">
        <f>[1]来店简报!U32</f>
        <v>46132</v>
      </c>
      <c r="W30" s="133">
        <f>[1]来店简报!V32</f>
        <v>46133</v>
      </c>
      <c r="X30" s="133">
        <f>[1]来店简报!W32</f>
        <v>46134</v>
      </c>
      <c r="Y30" s="133">
        <f>[1]来店简报!X32</f>
        <v>46135</v>
      </c>
      <c r="Z30" s="134">
        <f>[1]来店简报!Y32</f>
        <v>46136</v>
      </c>
      <c r="AA30" s="134">
        <f>[1]来店简报!Z32</f>
        <v>46137</v>
      </c>
      <c r="AB30" s="134">
        <f>[1]来店简报!AA32</f>
        <v>46138</v>
      </c>
      <c r="AC30" s="134">
        <f>[1]来店简报!AB32</f>
        <v>46139</v>
      </c>
      <c r="AD30" s="133">
        <f>[1]来店简报!AC32</f>
        <v>46140</v>
      </c>
      <c r="AE30" s="133">
        <f>[1]来店简报!AD32</f>
        <v>46141</v>
      </c>
      <c r="AF30" s="133">
        <f>[1]来店简报!AE32</f>
        <v>46142</v>
      </c>
      <c r="AG30" s="5"/>
    </row>
    <row r="31" spans="2:33" ht="15.95" customHeight="1">
      <c r="B31" s="30" t="str">
        <f>[1]来店简报!A38</f>
        <v>同期来店</v>
      </c>
      <c r="C31" s="135">
        <f>[1]来店简报!B38</f>
        <v>2472</v>
      </c>
      <c r="D31" s="135">
        <f>[1]来店简报!C38</f>
        <v>2641</v>
      </c>
      <c r="E31" s="135">
        <f>[1]来店简报!D38</f>
        <v>2767</v>
      </c>
      <c r="F31" s="135">
        <f>[1]来店简报!E38</f>
        <v>4995</v>
      </c>
      <c r="G31" s="136">
        <f>[1]来店简报!F38</f>
        <v>5344</v>
      </c>
      <c r="H31" s="136">
        <f>[1]来店简报!G38</f>
        <v>4731</v>
      </c>
      <c r="I31" s="135">
        <f>[1]来店简报!H38</f>
        <v>3124</v>
      </c>
      <c r="J31" s="135">
        <f>[1]来店简报!I38</f>
        <v>3931</v>
      </c>
      <c r="K31" s="135">
        <f>[1]来店简报!J38</f>
        <v>3484</v>
      </c>
      <c r="L31" s="135">
        <f>[1]来店简报!K38</f>
        <v>3464</v>
      </c>
      <c r="M31" s="135">
        <f>[1]来店简报!L38</f>
        <v>3733</v>
      </c>
      <c r="N31" s="136">
        <f>[1]来店简报!M38</f>
        <v>4618</v>
      </c>
      <c r="O31" s="136">
        <f>[1]来店简报!N38</f>
        <v>5569</v>
      </c>
      <c r="P31" s="135">
        <f>[1]来店简报!O38</f>
        <v>4334</v>
      </c>
      <c r="Q31" s="135">
        <f>[1]来店简报!P38</f>
        <v>3017</v>
      </c>
      <c r="R31" s="135">
        <f>[1]来店简报!Q38</f>
        <v>3077</v>
      </c>
      <c r="S31" s="135">
        <f>[1]来店简报!R38</f>
        <v>3082</v>
      </c>
      <c r="T31" s="135">
        <f>[1]来店简报!S38</f>
        <v>3199</v>
      </c>
      <c r="U31" s="136">
        <f>[1]来店简报!T38</f>
        <v>5577</v>
      </c>
      <c r="V31" s="136">
        <f>[1]来店简报!U38</f>
        <v>5938</v>
      </c>
      <c r="W31" s="135">
        <f>[1]来店简报!V38</f>
        <v>4265</v>
      </c>
      <c r="X31" s="135">
        <f>[1]来店简报!W38</f>
        <v>3703</v>
      </c>
      <c r="Y31" s="135">
        <f>[1]来店简报!X38</f>
        <v>4174</v>
      </c>
      <c r="Z31" s="135">
        <f>[1]来店简报!Y38</f>
        <v>4145</v>
      </c>
      <c r="AA31" s="135">
        <f>[1]来店简报!Z38</f>
        <v>4652</v>
      </c>
      <c r="AB31" s="136">
        <f>[1]来店简报!AA38</f>
        <v>5565</v>
      </c>
      <c r="AC31" s="136">
        <f>[1]来店简报!AB38</f>
        <v>5159</v>
      </c>
      <c r="AD31" s="135">
        <f>[1]来店简报!AC38</f>
        <v>5711</v>
      </c>
      <c r="AE31" s="135">
        <f>[1]来店简报!AD38</f>
        <v>7629</v>
      </c>
      <c r="AF31" s="135">
        <f>[1]来店简报!AE38</f>
        <v>7388</v>
      </c>
      <c r="AG31" s="5"/>
    </row>
    <row r="32" spans="2:33" ht="15.95" customHeight="1">
      <c r="B32" s="30" t="str">
        <f>[1]来店简报!A36</f>
        <v>本期目标</v>
      </c>
      <c r="C32" s="137" t="s">
        <v>88</v>
      </c>
      <c r="D32" s="137" t="s">
        <v>88</v>
      </c>
      <c r="E32" s="137" t="s">
        <v>88</v>
      </c>
      <c r="F32" s="138" t="s">
        <v>88</v>
      </c>
      <c r="G32" s="138" t="s">
        <v>88</v>
      </c>
      <c r="H32" s="138" t="s">
        <v>88</v>
      </c>
      <c r="I32" s="137" t="s">
        <v>88</v>
      </c>
      <c r="J32" s="137" t="s">
        <v>88</v>
      </c>
      <c r="K32" s="137" t="s">
        <v>88</v>
      </c>
      <c r="L32" s="137" t="s">
        <v>88</v>
      </c>
      <c r="M32" s="138" t="s">
        <v>88</v>
      </c>
      <c r="N32" s="138" t="s">
        <v>88</v>
      </c>
      <c r="O32" s="137" t="s">
        <v>88</v>
      </c>
      <c r="P32" s="137" t="s">
        <v>88</v>
      </c>
      <c r="Q32" s="137" t="s">
        <v>88</v>
      </c>
      <c r="R32" s="137" t="s">
        <v>88</v>
      </c>
      <c r="S32" s="137" t="s">
        <v>88</v>
      </c>
      <c r="T32" s="138" t="s">
        <v>88</v>
      </c>
      <c r="U32" s="138" t="s">
        <v>88</v>
      </c>
      <c r="V32" s="137" t="s">
        <v>88</v>
      </c>
      <c r="W32" s="137" t="s">
        <v>88</v>
      </c>
      <c r="X32" s="137" t="s">
        <v>88</v>
      </c>
      <c r="Y32" s="137" t="s">
        <v>88</v>
      </c>
      <c r="Z32" s="137" t="s">
        <v>88</v>
      </c>
      <c r="AA32" s="138" t="s">
        <v>88</v>
      </c>
      <c r="AB32" s="138" t="s">
        <v>88</v>
      </c>
      <c r="AC32" s="137" t="s">
        <v>88</v>
      </c>
      <c r="AD32" s="137" t="s">
        <v>88</v>
      </c>
      <c r="AE32" s="137" t="s">
        <v>88</v>
      </c>
      <c r="AF32" s="137" t="s">
        <v>88</v>
      </c>
      <c r="AG32" s="5"/>
    </row>
    <row r="33" spans="2:33" ht="15.95" customHeight="1">
      <c r="B33" s="30" t="str">
        <f>[1]来店简报!A37</f>
        <v>本期来店</v>
      </c>
      <c r="C33" s="135">
        <f>IF([1]来店简报!B37&gt;0,[1]来店简报!B37,"")</f>
        <v>2474</v>
      </c>
      <c r="D33" s="135">
        <f>IF([1]来店简报!C37&gt;0,[1]来店简报!C37,"")</f>
        <v>2530</v>
      </c>
      <c r="E33" s="135">
        <f>IF([1]来店简报!D37&gt;0,[1]来店简报!D37,"")</f>
        <v>2690</v>
      </c>
      <c r="F33" s="136">
        <f>IF([1]来店简报!E37&gt;0,[1]来店简报!E37,"")</f>
        <v>4943</v>
      </c>
      <c r="G33" s="136">
        <f>IF([1]来店简报!F37&gt;0,[1]来店简报!F37,"")</f>
        <v>5108</v>
      </c>
      <c r="H33" s="136">
        <f>IF([1]来店简报!G37&gt;0,[1]来店简报!G37,"")</f>
        <v>4682</v>
      </c>
      <c r="I33" s="135">
        <f>IF([1]来店简报!H37&gt;0,[1]来店简报!H37,"")</f>
        <v>3172</v>
      </c>
      <c r="J33" s="135">
        <f>IF([1]来店简报!I37&gt;0,[1]来店简报!I37,"")</f>
        <v>3167</v>
      </c>
      <c r="K33" s="135">
        <f>IF([1]来店简报!J37&gt;0,[1]来店简报!J37,"")</f>
        <v>3734</v>
      </c>
      <c r="L33" s="135" t="str">
        <f>IF([1]来店简报!K37&gt;0,[1]来店简报!K37,"")</f>
        <v/>
      </c>
      <c r="M33" s="136" t="str">
        <f>IF([1]来店简报!L37&gt;0,[1]来店简报!L37,"")</f>
        <v/>
      </c>
      <c r="N33" s="136" t="str">
        <f>IF([1]来店简报!M37&gt;0,[1]来店简报!M37,"")</f>
        <v/>
      </c>
      <c r="O33" s="135" t="str">
        <f>IF([1]来店简报!N37&gt;0,[1]来店简报!N37,"")</f>
        <v/>
      </c>
      <c r="P33" s="135" t="str">
        <f>IF([1]来店简报!O37&gt;0,[1]来店简报!O37,"")</f>
        <v/>
      </c>
      <c r="Q33" s="135" t="str">
        <f>IF([1]来店简报!P37&gt;0,[1]来店简报!P37,"")</f>
        <v/>
      </c>
      <c r="R33" s="135" t="str">
        <f>IF([1]来店简报!Q37&gt;0,[1]来店简报!Q37,"")</f>
        <v/>
      </c>
      <c r="S33" s="135" t="str">
        <f>IF([1]来店简报!R37&gt;0,[1]来店简报!R37,"")</f>
        <v/>
      </c>
      <c r="T33" s="136" t="str">
        <f>IF([1]来店简报!S37&gt;0,[1]来店简报!S37,"")</f>
        <v/>
      </c>
      <c r="U33" s="136" t="str">
        <f>IF([1]来店简报!T37&gt;0,[1]来店简报!T37,"")</f>
        <v/>
      </c>
      <c r="V33" s="135" t="str">
        <f>IF([1]来店简报!U37&gt;0,[1]来店简报!U37,"")</f>
        <v/>
      </c>
      <c r="W33" s="135" t="str">
        <f>IF([1]来店简报!V37&gt;0,[1]来店简报!V37,"")</f>
        <v/>
      </c>
      <c r="X33" s="135" t="str">
        <f>IF([1]来店简报!W37&gt;0,[1]来店简报!W37,"")</f>
        <v/>
      </c>
      <c r="Y33" s="135" t="str">
        <f>IF([1]来店简报!X37&gt;0,[1]来店简报!X37,"")</f>
        <v/>
      </c>
      <c r="Z33" s="135" t="str">
        <f>IF([1]来店简报!Y37&gt;0,[1]来店简报!Y37,"")</f>
        <v/>
      </c>
      <c r="AA33" s="136" t="str">
        <f>IF([1]来店简报!Z37&gt;0,[1]来店简报!Z37,"")</f>
        <v/>
      </c>
      <c r="AB33" s="136" t="str">
        <f>IF([1]来店简报!AA37&gt;0,[1]来店简报!AA37,"")</f>
        <v/>
      </c>
      <c r="AC33" s="135" t="str">
        <f>IF([1]来店简报!AB37&gt;0,[1]来店简报!AB37,"")</f>
        <v/>
      </c>
      <c r="AD33" s="135" t="str">
        <f>IF([1]来店简报!AC37&gt;0,[1]来店简报!AC37,"")</f>
        <v/>
      </c>
      <c r="AE33" s="135" t="str">
        <f>IF([1]来店简报!AD37&gt;0,[1]来店简报!AD37,"")</f>
        <v/>
      </c>
      <c r="AF33" s="135" t="str">
        <f>IF([1]来店简报!AE37&gt;0,[1]来店简报!AE37,"")</f>
        <v/>
      </c>
      <c r="AG33" s="5"/>
    </row>
    <row r="34" spans="2:33" ht="15.95" customHeight="1">
      <c r="B34" s="30" t="s">
        <v>13</v>
      </c>
      <c r="C34" s="139">
        <f>IFERROR((C33-C31)/C31*100%,"")</f>
        <v>8.090614886731392E-4</v>
      </c>
      <c r="D34" s="139">
        <f t="shared" ref="D34:AF34" si="0">IFERROR((D33-D31)/D31*100%,"")</f>
        <v>-4.2029534267322984E-2</v>
      </c>
      <c r="E34" s="139">
        <f t="shared" si="0"/>
        <v>-2.7827972533429706E-2</v>
      </c>
      <c r="F34" s="139">
        <f t="shared" si="0"/>
        <v>-1.0410410410410411E-2</v>
      </c>
      <c r="G34" s="139">
        <f t="shared" si="0"/>
        <v>-4.4161676646706588E-2</v>
      </c>
      <c r="H34" s="139">
        <f t="shared" si="0"/>
        <v>-1.0357218347072501E-2</v>
      </c>
      <c r="I34" s="139">
        <f t="shared" si="0"/>
        <v>1.5364916773367477E-2</v>
      </c>
      <c r="J34" s="139">
        <f t="shared" si="0"/>
        <v>-0.19435258204019334</v>
      </c>
      <c r="K34" s="139">
        <f t="shared" si="0"/>
        <v>7.175660160734787E-2</v>
      </c>
      <c r="L34" s="139" t="str">
        <f t="shared" si="0"/>
        <v/>
      </c>
      <c r="M34" s="139" t="str">
        <f t="shared" si="0"/>
        <v/>
      </c>
      <c r="N34" s="139" t="str">
        <f t="shared" si="0"/>
        <v/>
      </c>
      <c r="O34" s="139" t="str">
        <f t="shared" si="0"/>
        <v/>
      </c>
      <c r="P34" s="139" t="str">
        <f t="shared" si="0"/>
        <v/>
      </c>
      <c r="Q34" s="139" t="str">
        <f t="shared" si="0"/>
        <v/>
      </c>
      <c r="R34" s="139" t="str">
        <f t="shared" si="0"/>
        <v/>
      </c>
      <c r="S34" s="139" t="str">
        <f t="shared" si="0"/>
        <v/>
      </c>
      <c r="T34" s="139" t="str">
        <f t="shared" si="0"/>
        <v/>
      </c>
      <c r="U34" s="139" t="str">
        <f t="shared" si="0"/>
        <v/>
      </c>
      <c r="V34" s="139" t="str">
        <f t="shared" si="0"/>
        <v/>
      </c>
      <c r="W34" s="139" t="str">
        <f t="shared" si="0"/>
        <v/>
      </c>
      <c r="X34" s="139" t="str">
        <f t="shared" si="0"/>
        <v/>
      </c>
      <c r="Y34" s="139" t="str">
        <f t="shared" si="0"/>
        <v/>
      </c>
      <c r="Z34" s="139" t="str">
        <f t="shared" si="0"/>
        <v/>
      </c>
      <c r="AA34" s="139" t="str">
        <f t="shared" si="0"/>
        <v/>
      </c>
      <c r="AB34" s="139" t="str">
        <f t="shared" si="0"/>
        <v/>
      </c>
      <c r="AC34" s="139" t="str">
        <f t="shared" si="0"/>
        <v/>
      </c>
      <c r="AD34" s="139" t="str">
        <f t="shared" si="0"/>
        <v/>
      </c>
      <c r="AE34" s="139" t="str">
        <f t="shared" si="0"/>
        <v/>
      </c>
      <c r="AF34" s="139" t="str">
        <f t="shared" si="0"/>
        <v/>
      </c>
      <c r="AG34" s="5"/>
    </row>
    <row r="35" spans="2:33" ht="15.95" customHeight="1">
      <c r="B35" s="30" t="s">
        <v>89</v>
      </c>
      <c r="C35" s="140">
        <f>IF([1]来店简报!B108&gt;0,[1]来店简报!B108,"")</f>
        <v>1287</v>
      </c>
      <c r="D35" s="135">
        <f>IF([1]来店简报!C108&gt;0,[1]来店简报!C108,"")</f>
        <v>1524</v>
      </c>
      <c r="E35" s="135">
        <f>IF([1]来店简报!D108&gt;0,[1]来店简报!D108,"")</f>
        <v>1631</v>
      </c>
      <c r="F35" s="136">
        <f>IF([1]来店简报!E108&gt;0,[1]来店简报!E108,"")</f>
        <v>3001</v>
      </c>
      <c r="G35" s="136">
        <f>IF([1]来店简报!F108&gt;0,[1]来店简报!F108,"")</f>
        <v>2826</v>
      </c>
      <c r="H35" s="136">
        <f>IF([1]来店简报!G108&gt;0,[1]来店简报!G108,"")</f>
        <v>2731</v>
      </c>
      <c r="I35" s="140">
        <f>IF([1]来店简报!H108&gt;0,[1]来店简报!H108,"")</f>
        <v>1827</v>
      </c>
      <c r="J35" s="135">
        <f>IF([1]来店简报!I108&gt;0,[1]来店简报!I108,"")</f>
        <v>1933</v>
      </c>
      <c r="K35" s="135">
        <f>IF([1]来店简报!J108&gt;0,[1]来店简报!J108,"")</f>
        <v>2460</v>
      </c>
      <c r="L35" s="135" t="str">
        <f>IF([1]来店简报!K108&gt;0,[1]来店简报!K108,"")</f>
        <v/>
      </c>
      <c r="M35" s="136" t="str">
        <f>IF([1]来店简报!L108&gt;0,[1]来店简报!L108,"")</f>
        <v/>
      </c>
      <c r="N35" s="136" t="str">
        <f>IF([1]来店简报!M108&gt;0,[1]来店简报!M108,"")</f>
        <v/>
      </c>
      <c r="O35" s="140" t="str">
        <f>IF([1]来店简报!N108&gt;0,[1]来店简报!N108,"")</f>
        <v/>
      </c>
      <c r="P35" s="135" t="str">
        <f>IF([1]来店简报!O108&gt;0,[1]来店简报!O108,"")</f>
        <v/>
      </c>
      <c r="Q35" s="135" t="str">
        <f>IF([1]来店简报!P108&gt;0,[1]来店简报!P108,"")</f>
        <v/>
      </c>
      <c r="R35" s="135" t="str">
        <f>IF([1]来店简报!Q108&gt;0,[1]来店简报!Q108,"")</f>
        <v/>
      </c>
      <c r="S35" s="135" t="str">
        <f>IF([1]来店简报!R108&gt;0,[1]来店简报!R108,"")</f>
        <v/>
      </c>
      <c r="T35" s="136" t="str">
        <f>IF([1]来店简报!S108&gt;0,[1]来店简报!S108,"")</f>
        <v/>
      </c>
      <c r="U35" s="141" t="str">
        <f>IF([1]来店简报!T108&gt;0,[1]来店简报!T108,"")</f>
        <v/>
      </c>
      <c r="V35" s="135" t="str">
        <f>IF([1]来店简报!U108&gt;0,[1]来店简报!U108,"")</f>
        <v/>
      </c>
      <c r="W35" s="135" t="str">
        <f>IF([1]来店简报!V108&gt;0,[1]来店简报!V108,"")</f>
        <v/>
      </c>
      <c r="X35" s="135" t="str">
        <f>IF([1]来店简报!W108&gt;0,[1]来店简报!W108,"")</f>
        <v/>
      </c>
      <c r="Y35" s="135" t="str">
        <f>IF([1]来店简报!X108&gt;0,[1]来店简报!X108,"")</f>
        <v/>
      </c>
      <c r="Z35" s="135" t="str">
        <f>IF([1]来店简报!Y108&gt;0,[1]来店简报!Y108,"")</f>
        <v/>
      </c>
      <c r="AA35" s="141" t="str">
        <f>IF([1]来店简报!Z108&gt;0,[1]来店简报!Z108,"")</f>
        <v/>
      </c>
      <c r="AB35" s="136" t="str">
        <f>IF([1]来店简报!AA108&gt;0,[1]来店简报!AA108,"")</f>
        <v/>
      </c>
      <c r="AC35" s="135" t="str">
        <f>IF([1]来店简报!AB108&gt;0,[1]来店简报!AB108,"")</f>
        <v/>
      </c>
      <c r="AD35" s="135" t="str">
        <f>IF([1]来店简报!AC108&gt;0,[1]来店简报!AC108,"")</f>
        <v/>
      </c>
      <c r="AE35" s="135" t="str">
        <f>IF([1]来店简报!AD108&gt;0,[1]来店简报!AD108,"")</f>
        <v/>
      </c>
      <c r="AF35" s="135" t="str">
        <f>IF([1]来店简报!AE108&gt;0,[1]来店简报!AE108,"")</f>
        <v/>
      </c>
      <c r="AG35" s="5"/>
    </row>
    <row r="36" spans="2:33" ht="15.95" customHeight="1">
      <c r="B36" s="30" t="s">
        <v>90</v>
      </c>
      <c r="C36" s="140">
        <f>IF([1]来店简报!B74&gt;0,[1]来店简报!B74,"")</f>
        <v>1187</v>
      </c>
      <c r="D36" s="135">
        <f>IF([1]来店简报!C74&gt;0,[1]来店简报!C74,"")</f>
        <v>1006</v>
      </c>
      <c r="E36" s="135">
        <f>IF([1]来店简报!D74&gt;0,[1]来店简报!D74,"")</f>
        <v>1059</v>
      </c>
      <c r="F36" s="136">
        <f>IF([1]来店简报!E74&gt;0,[1]来店简报!E74,"")</f>
        <v>1942</v>
      </c>
      <c r="G36" s="136">
        <f>IF([1]来店简报!F74&gt;0,[1]来店简报!F74,"")</f>
        <v>2282</v>
      </c>
      <c r="H36" s="136">
        <f>IF([1]来店简报!G74&gt;0,[1]来店简报!G74,"")</f>
        <v>1951</v>
      </c>
      <c r="I36" s="140">
        <f>IF([1]来店简报!H74&gt;0,[1]来店简报!H74,"")</f>
        <v>1345</v>
      </c>
      <c r="J36" s="135">
        <f>IF([1]来店简报!I74&gt;0,[1]来店简报!I74,"")</f>
        <v>1234</v>
      </c>
      <c r="K36" s="135">
        <f>IF([1]来店简报!J74&gt;0,[1]来店简报!J74,"")</f>
        <v>1274</v>
      </c>
      <c r="L36" s="135" t="str">
        <f>IF([1]来店简报!K74&gt;0,[1]来店简报!K74,"")</f>
        <v/>
      </c>
      <c r="M36" s="136" t="str">
        <f>IF([1]来店简报!L74&gt;0,[1]来店简报!L74,"")</f>
        <v/>
      </c>
      <c r="N36" s="136" t="str">
        <f>IF([1]来店简报!M74&gt;0,[1]来店简报!M74,"")</f>
        <v/>
      </c>
      <c r="O36" s="140" t="str">
        <f>IF([1]来店简报!N74&gt;0,[1]来店简报!N74,"")</f>
        <v/>
      </c>
      <c r="P36" s="135" t="str">
        <f>IF([1]来店简报!O74&gt;0,[1]来店简报!O74,"")</f>
        <v/>
      </c>
      <c r="Q36" s="135" t="str">
        <f>IF([1]来店简报!P74&gt;0,[1]来店简报!P74,"")</f>
        <v/>
      </c>
      <c r="R36" s="135" t="str">
        <f>IF([1]来店简报!Q74&gt;0,[1]来店简报!Q74,"")</f>
        <v/>
      </c>
      <c r="S36" s="135" t="str">
        <f>IF([1]来店简报!R74&gt;0,[1]来店简报!R74,"")</f>
        <v/>
      </c>
      <c r="T36" s="136" t="str">
        <f>IF([1]来店简报!S74&gt;0,[1]来店简报!S74,"")</f>
        <v/>
      </c>
      <c r="U36" s="141" t="str">
        <f>IF([1]来店简报!T74&gt;0,[1]来店简报!T74,"")</f>
        <v/>
      </c>
      <c r="V36" s="135" t="str">
        <f>IF([1]来店简报!U74&gt;0,[1]来店简报!U74,"")</f>
        <v/>
      </c>
      <c r="W36" s="135" t="str">
        <f>IF([1]来店简报!V74&gt;0,[1]来店简报!V74,"")</f>
        <v/>
      </c>
      <c r="X36" s="135" t="str">
        <f>IF([1]来店简报!W74&gt;0,[1]来店简报!W74,"")</f>
        <v/>
      </c>
      <c r="Y36" s="135" t="str">
        <f>IF([1]来店简报!X74&gt;0,[1]来店简报!X74,"")</f>
        <v/>
      </c>
      <c r="Z36" s="135" t="str">
        <f>IF([1]来店简报!Y74&gt;0,[1]来店简报!Y74,"")</f>
        <v/>
      </c>
      <c r="AA36" s="141" t="str">
        <f>IF([1]来店简报!Z74&gt;0,[1]来店简报!Z74,"")</f>
        <v/>
      </c>
      <c r="AB36" s="136" t="str">
        <f>IF([1]来店简报!AA74&gt;0,[1]来店简报!AA74,"")</f>
        <v/>
      </c>
      <c r="AC36" s="135" t="str">
        <f>IF([1]来店简报!AB74&gt;0,[1]来店简报!AB74,"")</f>
        <v/>
      </c>
      <c r="AD36" s="135" t="str">
        <f>IF([1]来店简报!AC74&gt;0,[1]来店简报!AC74,"")</f>
        <v/>
      </c>
      <c r="AE36" s="135" t="str">
        <f>IF([1]来店简报!AD74&gt;0,[1]来店简报!AD74,"")</f>
        <v/>
      </c>
      <c r="AF36" s="135" t="str">
        <f>IF([1]来店简报!AE74&gt;0,[1]来店简报!AE74,"")</f>
        <v/>
      </c>
      <c r="AG36" s="5"/>
    </row>
    <row r="37" spans="2:33" ht="15.95" customHeight="1">
      <c r="B37" s="30" t="s">
        <v>91</v>
      </c>
      <c r="C37" s="142">
        <f>[1]来店简报!B78</f>
        <v>-0.50334728033472809</v>
      </c>
      <c r="D37" s="142">
        <f>[1]来店简报!C78</f>
        <v>-0.60284247927358858</v>
      </c>
      <c r="E37" s="142">
        <f>[1]来店简报!D78</f>
        <v>-0.60965720604496865</v>
      </c>
      <c r="F37" s="142">
        <f>[1]来店简报!E78</f>
        <v>-0.60576532683719042</v>
      </c>
      <c r="G37" s="142">
        <f>[1]来店简报!F78</f>
        <v>-0.56813020439061312</v>
      </c>
      <c r="H37" s="142">
        <f>[1]来店简报!G78</f>
        <v>-0.58213750267723285</v>
      </c>
      <c r="I37" s="142">
        <f>[1]来店简报!H78</f>
        <v>-0.56131767775603392</v>
      </c>
      <c r="J37" s="142">
        <f>[1]来店简报!I78</f>
        <v>-0.68318356867779206</v>
      </c>
      <c r="K37" s="142">
        <f>[1]来店简报!J78</f>
        <v>-0.63008130081300817</v>
      </c>
      <c r="L37" s="139"/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55"/>
      <c r="D72" s="155"/>
      <c r="E72" s="155"/>
      <c r="F72" s="155"/>
      <c r="Q72" s="156"/>
      <c r="R72" s="156"/>
      <c r="S72" s="156"/>
      <c r="T72" s="156"/>
      <c r="U72" s="156"/>
      <c r="V72" s="156"/>
      <c r="W72" s="156"/>
      <c r="X72" s="156"/>
      <c r="Y72" s="156"/>
    </row>
    <row r="73" spans="2:33">
      <c r="B73" s="145" t="s">
        <v>20</v>
      </c>
      <c r="C73" s="146">
        <f>C30</f>
        <v>46113</v>
      </c>
      <c r="D73" s="146">
        <f t="shared" ref="D73:AF73" si="1">D30</f>
        <v>46114</v>
      </c>
      <c r="E73" s="146">
        <f t="shared" si="1"/>
        <v>46115</v>
      </c>
      <c r="F73" s="146">
        <f t="shared" si="1"/>
        <v>46116</v>
      </c>
      <c r="G73" s="146">
        <f t="shared" si="1"/>
        <v>46117</v>
      </c>
      <c r="H73" s="146">
        <f t="shared" si="1"/>
        <v>46118</v>
      </c>
      <c r="I73" s="146">
        <f t="shared" si="1"/>
        <v>46119</v>
      </c>
      <c r="J73" s="146">
        <f t="shared" si="1"/>
        <v>46120</v>
      </c>
      <c r="K73" s="146">
        <f t="shared" si="1"/>
        <v>46121</v>
      </c>
      <c r="L73" s="146">
        <f t="shared" si="1"/>
        <v>46122</v>
      </c>
      <c r="M73" s="146">
        <f t="shared" si="1"/>
        <v>46123</v>
      </c>
      <c r="N73" s="146">
        <f t="shared" si="1"/>
        <v>46124</v>
      </c>
      <c r="O73" s="146">
        <f t="shared" si="1"/>
        <v>46125</v>
      </c>
      <c r="P73" s="146">
        <f t="shared" si="1"/>
        <v>46126</v>
      </c>
      <c r="Q73" s="146">
        <f t="shared" si="1"/>
        <v>46127</v>
      </c>
      <c r="R73" s="146">
        <f t="shared" si="1"/>
        <v>46128</v>
      </c>
      <c r="S73" s="146">
        <f t="shared" si="1"/>
        <v>46129</v>
      </c>
      <c r="T73" s="146">
        <f t="shared" si="1"/>
        <v>46130</v>
      </c>
      <c r="U73" s="146">
        <f t="shared" si="1"/>
        <v>46131</v>
      </c>
      <c r="V73" s="146">
        <f t="shared" si="1"/>
        <v>46132</v>
      </c>
      <c r="W73" s="146">
        <f t="shared" si="1"/>
        <v>46133</v>
      </c>
      <c r="X73" s="146">
        <f t="shared" si="1"/>
        <v>46134</v>
      </c>
      <c r="Y73" s="146">
        <f t="shared" si="1"/>
        <v>46135</v>
      </c>
      <c r="Z73" s="146">
        <f t="shared" si="1"/>
        <v>46136</v>
      </c>
      <c r="AA73" s="146">
        <f t="shared" si="1"/>
        <v>46137</v>
      </c>
      <c r="AB73" s="146">
        <f t="shared" si="1"/>
        <v>46138</v>
      </c>
      <c r="AC73" s="146">
        <f t="shared" si="1"/>
        <v>46139</v>
      </c>
      <c r="AD73" s="146">
        <f t="shared" si="1"/>
        <v>46140</v>
      </c>
      <c r="AE73" s="146">
        <f t="shared" si="1"/>
        <v>46141</v>
      </c>
      <c r="AF73" s="146">
        <f t="shared" si="1"/>
        <v>46142</v>
      </c>
      <c r="AG73" s="5"/>
    </row>
    <row r="74" spans="2:33">
      <c r="B74" s="30" t="s">
        <v>92</v>
      </c>
      <c r="C74" s="135">
        <f>IFERROR([1]来店简报!B75,"")</f>
        <v>2390</v>
      </c>
      <c r="D74" s="135">
        <f>IFERROR([1]来店简报!C75,"")</f>
        <v>2533</v>
      </c>
      <c r="E74" s="135">
        <f>IFERROR([1]来店简报!D75,"")</f>
        <v>2713</v>
      </c>
      <c r="F74" s="135">
        <f>IFERROR([1]来店简报!E75,"")</f>
        <v>4926</v>
      </c>
      <c r="G74" s="136">
        <f>IFERROR([1]来店简报!F75,"")</f>
        <v>5284</v>
      </c>
      <c r="H74" s="136">
        <f>IFERROR([1]来店简报!G75,"")</f>
        <v>4669</v>
      </c>
      <c r="I74" s="135">
        <f>IFERROR([1]来店简报!H75,"")</f>
        <v>3066</v>
      </c>
      <c r="J74" s="135">
        <f>IFERROR([1]来店简报!I75,"")</f>
        <v>3895</v>
      </c>
      <c r="K74" s="135">
        <f>IFERROR([1]来店简报!J75,"")</f>
        <v>3444</v>
      </c>
      <c r="L74" s="135">
        <f>IFERROR([1]来店简报!K75,"")</f>
        <v>3415</v>
      </c>
      <c r="M74" s="135">
        <f>IFERROR([1]来店简报!L75,"")</f>
        <v>3656</v>
      </c>
      <c r="N74" s="136">
        <f>IFERROR([1]来店简报!M75,"")</f>
        <v>4520</v>
      </c>
      <c r="O74" s="136">
        <f>IFERROR([1]来店简报!N75,"")</f>
        <v>5447</v>
      </c>
      <c r="P74" s="135">
        <f>IFERROR([1]来店简报!O75,"")</f>
        <v>4293</v>
      </c>
      <c r="Q74" s="135">
        <f>IFERROR([1]来店简报!P75,"")</f>
        <v>2885</v>
      </c>
      <c r="R74" s="135">
        <f>IFERROR([1]来店简报!Q75,"")</f>
        <v>2950</v>
      </c>
      <c r="S74" s="135">
        <f>IFERROR([1]来店简报!R75,"")</f>
        <v>2832</v>
      </c>
      <c r="T74" s="135">
        <f>IFERROR([1]来店简报!S75,"")</f>
        <v>2924</v>
      </c>
      <c r="U74" s="136">
        <f>IFERROR([1]来店简报!T75,"")</f>
        <v>5129</v>
      </c>
      <c r="V74" s="136">
        <f>IFERROR([1]来店简报!U75,"")</f>
        <v>5532</v>
      </c>
      <c r="W74" s="135">
        <f>IFERROR([1]来店简报!V75,"")</f>
        <v>4002</v>
      </c>
      <c r="X74" s="135">
        <f>IFERROR([1]来店简报!W75,"")</f>
        <v>3480</v>
      </c>
      <c r="Y74" s="135">
        <f>IFERROR([1]来店简报!X75,"")</f>
        <v>3944</v>
      </c>
      <c r="Z74" s="135">
        <f>IFERROR([1]来店简报!Y75,"")</f>
        <v>3894</v>
      </c>
      <c r="AA74" s="135">
        <f>IFERROR([1]来店简报!Z75,"")</f>
        <v>4445</v>
      </c>
      <c r="AB74" s="136">
        <f>IFERROR([1]来店简报!AA75,"")</f>
        <v>5119</v>
      </c>
      <c r="AC74" s="136">
        <f>IFERROR([1]来店简报!AB75,"")</f>
        <v>4734</v>
      </c>
      <c r="AD74" s="135">
        <f>IFERROR([1]来店简报!AC75,"")</f>
        <v>4750</v>
      </c>
      <c r="AE74" s="135">
        <f>IFERROR([1]来店简报!AD75,"")</f>
        <v>6646</v>
      </c>
      <c r="AF74" s="135">
        <f>IFERROR([1]来店简报!AE75,"")</f>
        <v>6299</v>
      </c>
      <c r="AG74" s="5"/>
    </row>
    <row r="75" spans="2:33">
      <c r="B75" s="30" t="s">
        <v>93</v>
      </c>
      <c r="C75" s="135" t="s">
        <v>88</v>
      </c>
      <c r="D75" s="135" t="s">
        <v>88</v>
      </c>
      <c r="E75" s="135" t="s">
        <v>88</v>
      </c>
      <c r="F75" s="136" t="s">
        <v>88</v>
      </c>
      <c r="G75" s="136" t="s">
        <v>88</v>
      </c>
      <c r="H75" s="136" t="s">
        <v>88</v>
      </c>
      <c r="I75" s="135" t="s">
        <v>88</v>
      </c>
      <c r="J75" s="135" t="s">
        <v>88</v>
      </c>
      <c r="K75" s="135" t="s">
        <v>88</v>
      </c>
      <c r="L75" s="135" t="s">
        <v>88</v>
      </c>
      <c r="M75" s="136" t="s">
        <v>88</v>
      </c>
      <c r="N75" s="136" t="s">
        <v>88</v>
      </c>
      <c r="O75" s="135" t="s">
        <v>88</v>
      </c>
      <c r="P75" s="135" t="s">
        <v>88</v>
      </c>
      <c r="Q75" s="135" t="s">
        <v>88</v>
      </c>
      <c r="R75" s="135" t="s">
        <v>88</v>
      </c>
      <c r="S75" s="135" t="s">
        <v>88</v>
      </c>
      <c r="T75" s="136" t="s">
        <v>88</v>
      </c>
      <c r="U75" s="136" t="s">
        <v>88</v>
      </c>
      <c r="V75" s="135" t="s">
        <v>88</v>
      </c>
      <c r="W75" s="135" t="s">
        <v>88</v>
      </c>
      <c r="X75" s="135" t="s">
        <v>88</v>
      </c>
      <c r="Y75" s="135" t="s">
        <v>88</v>
      </c>
      <c r="Z75" s="135" t="s">
        <v>88</v>
      </c>
      <c r="AA75" s="136" t="s">
        <v>88</v>
      </c>
      <c r="AB75" s="136" t="s">
        <v>88</v>
      </c>
      <c r="AC75" s="135" t="s">
        <v>88</v>
      </c>
      <c r="AD75" s="135" t="s">
        <v>88</v>
      </c>
      <c r="AE75" s="135" t="s">
        <v>88</v>
      </c>
      <c r="AF75" s="135" t="s">
        <v>88</v>
      </c>
      <c r="AG75" s="5"/>
    </row>
    <row r="76" spans="2:33" s="148" customFormat="1">
      <c r="B76" s="147" t="s">
        <v>28</v>
      </c>
      <c r="C76" s="135">
        <f>IFERROR(IF([1]来店简报!B71&gt;1,[1]来店简报!B71,""),"")</f>
        <v>1187</v>
      </c>
      <c r="D76" s="135">
        <f>IFERROR(IF([1]来店简报!C71&gt;1,[1]来店简报!C71,""),"")</f>
        <v>2193</v>
      </c>
      <c r="E76" s="135">
        <f>IFERROR(IF([1]来店简报!D71&gt;1,[1]来店简报!D71,""),"")</f>
        <v>3252</v>
      </c>
      <c r="F76" s="136">
        <f>IFERROR(IF([1]来店简报!E71&gt;1,[1]来店简报!E71,""),"")</f>
        <v>5194</v>
      </c>
      <c r="G76" s="136">
        <f>IFERROR(IF([1]来店简报!F71&gt;1,[1]来店简报!F71,""),"")</f>
        <v>7476</v>
      </c>
      <c r="H76" s="136">
        <f>IFERROR(IF([1]来店简报!G71&gt;1,[1]来店简报!G71,""),"")</f>
        <v>9427</v>
      </c>
      <c r="I76" s="135">
        <f>IFERROR(IF([1]来店简报!H71&gt;1,[1]来店简报!H71,""),"")</f>
        <v>10772</v>
      </c>
      <c r="J76" s="135">
        <f>IFERROR(IF([1]来店简报!I71&gt;1,[1]来店简报!I71,""),"")</f>
        <v>12006</v>
      </c>
      <c r="K76" s="135">
        <f>IFERROR(IF([1]来店简报!J71&gt;1,[1]来店简报!J71,""),"")</f>
        <v>13280</v>
      </c>
      <c r="L76" s="135" t="str">
        <f>IFERROR(IF([1]来店简报!K71&gt;1,[1]来店简报!K71,""),"")</f>
        <v/>
      </c>
      <c r="M76" s="136" t="str">
        <f>IFERROR(IF([1]来店简报!L71&gt;1,[1]来店简报!L71,""),"")</f>
        <v/>
      </c>
      <c r="N76" s="136" t="str">
        <f>IFERROR(IF([1]来店简报!M71&gt;1,[1]来店简报!M71,""),"")</f>
        <v/>
      </c>
      <c r="O76" s="135" t="str">
        <f>IFERROR(IF([1]来店简报!N71&gt;1,[1]来店简报!N71,""),"")</f>
        <v/>
      </c>
      <c r="P76" s="135" t="str">
        <f>IFERROR(IF([1]来店简报!O71&gt;1,[1]来店简报!O71,""),"")</f>
        <v/>
      </c>
      <c r="Q76" s="135" t="str">
        <f>IFERROR(IF([1]来店简报!P71&gt;1,[1]来店简报!P71,""),"")</f>
        <v/>
      </c>
      <c r="R76" s="135" t="str">
        <f>IFERROR(IF([1]来店简报!Q71&gt;1,[1]来店简报!Q71,""),"")</f>
        <v/>
      </c>
      <c r="S76" s="135" t="str">
        <f>IFERROR(IF([1]来店简报!R71&gt;1,[1]来店简报!R71,""),"")</f>
        <v/>
      </c>
      <c r="T76" s="136" t="str">
        <f>IFERROR(IF([1]来店简报!S71&gt;1,[1]来店简报!S71,""),"")</f>
        <v/>
      </c>
      <c r="U76" s="136" t="str">
        <f>IFERROR(IF([1]来店简报!T71&gt;1,[1]来店简报!T71,""),"")</f>
        <v/>
      </c>
      <c r="V76" s="135" t="str">
        <f>IFERROR(IF([1]来店简报!U71&gt;1,[1]来店简报!U71,""),"")</f>
        <v/>
      </c>
      <c r="W76" s="135" t="str">
        <f>IFERROR(IF([1]来店简报!V71&gt;1,[1]来店简报!V71,""),"")</f>
        <v/>
      </c>
      <c r="X76" s="135" t="str">
        <f>IFERROR(IF([1]来店简报!W71&gt;1,[1]来店简报!W71,""),"")</f>
        <v/>
      </c>
      <c r="Y76" s="135" t="str">
        <f>IFERROR(IF([1]来店简报!X71&gt;1,[1]来店简报!X71,""),"")</f>
        <v/>
      </c>
      <c r="Z76" s="135" t="str">
        <f>IFERROR(IF([1]来店简报!Y71&gt;1,[1]来店简报!Y71,""),"")</f>
        <v/>
      </c>
      <c r="AA76" s="136" t="str">
        <f>IFERROR(IF([1]来店简报!Z71&gt;1,[1]来店简报!Z71,""),"")</f>
        <v/>
      </c>
      <c r="AB76" s="136" t="str">
        <f>IFERROR(IF([1]来店简报!AA71&gt;1,[1]来店简报!AA71,""),"")</f>
        <v/>
      </c>
      <c r="AC76" s="135" t="str">
        <f>IFERROR(IF([1]来店简报!AB71&gt;1,[1]来店简报!AB71,""),"")</f>
        <v/>
      </c>
      <c r="AD76" s="135" t="str">
        <f>IFERROR(IF([1]来店简报!AC71&gt;1,[1]来店简报!AC71,""),"")</f>
        <v/>
      </c>
      <c r="AE76" s="135" t="str">
        <f>IFERROR(IF([1]来店简报!AD71&gt;1,[1]来店简报!AD71,""),"")</f>
        <v/>
      </c>
      <c r="AF76" s="135" t="str">
        <f>IFERROR(IF([1]来店简报!AE71&gt;1,[1]来店简报!AE71,""),"")</f>
        <v/>
      </c>
      <c r="AG76" s="5"/>
    </row>
    <row r="77" spans="2:33">
      <c r="B77" s="30" t="s">
        <v>94</v>
      </c>
      <c r="C77" s="135">
        <f>IF([1]来店简报!B74&gt;1,[1]来店简报!B74,"")</f>
        <v>1187</v>
      </c>
      <c r="D77" s="135">
        <f>IF([1]来店简报!C74&gt;1,[1]来店简报!C74,"")</f>
        <v>1006</v>
      </c>
      <c r="E77" s="135">
        <f>IF([1]来店简报!D74&gt;1,[1]来店简报!D74,"")</f>
        <v>1059</v>
      </c>
      <c r="F77" s="136">
        <f>IF([1]来店简报!E74&gt;1,[1]来店简报!E74,"")</f>
        <v>1942</v>
      </c>
      <c r="G77" s="136">
        <f>IF([1]来店简报!F74&gt;1,[1]来店简报!F74,"")</f>
        <v>2282</v>
      </c>
      <c r="H77" s="136">
        <f>IF([1]来店简报!G74&gt;1,[1]来店简报!G74,"")</f>
        <v>1951</v>
      </c>
      <c r="I77" s="135">
        <f>IF([1]来店简报!H74&gt;1,[1]来店简报!H74,"")</f>
        <v>1345</v>
      </c>
      <c r="J77" s="135">
        <f>IF([1]来店简报!I74&gt;1,[1]来店简报!I74,"")</f>
        <v>1234</v>
      </c>
      <c r="K77" s="135">
        <f>IF([1]来店简报!J74&gt;1,[1]来店简报!J74,"")</f>
        <v>1274</v>
      </c>
      <c r="L77" s="135" t="str">
        <f>IF([1]来店简报!K74&gt;1,[1]来店简报!K74,"")</f>
        <v/>
      </c>
      <c r="M77" s="136" t="str">
        <f>IF([1]来店简报!L74&gt;1,[1]来店简报!L74,"")</f>
        <v/>
      </c>
      <c r="N77" s="136" t="str">
        <f>IF([1]来店简报!M74&gt;1,[1]来店简报!M74,"")</f>
        <v/>
      </c>
      <c r="O77" s="135" t="str">
        <f>IF([1]来店简报!N74&gt;1,[1]来店简报!N74,"")</f>
        <v/>
      </c>
      <c r="P77" s="135" t="str">
        <f>IF([1]来店简报!O74&gt;1,[1]来店简报!O74,"")</f>
        <v/>
      </c>
      <c r="Q77" s="135" t="str">
        <f>IF([1]来店简报!P74&gt;1,[1]来店简报!P74,"")</f>
        <v/>
      </c>
      <c r="R77" s="135" t="str">
        <f>IF([1]来店简报!Q74&gt;1,[1]来店简报!Q74,"")</f>
        <v/>
      </c>
      <c r="S77" s="135" t="str">
        <f>IF([1]来店简报!R74&gt;1,[1]来店简报!R74,"")</f>
        <v/>
      </c>
      <c r="T77" s="136" t="str">
        <f>IF([1]来店简报!S74&gt;1,[1]来店简报!S74,"")</f>
        <v/>
      </c>
      <c r="U77" s="136" t="str">
        <f>IF([1]来店简报!T74&gt;1,[1]来店简报!T74,"")</f>
        <v/>
      </c>
      <c r="V77" s="135" t="str">
        <f>IF([1]来店简报!U74&gt;1,[1]来店简报!U74,"")</f>
        <v/>
      </c>
      <c r="W77" s="135" t="str">
        <f>IF([1]来店简报!V74&gt;1,[1]来店简报!V74,"")</f>
        <v/>
      </c>
      <c r="X77" s="135" t="str">
        <f>IF([1]来店简报!W74&gt;1,[1]来店简报!W74,"")</f>
        <v/>
      </c>
      <c r="Y77" s="135" t="str">
        <f>IF([1]来店简报!X74&gt;1,[1]来店简报!X74,"")</f>
        <v/>
      </c>
      <c r="Z77" s="135" t="str">
        <f>IF([1]来店简报!Y74&gt;1,[1]来店简报!Y74,"")</f>
        <v/>
      </c>
      <c r="AA77" s="136" t="str">
        <f>IF([1]来店简报!Z74&gt;1,[1]来店简报!Z74,"")</f>
        <v/>
      </c>
      <c r="AB77" s="136" t="str">
        <f>IF([1]来店简报!AA74&gt;1,[1]来店简报!AA74,"")</f>
        <v/>
      </c>
      <c r="AC77" s="135" t="str">
        <f>IF([1]来店简报!AB74&gt;1,[1]来店简报!AB74,"")</f>
        <v/>
      </c>
      <c r="AD77" s="135" t="str">
        <f>IF([1]来店简报!AC74&gt;1,[1]来店简报!AC74,"")</f>
        <v/>
      </c>
      <c r="AE77" s="135" t="str">
        <f>IF([1]来店简报!AD74&gt;1,[1]来店简报!AD74,"")</f>
        <v/>
      </c>
      <c r="AF77" s="135" t="str">
        <f>IF([1]来店简报!AE74&gt;1,[1]来店简报!AE74,"")</f>
        <v/>
      </c>
      <c r="AG77" s="5"/>
    </row>
    <row r="78" spans="2:33">
      <c r="B78" s="30" t="s">
        <v>13</v>
      </c>
      <c r="C78" s="139">
        <f>IFERROR(C77/C74-1,"")</f>
        <v>-0.50334728033472809</v>
      </c>
      <c r="D78" s="139">
        <f t="shared" ref="D78:AF78" si="2">IFERROR(D77/D74-1,"")</f>
        <v>-0.60284247927358869</v>
      </c>
      <c r="E78" s="139">
        <f t="shared" si="2"/>
        <v>-0.60965720604496865</v>
      </c>
      <c r="F78" s="139">
        <f t="shared" si="2"/>
        <v>-0.60576532683719042</v>
      </c>
      <c r="G78" s="139">
        <f t="shared" si="2"/>
        <v>-0.56813020439061312</v>
      </c>
      <c r="H78" s="139">
        <f t="shared" si="2"/>
        <v>-0.58213750267723285</v>
      </c>
      <c r="I78" s="139">
        <f t="shared" si="2"/>
        <v>-0.56131767775603392</v>
      </c>
      <c r="J78" s="139">
        <f t="shared" si="2"/>
        <v>-0.68318356867779206</v>
      </c>
      <c r="K78" s="139">
        <f t="shared" si="2"/>
        <v>-0.63008130081300817</v>
      </c>
      <c r="L78" s="139" t="str">
        <f t="shared" si="2"/>
        <v/>
      </c>
      <c r="M78" s="139" t="str">
        <f t="shared" si="2"/>
        <v/>
      </c>
      <c r="N78" s="139" t="str">
        <f t="shared" si="2"/>
        <v/>
      </c>
      <c r="O78" s="139" t="str">
        <f t="shared" si="2"/>
        <v/>
      </c>
      <c r="P78" s="139" t="str">
        <f t="shared" si="2"/>
        <v/>
      </c>
      <c r="Q78" s="139" t="str">
        <f t="shared" si="2"/>
        <v/>
      </c>
      <c r="R78" s="139" t="str">
        <f t="shared" si="2"/>
        <v/>
      </c>
      <c r="S78" s="139" t="str">
        <f t="shared" si="2"/>
        <v/>
      </c>
      <c r="T78" s="139" t="str">
        <f t="shared" si="2"/>
        <v/>
      </c>
      <c r="U78" s="139" t="str">
        <f t="shared" si="2"/>
        <v/>
      </c>
      <c r="V78" s="139" t="str">
        <f t="shared" si="2"/>
        <v/>
      </c>
      <c r="W78" s="139" t="str">
        <f t="shared" si="2"/>
        <v/>
      </c>
      <c r="X78" s="139" t="str">
        <f t="shared" si="2"/>
        <v/>
      </c>
      <c r="Y78" s="139" t="str">
        <f t="shared" si="2"/>
        <v/>
      </c>
      <c r="Z78" s="139" t="str">
        <f t="shared" si="2"/>
        <v/>
      </c>
      <c r="AA78" s="139" t="str">
        <f t="shared" si="2"/>
        <v/>
      </c>
      <c r="AB78" s="139" t="str">
        <f t="shared" si="2"/>
        <v/>
      </c>
      <c r="AC78" s="139" t="str">
        <f t="shared" si="2"/>
        <v/>
      </c>
      <c r="AD78" s="139" t="str">
        <f t="shared" si="2"/>
        <v/>
      </c>
      <c r="AE78" s="139" t="str">
        <f t="shared" si="2"/>
        <v/>
      </c>
      <c r="AF78" s="139" t="str">
        <f t="shared" si="2"/>
        <v/>
      </c>
      <c r="AG78" s="5"/>
    </row>
    <row r="85" s="149" customFormat="1"/>
    <row r="115" spans="2:33">
      <c r="C115" s="155"/>
      <c r="D115" s="155"/>
      <c r="E115" s="155"/>
      <c r="F115" s="155"/>
      <c r="Q115" s="156"/>
      <c r="R115" s="156"/>
      <c r="S115" s="156"/>
      <c r="T115" s="156"/>
      <c r="U115" s="156"/>
      <c r="V115" s="156"/>
      <c r="W115" s="156"/>
      <c r="X115" s="156"/>
      <c r="Y115" s="156"/>
    </row>
    <row r="116" spans="2:33">
      <c r="B116" s="150" t="s">
        <v>18</v>
      </c>
      <c r="C116" s="151">
        <f>C30</f>
        <v>46113</v>
      </c>
      <c r="D116" s="151">
        <f t="shared" ref="D116:AF116" si="3">D30</f>
        <v>46114</v>
      </c>
      <c r="E116" s="151">
        <f t="shared" si="3"/>
        <v>46115</v>
      </c>
      <c r="F116" s="151">
        <f t="shared" si="3"/>
        <v>46116</v>
      </c>
      <c r="G116" s="151">
        <f t="shared" si="3"/>
        <v>46117</v>
      </c>
      <c r="H116" s="151">
        <f t="shared" si="3"/>
        <v>46118</v>
      </c>
      <c r="I116" s="151">
        <f t="shared" si="3"/>
        <v>46119</v>
      </c>
      <c r="J116" s="151">
        <f t="shared" si="3"/>
        <v>46120</v>
      </c>
      <c r="K116" s="151">
        <f t="shared" si="3"/>
        <v>46121</v>
      </c>
      <c r="L116" s="151">
        <f t="shared" si="3"/>
        <v>46122</v>
      </c>
      <c r="M116" s="151">
        <f t="shared" si="3"/>
        <v>46123</v>
      </c>
      <c r="N116" s="151">
        <f t="shared" si="3"/>
        <v>46124</v>
      </c>
      <c r="O116" s="151">
        <f t="shared" si="3"/>
        <v>46125</v>
      </c>
      <c r="P116" s="151">
        <f t="shared" si="3"/>
        <v>46126</v>
      </c>
      <c r="Q116" s="151">
        <f t="shared" si="3"/>
        <v>46127</v>
      </c>
      <c r="R116" s="151">
        <f t="shared" si="3"/>
        <v>46128</v>
      </c>
      <c r="S116" s="151">
        <f t="shared" si="3"/>
        <v>46129</v>
      </c>
      <c r="T116" s="151">
        <f t="shared" si="3"/>
        <v>46130</v>
      </c>
      <c r="U116" s="151">
        <f t="shared" si="3"/>
        <v>46131</v>
      </c>
      <c r="V116" s="151">
        <f t="shared" si="3"/>
        <v>46132</v>
      </c>
      <c r="W116" s="151">
        <f t="shared" si="3"/>
        <v>46133</v>
      </c>
      <c r="X116" s="151">
        <f t="shared" si="3"/>
        <v>46134</v>
      </c>
      <c r="Y116" s="151">
        <f t="shared" si="3"/>
        <v>46135</v>
      </c>
      <c r="Z116" s="151">
        <f t="shared" si="3"/>
        <v>46136</v>
      </c>
      <c r="AA116" s="151">
        <f t="shared" si="3"/>
        <v>46137</v>
      </c>
      <c r="AB116" s="151">
        <f t="shared" si="3"/>
        <v>46138</v>
      </c>
      <c r="AC116" s="151">
        <f t="shared" si="3"/>
        <v>46139</v>
      </c>
      <c r="AD116" s="151">
        <f t="shared" si="3"/>
        <v>46140</v>
      </c>
      <c r="AE116" s="151">
        <f t="shared" si="3"/>
        <v>46141</v>
      </c>
      <c r="AF116" s="151">
        <f t="shared" si="3"/>
        <v>46142</v>
      </c>
      <c r="AG116" s="5"/>
    </row>
    <row r="117" spans="2:33">
      <c r="B117" s="30" t="s">
        <v>95</v>
      </c>
      <c r="C117" s="136">
        <f>IFERROR([1]来店简报!B109,"")</f>
        <v>2052</v>
      </c>
      <c r="D117" s="135">
        <f>IFERROR([1]来店简报!C109,"")</f>
        <v>1115</v>
      </c>
      <c r="E117" s="135">
        <f>IFERROR([1]来店简报!D109,"")</f>
        <v>1052</v>
      </c>
      <c r="F117" s="135">
        <f>IFERROR([1]来店简报!E109,"")</f>
        <v>1074</v>
      </c>
      <c r="G117" s="135">
        <f>IFERROR([1]来店简报!F109,"")</f>
        <v>1096</v>
      </c>
      <c r="H117" s="135">
        <f>IFERROR([1]来店简报!G109,"")</f>
        <v>1232</v>
      </c>
      <c r="I117" s="136">
        <f>IFERROR([1]来店简报!H109,"")</f>
        <v>2162</v>
      </c>
      <c r="J117" s="136">
        <f>IFERROR([1]来店简报!I109,"")</f>
        <v>2154</v>
      </c>
      <c r="K117" s="135">
        <f>IFERROR([1]来店简报!J109,"")</f>
        <v>1117</v>
      </c>
      <c r="L117" s="135">
        <f>IFERROR([1]来店简报!K109,"")</f>
        <v>1151</v>
      </c>
      <c r="M117" s="135">
        <f>IFERROR([1]来店简报!L109,"")</f>
        <v>1069</v>
      </c>
      <c r="N117" s="135">
        <f>IFERROR([1]来店简报!M109,"")</f>
        <v>1148</v>
      </c>
      <c r="O117" s="135">
        <f>IFERROR([1]来店简报!N109,"")</f>
        <v>1202</v>
      </c>
      <c r="P117" s="136">
        <f>IFERROR([1]来店简报!O109,"")</f>
        <v>1910</v>
      </c>
      <c r="Q117" s="136">
        <f>IFERROR([1]来店简报!P109,"")</f>
        <v>2117</v>
      </c>
      <c r="R117" s="135">
        <f>IFERROR([1]来店简报!Q109,"")</f>
        <v>1133</v>
      </c>
      <c r="S117" s="135">
        <f>IFERROR([1]来店简报!R109,"")</f>
        <v>1098</v>
      </c>
      <c r="T117" s="135">
        <f>IFERROR([1]来店简报!S109,"")</f>
        <v>1057</v>
      </c>
      <c r="U117" s="135">
        <f>IFERROR([1]来店简报!T109,"")</f>
        <v>1081</v>
      </c>
      <c r="V117" s="135">
        <f>IFERROR([1]来店简报!U109,"")</f>
        <v>1210</v>
      </c>
      <c r="W117" s="136">
        <f>IFERROR([1]来店简报!V109,"")</f>
        <v>1870</v>
      </c>
      <c r="X117" s="136">
        <f>IFERROR([1]来店简报!W109,"")</f>
        <v>2077</v>
      </c>
      <c r="Y117" s="135">
        <f>IFERROR([1]来店简报!X109,"")</f>
        <v>1190</v>
      </c>
      <c r="Z117" s="135">
        <f>IFERROR([1]来店简报!Y109,"")</f>
        <v>1193</v>
      </c>
      <c r="AA117" s="135">
        <f>IFERROR([1]来店简报!Z109,"")</f>
        <v>1213</v>
      </c>
      <c r="AB117" s="135">
        <f>IFERROR([1]来店简报!AA109,"")</f>
        <v>1251</v>
      </c>
      <c r="AC117" s="135">
        <f>IFERROR([1]来店简报!AB109,"")</f>
        <v>1456</v>
      </c>
      <c r="AD117" s="136">
        <f>IFERROR([1]来店简报!AC109,"")</f>
        <v>2166</v>
      </c>
      <c r="AE117" s="136" t="s">
        <v>88</v>
      </c>
      <c r="AF117" s="135" t="s">
        <v>88</v>
      </c>
      <c r="AG117" s="5"/>
    </row>
    <row r="118" spans="2:33">
      <c r="B118" s="30" t="s">
        <v>93</v>
      </c>
      <c r="C118" s="135" t="s">
        <v>88</v>
      </c>
      <c r="D118" s="135" t="s">
        <v>88</v>
      </c>
      <c r="E118" s="135" t="s">
        <v>88</v>
      </c>
      <c r="F118" s="136" t="s">
        <v>88</v>
      </c>
      <c r="G118" s="136" t="s">
        <v>88</v>
      </c>
      <c r="H118" s="136" t="s">
        <v>88</v>
      </c>
      <c r="I118" s="135" t="s">
        <v>88</v>
      </c>
      <c r="J118" s="135" t="s">
        <v>88</v>
      </c>
      <c r="K118" s="135" t="s">
        <v>88</v>
      </c>
      <c r="L118" s="135" t="s">
        <v>88</v>
      </c>
      <c r="M118" s="136" t="s">
        <v>88</v>
      </c>
      <c r="N118" s="136" t="s">
        <v>88</v>
      </c>
      <c r="O118" s="135" t="s">
        <v>88</v>
      </c>
      <c r="P118" s="135" t="s">
        <v>88</v>
      </c>
      <c r="Q118" s="135" t="s">
        <v>88</v>
      </c>
      <c r="R118" s="135" t="s">
        <v>88</v>
      </c>
      <c r="S118" s="135" t="s">
        <v>88</v>
      </c>
      <c r="T118" s="136" t="s">
        <v>88</v>
      </c>
      <c r="U118" s="136" t="s">
        <v>88</v>
      </c>
      <c r="V118" s="135" t="s">
        <v>88</v>
      </c>
      <c r="W118" s="135" t="s">
        <v>88</v>
      </c>
      <c r="X118" s="135" t="s">
        <v>88</v>
      </c>
      <c r="Y118" s="135" t="s">
        <v>88</v>
      </c>
      <c r="Z118" s="135" t="s">
        <v>88</v>
      </c>
      <c r="AA118" s="136" t="s">
        <v>88</v>
      </c>
      <c r="AB118" s="136" t="s">
        <v>88</v>
      </c>
      <c r="AC118" s="135" t="s">
        <v>88</v>
      </c>
      <c r="AD118" s="135" t="s">
        <v>88</v>
      </c>
      <c r="AE118" s="135" t="s">
        <v>88</v>
      </c>
      <c r="AF118" s="135" t="s">
        <v>88</v>
      </c>
      <c r="AG118" s="5"/>
    </row>
    <row r="119" spans="2:33">
      <c r="B119" s="30" t="s">
        <v>28</v>
      </c>
      <c r="C119" s="135">
        <f>IFERROR([1]来店简报!B105,"")</f>
        <v>1287</v>
      </c>
      <c r="D119" s="135">
        <f>IFERROR([1]来店简报!C105,"")</f>
        <v>2811</v>
      </c>
      <c r="E119" s="135">
        <f>IFERROR([1]来店简报!D105,"")</f>
        <v>4442</v>
      </c>
      <c r="F119" s="136">
        <f>IFERROR([1]来店简报!E105,"")</f>
        <v>7443</v>
      </c>
      <c r="G119" s="136">
        <f>IFERROR([1]来店简报!F105,"")</f>
        <v>10269</v>
      </c>
      <c r="H119" s="136">
        <f>IFERROR([1]来店简报!G105,"")</f>
        <v>13000</v>
      </c>
      <c r="I119" s="135">
        <f>IFERROR([1]来店简报!H105,"")</f>
        <v>14827</v>
      </c>
      <c r="J119" s="135">
        <f>IFERROR([1]来店简报!I105,"")</f>
        <v>16760</v>
      </c>
      <c r="K119" s="135">
        <f>IFERROR([1]来店简报!J105,"")</f>
        <v>19220</v>
      </c>
      <c r="L119" s="135" t="str">
        <f>IFERROR([1]来店简报!K105,"")</f>
        <v/>
      </c>
      <c r="M119" s="136" t="str">
        <f>IFERROR([1]来店简报!L105,"")</f>
        <v/>
      </c>
      <c r="N119" s="136" t="str">
        <f>IFERROR([1]来店简报!M105,"")</f>
        <v/>
      </c>
      <c r="O119" s="135" t="str">
        <f>IFERROR([1]来店简报!N105,"")</f>
        <v/>
      </c>
      <c r="P119" s="135" t="str">
        <f>IFERROR([1]来店简报!O105,"")</f>
        <v/>
      </c>
      <c r="Q119" s="135" t="str">
        <f>IFERROR([1]来店简报!P105,"")</f>
        <v/>
      </c>
      <c r="R119" s="135" t="str">
        <f>IFERROR([1]来店简报!Q105,"")</f>
        <v/>
      </c>
      <c r="S119" s="135" t="str">
        <f>IFERROR([1]来店简报!R105,"")</f>
        <v/>
      </c>
      <c r="T119" s="136" t="str">
        <f>IFERROR([1]来店简报!S105,"")</f>
        <v/>
      </c>
      <c r="U119" s="136" t="str">
        <f>IFERROR([1]来店简报!T105,"")</f>
        <v/>
      </c>
      <c r="V119" s="135" t="str">
        <f>IFERROR([1]来店简报!U105,"")</f>
        <v/>
      </c>
      <c r="W119" s="135" t="str">
        <f>IFERROR([1]来店简报!V105,"")</f>
        <v/>
      </c>
      <c r="X119" s="135" t="str">
        <f>IFERROR([1]来店简报!W105,"")</f>
        <v/>
      </c>
      <c r="Y119" s="135" t="str">
        <f>IFERROR([1]来店简报!X105,"")</f>
        <v/>
      </c>
      <c r="Z119" s="135" t="str">
        <f>IFERROR([1]来店简报!Y105,"")</f>
        <v/>
      </c>
      <c r="AA119" s="136" t="str">
        <f>IFERROR([1]来店简报!Z105,"")</f>
        <v/>
      </c>
      <c r="AB119" s="136" t="str">
        <f>IFERROR([1]来店简报!AA105,"")</f>
        <v/>
      </c>
      <c r="AC119" s="135" t="str">
        <f>IFERROR([1]来店简报!AB105,"")</f>
        <v/>
      </c>
      <c r="AD119" s="135" t="str">
        <f>IFERROR([1]来店简报!AC105,"")</f>
        <v/>
      </c>
      <c r="AE119" s="135" t="str">
        <f>IFERROR([1]来店简报!AD105,"")</f>
        <v/>
      </c>
      <c r="AF119" s="135" t="str">
        <f>IFERROR([1]来店简报!AE105,"")</f>
        <v/>
      </c>
      <c r="AG119" s="5"/>
    </row>
    <row r="120" spans="2:33">
      <c r="B120" s="30" t="s">
        <v>94</v>
      </c>
      <c r="C120" s="135">
        <f>IF([1]来店简报!B108="","",[1]来店简报!B108)</f>
        <v>1287</v>
      </c>
      <c r="D120" s="135">
        <f>IF([1]来店简报!C108="","",[1]来店简报!C108)</f>
        <v>1524</v>
      </c>
      <c r="E120" s="135">
        <f>IF([1]来店简报!D108="","",[1]来店简报!D108)</f>
        <v>1631</v>
      </c>
      <c r="F120" s="136">
        <f>IF([1]来店简报!E108="","",[1]来店简报!E108)</f>
        <v>3001</v>
      </c>
      <c r="G120" s="136">
        <f>IF([1]来店简报!F108="","",[1]来店简报!F108)</f>
        <v>2826</v>
      </c>
      <c r="H120" s="136">
        <f>IF([1]来店简报!G108="","",[1]来店简报!G108)</f>
        <v>2731</v>
      </c>
      <c r="I120" s="135">
        <f>IF([1]来店简报!H108="","",[1]来店简报!H108)</f>
        <v>1827</v>
      </c>
      <c r="J120" s="135">
        <f>IF([1]来店简报!I108="","",[1]来店简报!I108)</f>
        <v>1933</v>
      </c>
      <c r="K120" s="135">
        <f>IF([1]来店简报!J108="","",[1]来店简报!J108)</f>
        <v>2460</v>
      </c>
      <c r="L120" s="135" t="str">
        <f>IF([1]来店简报!K108="","",[1]来店简报!K108)</f>
        <v/>
      </c>
      <c r="M120" s="136" t="str">
        <f>IF([1]来店简报!L108="","",[1]来店简报!L108)</f>
        <v/>
      </c>
      <c r="N120" s="136" t="str">
        <f>IF([1]来店简报!M108="","",[1]来店简报!M108)</f>
        <v/>
      </c>
      <c r="O120" s="135" t="str">
        <f>IF([1]来店简报!N108="","",[1]来店简报!N108)</f>
        <v/>
      </c>
      <c r="P120" s="135" t="str">
        <f>IF([1]来店简报!O108="","",[1]来店简报!O108)</f>
        <v/>
      </c>
      <c r="Q120" s="135" t="str">
        <f>IF([1]来店简报!P108="","",[1]来店简报!P108)</f>
        <v/>
      </c>
      <c r="R120" s="135" t="str">
        <f>IF([1]来店简报!Q108="","",[1]来店简报!Q108)</f>
        <v/>
      </c>
      <c r="S120" s="135" t="str">
        <f>IF([1]来店简报!R108="","",[1]来店简报!R108)</f>
        <v/>
      </c>
      <c r="T120" s="136" t="str">
        <f>IF([1]来店简报!S108="","",[1]来店简报!S108)</f>
        <v/>
      </c>
      <c r="U120" s="136" t="str">
        <f>IF([1]来店简报!T108="","",[1]来店简报!T108)</f>
        <v/>
      </c>
      <c r="V120" s="135" t="str">
        <f>IF([1]来店简报!U108="","",[1]来店简报!U108)</f>
        <v/>
      </c>
      <c r="W120" s="135" t="str">
        <f>IF([1]来店简报!V108="","",[1]来店简报!V108)</f>
        <v/>
      </c>
      <c r="X120" s="135" t="str">
        <f>IF([1]来店简报!W108="","",[1]来店简报!W108)</f>
        <v/>
      </c>
      <c r="Y120" s="135" t="str">
        <f>IF([1]来店简报!X108="","",[1]来店简报!X108)</f>
        <v/>
      </c>
      <c r="Z120" s="135" t="str">
        <f>IF([1]来店简报!Y108="","",[1]来店简报!Y108)</f>
        <v/>
      </c>
      <c r="AA120" s="136" t="str">
        <f>IF([1]来店简报!Z108="","",[1]来店简报!Z108)</f>
        <v/>
      </c>
      <c r="AB120" s="136" t="str">
        <f>IF([1]来店简报!AA108="","",[1]来店简报!AA108)</f>
        <v/>
      </c>
      <c r="AC120" s="135" t="str">
        <f>IF([1]来店简报!AB108="","",[1]来店简报!AB108)</f>
        <v/>
      </c>
      <c r="AD120" s="135" t="str">
        <f>IF([1]来店简报!AC108="","",[1]来店简报!AC108)</f>
        <v/>
      </c>
      <c r="AE120" s="135" t="str">
        <f>IF([1]来店简报!AD108="","",[1]来店简报!AD108)</f>
        <v/>
      </c>
      <c r="AF120" s="135" t="str">
        <f>IF([1]来店简报!AE108="","",[1]来店简报!AE108)</f>
        <v/>
      </c>
      <c r="AG120" s="5"/>
    </row>
    <row r="121" spans="2:33">
      <c r="B121" s="30" t="s">
        <v>96</v>
      </c>
      <c r="C121" s="139">
        <f>IFERROR(C120/C117-1,"")</f>
        <v>-0.3728070175438597</v>
      </c>
      <c r="D121" s="139">
        <f t="shared" ref="D121:AD121" si="4">IFERROR(D120/D117-1,"")</f>
        <v>0.36681614349775793</v>
      </c>
      <c r="E121" s="139">
        <f t="shared" si="4"/>
        <v>0.55038022813688214</v>
      </c>
      <c r="F121" s="139">
        <f t="shared" si="4"/>
        <v>1.7942271880819365</v>
      </c>
      <c r="G121" s="139">
        <f t="shared" si="4"/>
        <v>1.5784671532846715</v>
      </c>
      <c r="H121" s="139">
        <f t="shared" si="4"/>
        <v>1.216720779220779</v>
      </c>
      <c r="I121" s="139">
        <f t="shared" si="4"/>
        <v>-0.15494912118408877</v>
      </c>
      <c r="J121" s="139">
        <f t="shared" si="4"/>
        <v>-0.10259981429897869</v>
      </c>
      <c r="K121" s="139">
        <f t="shared" si="4"/>
        <v>1.2023276633840645</v>
      </c>
      <c r="L121" s="139" t="str">
        <f t="shared" si="4"/>
        <v/>
      </c>
      <c r="M121" s="139" t="str">
        <f t="shared" si="4"/>
        <v/>
      </c>
      <c r="N121" s="139" t="str">
        <f t="shared" si="4"/>
        <v/>
      </c>
      <c r="O121" s="139" t="str">
        <f t="shared" si="4"/>
        <v/>
      </c>
      <c r="P121" s="139" t="str">
        <f t="shared" si="4"/>
        <v/>
      </c>
      <c r="Q121" s="139" t="str">
        <f t="shared" si="4"/>
        <v/>
      </c>
      <c r="R121" s="139" t="str">
        <f t="shared" si="4"/>
        <v/>
      </c>
      <c r="S121" s="139" t="str">
        <f t="shared" si="4"/>
        <v/>
      </c>
      <c r="T121" s="139" t="str">
        <f t="shared" si="4"/>
        <v/>
      </c>
      <c r="U121" s="139" t="str">
        <f t="shared" si="4"/>
        <v/>
      </c>
      <c r="V121" s="139" t="str">
        <f t="shared" si="4"/>
        <v/>
      </c>
      <c r="W121" s="139" t="str">
        <f t="shared" si="4"/>
        <v/>
      </c>
      <c r="X121" s="139" t="str">
        <f t="shared" si="4"/>
        <v/>
      </c>
      <c r="Y121" s="139" t="str">
        <f t="shared" si="4"/>
        <v/>
      </c>
      <c r="Z121" s="139" t="str">
        <f t="shared" si="4"/>
        <v/>
      </c>
      <c r="AA121" s="139" t="str">
        <f t="shared" si="4"/>
        <v/>
      </c>
      <c r="AB121" s="139" t="str">
        <f t="shared" si="4"/>
        <v/>
      </c>
      <c r="AC121" s="139" t="str">
        <f t="shared" si="4"/>
        <v/>
      </c>
      <c r="AD121" s="139" t="str">
        <f t="shared" si="4"/>
        <v/>
      </c>
      <c r="AE121" s="139" t="s">
        <v>88</v>
      </c>
      <c r="AF121" s="139" t="s">
        <v>88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33 I33 O33 U33 AA33">
    <cfRule type="expression" dxfId="26" priority="4">
      <formula>#REF!&gt;5</formula>
    </cfRule>
  </conditionalFormatting>
  <conditionalFormatting sqref="C31:AF31">
    <cfRule type="expression" dxfId="25" priority="2">
      <formula>#REF!&gt;5</formula>
    </cfRule>
  </conditionalFormatting>
  <conditionalFormatting sqref="C74:AF77">
    <cfRule type="expression" dxfId="24" priority="5">
      <formula>#REF!&gt;5</formula>
    </cfRule>
  </conditionalFormatting>
  <conditionalFormatting sqref="C117:AF120">
    <cfRule type="expression" dxfId="23" priority="3">
      <formula>#REF!&gt;5</formula>
    </cfRule>
  </conditionalFormatting>
  <conditionalFormatting sqref="D33:H36 J33:N36 P33:T37 V33:Z37 AB33:AF37 L37:N37">
    <cfRule type="expression" dxfId="22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tabSelected="1" topLeftCell="I1" workbookViewId="0">
      <selection activeCell="AG13" sqref="AG13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8.5" style="2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68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69" t="str">
        <f>"【整体来店】"&amp;CHAR(10)&amp;"ICE+NEV累计来店 "&amp;TEXT($O$24,"0,000")&amp;"；"&amp;"当日来店 "&amp;TEXT($B$24,"0,000")&amp;CHAR(10)&amp;"① ICE累计来店 "&amp;TEXT($O$26,"0,000")&amp;"；"&amp;"当日来店 "&amp;TEXT($B$26,"0,000")&amp;CHAR(10)&amp;"② NEV累计来店 "&amp;TEXT($O$25,"0,000")&amp;"；"&amp;"当日来店 "&amp;TEXT($B$25,"0,000")</f>
        <v>【整体来店】
ICE+NEV累计来店 32,500；当日来店 3,734
① ICE累计来店 13,280；当日来店 1,274
② NEV累计来店 19,220；当日来店 2,460</v>
      </c>
    </row>
    <row r="3" spans="1:33" ht="15" customHeight="1">
      <c r="A3" s="3" t="str">
        <f>"请查收"&amp;[1]ICE来店报表!AA2&amp;"月1-"&amp;[1]ICE来店报表!AA1&amp;"日的来店业绩："</f>
        <v>请查收4月1-9日的来店业绩：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f>"1、奇骏荣誉当日来店目标"&amp;TEXT([1]奇骏系列!#REF!,"0")&amp;"，实绩"&amp;[1]奇骏系列!#REF!&amp;"，达成率"&amp;TEXT([1]奇骏系列!#REF!,"0.0%")&amp;"；月累来店目标"&amp;TEXT([1]奇骏系列!#REF!,"0")&amp;"，实绩"&amp;[1]奇骏系列!#REF!&amp;"，达成率"&amp;TEXT([1]奇骏系列!#REF!,"0.0%")&amp;"；月度目标"&amp;[1]奇骏系列!G3&amp;"，达成率"&amp;TEXT([1]奇骏系列!I3,"0.0%")&amp;"，环比"&amp;TEXT([1]奇骏系列!N3,"0.0%")&amp;"，同比"&amp;TEXT([1]奇骏系列!M3,"0.0%")</f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tr">
        <f>"1、ICE+NEV合计来店："&amp;[1]ICE来店报表!AA1&amp;"日来店量"&amp;TEXT(B24,"0,000")&amp;"，1-"&amp;[1]ICE来店报表!AA1&amp;"日来店总量"&amp;TEXT([1]新旧店!AK33,"0,000")&amp;"，同比"&amp;TEXT([1]新旧店!AL33,"0.0%")&amp;"，环比"&amp;TEXT([1]新旧店!AM33,"0.0%")</f>
        <v>1、ICE+NEV合计来店：9日来店量3,734，1-9日来店总量32,500，同比-3.0%，环比-8.6%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tr">
        <f>"2、ICE（油车）来店：管控目标："&amp;[1]ICE来店报表!AA1&amp;"日来店目标"&amp;TEXT([1]ICE来店报表!G6,"0")&amp;"，来店量"&amp;TEXT([1]ICE来店报表!H6,"0,000")&amp;"，达成率"&amp;TEXT([1]ICE来店报表!I6,"0.0%")&amp;"；月累来店目标"&amp;TEXT([1]ICE来店报表!J6,"0")&amp;"，来店量"&amp;TEXT([1]ICE来店报表!K6,"0,000")&amp;"，达成率"&amp;TEXT([1]ICE来店报表!L6,"0.0%")&amp;"；月度目标"&amp;[1]ICE来店报表!M6&amp;"，达成率"&amp;TEXT([1]ICE来店报表!O6,"0.0%")&amp;"；同比"&amp;TEXT([1]ICE来店报表!S6,"0.0%")&amp;"，环比"&amp;TEXT([1]ICE来店报表!T6,"0.0%")&amp;"；必达目标"&amp;K24&amp;"，达成率"&amp;TEXT(L24,"0.0%")</f>
        <v>2、ICE（油车）来店：管控目标：9日来店目标0，来店量1,274，达成率-；月累来店目标0，来店量13,280，达成率-；月度目标0，达成率-；同比-59.7%，环比-41.0%；必达目标，达成率-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tr">
        <f>"3、NEV来店："&amp;[1]ICE来店报表!AA1&amp;"日来店量"&amp;TEXT(P213,"0,000")&amp;"，1-"&amp;[1]ICE来店报表!AA1&amp;"日来店总量"&amp;TEXT([1]新旧店!AH33,"0,000")&amp;"，环比"&amp;TEXT([1]新旧店!AS33,"0.0%")</f>
        <v>3、NEV来店：9日来店量2,460，1-9日来店总量19,220，环比47.2%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tr">
        <f>"—自然来店"&amp;TEXT(C61,"0,000")&amp;"，达成率"&amp;TEXT(E61,"0.0%")&amp;"，同比"&amp;TEXT(I61,"0.0%")&amp;"，环比"&amp;TEXT(J61,"0.0%")&amp;"；"</f>
        <v>—自然来店7,515，达成率-，同比-55.9%，环比-39.1%；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tr">
        <f>"—开拓渠道来店"&amp;TEXT(C62,"0,000")&amp;"，达成率"&amp;TEXT(E62,"0.0%")&amp;"，同比"&amp;TEXT(I62,"0.0%")&amp;"，环比"&amp;TEXT(J62,"0.0%")&amp;"；"</f>
        <v>—开拓渠道来店4,948，达成率-，同比-64.8%，环比-44.6%；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tr">
        <f>"—保有客户来店"&amp;TEXT(C63,"0,000")&amp;"，达成率"&amp;TEXT(E63,"0.0%")&amp;"，同比"&amp;TEXT(I63,"0.0%")&amp;"，环比"&amp;TEXT(J63,"0.0%")</f>
        <v>—保有客户来店0,817，达成率-，同比-54.7%，环比-34.1%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f>"—有效线索总量"&amp;B134&amp;"，同比"&amp;TEXT(F134,"0.0%")&amp;"，环比"&amp;TEXT(G134,"0.0%")</f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idden="1">
      <c r="A19" s="5" t="e">
        <f>"—线索有效率"&amp;TEXT(H134,"0.0%")&amp;"，到店率"&amp;TEXT(I134,"0.0%")&amp;"，成交率"&amp;TEXT(J134,"0.0%")&amp;"，有效线索转化率"&amp;TEXT(K134,"0.0%")&amp;"，线索转化率"&amp;TEXT(L134,"0.0%")</f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60" t="s">
        <v>4</v>
      </c>
      <c r="B22" s="161"/>
      <c r="C22" s="161"/>
      <c r="D22" s="161"/>
      <c r="E22" s="161"/>
      <c r="F22" s="161"/>
      <c r="G22" s="161"/>
      <c r="H22" s="161"/>
      <c r="I22" s="161"/>
      <c r="J22" s="162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f>SUM(B25:B26)</f>
        <v>3734</v>
      </c>
      <c r="C24" s="20">
        <f>SUM(C25:C26)</f>
        <v>32500</v>
      </c>
      <c r="D24" s="21">
        <v>228521</v>
      </c>
      <c r="E24" s="22">
        <f>IFERROR(C24/D24,"-")</f>
        <v>0.14221887703974689</v>
      </c>
      <c r="F24" s="22">
        <f>[1]ICE来店报表!$P$6</f>
        <v>0.3</v>
      </c>
      <c r="G24" s="20">
        <f>[1]ICE来店报表!Q6</f>
        <v>32920</v>
      </c>
      <c r="H24" s="23">
        <f>SUM(H25:H26)</f>
        <v>35559</v>
      </c>
      <c r="I24" s="24">
        <f>IFERROR(C24/G24-1,"-")</f>
        <v>-1.2758201701093541E-2</v>
      </c>
      <c r="J24" s="22">
        <f>IFERROR(C24/H24-1,"-")</f>
        <v>-8.60260412272561E-2</v>
      </c>
      <c r="K24" s="16"/>
      <c r="L24" s="16" t="str">
        <f>IFERROR(C24/K24,"-")</f>
        <v>-</v>
      </c>
      <c r="M24" s="25"/>
      <c r="N24" s="26" t="s">
        <v>17</v>
      </c>
      <c r="O24" s="27">
        <f>SUM(O25:O26)</f>
        <v>32500</v>
      </c>
    </row>
    <row r="25" spans="1:32" s="18" customFormat="1" ht="25.5" customHeight="1">
      <c r="A25" s="29" t="s">
        <v>18</v>
      </c>
      <c r="B25" s="20">
        <f>B97</f>
        <v>2460</v>
      </c>
      <c r="C25" s="20">
        <f>C97</f>
        <v>19220</v>
      </c>
      <c r="D25" s="20">
        <v>100601</v>
      </c>
      <c r="E25" s="22">
        <f>IFERROR(C25/D25,"-")</f>
        <v>0.19105177880935578</v>
      </c>
      <c r="F25" s="22">
        <f>[1]ICE来店报表!$P$6</f>
        <v>0.3</v>
      </c>
      <c r="G25" s="20">
        <f>G97</f>
        <v>569</v>
      </c>
      <c r="H25" s="20">
        <f>H97</f>
        <v>13054</v>
      </c>
      <c r="I25" s="20">
        <f>IFERROR(C25/G25-1,"-")</f>
        <v>32.77855887521968</v>
      </c>
      <c r="J25" s="22">
        <f>IFERROR(C25/H25-1,"-")</f>
        <v>0.47234564118277933</v>
      </c>
      <c r="K25" s="17"/>
      <c r="L25" s="17"/>
      <c r="M25" s="17"/>
      <c r="N25" s="17" t="s">
        <v>19</v>
      </c>
      <c r="O25" s="30">
        <f>SUM($B$108:$AF$108)</f>
        <v>19220</v>
      </c>
    </row>
    <row r="26" spans="1:32" s="18" customFormat="1" ht="25.5" customHeight="1">
      <c r="A26" s="29" t="s">
        <v>20</v>
      </c>
      <c r="B26" s="20">
        <f>B60</f>
        <v>1274</v>
      </c>
      <c r="C26" s="20">
        <f>C60</f>
        <v>13280</v>
      </c>
      <c r="D26" s="20">
        <v>127920</v>
      </c>
      <c r="E26" s="22">
        <f>IFERROR(C26/D26,"-")</f>
        <v>0.10381488430268918</v>
      </c>
      <c r="F26" s="22">
        <f>[1]ICE来店报表!$P$6</f>
        <v>0.3</v>
      </c>
      <c r="G26" s="20">
        <f>[1]新旧店!AB5</f>
        <v>32920</v>
      </c>
      <c r="H26" s="20">
        <f>[1]新旧店!AC5</f>
        <v>22505</v>
      </c>
      <c r="I26" s="22">
        <f>IFERROR(C26/G26-1,"-")</f>
        <v>-0.59659781287970837</v>
      </c>
      <c r="J26" s="22">
        <f>IFERROR(C26/H26-1,"-")</f>
        <v>-0.40990890913130418</v>
      </c>
      <c r="K26" s="17"/>
      <c r="L26" s="17"/>
      <c r="M26" s="17"/>
      <c r="N26" s="18" t="s">
        <v>21</v>
      </c>
      <c r="O26" s="31">
        <f>SUM($B$74:$AF$74)</f>
        <v>13280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 t="s">
        <v>22</v>
      </c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 t="s">
        <v>23</v>
      </c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tr">
        <f>[1]ICE来店报表!AA2&amp;"月累计目标"</f>
        <v>4月累计目标</v>
      </c>
      <c r="B33" s="41">
        <f>IF(B37&gt;1,SUM($B36:B36),NA())</f>
        <v>0</v>
      </c>
      <c r="C33" s="41">
        <f>IF(C37&gt;1,SUM($B36:C36),NA())</f>
        <v>0</v>
      </c>
      <c r="D33" s="41">
        <f>IF(D37&gt;1,SUM($B36:D36),NA())</f>
        <v>0</v>
      </c>
      <c r="E33" s="41">
        <f>IF(E37&gt;1,SUM($B36:E36),NA())</f>
        <v>0</v>
      </c>
      <c r="F33" s="41">
        <f>IF(F37&gt;1,SUM($B36:F36),NA())</f>
        <v>0</v>
      </c>
      <c r="G33" s="41">
        <f>IF(G37&gt;1,SUM($B36:G36),NA())</f>
        <v>0</v>
      </c>
      <c r="H33" s="41">
        <f>IF(H37&gt;1,SUM($B36:H36),NA())</f>
        <v>0</v>
      </c>
      <c r="I33" s="41">
        <f>IF(I37&gt;1,SUM($B36:I36),NA())</f>
        <v>0</v>
      </c>
      <c r="J33" s="41">
        <f>IF(J37&gt;1,SUM($B36:J36),NA())</f>
        <v>0</v>
      </c>
      <c r="K33" s="41" t="e">
        <f>IF(K37&gt;1,SUM($B36:K36),NA())</f>
        <v>#N/A</v>
      </c>
      <c r="L33" s="41" t="e">
        <f>IF(L37&gt;1,SUM($B36:L36),NA())</f>
        <v>#N/A</v>
      </c>
      <c r="M33" s="41" t="e">
        <f>IF(M37&gt;1,SUM($B36:M36),NA())</f>
        <v>#N/A</v>
      </c>
      <c r="N33" s="41" t="e">
        <f>IF(N37&gt;1,SUM($B36:N36),NA())</f>
        <v>#N/A</v>
      </c>
      <c r="O33" s="41" t="e">
        <f>IF(O37&gt;1,SUM($B36:O36),NA())</f>
        <v>#N/A</v>
      </c>
      <c r="P33" s="41" t="e">
        <f>IF(P37&gt;1,SUM($B36:P36),NA())</f>
        <v>#N/A</v>
      </c>
      <c r="Q33" s="41" t="e">
        <f>IF(Q37&gt;1,SUM($B36:Q36),NA())</f>
        <v>#N/A</v>
      </c>
      <c r="R33" s="41" t="e">
        <f>IF(R37&gt;1,SUM($B36:R36),NA())</f>
        <v>#N/A</v>
      </c>
      <c r="S33" s="41" t="e">
        <f>IF(S37&gt;1,SUM($B36:S36),NA())</f>
        <v>#N/A</v>
      </c>
      <c r="T33" s="41" t="e">
        <f>IF(T37&gt;1,SUM($B36:T36),NA())</f>
        <v>#N/A</v>
      </c>
      <c r="U33" s="41" t="e">
        <f>IF(U37&gt;1,SUM($B36:U36),NA())</f>
        <v>#N/A</v>
      </c>
      <c r="V33" s="41" t="e">
        <f>IF(V37&gt;1,SUM($B36:V36),NA())</f>
        <v>#N/A</v>
      </c>
      <c r="W33" s="41" t="e">
        <f>IF(W37&gt;1,SUM($B36:W36),NA())</f>
        <v>#N/A</v>
      </c>
      <c r="X33" s="41" t="e">
        <f>IF(X37&gt;1,SUM($B36:X36),NA())</f>
        <v>#N/A</v>
      </c>
      <c r="Y33" s="41" t="e">
        <f>IF(Y37&gt;1,SUM($B36:Y36),NA())</f>
        <v>#N/A</v>
      </c>
      <c r="Z33" s="41" t="e">
        <f>IF(Z37&gt;1,SUM($B36:Z36),NA())</f>
        <v>#N/A</v>
      </c>
      <c r="AA33" s="41" t="e">
        <f>IF(AA37&gt;1,SUM($B36:AA36),NA())</f>
        <v>#N/A</v>
      </c>
      <c r="AB33" s="41" t="e">
        <f>IF(AB37&gt;1,SUM($B36:AB36),NA())</f>
        <v>#N/A</v>
      </c>
      <c r="AC33" s="41" t="e">
        <f>IF(AC37&gt;1,SUM($B36:AC36),NA())</f>
        <v>#N/A</v>
      </c>
      <c r="AD33" s="41" t="e">
        <f>IF(AD37&gt;1,SUM($B36:AD36),NA())</f>
        <v>#N/A</v>
      </c>
      <c r="AE33" s="41" t="e">
        <f>IF(AE37&gt;1,SUM($B36:AE36),NA())</f>
        <v>#N/A</v>
      </c>
      <c r="AF33" s="41" t="e">
        <f>IF(AF37&gt;1,SUM($B36:AF36),NA())</f>
        <v>#N/A</v>
      </c>
    </row>
    <row r="34" spans="1:33" s="38" customFormat="1" ht="24" customHeight="1">
      <c r="A34" s="35" t="str">
        <f>[1]ICE来店报表!AA2&amp;"月累计来店"</f>
        <v>4月累计来店</v>
      </c>
      <c r="B34" s="41">
        <f>IF(B37&gt;1,SUM($B37:B37),NA())</f>
        <v>2474</v>
      </c>
      <c r="C34" s="41">
        <f>IF(C37&gt;1,SUM($B37:C37),NA())</f>
        <v>5004</v>
      </c>
      <c r="D34" s="41">
        <f>IF(D37&gt;1,SUM($B37:D37),NA())</f>
        <v>7694</v>
      </c>
      <c r="E34" s="41">
        <f>IF(E37&gt;1,SUM($B37:E37),NA())</f>
        <v>12637</v>
      </c>
      <c r="F34" s="41">
        <f>IF(F37&gt;1,SUM($B37:F37),NA())</f>
        <v>17745</v>
      </c>
      <c r="G34" s="41">
        <f>IF(G37&gt;1,SUM($B37:G37),NA())</f>
        <v>22427</v>
      </c>
      <c r="H34" s="41">
        <f>IF(H37&gt;1,SUM($B37:H37),NA())</f>
        <v>25599</v>
      </c>
      <c r="I34" s="41">
        <f>IF(I37&gt;1,SUM($B37:I37),NA())</f>
        <v>28766</v>
      </c>
      <c r="J34" s="41">
        <f>IF(J37&gt;1,SUM($B37:J37),NA())</f>
        <v>32500</v>
      </c>
      <c r="K34" s="41" t="e">
        <f>IF(K37&gt;1,SUM($B37:K37),NA())</f>
        <v>#N/A</v>
      </c>
      <c r="L34" s="41" t="e">
        <f>IF(L37&gt;1,SUM($B37:L37),NA())</f>
        <v>#N/A</v>
      </c>
      <c r="M34" s="41" t="e">
        <f>IF(M37&gt;1,SUM($B37:M37),NA())</f>
        <v>#N/A</v>
      </c>
      <c r="N34" s="41" t="e">
        <f>IF(N37&gt;1,SUM($B37:N37),NA())</f>
        <v>#N/A</v>
      </c>
      <c r="O34" s="41" t="e">
        <f>IF(O37&gt;1,SUM($B37:O37),NA())</f>
        <v>#N/A</v>
      </c>
      <c r="P34" s="41" t="e">
        <f>IF(P37&gt;1,SUM($B37:P37),NA())</f>
        <v>#N/A</v>
      </c>
      <c r="Q34" s="41" t="e">
        <f>IF(Q37&gt;1,SUM($B37:Q37),NA())</f>
        <v>#N/A</v>
      </c>
      <c r="R34" s="41" t="e">
        <f>IF(R37&gt;1,SUM($B37:R37),NA())</f>
        <v>#N/A</v>
      </c>
      <c r="S34" s="41" t="e">
        <f>IF(S37&gt;1,SUM($B37:S37),NA())</f>
        <v>#N/A</v>
      </c>
      <c r="T34" s="41" t="e">
        <f>IF(T37&gt;1,SUM($B37:T37),NA())</f>
        <v>#N/A</v>
      </c>
      <c r="U34" s="41" t="e">
        <f>IF(U37&gt;1,SUM($B37:U37),NA())</f>
        <v>#N/A</v>
      </c>
      <c r="V34" s="41" t="e">
        <f>IF(V37&gt;1,SUM($B37:V37),NA())</f>
        <v>#N/A</v>
      </c>
      <c r="W34" s="41" t="e">
        <f>IF(W37&gt;1,SUM($B37:W37),NA())</f>
        <v>#N/A</v>
      </c>
      <c r="X34" s="41" t="e">
        <f>IF(X37&gt;1,SUM($B37:X37),NA())</f>
        <v>#N/A</v>
      </c>
      <c r="Y34" s="41" t="e">
        <f>IF(Y37&gt;1,SUM($B37:Y37),NA())</f>
        <v>#N/A</v>
      </c>
      <c r="Z34" s="41" t="e">
        <f>IF(Z37&gt;1,SUM($B37:Z37),NA())</f>
        <v>#N/A</v>
      </c>
      <c r="AA34" s="41" t="e">
        <f>IF(AA37&gt;1,SUM($B37:AA37),NA())</f>
        <v>#N/A</v>
      </c>
      <c r="AB34" s="41" t="e">
        <f>IF(AB37&gt;1,SUM($B37:AB37),NA())</f>
        <v>#N/A</v>
      </c>
      <c r="AC34" s="41" t="e">
        <f>IF(AC37&gt;1,SUM($B37:AC37),NA())</f>
        <v>#N/A</v>
      </c>
      <c r="AD34" s="41" t="e">
        <f>IF(AD37&gt;1,SUM($B37:AD37),NA())</f>
        <v>#N/A</v>
      </c>
      <c r="AE34" s="41" t="e">
        <f>IF(AE37&gt;1,SUM($B37:AE37),NA())</f>
        <v>#N/A</v>
      </c>
      <c r="AF34" s="41" t="e">
        <f>IF(AF37&gt;1,SUM($B37:AF37),NA())</f>
        <v>#N/A</v>
      </c>
      <c r="AG34" s="41"/>
    </row>
    <row r="35" spans="1:33" s="38" customFormat="1" ht="24" customHeight="1">
      <c r="A35" s="35" t="str">
        <f>[1]ICE来店报表!AA2&amp;"月同期来店"</f>
        <v>4月同期来店</v>
      </c>
      <c r="B35" s="41">
        <f>SUM(B38)</f>
        <v>2472</v>
      </c>
      <c r="C35" s="41">
        <f>SUM(B38:C38)</f>
        <v>5113</v>
      </c>
      <c r="D35" s="41">
        <f>SUM(B38:D38)</f>
        <v>7880</v>
      </c>
      <c r="E35" s="41">
        <f>SUM(B38:E38)</f>
        <v>12875</v>
      </c>
      <c r="F35" s="41">
        <f>SUM(B38:F38)</f>
        <v>18219</v>
      </c>
      <c r="G35" s="41">
        <f>SUM(B38:G38)</f>
        <v>22950</v>
      </c>
      <c r="H35" s="41">
        <f>SUM(B38:H38)</f>
        <v>26074</v>
      </c>
      <c r="I35" s="41">
        <f>SUM(B38:I38)</f>
        <v>30005</v>
      </c>
      <c r="J35" s="41">
        <f>SUM(B38:J38)</f>
        <v>33489</v>
      </c>
      <c r="K35" s="41">
        <f>SUM(B38:K38)</f>
        <v>36953</v>
      </c>
      <c r="L35" s="41">
        <f>SUM(B38:L38)</f>
        <v>40686</v>
      </c>
      <c r="M35" s="41">
        <f>SUM(B38:M38)</f>
        <v>45304</v>
      </c>
      <c r="N35" s="41">
        <f>SUM(B38:N38)</f>
        <v>50873</v>
      </c>
      <c r="O35" s="41">
        <f>SUM(B38:O38)</f>
        <v>55207</v>
      </c>
      <c r="P35" s="41">
        <f>SUM(B38:P38)</f>
        <v>58224</v>
      </c>
      <c r="Q35" s="41">
        <f>SUM(B38:Q38)</f>
        <v>61301</v>
      </c>
      <c r="R35" s="41">
        <f>SUM(B38:R38)</f>
        <v>64383</v>
      </c>
      <c r="S35" s="41">
        <f>SUM(B38:S38)</f>
        <v>67582</v>
      </c>
      <c r="T35" s="41">
        <f>SUM(B38:T38)</f>
        <v>73159</v>
      </c>
      <c r="U35" s="41">
        <f>SUM(B38:U38)</f>
        <v>79097</v>
      </c>
      <c r="V35" s="41">
        <f>SUM(B38:V38)</f>
        <v>83362</v>
      </c>
      <c r="W35" s="41">
        <f>SUM(B38:W38)</f>
        <v>87065</v>
      </c>
      <c r="X35" s="41">
        <f>SUM(B38:X38)</f>
        <v>91239</v>
      </c>
      <c r="Y35" s="41">
        <f>SUM(B38:Y38)</f>
        <v>95384</v>
      </c>
      <c r="Z35" s="41">
        <f>SUM(B38:Z38)</f>
        <v>100036</v>
      </c>
      <c r="AA35" s="41">
        <f>SUM(B38:AA38)</f>
        <v>105601</v>
      </c>
      <c r="AB35" s="41">
        <f>SUM(B38:AB38)</f>
        <v>110760</v>
      </c>
      <c r="AC35" s="41">
        <f>SUM(B38:AC38)</f>
        <v>116471</v>
      </c>
      <c r="AD35" s="41">
        <f>SUM(C38:AD38)</f>
        <v>121628</v>
      </c>
      <c r="AE35" s="41">
        <f>SUM(D38:AE38)</f>
        <v>126375</v>
      </c>
      <c r="AF35" s="41">
        <f>SUM(E38:AF38)</f>
        <v>123608</v>
      </c>
    </row>
    <row r="36" spans="1:33" s="38" customFormat="1" ht="24" customHeight="1">
      <c r="A36" s="35" t="s">
        <v>24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25</v>
      </c>
      <c r="B37" s="42">
        <f>B74+B108</f>
        <v>2474</v>
      </c>
      <c r="C37" s="42">
        <f t="shared" ref="C37:AB37" si="0">C74+C108</f>
        <v>2530</v>
      </c>
      <c r="D37" s="42">
        <f t="shared" si="0"/>
        <v>2690</v>
      </c>
      <c r="E37" s="42">
        <f>E74+E108</f>
        <v>4943</v>
      </c>
      <c r="F37" s="42">
        <f t="shared" si="0"/>
        <v>5108</v>
      </c>
      <c r="G37" s="42">
        <f t="shared" si="0"/>
        <v>4682</v>
      </c>
      <c r="H37" s="42">
        <f t="shared" si="0"/>
        <v>3172</v>
      </c>
      <c r="I37" s="42">
        <f t="shared" si="0"/>
        <v>3167</v>
      </c>
      <c r="J37" s="42">
        <f t="shared" si="0"/>
        <v>3734</v>
      </c>
      <c r="K37" s="42">
        <f t="shared" si="0"/>
        <v>0</v>
      </c>
      <c r="L37" s="42">
        <f t="shared" si="0"/>
        <v>0</v>
      </c>
      <c r="M37" s="42">
        <f t="shared" si="0"/>
        <v>0</v>
      </c>
      <c r="N37" s="42">
        <f t="shared" si="0"/>
        <v>0</v>
      </c>
      <c r="O37" s="42">
        <f t="shared" si="0"/>
        <v>0</v>
      </c>
      <c r="P37" s="42">
        <f t="shared" si="0"/>
        <v>0</v>
      </c>
      <c r="Q37" s="42">
        <f t="shared" si="0"/>
        <v>0</v>
      </c>
      <c r="R37" s="42">
        <f t="shared" si="0"/>
        <v>0</v>
      </c>
      <c r="S37" s="42">
        <f t="shared" si="0"/>
        <v>0</v>
      </c>
      <c r="T37" s="42">
        <f t="shared" si="0"/>
        <v>0</v>
      </c>
      <c r="U37" s="42">
        <f t="shared" si="0"/>
        <v>0</v>
      </c>
      <c r="V37" s="42">
        <f t="shared" si="0"/>
        <v>0</v>
      </c>
      <c r="W37" s="42">
        <f t="shared" si="0"/>
        <v>0</v>
      </c>
      <c r="X37" s="42">
        <f t="shared" si="0"/>
        <v>0</v>
      </c>
      <c r="Y37" s="42">
        <f t="shared" si="0"/>
        <v>0</v>
      </c>
      <c r="Z37" s="42">
        <f t="shared" si="0"/>
        <v>0</v>
      </c>
      <c r="AA37" s="42">
        <f t="shared" si="0"/>
        <v>0</v>
      </c>
      <c r="AB37" s="42">
        <f t="shared" si="0"/>
        <v>0</v>
      </c>
      <c r="AC37" s="42">
        <f>AC74+AC108</f>
        <v>0</v>
      </c>
      <c r="AD37" s="42">
        <f>AD74+AD108</f>
        <v>0</v>
      </c>
      <c r="AE37" s="42">
        <f>AE74+AE108</f>
        <v>0</v>
      </c>
      <c r="AF37" s="42">
        <f>AF74+AF108</f>
        <v>0</v>
      </c>
    </row>
    <row r="38" spans="1:33" s="38" customFormat="1" ht="24" customHeight="1">
      <c r="A38" s="39" t="s">
        <v>26</v>
      </c>
      <c r="B38" s="42">
        <f>B75+B110</f>
        <v>2472</v>
      </c>
      <c r="C38" s="42">
        <f t="shared" ref="C38:AE38" si="1">C75+C110</f>
        <v>2641</v>
      </c>
      <c r="D38" s="42">
        <f t="shared" si="1"/>
        <v>2767</v>
      </c>
      <c r="E38" s="42">
        <f t="shared" si="1"/>
        <v>4995</v>
      </c>
      <c r="F38" s="42">
        <f t="shared" si="1"/>
        <v>5344</v>
      </c>
      <c r="G38" s="42">
        <f t="shared" si="1"/>
        <v>4731</v>
      </c>
      <c r="H38" s="42">
        <f t="shared" si="1"/>
        <v>3124</v>
      </c>
      <c r="I38" s="42">
        <f t="shared" si="1"/>
        <v>3931</v>
      </c>
      <c r="J38" s="42">
        <f t="shared" si="1"/>
        <v>3484</v>
      </c>
      <c r="K38" s="42">
        <f t="shared" si="1"/>
        <v>3464</v>
      </c>
      <c r="L38" s="42">
        <f t="shared" si="1"/>
        <v>3733</v>
      </c>
      <c r="M38" s="42">
        <f t="shared" si="1"/>
        <v>4618</v>
      </c>
      <c r="N38" s="42">
        <f t="shared" si="1"/>
        <v>5569</v>
      </c>
      <c r="O38" s="42">
        <f t="shared" si="1"/>
        <v>4334</v>
      </c>
      <c r="P38" s="42">
        <f t="shared" si="1"/>
        <v>3017</v>
      </c>
      <c r="Q38" s="42">
        <f t="shared" si="1"/>
        <v>3077</v>
      </c>
      <c r="R38" s="42">
        <f t="shared" si="1"/>
        <v>3082</v>
      </c>
      <c r="S38" s="42">
        <f t="shared" si="1"/>
        <v>3199</v>
      </c>
      <c r="T38" s="42">
        <f t="shared" si="1"/>
        <v>5577</v>
      </c>
      <c r="U38" s="42">
        <f t="shared" si="1"/>
        <v>5938</v>
      </c>
      <c r="V38" s="42">
        <f t="shared" si="1"/>
        <v>4265</v>
      </c>
      <c r="W38" s="42">
        <f t="shared" si="1"/>
        <v>3703</v>
      </c>
      <c r="X38" s="42">
        <f t="shared" si="1"/>
        <v>4174</v>
      </c>
      <c r="Y38" s="42">
        <f t="shared" si="1"/>
        <v>4145</v>
      </c>
      <c r="Z38" s="42">
        <f t="shared" si="1"/>
        <v>4652</v>
      </c>
      <c r="AA38" s="42">
        <f t="shared" si="1"/>
        <v>5565</v>
      </c>
      <c r="AB38" s="42">
        <f t="shared" si="1"/>
        <v>5159</v>
      </c>
      <c r="AC38" s="42">
        <f t="shared" si="1"/>
        <v>5711</v>
      </c>
      <c r="AD38" s="42">
        <f t="shared" si="1"/>
        <v>7629</v>
      </c>
      <c r="AE38" s="42">
        <f t="shared" si="1"/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f>WEEKDAY(B32,2)</f>
        <v>3</v>
      </c>
      <c r="C45" s="37">
        <f t="shared" ref="C45:AF45" si="2">WEEKDAY(C32,2)</f>
        <v>4</v>
      </c>
      <c r="D45" s="37">
        <f t="shared" si="2"/>
        <v>5</v>
      </c>
      <c r="E45" s="37">
        <f t="shared" si="2"/>
        <v>6</v>
      </c>
      <c r="F45" s="37">
        <f t="shared" si="2"/>
        <v>7</v>
      </c>
      <c r="G45" s="37">
        <f t="shared" si="2"/>
        <v>1</v>
      </c>
      <c r="H45" s="37">
        <f t="shared" si="2"/>
        <v>2</v>
      </c>
      <c r="I45" s="37">
        <f t="shared" si="2"/>
        <v>3</v>
      </c>
      <c r="J45" s="37">
        <f t="shared" si="2"/>
        <v>4</v>
      </c>
      <c r="K45" s="37">
        <f t="shared" si="2"/>
        <v>5</v>
      </c>
      <c r="L45" s="37">
        <f t="shared" si="2"/>
        <v>6</v>
      </c>
      <c r="M45" s="37">
        <f t="shared" si="2"/>
        <v>7</v>
      </c>
      <c r="N45" s="37">
        <f t="shared" si="2"/>
        <v>1</v>
      </c>
      <c r="O45" s="37">
        <f t="shared" si="2"/>
        <v>2</v>
      </c>
      <c r="P45" s="37">
        <f t="shared" si="2"/>
        <v>3</v>
      </c>
      <c r="Q45" s="37">
        <f t="shared" si="2"/>
        <v>4</v>
      </c>
      <c r="R45" s="37">
        <f t="shared" si="2"/>
        <v>5</v>
      </c>
      <c r="S45" s="37">
        <f t="shared" si="2"/>
        <v>6</v>
      </c>
      <c r="T45" s="37">
        <f t="shared" si="2"/>
        <v>7</v>
      </c>
      <c r="U45" s="37">
        <f t="shared" si="2"/>
        <v>1</v>
      </c>
      <c r="V45" s="37">
        <f t="shared" si="2"/>
        <v>2</v>
      </c>
      <c r="W45" s="37">
        <f t="shared" si="2"/>
        <v>3</v>
      </c>
      <c r="X45" s="37">
        <f t="shared" si="2"/>
        <v>4</v>
      </c>
      <c r="Y45" s="37">
        <f t="shared" si="2"/>
        <v>5</v>
      </c>
      <c r="Z45" s="37">
        <f t="shared" si="2"/>
        <v>6</v>
      </c>
      <c r="AA45" s="37">
        <f t="shared" si="2"/>
        <v>7</v>
      </c>
      <c r="AB45" s="37">
        <f t="shared" si="2"/>
        <v>1</v>
      </c>
      <c r="AC45" s="37">
        <f t="shared" si="2"/>
        <v>2</v>
      </c>
      <c r="AD45" s="37">
        <f t="shared" si="2"/>
        <v>3</v>
      </c>
      <c r="AE45" s="37">
        <f t="shared" si="2"/>
        <v>4</v>
      </c>
      <c r="AF45" s="37">
        <f t="shared" si="2"/>
        <v>6</v>
      </c>
    </row>
    <row r="46" spans="1:33" s="38" customFormat="1" ht="14.1" customHeight="1">
      <c r="A46" s="25"/>
      <c r="B46" s="37">
        <f>WEEKDAY(B31,2)</f>
        <v>7</v>
      </c>
      <c r="C46" s="37">
        <f t="shared" ref="C46:AF46" si="3">WEEKDAY(C31,2)</f>
        <v>1</v>
      </c>
      <c r="D46" s="37">
        <f t="shared" si="3"/>
        <v>2</v>
      </c>
      <c r="E46" s="37">
        <f t="shared" si="3"/>
        <v>3</v>
      </c>
      <c r="F46" s="37">
        <f t="shared" si="3"/>
        <v>4</v>
      </c>
      <c r="G46" s="37">
        <f t="shared" si="3"/>
        <v>5</v>
      </c>
      <c r="H46" s="37">
        <f t="shared" si="3"/>
        <v>6</v>
      </c>
      <c r="I46" s="37">
        <f t="shared" si="3"/>
        <v>7</v>
      </c>
      <c r="J46" s="37">
        <f t="shared" si="3"/>
        <v>1</v>
      </c>
      <c r="K46" s="37">
        <f t="shared" si="3"/>
        <v>2</v>
      </c>
      <c r="L46" s="37">
        <f t="shared" si="3"/>
        <v>3</v>
      </c>
      <c r="M46" s="37">
        <f t="shared" si="3"/>
        <v>4</v>
      </c>
      <c r="N46" s="37">
        <f t="shared" si="3"/>
        <v>5</v>
      </c>
      <c r="O46" s="37">
        <f t="shared" si="3"/>
        <v>6</v>
      </c>
      <c r="P46" s="37">
        <f t="shared" si="3"/>
        <v>7</v>
      </c>
      <c r="Q46" s="37">
        <f t="shared" si="3"/>
        <v>1</v>
      </c>
      <c r="R46" s="37">
        <f t="shared" si="3"/>
        <v>2</v>
      </c>
      <c r="S46" s="37">
        <f t="shared" si="3"/>
        <v>3</v>
      </c>
      <c r="T46" s="37">
        <f t="shared" si="3"/>
        <v>4</v>
      </c>
      <c r="U46" s="37">
        <f t="shared" si="3"/>
        <v>5</v>
      </c>
      <c r="V46" s="37">
        <f t="shared" si="3"/>
        <v>6</v>
      </c>
      <c r="W46" s="37">
        <f t="shared" si="3"/>
        <v>7</v>
      </c>
      <c r="X46" s="37">
        <f t="shared" si="3"/>
        <v>1</v>
      </c>
      <c r="Y46" s="37">
        <f t="shared" si="3"/>
        <v>2</v>
      </c>
      <c r="Z46" s="37">
        <f t="shared" si="3"/>
        <v>3</v>
      </c>
      <c r="AA46" s="37">
        <f t="shared" si="3"/>
        <v>4</v>
      </c>
      <c r="AB46" s="37">
        <f t="shared" si="3"/>
        <v>5</v>
      </c>
      <c r="AC46" s="37">
        <f t="shared" si="3"/>
        <v>6</v>
      </c>
      <c r="AD46" s="37">
        <f t="shared" si="3"/>
        <v>7</v>
      </c>
      <c r="AE46" s="37">
        <f t="shared" si="3"/>
        <v>1</v>
      </c>
      <c r="AF46" s="37">
        <f t="shared" si="3"/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27</v>
      </c>
      <c r="B48" s="37" t="e">
        <f>SUMIFS([1]来店日趋势汇总!C32:AG32,$B$30:$AF$30,"&lt;="&amp;[1]ICE来店报表!$AA$1)</f>
        <v>#VALUE!</v>
      </c>
      <c r="C48" s="46" t="e">
        <f>A48&amp;"："&amp;ROUND(B48,0)</f>
        <v>#VALUE!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28</v>
      </c>
      <c r="B49" s="37" t="e">
        <f>SUMIFS([1]来店日趋势汇总!C33:AG33,$B$30:$AF$30,"&lt;="&amp;[1]ICE来店报表!$AA$1)</f>
        <v>#VALUE!</v>
      </c>
      <c r="C49" s="46" t="e">
        <f>A49&amp;"："&amp;B49&amp;"（"&amp;A52&amp;TEXT(B52,"0%")&amp;"）"</f>
        <v>#VALUE!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29</v>
      </c>
      <c r="B50" s="37" t="e">
        <f>SUMIFS([1]来店日趋势汇总!C31:AG31,$B$30:$AF$30,"&lt;="&amp;[1]ICE来店报表!$AA$1)</f>
        <v>#VALUE!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30</v>
      </c>
      <c r="B51" s="37" t="str">
        <f>IFERROR(B49/B48,"-")</f>
        <v>-</v>
      </c>
      <c r="C51" s="46" t="str">
        <f>A51&amp;"："&amp;TEXT(B51,"0%")</f>
        <v>累计达成率：-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31</v>
      </c>
      <c r="B52" s="47" t="str">
        <f>IFERROR(B49/B50-1,"-")</f>
        <v>-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32</v>
      </c>
      <c r="B53" s="37" t="e">
        <f>SUMIFS([1]来店日趋势汇总!C32:AG32,$B$30:$AF$30,[1]ICE来店报表!$AA$1)</f>
        <v>#VALUE!</v>
      </c>
      <c r="C53" s="46" t="e">
        <f>A53&amp;"："&amp;ROUND(B53,0)</f>
        <v>#VALUE!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33</v>
      </c>
      <c r="B54" s="37" t="e">
        <f>SUMIFS([1]来店日趋势汇总!C33:AG33,$B$30:$AF$30,[1]ICE来店报表!$AA$1)</f>
        <v>#VALUE!</v>
      </c>
      <c r="C54" s="46" t="e">
        <f>A54&amp;"："&amp;B54</f>
        <v>#VALUE!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34</v>
      </c>
      <c r="B55" s="47" t="str">
        <f>IFERROR(B54/B53,"-")</f>
        <v>-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e">
        <f>A49&amp;B49&amp;"，"&amp;A51&amp;TEXT(B51,"0%")&amp;"；"&amp;A54&amp;B54&amp;"，"&amp;A55&amp;TEXT(B55,"0%")</f>
        <v>#VALUE!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60" t="s">
        <v>35</v>
      </c>
      <c r="B58" s="161"/>
      <c r="C58" s="161"/>
      <c r="D58" s="161"/>
      <c r="E58" s="161"/>
      <c r="F58" s="161"/>
      <c r="G58" s="161"/>
      <c r="H58" s="161"/>
      <c r="I58" s="161"/>
      <c r="J58" s="162"/>
      <c r="K58" s="4"/>
      <c r="L58" s="4"/>
      <c r="M58" s="4"/>
      <c r="N58" s="4"/>
      <c r="O58" s="4"/>
    </row>
    <row r="59" spans="1:32" s="18" customFormat="1" ht="25.5" customHeight="1" thickBot="1">
      <c r="A59" s="12" t="s">
        <v>36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f>SUM(B61:B63)</f>
        <v>1274</v>
      </c>
      <c r="C60" s="21">
        <f>[1]ICE来店报表!K6</f>
        <v>13280</v>
      </c>
      <c r="D60" s="21">
        <f>[1]ICE来店报表!M43</f>
        <v>0</v>
      </c>
      <c r="E60" s="22" t="str">
        <f>IFERROR(C60/D60,"-")</f>
        <v>-</v>
      </c>
      <c r="F60" s="22">
        <f>[1]ICE来店报表!$P$6</f>
        <v>0.3</v>
      </c>
      <c r="G60" s="23">
        <f>[1]ICE来店报表!Q42</f>
        <v>517</v>
      </c>
      <c r="H60" s="23">
        <f>[1]ICE来店报表!R42</f>
        <v>509</v>
      </c>
      <c r="I60" s="22">
        <f>[1]ICE来店报表!S42</f>
        <v>-0.29400386847195359</v>
      </c>
      <c r="J60" s="51">
        <f>[1]ICE来店报表!T42</f>
        <v>-0.28290766208251472</v>
      </c>
      <c r="K60" s="16"/>
      <c r="L60" s="16" t="str">
        <f>IFERROR(C60/K60,"-")</f>
        <v>-</v>
      </c>
      <c r="M60" s="25"/>
      <c r="N60" s="25"/>
      <c r="O60" s="25"/>
    </row>
    <row r="61" spans="1:32" s="18" customFormat="1" ht="25.5" customHeight="1">
      <c r="A61" s="29" t="s">
        <v>37</v>
      </c>
      <c r="B61" s="52">
        <v>721</v>
      </c>
      <c r="C61" s="53">
        <f>[1]数据源_全国!C4</f>
        <v>7515</v>
      </c>
      <c r="D61" s="54"/>
      <c r="E61" s="55" t="str">
        <f>IFERROR(C61/D61,"-")</f>
        <v>-</v>
      </c>
      <c r="F61" s="55">
        <f>[1]ICE来店报表!$P$6</f>
        <v>0.3</v>
      </c>
      <c r="G61" s="31">
        <f>[1]新旧店!AB2</f>
        <v>17057</v>
      </c>
      <c r="H61" s="31">
        <f>[1]新旧店!AC2</f>
        <v>12336</v>
      </c>
      <c r="I61" s="56">
        <f>IFERROR(C61/G61-1,"-")</f>
        <v>-0.55941842058978719</v>
      </c>
      <c r="J61" s="57">
        <f>IFERROR(C61/H61-1,"-")</f>
        <v>-0.390807392996109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38</v>
      </c>
      <c r="B62" s="52">
        <v>460</v>
      </c>
      <c r="C62" s="53">
        <f>[1]数据源_全国!C5</f>
        <v>4948</v>
      </c>
      <c r="D62" s="54"/>
      <c r="E62" s="55" t="str">
        <f>IFERROR(C62/D62,"-")</f>
        <v>-</v>
      </c>
      <c r="F62" s="55">
        <f>[1]ICE来店报表!$P$6</f>
        <v>0.3</v>
      </c>
      <c r="G62" s="31">
        <f>[1]新旧店!AB3</f>
        <v>14060</v>
      </c>
      <c r="H62" s="31">
        <f>[1]新旧店!AC3</f>
        <v>8930</v>
      </c>
      <c r="I62" s="56">
        <f>IFERROR(C62/G62-1,"-")</f>
        <v>-0.64807965860597438</v>
      </c>
      <c r="J62" s="57">
        <f>IFERROR(C62/H62-1,"-")</f>
        <v>-0.44591265397536395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39</v>
      </c>
      <c r="B63" s="59">
        <v>93</v>
      </c>
      <c r="C63" s="60">
        <f>[1]数据源_全国!C6</f>
        <v>817</v>
      </c>
      <c r="D63" s="61"/>
      <c r="E63" s="62" t="str">
        <f>IFERROR(C63/D63,"-")</f>
        <v>-</v>
      </c>
      <c r="F63" s="62">
        <f>[1]ICE来店报表!$P$6</f>
        <v>0.3</v>
      </c>
      <c r="G63" s="63">
        <f>[1]新旧店!AB4</f>
        <v>1803</v>
      </c>
      <c r="H63" s="63">
        <f>[1]新旧店!AC4</f>
        <v>1239</v>
      </c>
      <c r="I63" s="64">
        <f>IFERROR(C63/G63-1,"-")</f>
        <v>-0.54686633388796446</v>
      </c>
      <c r="J63" s="65">
        <f>IFERROR(C63/H63-1,"-")</f>
        <v>-0.34059725585149314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 t="s">
        <v>22</v>
      </c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 t="s">
        <v>23</v>
      </c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tr">
        <f>[1]ICE来店报表!AA2&amp;"月累计目标"</f>
        <v>4月累计目标</v>
      </c>
      <c r="B70" s="41">
        <f>IF(B73&gt;1,SUM($B73:B73),NA())</f>
        <v>5330</v>
      </c>
      <c r="C70" s="41">
        <f>IF(C73&gt;1,SUM($B73:C73),NA())</f>
        <v>10660</v>
      </c>
      <c r="D70" s="41">
        <f>IF(D73&gt;1,SUM($B73:D73),NA())</f>
        <v>15990</v>
      </c>
      <c r="E70" s="41">
        <f>IF(E73&gt;1,SUM($B73:E73),NA())</f>
        <v>19543</v>
      </c>
      <c r="F70" s="41">
        <f>IF(F73&gt;1,SUM($B73:F73),NA())</f>
        <v>23096</v>
      </c>
      <c r="G70" s="41">
        <f>IF(G73&gt;1,SUM($B73:G73),NA())</f>
        <v>26649</v>
      </c>
      <c r="H70" s="41">
        <f>IF(H73&gt;1,SUM($B73:H73),NA())</f>
        <v>30202</v>
      </c>
      <c r="I70" s="41">
        <f>IF(I73&gt;1,SUM($B73:I73),NA())</f>
        <v>33755</v>
      </c>
      <c r="J70" s="41">
        <f>IF(J73&gt;1,SUM($B73:J73),NA())</f>
        <v>37308</v>
      </c>
      <c r="K70" s="41">
        <f>IF(K73&gt;1,SUM($B73:K73),NA())</f>
        <v>42638</v>
      </c>
      <c r="L70" s="41">
        <f>IF(L73&gt;1,SUM($B73:L73),NA())</f>
        <v>47968</v>
      </c>
      <c r="M70" s="41">
        <f>IF(M73&gt;1,SUM($B73:M73),NA())</f>
        <v>51521</v>
      </c>
      <c r="N70" s="41">
        <f>IF(N73&gt;1,SUM($B73:N73),NA())</f>
        <v>55074</v>
      </c>
      <c r="O70" s="41">
        <f>IF(O73&gt;1,SUM($B73:O73),NA())</f>
        <v>58627</v>
      </c>
      <c r="P70" s="41">
        <f>IF(P73&gt;1,SUM($B73:P73),NA())</f>
        <v>62180</v>
      </c>
      <c r="Q70" s="41">
        <f>IF(Q73&gt;1,SUM($B73:Q73),NA())</f>
        <v>65733</v>
      </c>
      <c r="R70" s="41">
        <f>IF(R73&gt;1,SUM($B73:R73),NA())</f>
        <v>71063</v>
      </c>
      <c r="S70" s="41">
        <f>IF(S73&gt;1,SUM($B73:S73),NA())</f>
        <v>76393</v>
      </c>
      <c r="T70" s="41">
        <f>IF(T73&gt;1,SUM($B73:T73),NA())</f>
        <v>79946</v>
      </c>
      <c r="U70" s="41">
        <f>IF(U73&gt;1,SUM($B73:U73),NA())</f>
        <v>83499</v>
      </c>
      <c r="V70" s="41">
        <f>IF(V73&gt;1,SUM($B73:V73),NA())</f>
        <v>87052</v>
      </c>
      <c r="W70" s="41">
        <f>IF(W73&gt;1,SUM($B73:W73),NA())</f>
        <v>90605</v>
      </c>
      <c r="X70" s="41">
        <f>IF(X73&gt;1,SUM($B73:X73),NA())</f>
        <v>94158</v>
      </c>
      <c r="Y70" s="41">
        <f>IF(Y73&gt;1,SUM($B73:Y73),NA())</f>
        <v>99488</v>
      </c>
      <c r="Z70" s="41">
        <f>IF(Z73&gt;1,SUM($B73:Z73),NA())</f>
        <v>104819</v>
      </c>
      <c r="AA70" s="41">
        <f>IF(AA73&gt;1,SUM($B73:AA73),NA())</f>
        <v>108373</v>
      </c>
      <c r="AB70" s="41">
        <f>IF(AB73&gt;1,SUM($B73:AB73),NA())</f>
        <v>111927</v>
      </c>
      <c r="AC70" s="41">
        <f>IF(AC73&gt;1,SUM($B73:AC73),NA())</f>
        <v>115481</v>
      </c>
      <c r="AD70" s="41">
        <f>IF(AD73&gt;1,SUM($B73:AD73),NA())</f>
        <v>119036</v>
      </c>
      <c r="AE70" s="41">
        <f>IF(AE73&gt;1,SUM($B73:AE73),NA())</f>
        <v>122592</v>
      </c>
      <c r="AF70" s="41">
        <f>IF(AF73&gt;1,SUM($B73:AF73),NA())</f>
        <v>126149</v>
      </c>
    </row>
    <row r="71" spans="1:32" s="38" customFormat="1" ht="24" customHeight="1">
      <c r="A71" s="35" t="str">
        <f>[1]ICE来店报表!AA2&amp;"月累计来店"</f>
        <v>4月累计来店</v>
      </c>
      <c r="B71" s="41">
        <f>IF(B74&gt;1,SUM($B74:B74),NA())</f>
        <v>1187</v>
      </c>
      <c r="C71" s="41">
        <f>IF(C74&gt;1,SUM($B74:C74),NA())</f>
        <v>2193</v>
      </c>
      <c r="D71" s="41">
        <f>IF(D74&gt;1,SUM($B74:D74),NA())</f>
        <v>3252</v>
      </c>
      <c r="E71" s="41">
        <f>IF(E74&gt;1,SUM($B74:E74),NA())</f>
        <v>5194</v>
      </c>
      <c r="F71" s="41">
        <f>IF(F74&gt;1,SUM($B74:F74),NA())</f>
        <v>7476</v>
      </c>
      <c r="G71" s="41">
        <f>IF(G74&gt;1,SUM($B74:G74),NA())</f>
        <v>9427</v>
      </c>
      <c r="H71" s="41">
        <f>IF(H74&gt;1,SUM($B74:H74),NA())</f>
        <v>10772</v>
      </c>
      <c r="I71" s="41">
        <f>IF(I74&gt;1,SUM($B74:I74),NA())</f>
        <v>12006</v>
      </c>
      <c r="J71" s="41">
        <f>IF(J74&gt;1,SUM($B74:J74),NA())</f>
        <v>13280</v>
      </c>
      <c r="K71" s="41" t="e">
        <f>IF(K74&gt;1,SUM($B74:K74),NA())</f>
        <v>#N/A</v>
      </c>
      <c r="L71" s="41" t="e">
        <f>IF(L74&gt;1,SUM($B74:L74),NA())</f>
        <v>#N/A</v>
      </c>
      <c r="M71" s="41" t="e">
        <f>IF(M74&gt;1,SUM($B74:M74),NA())</f>
        <v>#N/A</v>
      </c>
      <c r="N71" s="41" t="e">
        <f>IF(N74&gt;1,SUM($B74:N74),NA())</f>
        <v>#N/A</v>
      </c>
      <c r="O71" s="41" t="e">
        <f>IF(O74&gt;1,SUM($B74:O74),NA())</f>
        <v>#N/A</v>
      </c>
      <c r="P71" s="41" t="e">
        <f>IF(P74&gt;1,SUM($B74:P74),NA())</f>
        <v>#N/A</v>
      </c>
      <c r="Q71" s="41" t="e">
        <f>IF(Q74&gt;1,SUM($B74:Q74),NA())</f>
        <v>#N/A</v>
      </c>
      <c r="R71" s="41" t="e">
        <f>IF(R74&gt;1,SUM($B74:R74),NA())</f>
        <v>#N/A</v>
      </c>
      <c r="S71" s="41" t="e">
        <f>IF(S74&gt;1,SUM($B74:S74),NA())</f>
        <v>#N/A</v>
      </c>
      <c r="T71" s="41" t="e">
        <f>IF(T74&gt;1,SUM($B74:T74),NA())</f>
        <v>#N/A</v>
      </c>
      <c r="U71" s="41" t="e">
        <f>IF(U74&gt;1,SUM($B74:U74),NA())</f>
        <v>#N/A</v>
      </c>
      <c r="V71" s="41" t="e">
        <f>IF(V74&gt;1,SUM($B74:V74),NA())</f>
        <v>#N/A</v>
      </c>
      <c r="W71" s="41" t="e">
        <f>IF(W74&gt;1,SUM($B74:W74),NA())</f>
        <v>#N/A</v>
      </c>
      <c r="X71" s="41" t="e">
        <f>IF(X74&gt;1,SUM($B74:X74),NA())</f>
        <v>#N/A</v>
      </c>
      <c r="Y71" s="41" t="e">
        <f>IF(Y74&gt;1,SUM($B74:Y74),NA())</f>
        <v>#N/A</v>
      </c>
      <c r="Z71" s="41" t="e">
        <f>IF(Z74&gt;1,SUM($B74:Z74),NA())</f>
        <v>#N/A</v>
      </c>
      <c r="AA71" s="41" t="e">
        <f>IF(AA74&gt;1,SUM($B74:AA74),NA())</f>
        <v>#N/A</v>
      </c>
      <c r="AB71" s="41" t="e">
        <f>IF(AB74&gt;1,SUM($B74:AB74),NA())</f>
        <v>#N/A</v>
      </c>
      <c r="AC71" s="41" t="e">
        <f>IF(AC74&gt;1,SUM($B74:AC74),NA())</f>
        <v>#N/A</v>
      </c>
      <c r="AD71" s="41" t="e">
        <f>IF(AD74&gt;1,SUM($B74:AD74),NA())</f>
        <v>#N/A</v>
      </c>
      <c r="AE71" s="41" t="e">
        <f>IF(AE74&gt;1,SUM($B74:AE74),NA())</f>
        <v>#N/A</v>
      </c>
      <c r="AF71" s="41" t="e">
        <f>IF(AF74&gt;1,SUM($B74:AF74),NA())</f>
        <v>#N/A</v>
      </c>
    </row>
    <row r="72" spans="1:32" s="38" customFormat="1" ht="24" customHeight="1">
      <c r="A72" s="35" t="str">
        <f>[1]ICE来店报表!AA2&amp;"月同期来店"</f>
        <v>4月同期来店</v>
      </c>
      <c r="B72" s="41">
        <f>SUM(B75)</f>
        <v>2390</v>
      </c>
      <c r="C72" s="41">
        <f>SUM(B75:C75)</f>
        <v>4923</v>
      </c>
      <c r="D72" s="41">
        <f>SUM(B75:D75)</f>
        <v>7636</v>
      </c>
      <c r="E72" s="41">
        <f>SUM(B75:E75)</f>
        <v>12562</v>
      </c>
      <c r="F72" s="41">
        <f>SUM(B75:F75)</f>
        <v>17846</v>
      </c>
      <c r="G72" s="41">
        <f>SUM(B75:G75)</f>
        <v>22515</v>
      </c>
      <c r="H72" s="41">
        <f>SUM(B75:H75)</f>
        <v>25581</v>
      </c>
      <c r="I72" s="41">
        <f>SUM(B75:I75)</f>
        <v>29476</v>
      </c>
      <c r="J72" s="41">
        <f>SUM(B75:J75)</f>
        <v>32920</v>
      </c>
      <c r="K72" s="41">
        <f>SUM(B75:K75)</f>
        <v>36335</v>
      </c>
      <c r="L72" s="41">
        <f>SUM(B75:L75)</f>
        <v>39991</v>
      </c>
      <c r="M72" s="41">
        <f>SUM(B75:M75)</f>
        <v>44511</v>
      </c>
      <c r="N72" s="41">
        <f>SUM(B75:N75)</f>
        <v>49958</v>
      </c>
      <c r="O72" s="41">
        <f>SUM(B75:O75)</f>
        <v>54251</v>
      </c>
      <c r="P72" s="41">
        <f>SUM(B75:P75)</f>
        <v>57136</v>
      </c>
      <c r="Q72" s="41">
        <f>SUM(B75:Q75)</f>
        <v>60086</v>
      </c>
      <c r="R72" s="41">
        <f>SUM(B75:R75)</f>
        <v>62918</v>
      </c>
      <c r="S72" s="41">
        <f>SUM(B75:S75)</f>
        <v>65842</v>
      </c>
      <c r="T72" s="41">
        <f>SUM(B75:T75)</f>
        <v>70971</v>
      </c>
      <c r="U72" s="41">
        <f>SUM(B75:U75)</f>
        <v>76503</v>
      </c>
      <c r="V72" s="41">
        <f>SUM(B75:V75)</f>
        <v>80505</v>
      </c>
      <c r="W72" s="41">
        <f>SUM(B75:W75)</f>
        <v>83985</v>
      </c>
      <c r="X72" s="41">
        <f>SUM(B75:X75)</f>
        <v>87929</v>
      </c>
      <c r="Y72" s="41">
        <f>SUM(B75:Y75)</f>
        <v>91823</v>
      </c>
      <c r="Z72" s="41">
        <f>SUM(B75:Z75)</f>
        <v>96268</v>
      </c>
      <c r="AA72" s="41">
        <f>SUM(B75:AA75)</f>
        <v>101387</v>
      </c>
      <c r="AB72" s="41">
        <f>SUM(B75:AB75)</f>
        <v>106121</v>
      </c>
      <c r="AC72" s="41">
        <f>SUM(B75:AC75)</f>
        <v>110871</v>
      </c>
      <c r="AD72" s="41">
        <f>SUM(C75:AD75)</f>
        <v>115127</v>
      </c>
      <c r="AE72" s="41">
        <f>SUM(D75:AE75)</f>
        <v>118893</v>
      </c>
      <c r="AF72" s="41">
        <f>SUM(E75:AF75)</f>
        <v>116180</v>
      </c>
    </row>
    <row r="73" spans="1:32" s="38" customFormat="1" ht="24" customHeight="1">
      <c r="A73" s="35" t="s">
        <v>24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25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1234</v>
      </c>
      <c r="J74" s="42">
        <v>1274</v>
      </c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26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f>C71/C70*100%</f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f>C74/C73*100%</f>
        <v>0.18874296435272045</v>
      </c>
      <c r="F77" s="66">
        <f>(C74-C75)/C75*100%</f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f>IFERROR((B74-B75)/B75*100%,"-")</f>
        <v>-0.50334728033472809</v>
      </c>
      <c r="C78" s="66">
        <f>IFERROR((C74-C75)/C75*100%,"-")</f>
        <v>-0.60284247927358858</v>
      </c>
      <c r="D78" s="66">
        <f>IFERROR((D74-D75)/D75*100%,"-")</f>
        <v>-0.60965720604496865</v>
      </c>
      <c r="E78" s="66">
        <f>IFERROR((E74-E75)/E75*100%,"-")</f>
        <v>-0.60576532683719042</v>
      </c>
      <c r="F78" s="66">
        <f t="shared" ref="F78:AF78" si="4">IFERROR((F74-F75)/F75*100%,"-")</f>
        <v>-0.56813020439061312</v>
      </c>
      <c r="G78" s="66">
        <f t="shared" si="4"/>
        <v>-0.58213750267723285</v>
      </c>
      <c r="H78" s="66">
        <f t="shared" si="4"/>
        <v>-0.56131767775603392</v>
      </c>
      <c r="I78" s="66">
        <f t="shared" si="4"/>
        <v>-0.68318356867779206</v>
      </c>
      <c r="J78" s="66">
        <f t="shared" si="4"/>
        <v>-0.63008130081300817</v>
      </c>
      <c r="K78" s="66">
        <f t="shared" si="4"/>
        <v>-1</v>
      </c>
      <c r="L78" s="66">
        <f t="shared" si="4"/>
        <v>-1</v>
      </c>
      <c r="M78" s="66">
        <f t="shared" si="4"/>
        <v>-1</v>
      </c>
      <c r="N78" s="66">
        <f t="shared" si="4"/>
        <v>-1</v>
      </c>
      <c r="O78" s="66">
        <f t="shared" si="4"/>
        <v>-1</v>
      </c>
      <c r="P78" s="66">
        <f t="shared" si="4"/>
        <v>-1</v>
      </c>
      <c r="Q78" s="66">
        <f t="shared" si="4"/>
        <v>-1</v>
      </c>
      <c r="R78" s="66">
        <f t="shared" si="4"/>
        <v>-1</v>
      </c>
      <c r="S78" s="66">
        <f t="shared" si="4"/>
        <v>-1</v>
      </c>
      <c r="T78" s="66">
        <f t="shared" si="4"/>
        <v>-1</v>
      </c>
      <c r="U78" s="66">
        <f t="shared" si="4"/>
        <v>-1</v>
      </c>
      <c r="V78" s="66">
        <f t="shared" si="4"/>
        <v>-1</v>
      </c>
      <c r="W78" s="66">
        <f t="shared" si="4"/>
        <v>-1</v>
      </c>
      <c r="X78" s="66">
        <f t="shared" si="4"/>
        <v>-1</v>
      </c>
      <c r="Y78" s="66">
        <f t="shared" si="4"/>
        <v>-1</v>
      </c>
      <c r="Z78" s="66">
        <f t="shared" si="4"/>
        <v>-1</v>
      </c>
      <c r="AA78" s="66">
        <f t="shared" si="4"/>
        <v>-1</v>
      </c>
      <c r="AB78" s="66">
        <f t="shared" si="4"/>
        <v>-1</v>
      </c>
      <c r="AC78" s="66">
        <f t="shared" si="4"/>
        <v>-1</v>
      </c>
      <c r="AD78" s="66">
        <f t="shared" si="4"/>
        <v>-1</v>
      </c>
      <c r="AE78" s="66">
        <f>IFERROR((AE74-AE75)/AE75*100%,"-")</f>
        <v>-1</v>
      </c>
      <c r="AF78" s="66" t="str">
        <f t="shared" si="4"/>
        <v>-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f>WEEKDAY(B69,2)</f>
        <v>3</v>
      </c>
      <c r="C82" s="37">
        <f t="shared" ref="C82:AF82" si="5">WEEKDAY(C69,2)</f>
        <v>4</v>
      </c>
      <c r="D82" s="37">
        <f t="shared" si="5"/>
        <v>5</v>
      </c>
      <c r="E82" s="37">
        <f t="shared" si="5"/>
        <v>6</v>
      </c>
      <c r="F82" s="37">
        <f t="shared" si="5"/>
        <v>7</v>
      </c>
      <c r="G82" s="37">
        <f t="shared" si="5"/>
        <v>1</v>
      </c>
      <c r="H82" s="37">
        <f t="shared" si="5"/>
        <v>2</v>
      </c>
      <c r="I82" s="37">
        <f t="shared" si="5"/>
        <v>3</v>
      </c>
      <c r="J82" s="37">
        <f t="shared" si="5"/>
        <v>4</v>
      </c>
      <c r="K82" s="37">
        <f t="shared" si="5"/>
        <v>5</v>
      </c>
      <c r="L82" s="37">
        <f t="shared" si="5"/>
        <v>6</v>
      </c>
      <c r="M82" s="37">
        <f t="shared" si="5"/>
        <v>7</v>
      </c>
      <c r="N82" s="37">
        <f t="shared" si="5"/>
        <v>1</v>
      </c>
      <c r="O82" s="37">
        <f t="shared" si="5"/>
        <v>2</v>
      </c>
      <c r="P82" s="37">
        <f t="shared" si="5"/>
        <v>3</v>
      </c>
      <c r="Q82" s="37">
        <f t="shared" si="5"/>
        <v>4</v>
      </c>
      <c r="R82" s="37">
        <f t="shared" si="5"/>
        <v>5</v>
      </c>
      <c r="S82" s="37">
        <f t="shared" si="5"/>
        <v>6</v>
      </c>
      <c r="T82" s="37">
        <f t="shared" si="5"/>
        <v>7</v>
      </c>
      <c r="U82" s="37">
        <f t="shared" si="5"/>
        <v>1</v>
      </c>
      <c r="V82" s="37">
        <f t="shared" si="5"/>
        <v>2</v>
      </c>
      <c r="W82" s="37">
        <f t="shared" si="5"/>
        <v>3</v>
      </c>
      <c r="X82" s="37">
        <f t="shared" si="5"/>
        <v>4</v>
      </c>
      <c r="Y82" s="37">
        <f t="shared" si="5"/>
        <v>5</v>
      </c>
      <c r="Z82" s="37">
        <f t="shared" si="5"/>
        <v>6</v>
      </c>
      <c r="AA82" s="37">
        <f t="shared" si="5"/>
        <v>7</v>
      </c>
      <c r="AB82" s="37">
        <f t="shared" si="5"/>
        <v>1</v>
      </c>
      <c r="AC82" s="37">
        <f t="shared" si="5"/>
        <v>2</v>
      </c>
      <c r="AD82" s="37">
        <f t="shared" si="5"/>
        <v>3</v>
      </c>
      <c r="AE82" s="37">
        <f t="shared" si="5"/>
        <v>4</v>
      </c>
      <c r="AF82" s="37">
        <f t="shared" si="5"/>
        <v>6</v>
      </c>
    </row>
    <row r="83" spans="1:32" s="38" customFormat="1" ht="14.1" customHeight="1">
      <c r="A83" s="25"/>
      <c r="B83" s="37">
        <f>WEEKDAY(B68,2)</f>
        <v>7</v>
      </c>
      <c r="C83" s="37">
        <f t="shared" ref="C83:AF83" si="6">WEEKDAY(C68,2)</f>
        <v>1</v>
      </c>
      <c r="D83" s="37">
        <f t="shared" si="6"/>
        <v>2</v>
      </c>
      <c r="E83" s="37">
        <f t="shared" si="6"/>
        <v>3</v>
      </c>
      <c r="F83" s="37">
        <f t="shared" si="6"/>
        <v>4</v>
      </c>
      <c r="G83" s="37">
        <f t="shared" si="6"/>
        <v>5</v>
      </c>
      <c r="H83" s="37">
        <f t="shared" si="6"/>
        <v>6</v>
      </c>
      <c r="I83" s="37">
        <f t="shared" si="6"/>
        <v>7</v>
      </c>
      <c r="J83" s="37">
        <f t="shared" si="6"/>
        <v>1</v>
      </c>
      <c r="K83" s="37">
        <f t="shared" si="6"/>
        <v>2</v>
      </c>
      <c r="L83" s="37">
        <f t="shared" si="6"/>
        <v>3</v>
      </c>
      <c r="M83" s="37">
        <f t="shared" si="6"/>
        <v>4</v>
      </c>
      <c r="N83" s="37">
        <f t="shared" si="6"/>
        <v>5</v>
      </c>
      <c r="O83" s="37">
        <f t="shared" si="6"/>
        <v>6</v>
      </c>
      <c r="P83" s="37">
        <f t="shared" si="6"/>
        <v>7</v>
      </c>
      <c r="Q83" s="37">
        <f t="shared" si="6"/>
        <v>1</v>
      </c>
      <c r="R83" s="37">
        <f t="shared" si="6"/>
        <v>2</v>
      </c>
      <c r="S83" s="37">
        <f t="shared" si="6"/>
        <v>3</v>
      </c>
      <c r="T83" s="37">
        <f t="shared" si="6"/>
        <v>4</v>
      </c>
      <c r="U83" s="37">
        <f t="shared" si="6"/>
        <v>5</v>
      </c>
      <c r="V83" s="37">
        <f t="shared" si="6"/>
        <v>6</v>
      </c>
      <c r="W83" s="37">
        <f t="shared" si="6"/>
        <v>7</v>
      </c>
      <c r="X83" s="37">
        <f t="shared" si="6"/>
        <v>1</v>
      </c>
      <c r="Y83" s="37">
        <f t="shared" si="6"/>
        <v>2</v>
      </c>
      <c r="Z83" s="37">
        <f t="shared" si="6"/>
        <v>3</v>
      </c>
      <c r="AA83" s="37">
        <f t="shared" si="6"/>
        <v>4</v>
      </c>
      <c r="AB83" s="37">
        <f t="shared" si="6"/>
        <v>5</v>
      </c>
      <c r="AC83" s="37">
        <f t="shared" si="6"/>
        <v>6</v>
      </c>
      <c r="AD83" s="37">
        <f t="shared" si="6"/>
        <v>7</v>
      </c>
      <c r="AE83" s="37">
        <f t="shared" si="6"/>
        <v>1</v>
      </c>
      <c r="AF83" s="37">
        <f t="shared" si="6"/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27</v>
      </c>
      <c r="B85" s="37" t="e">
        <f>SUMIFS([1]来店日趋势汇总!C77:AG77,$B$30:$AF$30,"&lt;="&amp;[1]ICE来店报表!$AA$1)</f>
        <v>#VALUE!</v>
      </c>
      <c r="C85" s="46" t="e">
        <f>A85&amp;"："&amp;ROUND(B85,0)</f>
        <v>#VALUE!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28</v>
      </c>
      <c r="B86" s="37" t="e">
        <f>SUMIFS([1]来店日趋势汇总!C74:AG74,$B$30:$AF$30,"&lt;="&amp;[1]ICE来店报表!$AA$1)</f>
        <v>#VALUE!</v>
      </c>
      <c r="C86" s="46" t="e">
        <f>A86&amp;"："&amp;B86&amp;"（"&amp;A89&amp;TEXT(B89,"0%")&amp;"）"</f>
        <v>#VALUE!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29</v>
      </c>
      <c r="B87" s="37" t="e">
        <f>SUMIFS([1]来店日趋势汇总!C76:AG76,$B$30:$AF$30,"&lt;="&amp;[1]ICE来店报表!$AA$1)</f>
        <v>#VALUE!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30</v>
      </c>
      <c r="B88" s="37" t="str">
        <f>IFERROR(B86/B85,"-")</f>
        <v>-</v>
      </c>
      <c r="C88" s="46" t="str">
        <f>A88&amp;"："&amp;TEXT(B88,"0%")</f>
        <v>累计达成率：-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31</v>
      </c>
      <c r="B89" s="47" t="str">
        <f>IFERROR(B86/B87-1,"-")</f>
        <v>-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32</v>
      </c>
      <c r="B90" s="37" t="e">
        <f>SUMIFS([1]来店日趋势汇总!C77:AG77,$B$30:$AF$30,[1]ICE来店报表!$AA$1)</f>
        <v>#VALUE!</v>
      </c>
      <c r="C90" s="46" t="e">
        <f>A90&amp;"："&amp;ROUND(B90,0)</f>
        <v>#VALUE!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33</v>
      </c>
      <c r="B91" s="37" t="e">
        <f>SUMIFS([1]来店日趋势汇总!C74:AG74,$B$30:$AF$30,[1]ICE来店报表!$AA$1)</f>
        <v>#VALUE!</v>
      </c>
      <c r="C91" s="46" t="e">
        <f>A91&amp;"："&amp;B91</f>
        <v>#VALUE!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34</v>
      </c>
      <c r="B92" s="47" t="str">
        <f>IFERROR(B91/B90,"-")</f>
        <v>-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e">
        <f>A86&amp;B86&amp;"，"&amp;A88&amp;TEXT(B88,"0%")&amp;"；"&amp;A91&amp;B91&amp;"，"&amp;A92&amp;TEXT(B92,"0%")</f>
        <v>#VALUE!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60" t="s">
        <v>40</v>
      </c>
      <c r="B95" s="161"/>
      <c r="C95" s="161"/>
      <c r="D95" s="161"/>
      <c r="E95" s="161"/>
      <c r="F95" s="161"/>
      <c r="G95" s="161"/>
      <c r="H95" s="161"/>
      <c r="I95" s="161"/>
      <c r="J95" s="162"/>
      <c r="K95" s="4"/>
      <c r="L95" s="4"/>
      <c r="M95" s="4"/>
      <c r="N95" s="4"/>
      <c r="O95" s="4"/>
    </row>
    <row r="96" spans="1:32" s="18" customFormat="1" ht="25.5" customHeight="1" thickBot="1">
      <c r="A96" s="12" t="s">
        <v>36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f>P213</f>
        <v>2460</v>
      </c>
      <c r="C97" s="21">
        <f>[1]NEV来店报表!H6</f>
        <v>19220</v>
      </c>
      <c r="D97" s="21">
        <f>[1]NEV来店报表!G6</f>
        <v>0</v>
      </c>
      <c r="E97" s="22" t="str">
        <f>IFERROR(C97/D97,"-")</f>
        <v>-</v>
      </c>
      <c r="F97" s="22">
        <f>[1]ICE来店报表!$P$6</f>
        <v>0.3</v>
      </c>
      <c r="G97" s="23">
        <f>[1]NEV来店报表!K6</f>
        <v>569</v>
      </c>
      <c r="H97" s="23">
        <f>[1]NEV来店报表!L6</f>
        <v>13054</v>
      </c>
      <c r="I97" s="22">
        <f>[1]NEV来店报表!M6</f>
        <v>32.77855887521968</v>
      </c>
      <c r="J97" s="22">
        <f>[1]NEV来店报表!N6</f>
        <v>0.47234564118277933</v>
      </c>
      <c r="K97" s="16"/>
      <c r="L97" s="16" t="str">
        <f>IFERROR(C97/K97,"-")</f>
        <v>-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 t="s">
        <v>22</v>
      </c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 t="s">
        <v>23</v>
      </c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tr">
        <f>[1]ICE来店报表!AA2&amp;"月累计目标"</f>
        <v>4月累计目标</v>
      </c>
      <c r="B104" s="41">
        <f>IF(B107&gt;1,SUM($B107:B107),NA())</f>
        <v>1229</v>
      </c>
      <c r="C104" s="41">
        <f>IF(C107&gt;1,SUM($B107:C107),NA())</f>
        <v>2425</v>
      </c>
      <c r="D104" s="41">
        <f>IF(D107&gt;1,SUM($B107:D107),NA())</f>
        <v>3658</v>
      </c>
      <c r="E104" s="41">
        <f>IF(E107&gt;1,SUM($B107:E107),NA())</f>
        <v>4831</v>
      </c>
      <c r="F104" s="41">
        <f>IF(F107&gt;1,SUM($B107:F107),NA())</f>
        <v>6023</v>
      </c>
      <c r="G104" s="41">
        <f>IF(G107&gt;1,SUM($B107:G107),NA())</f>
        <v>7192</v>
      </c>
      <c r="H104" s="41">
        <f>IF(H107&gt;1,SUM($B107:H107),NA())</f>
        <v>8364</v>
      </c>
      <c r="I104" s="41">
        <f>IF(I107&gt;1,SUM($B107:I107),NA())</f>
        <v>9446</v>
      </c>
      <c r="J104" s="41">
        <f>IF(J107&gt;1,SUM($B107:J107),NA())</f>
        <v>10522</v>
      </c>
      <c r="K104" s="41">
        <f>IF(K107&gt;1,SUM($B107:K107),NA())</f>
        <v>11542</v>
      </c>
      <c r="L104" s="41">
        <f>IF(L107&gt;1,SUM($B107:L107),NA())</f>
        <v>12541</v>
      </c>
      <c r="M104" s="41">
        <f>IF(M107&gt;1,SUM($B107:M107),NA())</f>
        <v>13491</v>
      </c>
      <c r="N104" s="41">
        <f>IF(N107&gt;1,SUM($B107:N107),NA())</f>
        <v>14396</v>
      </c>
      <c r="O104" s="41">
        <f>IF(O107&gt;1,SUM($B107:O107),NA())</f>
        <v>15184</v>
      </c>
      <c r="P104" s="41">
        <f>IF(P107&gt;1,SUM($B107:P107),NA())</f>
        <v>15757</v>
      </c>
      <c r="Q104" s="41">
        <f>IF(Q107&gt;1,SUM($B107:Q107),NA())</f>
        <v>16172</v>
      </c>
      <c r="R104" s="41">
        <f>IF(R107&gt;1,SUM($B107:R107),NA())</f>
        <v>16636</v>
      </c>
      <c r="S104" s="41">
        <f>IF(S107&gt;1,SUM($B107:S107),NA())</f>
        <v>17253</v>
      </c>
      <c r="T104" s="41">
        <f>IF(T107&gt;1,SUM($B107:T107),NA())</f>
        <v>17999</v>
      </c>
      <c r="U104" s="41">
        <f>IF(U107&gt;1,SUM($B107:U107),NA())</f>
        <v>18804</v>
      </c>
      <c r="V104" s="41">
        <f>IF(V107&gt;1,SUM($B107:V107),NA())</f>
        <v>19611</v>
      </c>
      <c r="W104" s="41">
        <f>IF(W107&gt;1,SUM($B107:W107),NA())</f>
        <v>20419</v>
      </c>
      <c r="X104" s="41">
        <f>IF(X107&gt;1,SUM($B107:X107),NA())</f>
        <v>21302</v>
      </c>
      <c r="Y104" s="41">
        <f>IF(Y107&gt;1,SUM($B107:Y107),NA())</f>
        <v>22447</v>
      </c>
      <c r="Z104" s="41">
        <f>IF(Z107&gt;1,SUM($B107:Z107),NA())</f>
        <v>23654</v>
      </c>
      <c r="AA104" s="41">
        <f>IF(AA107&gt;1,SUM($B107:AA107),NA())</f>
        <v>24958</v>
      </c>
      <c r="AB104" s="41">
        <f>IF(AB107&gt;1,SUM($B107:AB107),NA())</f>
        <v>26292</v>
      </c>
      <c r="AC104" s="41">
        <f>IF(AC107&gt;1,SUM($B107:AC107),NA())</f>
        <v>27556</v>
      </c>
      <c r="AD104" s="41">
        <f>IF(AD107&gt;1,SUM($B107:AD107),NA())</f>
        <v>28821</v>
      </c>
      <c r="AE104" s="41">
        <f>IF(AE107&gt;1,SUM($B107:AE107),NA())</f>
        <v>30087</v>
      </c>
      <c r="AF104" s="41">
        <f>IF(AF107&gt;1,SUM($B107:AF107),NA())</f>
        <v>31354</v>
      </c>
    </row>
    <row r="105" spans="1:32" s="38" customFormat="1" ht="24" customHeight="1">
      <c r="A105" s="35" t="str">
        <f>[1]ICE来店报表!AA2&amp;"月累计来店"</f>
        <v>4月累计来店</v>
      </c>
      <c r="B105" s="41">
        <f>IF(B108&gt;1,SUM($B108:B108),NA())</f>
        <v>1287</v>
      </c>
      <c r="C105" s="41">
        <f>IF(C108&gt;1,SUM($B108:C108),NA())</f>
        <v>2811</v>
      </c>
      <c r="D105" s="41">
        <f>IF(D108&gt;1,SUM($B108:D108),NA())</f>
        <v>4442</v>
      </c>
      <c r="E105" s="41">
        <f>IF(E108&gt;1,SUM($B108:E108),NA())</f>
        <v>7443</v>
      </c>
      <c r="F105" s="41">
        <f>IF(F108&gt;1,SUM($B108:F108),NA())</f>
        <v>10269</v>
      </c>
      <c r="G105" s="41">
        <f>IF(G108&gt;1,SUM($B108:G108),NA())</f>
        <v>13000</v>
      </c>
      <c r="H105" s="41">
        <f>IF(H108&gt;1,SUM($B108:H108),NA())</f>
        <v>14827</v>
      </c>
      <c r="I105" s="41">
        <f>IF(I108&gt;1,SUM($B108:I108),NA())</f>
        <v>16760</v>
      </c>
      <c r="J105" s="41">
        <f>IF(J108&gt;1,SUM($B108:J108),NA())</f>
        <v>19220</v>
      </c>
      <c r="K105" s="41" t="e">
        <f>IF(K108&gt;1,SUM($B108:K108),NA())</f>
        <v>#N/A</v>
      </c>
      <c r="L105" s="41" t="e">
        <f>IF(L108&gt;1,SUM($B108:L108),NA())</f>
        <v>#N/A</v>
      </c>
      <c r="M105" s="41" t="e">
        <f>IF(M108&gt;1,SUM($B108:M108),NA())</f>
        <v>#N/A</v>
      </c>
      <c r="N105" s="41" t="e">
        <f>IF(N108&gt;1,SUM($B108:N108),NA())</f>
        <v>#N/A</v>
      </c>
      <c r="O105" s="41" t="e">
        <f>IF(O108&gt;1,SUM($B108:O108),NA())</f>
        <v>#N/A</v>
      </c>
      <c r="P105" s="41" t="e">
        <f>IF(P108&gt;1,SUM($B108:P108),NA())</f>
        <v>#N/A</v>
      </c>
      <c r="Q105" s="41" t="e">
        <f>IF(Q108&gt;1,SUM($B108:Q108),NA())</f>
        <v>#N/A</v>
      </c>
      <c r="R105" s="41" t="e">
        <f>IF(R108&gt;1,SUM($B108:R108),NA())</f>
        <v>#N/A</v>
      </c>
      <c r="S105" s="41" t="e">
        <f>IF(S108&gt;1,SUM($B108:S108),NA())</f>
        <v>#N/A</v>
      </c>
      <c r="T105" s="41" t="e">
        <f>IF(T108&gt;1,SUM($B108:T108),NA())</f>
        <v>#N/A</v>
      </c>
      <c r="U105" s="41" t="e">
        <f>IF(U108&gt;1,SUM($B108:U108),NA())</f>
        <v>#N/A</v>
      </c>
      <c r="V105" s="41" t="e">
        <f>IF(V108&gt;1,SUM($B108:V108),NA())</f>
        <v>#N/A</v>
      </c>
      <c r="W105" s="41" t="e">
        <f>IF(W108&gt;1,SUM($B108:W108),NA())</f>
        <v>#N/A</v>
      </c>
      <c r="X105" s="41" t="e">
        <f>IF(X108&gt;1,SUM($B108:X108),NA())</f>
        <v>#N/A</v>
      </c>
      <c r="Y105" s="41" t="e">
        <f>IF(Y108&gt;1,SUM($B108:Y108),NA())</f>
        <v>#N/A</v>
      </c>
      <c r="Z105" s="41" t="e">
        <f>IF(Z108&gt;1,SUM($B108:Z108),NA())</f>
        <v>#N/A</v>
      </c>
      <c r="AA105" s="41" t="e">
        <f>IF(AA108&gt;1,SUM($B108:AA108),NA())</f>
        <v>#N/A</v>
      </c>
      <c r="AB105" s="41" t="e">
        <f>IF(AB108&gt;1,SUM($B108:AB108),NA())</f>
        <v>#N/A</v>
      </c>
      <c r="AC105" s="41" t="e">
        <f>IF(AC108&gt;1,SUM($B108:AC108),NA())</f>
        <v>#N/A</v>
      </c>
      <c r="AD105" s="41" t="e">
        <f>IF(AD108&gt;1,SUM($B108:AD108),NA())</f>
        <v>#N/A</v>
      </c>
      <c r="AE105" s="41" t="e">
        <f>IF(AE108&gt;1,SUM($B108:AE108),NA())</f>
        <v>#N/A</v>
      </c>
      <c r="AF105" s="41" t="e">
        <f>IF(AF108&gt;1,SUM($B108:AF108),NA())</f>
        <v>#N/A</v>
      </c>
    </row>
    <row r="106" spans="1:32" s="38" customFormat="1" ht="24" customHeight="1">
      <c r="A106" s="35" t="str">
        <f>[1]ICE来店报表!AA2&amp;"月上期累计来店"</f>
        <v>4月上期累计来店</v>
      </c>
      <c r="B106" s="41">
        <f>SUM(B109)</f>
        <v>2052</v>
      </c>
      <c r="C106" s="41">
        <f>SUM(B109:C109)</f>
        <v>3167</v>
      </c>
      <c r="D106" s="41">
        <f>SUM(B109:D109)</f>
        <v>4219</v>
      </c>
      <c r="E106" s="41">
        <f>SUM(B109:E109)</f>
        <v>5293</v>
      </c>
      <c r="F106" s="41">
        <f>SUM(B109:F109)</f>
        <v>6389</v>
      </c>
      <c r="G106" s="41">
        <f>SUM(B109:G109)</f>
        <v>7621</v>
      </c>
      <c r="H106" s="41">
        <f>SUM(B109:H109)</f>
        <v>9783</v>
      </c>
      <c r="I106" s="41">
        <f>SUM(B109:I109)</f>
        <v>11937</v>
      </c>
      <c r="J106" s="41">
        <f>SUM(B109:J109)</f>
        <v>13054</v>
      </c>
      <c r="K106" s="41">
        <f>SUM(B109:K109)</f>
        <v>14205</v>
      </c>
      <c r="L106" s="41">
        <f>SUM(B109:L109)</f>
        <v>15274</v>
      </c>
      <c r="M106" s="41">
        <f>SUM(B109:M109)</f>
        <v>16422</v>
      </c>
      <c r="N106" s="41">
        <f>SUM(B109:N109)</f>
        <v>17624</v>
      </c>
      <c r="O106" s="41">
        <f>SUM(B109:O109)</f>
        <v>19534</v>
      </c>
      <c r="P106" s="41">
        <f>SUM(B109:P109)</f>
        <v>21651</v>
      </c>
      <c r="Q106" s="41">
        <f>SUM(B109:Q109)</f>
        <v>22784</v>
      </c>
      <c r="R106" s="41">
        <f>SUM(B109:R109)</f>
        <v>23882</v>
      </c>
      <c r="S106" s="41">
        <f>SUM(B109:S109)</f>
        <v>24939</v>
      </c>
      <c r="T106" s="41">
        <f>SUM(B109:T109)</f>
        <v>26020</v>
      </c>
      <c r="U106" s="41">
        <f>SUM(B109:U109)</f>
        <v>27230</v>
      </c>
      <c r="V106" s="41">
        <f>SUM(B109:V109)</f>
        <v>29100</v>
      </c>
      <c r="W106" s="41">
        <f>SUM(B109:W109)</f>
        <v>31177</v>
      </c>
      <c r="X106" s="41">
        <f>SUM(B109:X109)</f>
        <v>32367</v>
      </c>
      <c r="Y106" s="41">
        <f>SUM(B109:Y109)</f>
        <v>33560</v>
      </c>
      <c r="Z106" s="41">
        <f>SUM(B109:Z109)</f>
        <v>34773</v>
      </c>
      <c r="AA106" s="41">
        <f>SUM(B109:AA109)</f>
        <v>36024</v>
      </c>
      <c r="AB106" s="41">
        <f>SUM(B109:AB109)</f>
        <v>37480</v>
      </c>
      <c r="AC106" s="41">
        <f>SUM(B109:AC109)</f>
        <v>39646</v>
      </c>
      <c r="AD106" s="41">
        <f>SUM(C109:AD109)</f>
        <v>39709</v>
      </c>
      <c r="AE106" s="41">
        <f>SUM(D109:AE109)</f>
        <v>40019</v>
      </c>
      <c r="AF106" s="41">
        <f>SUM(E109:AF109)</f>
        <v>40304</v>
      </c>
    </row>
    <row r="107" spans="1:32" s="38" customFormat="1" ht="24" customHeight="1">
      <c r="A107" s="35" t="s">
        <v>24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25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41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f>C105/C104*100%</f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f>C108/C107*100%</f>
        <v>1.274247491638796</v>
      </c>
      <c r="O112" s="45"/>
      <c r="P112" s="45"/>
      <c r="Q112" s="45"/>
      <c r="S112" s="45"/>
      <c r="W112" s="38" t="s">
        <v>42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43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f>WEEKDAY(B103,2)</f>
        <v>3</v>
      </c>
      <c r="C117" s="37">
        <f t="shared" ref="C117:AF117" si="7">WEEKDAY(C103,2)</f>
        <v>4</v>
      </c>
      <c r="D117" s="37">
        <f t="shared" si="7"/>
        <v>5</v>
      </c>
      <c r="E117" s="37">
        <f t="shared" si="7"/>
        <v>6</v>
      </c>
      <c r="F117" s="37">
        <f t="shared" si="7"/>
        <v>7</v>
      </c>
      <c r="G117" s="37">
        <f t="shared" si="7"/>
        <v>1</v>
      </c>
      <c r="H117" s="37">
        <f t="shared" si="7"/>
        <v>2</v>
      </c>
      <c r="I117" s="37">
        <f t="shared" si="7"/>
        <v>3</v>
      </c>
      <c r="J117" s="37">
        <f t="shared" si="7"/>
        <v>4</v>
      </c>
      <c r="K117" s="37">
        <f t="shared" si="7"/>
        <v>5</v>
      </c>
      <c r="L117" s="37">
        <f t="shared" si="7"/>
        <v>6</v>
      </c>
      <c r="M117" s="37">
        <f t="shared" si="7"/>
        <v>7</v>
      </c>
      <c r="N117" s="37">
        <f t="shared" si="7"/>
        <v>1</v>
      </c>
      <c r="O117" s="37">
        <f t="shared" si="7"/>
        <v>2</v>
      </c>
      <c r="P117" s="37">
        <f t="shared" si="7"/>
        <v>3</v>
      </c>
      <c r="Q117" s="37">
        <f t="shared" si="7"/>
        <v>4</v>
      </c>
      <c r="R117" s="37">
        <f t="shared" si="7"/>
        <v>5</v>
      </c>
      <c r="S117" s="37">
        <f t="shared" si="7"/>
        <v>6</v>
      </c>
      <c r="T117" s="37">
        <f t="shared" si="7"/>
        <v>7</v>
      </c>
      <c r="U117" s="37">
        <f t="shared" si="7"/>
        <v>1</v>
      </c>
      <c r="V117" s="37">
        <f t="shared" si="7"/>
        <v>2</v>
      </c>
      <c r="W117" s="37">
        <f t="shared" si="7"/>
        <v>3</v>
      </c>
      <c r="X117" s="37">
        <f t="shared" si="7"/>
        <v>4</v>
      </c>
      <c r="Y117" s="37">
        <f t="shared" si="7"/>
        <v>5</v>
      </c>
      <c r="Z117" s="37">
        <f t="shared" si="7"/>
        <v>6</v>
      </c>
      <c r="AA117" s="37">
        <f t="shared" si="7"/>
        <v>7</v>
      </c>
      <c r="AB117" s="37">
        <f t="shared" si="7"/>
        <v>1</v>
      </c>
      <c r="AC117" s="37">
        <f t="shared" si="7"/>
        <v>2</v>
      </c>
      <c r="AD117" s="37">
        <f t="shared" si="7"/>
        <v>3</v>
      </c>
      <c r="AE117" s="37">
        <f t="shared" si="7"/>
        <v>4</v>
      </c>
      <c r="AF117" s="37">
        <f t="shared" si="7"/>
        <v>6</v>
      </c>
    </row>
    <row r="118" spans="1:32" s="38" customFormat="1" ht="14.1" customHeight="1">
      <c r="A118" s="25"/>
      <c r="B118" s="37">
        <f>WEEKDAY(B102,2)</f>
        <v>7</v>
      </c>
      <c r="C118" s="37">
        <f t="shared" ref="C118:AF118" si="8">WEEKDAY(C102,2)</f>
        <v>1</v>
      </c>
      <c r="D118" s="37">
        <f t="shared" si="8"/>
        <v>2</v>
      </c>
      <c r="E118" s="37">
        <f t="shared" si="8"/>
        <v>3</v>
      </c>
      <c r="F118" s="37">
        <f t="shared" si="8"/>
        <v>4</v>
      </c>
      <c r="G118" s="37">
        <f t="shared" si="8"/>
        <v>5</v>
      </c>
      <c r="H118" s="37">
        <f t="shared" si="8"/>
        <v>6</v>
      </c>
      <c r="I118" s="37">
        <f t="shared" si="8"/>
        <v>7</v>
      </c>
      <c r="J118" s="37">
        <f t="shared" si="8"/>
        <v>1</v>
      </c>
      <c r="K118" s="37">
        <f t="shared" si="8"/>
        <v>2</v>
      </c>
      <c r="L118" s="37">
        <f t="shared" si="8"/>
        <v>3</v>
      </c>
      <c r="M118" s="37">
        <f t="shared" si="8"/>
        <v>4</v>
      </c>
      <c r="N118" s="37">
        <f t="shared" si="8"/>
        <v>5</v>
      </c>
      <c r="O118" s="37">
        <f t="shared" si="8"/>
        <v>6</v>
      </c>
      <c r="P118" s="37">
        <f t="shared" si="8"/>
        <v>7</v>
      </c>
      <c r="Q118" s="37">
        <f t="shared" si="8"/>
        <v>1</v>
      </c>
      <c r="R118" s="37">
        <f t="shared" si="8"/>
        <v>2</v>
      </c>
      <c r="S118" s="37">
        <f t="shared" si="8"/>
        <v>3</v>
      </c>
      <c r="T118" s="37">
        <f t="shared" si="8"/>
        <v>4</v>
      </c>
      <c r="U118" s="37">
        <f t="shared" si="8"/>
        <v>5</v>
      </c>
      <c r="V118" s="37">
        <f t="shared" si="8"/>
        <v>6</v>
      </c>
      <c r="W118" s="37">
        <f t="shared" si="8"/>
        <v>7</v>
      </c>
      <c r="X118" s="37">
        <f t="shared" si="8"/>
        <v>1</v>
      </c>
      <c r="Y118" s="37">
        <f t="shared" si="8"/>
        <v>2</v>
      </c>
      <c r="Z118" s="37">
        <f t="shared" si="8"/>
        <v>3</v>
      </c>
      <c r="AA118" s="37">
        <f t="shared" si="8"/>
        <v>4</v>
      </c>
      <c r="AB118" s="37">
        <f t="shared" si="8"/>
        <v>5</v>
      </c>
      <c r="AC118" s="37">
        <f t="shared" si="8"/>
        <v>6</v>
      </c>
      <c r="AD118" s="37">
        <f t="shared" si="8"/>
        <v>7</v>
      </c>
      <c r="AE118" s="37">
        <f t="shared" si="8"/>
        <v>1</v>
      </c>
      <c r="AF118" s="37">
        <f t="shared" si="8"/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27</v>
      </c>
      <c r="B120" s="37" t="e">
        <f>SUMIFS([1]来店日趋势汇总!C118:AG118,$B$30:$AF$30,"&lt;="&amp;[1]ICE来店报表!$AA$1)</f>
        <v>#VALUE!</v>
      </c>
      <c r="C120" s="46" t="e">
        <f>A120&amp;"："&amp;ROUND(B120,0)</f>
        <v>#VALUE!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28</v>
      </c>
      <c r="B121" s="37" t="e">
        <f>SUMIFS([1]来店日趋势汇总!C119:AG119,$B$30:$AF$30,"&lt;="&amp;[1]ICE来店报表!$AA$1)</f>
        <v>#VALUE!</v>
      </c>
      <c r="C121" s="46" t="e">
        <f>A121&amp;"："&amp;B121&amp;"（"&amp;A124&amp;TEXT(B124,"0%")&amp;"）"</f>
        <v>#VALUE!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29</v>
      </c>
      <c r="B122" s="37" t="e">
        <f>SUMIFS([1]来店日趋势汇总!C117:AG117,$B$30:$AF$30,"&lt;="&amp;[1]ICE来店报表!$AA$1)</f>
        <v>#VALUE!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30</v>
      </c>
      <c r="B123" s="37" t="str">
        <f>IFERROR(B121/B120,"-")</f>
        <v>-</v>
      </c>
      <c r="C123" s="46" t="str">
        <f>A123&amp;"："&amp;TEXT(B123,"0%")</f>
        <v>累计达成率：-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31</v>
      </c>
      <c r="B124" s="47" t="str">
        <f>IFERROR(B121/B122-1,"-")</f>
        <v>-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32</v>
      </c>
      <c r="B125" s="37" t="e">
        <f>SUMIFS([1]来店日趋势汇总!C118:AG118,$B$30:$AF$30,[1]ICE来店报表!$AA$1)</f>
        <v>#VALUE!</v>
      </c>
      <c r="C125" s="46" t="e">
        <f>A125&amp;"："&amp;ROUND(B125,0)</f>
        <v>#VALUE!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33</v>
      </c>
      <c r="B126" s="37" t="e">
        <f>SUMIFS([1]来店日趋势汇总!C119:AG119,$B$30:$AF$30,[1]ICE来店报表!$AA$1)</f>
        <v>#VALUE!</v>
      </c>
      <c r="C126" s="46" t="e">
        <f>A126&amp;"："&amp;B126</f>
        <v>#VALUE!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34</v>
      </c>
      <c r="B127" s="47" t="str">
        <f>IFERROR(B126/B125,"-")</f>
        <v>-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e">
        <f>A121&amp;B121&amp;"，"&amp;A123&amp;TEXT(B123,"0%")&amp;"；"&amp;A126&amp;B126&amp;"，"&amp;A127&amp;TEXT(B127,"0%")</f>
        <v>#VALUE!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9.1" hidden="1" customHeight="1">
      <c r="A132" s="160" t="s">
        <v>44</v>
      </c>
      <c r="B132" s="161"/>
      <c r="C132" s="161"/>
      <c r="D132" s="161"/>
      <c r="E132" s="161"/>
      <c r="F132" s="161"/>
      <c r="G132" s="161"/>
      <c r="H132" s="161"/>
      <c r="I132" s="161"/>
      <c r="J132" s="161"/>
      <c r="K132" s="161"/>
      <c r="L132" s="162"/>
      <c r="M132" s="4"/>
      <c r="N132" s="4"/>
      <c r="O132" s="4"/>
    </row>
    <row r="133" spans="1:32" ht="20.45" hidden="1" customHeight="1">
      <c r="A133" s="71" t="s">
        <v>45</v>
      </c>
      <c r="B133" s="72" t="s">
        <v>46</v>
      </c>
      <c r="C133" s="73" t="s">
        <v>47</v>
      </c>
      <c r="D133" s="73" t="s">
        <v>9</v>
      </c>
      <c r="E133" s="73" t="s">
        <v>10</v>
      </c>
      <c r="F133" s="72" t="s">
        <v>48</v>
      </c>
      <c r="G133" s="72" t="s">
        <v>49</v>
      </c>
      <c r="H133" s="74" t="s">
        <v>50</v>
      </c>
      <c r="I133" s="74" t="s">
        <v>51</v>
      </c>
      <c r="J133" s="74" t="s">
        <v>52</v>
      </c>
      <c r="K133" s="74" t="s">
        <v>53</v>
      </c>
      <c r="L133" s="75" t="s">
        <v>54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f>#REF!</f>
        <v>#REF!</v>
      </c>
      <c r="C134" s="77"/>
      <c r="D134" s="78" t="str">
        <f>IFERROR(B134/C134,"-")</f>
        <v>-</v>
      </c>
      <c r="E134" s="78">
        <f>[1]ICE来店报表!$P$6</f>
        <v>0.3</v>
      </c>
      <c r="F134" s="78" t="e">
        <f>#REF!</f>
        <v>#REF!</v>
      </c>
      <c r="G134" s="78" t="e">
        <f>#REF!</f>
        <v>#REF!</v>
      </c>
      <c r="H134" s="78" t="e">
        <f>#REF!</f>
        <v>#REF!</v>
      </c>
      <c r="I134" s="78" t="e">
        <f>#REF!</f>
        <v>#REF!</v>
      </c>
      <c r="J134" s="78" t="e">
        <f>#REF!</f>
        <v>#REF!</v>
      </c>
      <c r="K134" s="78" t="e">
        <f>#REF!</f>
        <v>#REF!</v>
      </c>
      <c r="L134" s="79" t="e">
        <f>#REF!</f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55</v>
      </c>
      <c r="I137" s="83"/>
      <c r="J137" s="86"/>
      <c r="K137" s="86"/>
      <c r="L137" s="86"/>
      <c r="M137" s="86"/>
      <c r="N137" s="86"/>
      <c r="O137" s="87" t="str">
        <f>"统计周期"&amp;[1]ICE来店报表!$AA$2&amp;".1-"&amp;[1]ICE来店报表!$AA$2&amp;"."&amp;[1]ICE来店报表!$AA$1</f>
        <v>统计周期4.1-4.9</v>
      </c>
    </row>
    <row r="138" spans="1:32">
      <c r="A138" s="163" t="s">
        <v>56</v>
      </c>
      <c r="B138" s="164"/>
      <c r="C138" s="164"/>
      <c r="D138" s="164"/>
      <c r="E138" s="164"/>
      <c r="F138" s="165"/>
      <c r="G138" s="166" t="s">
        <v>57</v>
      </c>
      <c r="H138" s="167"/>
      <c r="I138" s="167"/>
      <c r="J138" s="157" t="s">
        <v>58</v>
      </c>
      <c r="K138" s="158"/>
      <c r="L138" s="158"/>
      <c r="M138" s="157" t="s">
        <v>59</v>
      </c>
      <c r="N138" s="158"/>
      <c r="O138" s="159"/>
    </row>
    <row r="139" spans="1:32" ht="42.75">
      <c r="A139" s="88" t="s">
        <v>60</v>
      </c>
      <c r="B139" s="89" t="s">
        <v>61</v>
      </c>
      <c r="C139" s="89" t="s">
        <v>62</v>
      </c>
      <c r="D139" s="89" t="s">
        <v>63</v>
      </c>
      <c r="E139" s="89" t="s">
        <v>13</v>
      </c>
      <c r="F139" s="90" t="s">
        <v>14</v>
      </c>
      <c r="G139" s="88" t="s">
        <v>64</v>
      </c>
      <c r="H139" s="89" t="s">
        <v>13</v>
      </c>
      <c r="I139" s="89" t="s">
        <v>14</v>
      </c>
      <c r="J139" s="89" t="s">
        <v>64</v>
      </c>
      <c r="K139" s="89" t="s">
        <v>13</v>
      </c>
      <c r="L139" s="89" t="s">
        <v>14</v>
      </c>
      <c r="M139" s="89" t="s">
        <v>64</v>
      </c>
      <c r="N139" s="89" t="s">
        <v>13</v>
      </c>
      <c r="O139" s="91" t="s">
        <v>14</v>
      </c>
    </row>
    <row r="140" spans="1:32" ht="15.75">
      <c r="A140" s="92" t="str">
        <f>[1]ICE来店报表!A6</f>
        <v>全国</v>
      </c>
      <c r="B140" s="92">
        <f>SUMIFS([1]ICE来店报表!M$6:M$16,[1]ICE来店报表!$A$6:$A$16,$A140)</f>
        <v>0</v>
      </c>
      <c r="C140" s="92">
        <f>SUMIFS([1]ICE来店报表!N$6:N$16,[1]ICE来店报表!$A$6:$A$16,$A140)</f>
        <v>13280</v>
      </c>
      <c r="D140" s="93">
        <f>SUMIFS([1]ICE来店报表!O$6:O$16,[1]ICE来店报表!$A$6:$A$16,$A140)</f>
        <v>0</v>
      </c>
      <c r="E140" s="93">
        <f>SUMIFS([1]ICE来店报表!S$6:S$16,[1]ICE来店报表!$A$6:$A$16,$A140)</f>
        <v>-0.59659781287970837</v>
      </c>
      <c r="F140" s="94">
        <f>SUMIFS([1]ICE来店报表!T$6:T$16,[1]ICE来店报表!$A$6:$A$16,$A140)</f>
        <v>-0.40990890913130418</v>
      </c>
      <c r="G140" s="95">
        <f>SUMIFS([1]ICE来店报表!AC$6:AC$16,[1]ICE来店报表!$A$6:$A$16,$A140)</f>
        <v>7515</v>
      </c>
      <c r="H140" s="93">
        <f>SUMIFS([1]ICE来店报表!AD$6:AD$16,[1]ICE来店报表!$A$6:$A$16,$A140)</f>
        <v>-0.55941842058978719</v>
      </c>
      <c r="I140" s="93">
        <f>SUMIFS([1]ICE来店报表!AE$6:AE$16,[1]ICE来店报表!$A$6:$A$16,$A140)</f>
        <v>-0.390807392996109</v>
      </c>
      <c r="J140" s="96">
        <f>SUMIFS([1]ICE来店报表!AF$6:AF$16,[1]ICE来店报表!$A$6:$A$16,$A140)</f>
        <v>4948</v>
      </c>
      <c r="K140" s="93">
        <f>SUMIFS([1]ICE来店报表!AG$6:AG$16,[1]ICE来店报表!$A$6:$A$16,$A140)</f>
        <v>-0.64807965860597438</v>
      </c>
      <c r="L140" s="93">
        <f>SUMIFS([1]ICE来店报表!AH$6:AH$16,[1]ICE来店报表!$A$6:$A$16,$A140)</f>
        <v>-0.44591265397536395</v>
      </c>
      <c r="M140" s="96">
        <f>SUMIFS([1]ICE来店报表!AI$6:AI$16,[1]ICE来店报表!$A$6:$A$16,$A140)</f>
        <v>817</v>
      </c>
      <c r="N140" s="93">
        <f>SUMIFS([1]ICE来店报表!AJ$6:AJ$16,[1]ICE来店报表!$A$6:$A$16,$A140)</f>
        <v>-0.54686633388796446</v>
      </c>
      <c r="O140" s="94">
        <f>SUMIFS([1]ICE来店报表!AK$6:AK$16,[1]ICE来店报表!$A$6:$A$16,$A140)</f>
        <v>-0.34059725585149314</v>
      </c>
    </row>
    <row r="141" spans="1:32" ht="15.75">
      <c r="A141" s="97" t="e">
        <f>[1]文字概述1!I55</f>
        <v>#N/A</v>
      </c>
      <c r="B141" s="97">
        <f>SUMIFS([1]ICE来店报表!M$6:M$16,[1]ICE来店报表!$A$6:$A$16,$A141)</f>
        <v>0</v>
      </c>
      <c r="C141" s="97">
        <f>SUMIFS([1]ICE来店报表!N$6:N$16,[1]ICE来店报表!$A$6:$A$16,$A141)</f>
        <v>0</v>
      </c>
      <c r="D141" s="98">
        <f>SUMIFS([1]ICE来店报表!O$6:O$16,[1]ICE来店报表!$A$6:$A$16,$A141)</f>
        <v>0</v>
      </c>
      <c r="E141" s="99">
        <f>SUMIFS([1]ICE来店报表!S$6:S$16,[1]ICE来店报表!$A$6:$A$16,$A141)</f>
        <v>0</v>
      </c>
      <c r="F141" s="100">
        <f>SUMIFS([1]ICE来店报表!T$6:T$16,[1]ICE来店报表!$A$6:$A$16,$A141)</f>
        <v>0</v>
      </c>
      <c r="G141" s="101">
        <f>SUMIFS([1]ICE来店报表!AC$6:AC$16,[1]ICE来店报表!$A$6:$A$16,$A141)</f>
        <v>0</v>
      </c>
      <c r="H141" s="99">
        <f>SUMIFS([1]ICE来店报表!AD$6:AD$16,[1]ICE来店报表!$A$6:$A$16,$A141)</f>
        <v>0</v>
      </c>
      <c r="I141" s="99">
        <f>SUMIFS([1]ICE来店报表!AE$6:AE$16,[1]ICE来店报表!$A$6:$A$16,$A141)</f>
        <v>0</v>
      </c>
      <c r="J141" s="102">
        <f>SUMIFS([1]ICE来店报表!AF$6:AF$16,[1]ICE来店报表!$A$6:$A$16,$A141)</f>
        <v>0</v>
      </c>
      <c r="K141" s="99">
        <f>SUMIFS([1]ICE来店报表!AG$6:AG$16,[1]ICE来店报表!$A$6:$A$16,$A141)</f>
        <v>0</v>
      </c>
      <c r="L141" s="99">
        <f>SUMIFS([1]ICE来店报表!AH$6:AH$16,[1]ICE来店报表!$A$6:$A$16,$A141)</f>
        <v>0</v>
      </c>
      <c r="M141" s="102">
        <f>SUMIFS([1]ICE来店报表!AI$6:AI$16,[1]ICE来店报表!$A$6:$A$16,$A141)</f>
        <v>0</v>
      </c>
      <c r="N141" s="99">
        <f>SUMIFS([1]ICE来店报表!AJ$6:AJ$16,[1]ICE来店报表!$A$6:$A$16,$A141)</f>
        <v>0</v>
      </c>
      <c r="O141" s="100">
        <f>SUMIFS([1]ICE来店报表!AK$6:AK$16,[1]ICE来店报表!$A$6:$A$16,$A141)</f>
        <v>0</v>
      </c>
    </row>
    <row r="142" spans="1:32" ht="15.75">
      <c r="A142" s="97" t="e">
        <f>[1]文字概述1!I56</f>
        <v>#N/A</v>
      </c>
      <c r="B142" s="97">
        <f>SUMIFS([1]ICE来店报表!M$6:M$16,[1]ICE来店报表!$A$6:$A$16,$A142)</f>
        <v>0</v>
      </c>
      <c r="C142" s="97">
        <f>SUMIFS([1]ICE来店报表!N$6:N$16,[1]ICE来店报表!$A$6:$A$16,$A142)</f>
        <v>0</v>
      </c>
      <c r="D142" s="98">
        <f>SUMIFS([1]ICE来店报表!O$6:O$16,[1]ICE来店报表!$A$6:$A$16,$A142)</f>
        <v>0</v>
      </c>
      <c r="E142" s="99">
        <f>SUMIFS([1]ICE来店报表!S$6:S$16,[1]ICE来店报表!$A$6:$A$16,$A142)</f>
        <v>0</v>
      </c>
      <c r="F142" s="100">
        <f>SUMIFS([1]ICE来店报表!T$6:T$16,[1]ICE来店报表!$A$6:$A$16,$A142)</f>
        <v>0</v>
      </c>
      <c r="G142" s="101">
        <f>SUMIFS([1]ICE来店报表!AC$6:AC$16,[1]ICE来店报表!$A$6:$A$16,$A142)</f>
        <v>0</v>
      </c>
      <c r="H142" s="99">
        <f>SUMIFS([1]ICE来店报表!AD$6:AD$16,[1]ICE来店报表!$A$6:$A$16,$A142)</f>
        <v>0</v>
      </c>
      <c r="I142" s="99">
        <f>SUMIFS([1]ICE来店报表!AE$6:AE$16,[1]ICE来店报表!$A$6:$A$16,$A142)</f>
        <v>0</v>
      </c>
      <c r="J142" s="102">
        <f>SUMIFS([1]ICE来店报表!AF$6:AF$16,[1]ICE来店报表!$A$6:$A$16,$A142)</f>
        <v>0</v>
      </c>
      <c r="K142" s="99">
        <f>SUMIFS([1]ICE来店报表!AG$6:AG$16,[1]ICE来店报表!$A$6:$A$16,$A142)</f>
        <v>0</v>
      </c>
      <c r="L142" s="99">
        <f>SUMIFS([1]ICE来店报表!AH$6:AH$16,[1]ICE来店报表!$A$6:$A$16,$A142)</f>
        <v>0</v>
      </c>
      <c r="M142" s="102">
        <f>SUMIFS([1]ICE来店报表!AI$6:AI$16,[1]ICE来店报表!$A$6:$A$16,$A142)</f>
        <v>0</v>
      </c>
      <c r="N142" s="99">
        <f>SUMIFS([1]ICE来店报表!AJ$6:AJ$16,[1]ICE来店报表!$A$6:$A$16,$A142)</f>
        <v>0</v>
      </c>
      <c r="O142" s="100">
        <f>SUMIFS([1]ICE来店报表!AK$6:AK$16,[1]ICE来店报表!$A$6:$A$16,$A142)</f>
        <v>0</v>
      </c>
    </row>
    <row r="143" spans="1:32" ht="15.75">
      <c r="A143" s="97" t="e">
        <f>[1]文字概述1!I57</f>
        <v>#N/A</v>
      </c>
      <c r="B143" s="97">
        <f>SUMIFS([1]ICE来店报表!M$6:M$16,[1]ICE来店报表!$A$6:$A$16,$A143)</f>
        <v>0</v>
      </c>
      <c r="C143" s="97">
        <f>SUMIFS([1]ICE来店报表!N$6:N$16,[1]ICE来店报表!$A$6:$A$16,$A143)</f>
        <v>0</v>
      </c>
      <c r="D143" s="98">
        <f>SUMIFS([1]ICE来店报表!O$6:O$16,[1]ICE来店报表!$A$6:$A$16,$A143)</f>
        <v>0</v>
      </c>
      <c r="E143" s="99">
        <f>SUMIFS([1]ICE来店报表!S$6:S$16,[1]ICE来店报表!$A$6:$A$16,$A143)</f>
        <v>0</v>
      </c>
      <c r="F143" s="100">
        <f>SUMIFS([1]ICE来店报表!T$6:T$16,[1]ICE来店报表!$A$6:$A$16,$A143)</f>
        <v>0</v>
      </c>
      <c r="G143" s="101">
        <f>SUMIFS([1]ICE来店报表!AC$6:AC$16,[1]ICE来店报表!$A$6:$A$16,$A143)</f>
        <v>0</v>
      </c>
      <c r="H143" s="99">
        <f>SUMIFS([1]ICE来店报表!AD$6:AD$16,[1]ICE来店报表!$A$6:$A$16,$A143)</f>
        <v>0</v>
      </c>
      <c r="I143" s="99">
        <f>SUMIFS([1]ICE来店报表!AE$6:AE$16,[1]ICE来店报表!$A$6:$A$16,$A143)</f>
        <v>0</v>
      </c>
      <c r="J143" s="102">
        <f>SUMIFS([1]ICE来店报表!AF$6:AF$16,[1]ICE来店报表!$A$6:$A$16,$A143)</f>
        <v>0</v>
      </c>
      <c r="K143" s="99">
        <f>SUMIFS([1]ICE来店报表!AG$6:AG$16,[1]ICE来店报表!$A$6:$A$16,$A143)</f>
        <v>0</v>
      </c>
      <c r="L143" s="99">
        <f>SUMIFS([1]ICE来店报表!AH$6:AH$16,[1]ICE来店报表!$A$6:$A$16,$A143)</f>
        <v>0</v>
      </c>
      <c r="M143" s="102">
        <f>SUMIFS([1]ICE来店报表!AI$6:AI$16,[1]ICE来店报表!$A$6:$A$16,$A143)</f>
        <v>0</v>
      </c>
      <c r="N143" s="99">
        <f>SUMIFS([1]ICE来店报表!AJ$6:AJ$16,[1]ICE来店报表!$A$6:$A$16,$A143)</f>
        <v>0</v>
      </c>
      <c r="O143" s="100">
        <f>SUMIFS([1]ICE来店报表!AK$6:AK$16,[1]ICE来店报表!$A$6:$A$16,$A143)</f>
        <v>0</v>
      </c>
    </row>
    <row r="144" spans="1:32" ht="15.75">
      <c r="A144" s="97" t="e">
        <f>[1]文字概述1!I58</f>
        <v>#N/A</v>
      </c>
      <c r="B144" s="97">
        <f>SUMIFS([1]ICE来店报表!M$6:M$16,[1]ICE来店报表!$A$6:$A$16,$A144)</f>
        <v>0</v>
      </c>
      <c r="C144" s="97">
        <f>SUMIFS([1]ICE来店报表!N$6:N$16,[1]ICE来店报表!$A$6:$A$16,$A144)</f>
        <v>0</v>
      </c>
      <c r="D144" s="98">
        <f>SUMIFS([1]ICE来店报表!O$6:O$16,[1]ICE来店报表!$A$6:$A$16,$A144)</f>
        <v>0</v>
      </c>
      <c r="E144" s="99">
        <f>SUMIFS([1]ICE来店报表!S$6:S$16,[1]ICE来店报表!$A$6:$A$16,$A144)</f>
        <v>0</v>
      </c>
      <c r="F144" s="100">
        <f>SUMIFS([1]ICE来店报表!T$6:T$16,[1]ICE来店报表!$A$6:$A$16,$A144)</f>
        <v>0</v>
      </c>
      <c r="G144" s="101">
        <f>SUMIFS([1]ICE来店报表!AC$6:AC$16,[1]ICE来店报表!$A$6:$A$16,$A144)</f>
        <v>0</v>
      </c>
      <c r="H144" s="99">
        <f>SUMIFS([1]ICE来店报表!AD$6:AD$16,[1]ICE来店报表!$A$6:$A$16,$A144)</f>
        <v>0</v>
      </c>
      <c r="I144" s="99">
        <f>SUMIFS([1]ICE来店报表!AE$6:AE$16,[1]ICE来店报表!$A$6:$A$16,$A144)</f>
        <v>0</v>
      </c>
      <c r="J144" s="102">
        <f>SUMIFS([1]ICE来店报表!AF$6:AF$16,[1]ICE来店报表!$A$6:$A$16,$A144)</f>
        <v>0</v>
      </c>
      <c r="K144" s="99">
        <f>SUMIFS([1]ICE来店报表!AG$6:AG$16,[1]ICE来店报表!$A$6:$A$16,$A144)</f>
        <v>0</v>
      </c>
      <c r="L144" s="99">
        <f>SUMIFS([1]ICE来店报表!AH$6:AH$16,[1]ICE来店报表!$A$6:$A$16,$A144)</f>
        <v>0</v>
      </c>
      <c r="M144" s="102">
        <f>SUMIFS([1]ICE来店报表!AI$6:AI$16,[1]ICE来店报表!$A$6:$A$16,$A144)</f>
        <v>0</v>
      </c>
      <c r="N144" s="99">
        <f>SUMIFS([1]ICE来店报表!AJ$6:AJ$16,[1]ICE来店报表!$A$6:$A$16,$A144)</f>
        <v>0</v>
      </c>
      <c r="O144" s="100">
        <f>SUMIFS([1]ICE来店报表!AK$6:AK$16,[1]ICE来店报表!$A$6:$A$16,$A144)</f>
        <v>0</v>
      </c>
    </row>
    <row r="145" spans="1:15" ht="15.75">
      <c r="A145" s="97" t="e">
        <f>[1]文字概述1!I59</f>
        <v>#N/A</v>
      </c>
      <c r="B145" s="97">
        <f>SUMIFS([1]ICE来店报表!M$6:M$16,[1]ICE来店报表!$A$6:$A$16,$A145)</f>
        <v>0</v>
      </c>
      <c r="C145" s="97">
        <f>SUMIFS([1]ICE来店报表!N$6:N$16,[1]ICE来店报表!$A$6:$A$16,$A145)</f>
        <v>0</v>
      </c>
      <c r="D145" s="98">
        <f>SUMIFS([1]ICE来店报表!O$6:O$16,[1]ICE来店报表!$A$6:$A$16,$A145)</f>
        <v>0</v>
      </c>
      <c r="E145" s="99">
        <f>SUMIFS([1]ICE来店报表!S$6:S$16,[1]ICE来店报表!$A$6:$A$16,$A145)</f>
        <v>0</v>
      </c>
      <c r="F145" s="100">
        <f>SUMIFS([1]ICE来店报表!T$6:T$16,[1]ICE来店报表!$A$6:$A$16,$A145)</f>
        <v>0</v>
      </c>
      <c r="G145" s="101">
        <f>SUMIFS([1]ICE来店报表!AC$6:AC$16,[1]ICE来店报表!$A$6:$A$16,$A145)</f>
        <v>0</v>
      </c>
      <c r="H145" s="99">
        <f>SUMIFS([1]ICE来店报表!AD$6:AD$16,[1]ICE来店报表!$A$6:$A$16,$A145)</f>
        <v>0</v>
      </c>
      <c r="I145" s="99">
        <f>SUMIFS([1]ICE来店报表!AE$6:AE$16,[1]ICE来店报表!$A$6:$A$16,$A145)</f>
        <v>0</v>
      </c>
      <c r="J145" s="102">
        <f>SUMIFS([1]ICE来店报表!AF$6:AF$16,[1]ICE来店报表!$A$6:$A$16,$A145)</f>
        <v>0</v>
      </c>
      <c r="K145" s="99">
        <f>SUMIFS([1]ICE来店报表!AG$6:AG$16,[1]ICE来店报表!$A$6:$A$16,$A145)</f>
        <v>0</v>
      </c>
      <c r="L145" s="99">
        <f>SUMIFS([1]ICE来店报表!AH$6:AH$16,[1]ICE来店报表!$A$6:$A$16,$A145)</f>
        <v>0</v>
      </c>
      <c r="M145" s="102">
        <f>SUMIFS([1]ICE来店报表!AI$6:AI$16,[1]ICE来店报表!$A$6:$A$16,$A145)</f>
        <v>0</v>
      </c>
      <c r="N145" s="99">
        <f>SUMIFS([1]ICE来店报表!AJ$6:AJ$16,[1]ICE来店报表!$A$6:$A$16,$A145)</f>
        <v>0</v>
      </c>
      <c r="O145" s="100">
        <f>SUMIFS([1]ICE来店报表!AK$6:AK$16,[1]ICE来店报表!$A$6:$A$16,$A145)</f>
        <v>0</v>
      </c>
    </row>
    <row r="146" spans="1:15" ht="15.75">
      <c r="A146" s="97" t="e">
        <f>[1]文字概述1!I60</f>
        <v>#N/A</v>
      </c>
      <c r="B146" s="97">
        <f>SUMIFS([1]ICE来店报表!M$6:M$16,[1]ICE来店报表!$A$6:$A$16,$A146)</f>
        <v>0</v>
      </c>
      <c r="C146" s="97">
        <f>SUMIFS([1]ICE来店报表!N$6:N$16,[1]ICE来店报表!$A$6:$A$16,$A146)</f>
        <v>0</v>
      </c>
      <c r="D146" s="98">
        <f>SUMIFS([1]ICE来店报表!O$6:O$16,[1]ICE来店报表!$A$6:$A$16,$A146)</f>
        <v>0</v>
      </c>
      <c r="E146" s="99">
        <f>SUMIFS([1]ICE来店报表!S$6:S$16,[1]ICE来店报表!$A$6:$A$16,$A146)</f>
        <v>0</v>
      </c>
      <c r="F146" s="100">
        <f>SUMIFS([1]ICE来店报表!T$6:T$16,[1]ICE来店报表!$A$6:$A$16,$A146)</f>
        <v>0</v>
      </c>
      <c r="G146" s="101">
        <f>SUMIFS([1]ICE来店报表!AC$6:AC$16,[1]ICE来店报表!$A$6:$A$16,$A146)</f>
        <v>0</v>
      </c>
      <c r="H146" s="99">
        <f>SUMIFS([1]ICE来店报表!AD$6:AD$16,[1]ICE来店报表!$A$6:$A$16,$A146)</f>
        <v>0</v>
      </c>
      <c r="I146" s="99">
        <f>SUMIFS([1]ICE来店报表!AE$6:AE$16,[1]ICE来店报表!$A$6:$A$16,$A146)</f>
        <v>0</v>
      </c>
      <c r="J146" s="102">
        <f>SUMIFS([1]ICE来店报表!AF$6:AF$16,[1]ICE来店报表!$A$6:$A$16,$A146)</f>
        <v>0</v>
      </c>
      <c r="K146" s="99">
        <f>SUMIFS([1]ICE来店报表!AG$6:AG$16,[1]ICE来店报表!$A$6:$A$16,$A146)</f>
        <v>0</v>
      </c>
      <c r="L146" s="99">
        <f>SUMIFS([1]ICE来店报表!AH$6:AH$16,[1]ICE来店报表!$A$6:$A$16,$A146)</f>
        <v>0</v>
      </c>
      <c r="M146" s="102">
        <f>SUMIFS([1]ICE来店报表!AI$6:AI$16,[1]ICE来店报表!$A$6:$A$16,$A146)</f>
        <v>0</v>
      </c>
      <c r="N146" s="99">
        <f>SUMIFS([1]ICE来店报表!AJ$6:AJ$16,[1]ICE来店报表!$A$6:$A$16,$A146)</f>
        <v>0</v>
      </c>
      <c r="O146" s="100">
        <f>SUMIFS([1]ICE来店报表!AK$6:AK$16,[1]ICE来店报表!$A$6:$A$16,$A146)</f>
        <v>0</v>
      </c>
    </row>
    <row r="147" spans="1:15" ht="15.75">
      <c r="A147" s="97" t="e">
        <f>[1]文字概述1!I61</f>
        <v>#N/A</v>
      </c>
      <c r="B147" s="97">
        <f>SUMIFS([1]ICE来店报表!M$6:M$16,[1]ICE来店报表!$A$6:$A$16,$A147)</f>
        <v>0</v>
      </c>
      <c r="C147" s="97">
        <f>SUMIFS([1]ICE来店报表!N$6:N$16,[1]ICE来店报表!$A$6:$A$16,$A147)</f>
        <v>0</v>
      </c>
      <c r="D147" s="98">
        <f>SUMIFS([1]ICE来店报表!O$6:O$16,[1]ICE来店报表!$A$6:$A$16,$A147)</f>
        <v>0</v>
      </c>
      <c r="E147" s="99">
        <f>SUMIFS([1]ICE来店报表!S$6:S$16,[1]ICE来店报表!$A$6:$A$16,$A147)</f>
        <v>0</v>
      </c>
      <c r="F147" s="100">
        <f>SUMIFS([1]ICE来店报表!T$6:T$16,[1]ICE来店报表!$A$6:$A$16,$A147)</f>
        <v>0</v>
      </c>
      <c r="G147" s="101">
        <f>SUMIFS([1]ICE来店报表!AC$6:AC$16,[1]ICE来店报表!$A$6:$A$16,$A147)</f>
        <v>0</v>
      </c>
      <c r="H147" s="99">
        <f>SUMIFS([1]ICE来店报表!AD$6:AD$16,[1]ICE来店报表!$A$6:$A$16,$A147)</f>
        <v>0</v>
      </c>
      <c r="I147" s="99">
        <f>SUMIFS([1]ICE来店报表!AE$6:AE$16,[1]ICE来店报表!$A$6:$A$16,$A147)</f>
        <v>0</v>
      </c>
      <c r="J147" s="102">
        <f>SUMIFS([1]ICE来店报表!AF$6:AF$16,[1]ICE来店报表!$A$6:$A$16,$A147)</f>
        <v>0</v>
      </c>
      <c r="K147" s="99">
        <f>SUMIFS([1]ICE来店报表!AG$6:AG$16,[1]ICE来店报表!$A$6:$A$16,$A147)</f>
        <v>0</v>
      </c>
      <c r="L147" s="99">
        <f>SUMIFS([1]ICE来店报表!AH$6:AH$16,[1]ICE来店报表!$A$6:$A$16,$A147)</f>
        <v>0</v>
      </c>
      <c r="M147" s="102">
        <f>SUMIFS([1]ICE来店报表!AI$6:AI$16,[1]ICE来店报表!$A$6:$A$16,$A147)</f>
        <v>0</v>
      </c>
      <c r="N147" s="99">
        <f>SUMIFS([1]ICE来店报表!AJ$6:AJ$16,[1]ICE来店报表!$A$6:$A$16,$A147)</f>
        <v>0</v>
      </c>
      <c r="O147" s="100">
        <f>SUMIFS([1]ICE来店报表!AK$6:AK$16,[1]ICE来店报表!$A$6:$A$16,$A147)</f>
        <v>0</v>
      </c>
    </row>
    <row r="148" spans="1:15" ht="15.75">
      <c r="A148" s="97" t="e">
        <f>[1]文字概述1!I62</f>
        <v>#N/A</v>
      </c>
      <c r="B148" s="97">
        <f>SUMIFS([1]ICE来店报表!M$6:M$16,[1]ICE来店报表!$A$6:$A$16,$A148)</f>
        <v>0</v>
      </c>
      <c r="C148" s="97">
        <f>SUMIFS([1]ICE来店报表!N$6:N$16,[1]ICE来店报表!$A$6:$A$16,$A148)</f>
        <v>0</v>
      </c>
      <c r="D148" s="98">
        <f>SUMIFS([1]ICE来店报表!O$6:O$16,[1]ICE来店报表!$A$6:$A$16,$A148)</f>
        <v>0</v>
      </c>
      <c r="E148" s="99">
        <f>SUMIFS([1]ICE来店报表!S$6:S$16,[1]ICE来店报表!$A$6:$A$16,$A148)</f>
        <v>0</v>
      </c>
      <c r="F148" s="100">
        <f>SUMIFS([1]ICE来店报表!T$6:T$16,[1]ICE来店报表!$A$6:$A$16,$A148)</f>
        <v>0</v>
      </c>
      <c r="G148" s="101">
        <f>SUMIFS([1]ICE来店报表!AC$6:AC$16,[1]ICE来店报表!$A$6:$A$16,$A148)</f>
        <v>0</v>
      </c>
      <c r="H148" s="99">
        <f>SUMIFS([1]ICE来店报表!AD$6:AD$16,[1]ICE来店报表!$A$6:$A$16,$A148)</f>
        <v>0</v>
      </c>
      <c r="I148" s="99">
        <f>SUMIFS([1]ICE来店报表!AE$6:AE$16,[1]ICE来店报表!$A$6:$A$16,$A148)</f>
        <v>0</v>
      </c>
      <c r="J148" s="102">
        <f>SUMIFS([1]ICE来店报表!AF$6:AF$16,[1]ICE来店报表!$A$6:$A$16,$A148)</f>
        <v>0</v>
      </c>
      <c r="K148" s="99">
        <f>SUMIFS([1]ICE来店报表!AG$6:AG$16,[1]ICE来店报表!$A$6:$A$16,$A148)</f>
        <v>0</v>
      </c>
      <c r="L148" s="99">
        <f>SUMIFS([1]ICE来店报表!AH$6:AH$16,[1]ICE来店报表!$A$6:$A$16,$A148)</f>
        <v>0</v>
      </c>
      <c r="M148" s="102">
        <f>SUMIFS([1]ICE来店报表!AI$6:AI$16,[1]ICE来店报表!$A$6:$A$16,$A148)</f>
        <v>0</v>
      </c>
      <c r="N148" s="99">
        <f>SUMIFS([1]ICE来店报表!AJ$6:AJ$16,[1]ICE来店报表!$A$6:$A$16,$A148)</f>
        <v>0</v>
      </c>
      <c r="O148" s="100">
        <f>SUMIFS([1]ICE来店报表!AK$6:AK$16,[1]ICE来店报表!$A$6:$A$16,$A148)</f>
        <v>0</v>
      </c>
    </row>
    <row r="149" spans="1:15" ht="15.75">
      <c r="A149" s="97" t="e">
        <f>[1]文字概述1!I63</f>
        <v>#N/A</v>
      </c>
      <c r="B149" s="97">
        <f>SUMIFS([1]ICE来店报表!M$6:M$16,[1]ICE来店报表!$A$6:$A$16,$A149)</f>
        <v>0</v>
      </c>
      <c r="C149" s="97">
        <f>SUMIFS([1]ICE来店报表!N$6:N$16,[1]ICE来店报表!$A$6:$A$16,$A149)</f>
        <v>0</v>
      </c>
      <c r="D149" s="98">
        <f>SUMIFS([1]ICE来店报表!O$6:O$16,[1]ICE来店报表!$A$6:$A$16,$A149)</f>
        <v>0</v>
      </c>
      <c r="E149" s="99">
        <f>SUMIFS([1]ICE来店报表!S$6:S$16,[1]ICE来店报表!$A$6:$A$16,$A149)</f>
        <v>0</v>
      </c>
      <c r="F149" s="100">
        <f>SUMIFS([1]ICE来店报表!T$6:T$16,[1]ICE来店报表!$A$6:$A$16,$A149)</f>
        <v>0</v>
      </c>
      <c r="G149" s="101">
        <f>SUMIFS([1]ICE来店报表!AC$6:AC$16,[1]ICE来店报表!$A$6:$A$16,$A149)</f>
        <v>0</v>
      </c>
      <c r="H149" s="99">
        <f>SUMIFS([1]ICE来店报表!AD$6:AD$16,[1]ICE来店报表!$A$6:$A$16,$A149)</f>
        <v>0</v>
      </c>
      <c r="I149" s="99">
        <f>SUMIFS([1]ICE来店报表!AE$6:AE$16,[1]ICE来店报表!$A$6:$A$16,$A149)</f>
        <v>0</v>
      </c>
      <c r="J149" s="102">
        <f>SUMIFS([1]ICE来店报表!AF$6:AF$16,[1]ICE来店报表!$A$6:$A$16,$A149)</f>
        <v>0</v>
      </c>
      <c r="K149" s="99">
        <f>SUMIFS([1]ICE来店报表!AG$6:AG$16,[1]ICE来店报表!$A$6:$A$16,$A149)</f>
        <v>0</v>
      </c>
      <c r="L149" s="99">
        <f>SUMIFS([1]ICE来店报表!AH$6:AH$16,[1]ICE来店报表!$A$6:$A$16,$A149)</f>
        <v>0</v>
      </c>
      <c r="M149" s="102">
        <f>SUMIFS([1]ICE来店报表!AI$6:AI$16,[1]ICE来店报表!$A$6:$A$16,$A149)</f>
        <v>0</v>
      </c>
      <c r="N149" s="99">
        <f>SUMIFS([1]ICE来店报表!AJ$6:AJ$16,[1]ICE来店报表!$A$6:$A$16,$A149)</f>
        <v>0</v>
      </c>
      <c r="O149" s="100">
        <f>SUMIFS([1]ICE来店报表!AK$6:AK$16,[1]ICE来店报表!$A$6:$A$16,$A149)</f>
        <v>0</v>
      </c>
    </row>
    <row r="150" spans="1:15" ht="16.5" thickBot="1">
      <c r="A150" s="103" t="e">
        <f>[1]文字概述1!I64</f>
        <v>#N/A</v>
      </c>
      <c r="B150" s="103">
        <f>SUMIFS([1]ICE来店报表!M$6:M$16,[1]ICE来店报表!$A$6:$A$16,$A150)</f>
        <v>0</v>
      </c>
      <c r="C150" s="103">
        <f>SUMIFS([1]ICE来店报表!N$6:N$16,[1]ICE来店报表!$A$6:$A$16,$A150)</f>
        <v>0</v>
      </c>
      <c r="D150" s="104">
        <f>SUMIFS([1]ICE来店报表!O$6:O$16,[1]ICE来店报表!$A$6:$A$16,$A150)</f>
        <v>0</v>
      </c>
      <c r="E150" s="105">
        <f>SUMIFS([1]ICE来店报表!S$6:S$16,[1]ICE来店报表!$A$6:$A$16,$A150)</f>
        <v>0</v>
      </c>
      <c r="F150" s="106">
        <f>SUMIFS([1]ICE来店报表!T$6:T$16,[1]ICE来店报表!$A$6:$A$16,$A150)</f>
        <v>0</v>
      </c>
      <c r="G150" s="107">
        <f>SUMIFS([1]ICE来店报表!AC$6:AC$16,[1]ICE来店报表!$A$6:$A$16,$A150)</f>
        <v>0</v>
      </c>
      <c r="H150" s="105">
        <f>SUMIFS([1]ICE来店报表!AD$6:AD$16,[1]ICE来店报表!$A$6:$A$16,$A150)</f>
        <v>0</v>
      </c>
      <c r="I150" s="105">
        <f>SUMIFS([1]ICE来店报表!AE$6:AE$16,[1]ICE来店报表!$A$6:$A$16,$A150)</f>
        <v>0</v>
      </c>
      <c r="J150" s="108">
        <f>SUMIFS([1]ICE来店报表!AF$6:AF$16,[1]ICE来店报表!$A$6:$A$16,$A150)</f>
        <v>0</v>
      </c>
      <c r="K150" s="105">
        <f>SUMIFS([1]ICE来店报表!AG$6:AG$16,[1]ICE来店报表!$A$6:$A$16,$A150)</f>
        <v>0</v>
      </c>
      <c r="L150" s="105">
        <f>SUMIFS([1]ICE来店报表!AH$6:AH$16,[1]ICE来店报表!$A$6:$A$16,$A150)</f>
        <v>0</v>
      </c>
      <c r="M150" s="108">
        <f>SUMIFS([1]ICE来店报表!AI$6:AI$16,[1]ICE来店报表!$A$6:$A$16,$A150)</f>
        <v>0</v>
      </c>
      <c r="N150" s="105">
        <f>SUMIFS([1]ICE来店报表!AJ$6:AJ$16,[1]ICE来店报表!$A$6:$A$16,$A150)</f>
        <v>0</v>
      </c>
      <c r="O150" s="106">
        <f>SUMIFS([1]ICE来店报表!AK$6:AK$16,[1]ICE来店报表!$A$6:$A$16,$A150)</f>
        <v>0</v>
      </c>
    </row>
    <row r="153" spans="1:15" ht="27" customHeight="1" thickBot="1">
      <c r="A153" s="109"/>
      <c r="B153" s="110"/>
      <c r="C153" s="111" t="s">
        <v>65</v>
      </c>
      <c r="D153" s="110"/>
      <c r="E153" s="110"/>
      <c r="F153" s="87" t="str">
        <f>O137</f>
        <v>统计周期4.1-4.9</v>
      </c>
      <c r="J153" s="109"/>
      <c r="K153" s="111"/>
      <c r="L153" s="111" t="s">
        <v>66</v>
      </c>
      <c r="M153" s="110"/>
      <c r="N153" s="110"/>
      <c r="O153" s="87" t="str">
        <f>O137</f>
        <v>统计周期4.1-4.9</v>
      </c>
    </row>
    <row r="154" spans="1:15" ht="24.6" customHeight="1">
      <c r="A154" s="112" t="s">
        <v>60</v>
      </c>
      <c r="B154" s="112" t="s">
        <v>61</v>
      </c>
      <c r="C154" s="112" t="s">
        <v>62</v>
      </c>
      <c r="D154" s="112" t="s">
        <v>63</v>
      </c>
      <c r="E154" s="112" t="s">
        <v>13</v>
      </c>
      <c r="F154" s="113" t="s">
        <v>14</v>
      </c>
      <c r="J154" s="112" t="s">
        <v>60</v>
      </c>
      <c r="K154" s="112" t="s">
        <v>61</v>
      </c>
      <c r="L154" s="112" t="s">
        <v>62</v>
      </c>
      <c r="M154" s="112" t="s">
        <v>63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f>SUMIFS([1]第14代轩逸!$G$3:$G$13,[1]第14代轩逸!$A$3:$A$13,$A155)</f>
        <v>0</v>
      </c>
      <c r="C155" s="92">
        <f>SUMIFS([1]第14代轩逸!$H$3:$H$13,[1]第14代轩逸!$A$3:$A$13,$A155)</f>
        <v>2436</v>
      </c>
      <c r="D155" s="93">
        <f>SUMIFS([1]第14代轩逸!$I$3:$I$13,[1]第14代轩逸!$A$3:$A$13,$A155)</f>
        <v>0</v>
      </c>
      <c r="E155" s="93">
        <f>SUMIFS([1]第14代轩逸!$M$3:$M$13,[1]第14代轩逸!$A$3:$A$13,$A155)</f>
        <v>-0.65958636109558411</v>
      </c>
      <c r="F155" s="94">
        <f>SUMIFS([1]第14代轩逸!$N$3:$N$13,[1]第14代轩逸!$A$3:$A$13,$A155)</f>
        <v>-0.48661749209694416</v>
      </c>
      <c r="J155" s="114" t="s">
        <v>16</v>
      </c>
      <c r="K155" s="92">
        <f>SUMIFS([1]轩逸经典!$G$3:$G$13,[1]轩逸经典!$A$3:$A$13,$J155)</f>
        <v>0</v>
      </c>
      <c r="L155" s="92">
        <f>SUMIFS([1]轩逸经典!$H$3:$H$13,[1]轩逸经典!$A$3:$A$13,$J155)</f>
        <v>4025</v>
      </c>
      <c r="M155" s="93">
        <f>SUMIFS([1]轩逸经典!$I$3:$I$13,[1]轩逸经典!$A$3:$A$13,$J155)</f>
        <v>0</v>
      </c>
      <c r="N155" s="93">
        <f>SUMIFS([1]轩逸经典!$M$3:$M$13,[1]轩逸经典!$A$3:$A$13,$J155)</f>
        <v>-0.60211546065638588</v>
      </c>
      <c r="O155" s="94">
        <f>SUMIFS([1]轩逸经典!$N$3:$N$13,[1]轩逸经典!$A$3:$A$13,$J155)</f>
        <v>-0.49624530663329158</v>
      </c>
    </row>
    <row r="156" spans="1:15" ht="15.75">
      <c r="A156" s="115" t="e">
        <f>INDEX([1]第14代轩逸!$A$4:$A$13,MATCH(1,[1]第14代轩逸!$AF$4:$AF$13,0))</f>
        <v>#N/A</v>
      </c>
      <c r="B156" s="116">
        <f>SUMIFS([1]第14代轩逸!$G$3:$G$13,[1]第14代轩逸!$A$3:$A$13,$A156)</f>
        <v>0</v>
      </c>
      <c r="C156" s="116">
        <f>SUMIFS([1]第14代轩逸!$H$3:$H$13,[1]第14代轩逸!$A$3:$A$13,$A156)</f>
        <v>0</v>
      </c>
      <c r="D156" s="98">
        <f>SUMIFS([1]第14代轩逸!$I$3:$I$13,[1]第14代轩逸!$A$3:$A$13,$A156)</f>
        <v>0</v>
      </c>
      <c r="E156" s="98">
        <f>SUMIFS([1]第14代轩逸!$M$3:$M$13,[1]第14代轩逸!$A$3:$A$13,$A156)</f>
        <v>0</v>
      </c>
      <c r="F156" s="117">
        <f>SUMIFS([1]第14代轩逸!$N$3:$N$13,[1]第14代轩逸!$A$3:$A$13,$A156)</f>
        <v>0</v>
      </c>
      <c r="J156" s="115" t="e">
        <f>INDEX([1]轩逸经典!$A$4:$A$13,MATCH(1,[1]轩逸经典!$AF$4:$AF$13,0))</f>
        <v>#N/A</v>
      </c>
      <c r="K156" s="116">
        <f>SUMIFS([1]轩逸经典!$G$3:$G$13,[1]轩逸经典!$A$3:$A$13,$J156)</f>
        <v>0</v>
      </c>
      <c r="L156" s="116">
        <f>SUMIFS([1]轩逸经典!$H$3:$H$13,[1]轩逸经典!$A$3:$A$13,$J156)</f>
        <v>0</v>
      </c>
      <c r="M156" s="98">
        <f>SUMIFS([1]轩逸经典!$I$3:$I$13,[1]轩逸经典!$A$3:$A$13,$J156)</f>
        <v>0</v>
      </c>
      <c r="N156" s="98">
        <f>SUMIFS([1]轩逸经典!$M$3:$M$13,[1]轩逸经典!$A$3:$A$13,$J156)</f>
        <v>0</v>
      </c>
      <c r="O156" s="117">
        <f>SUMIFS([1]轩逸经典!$N$3:$N$13,[1]轩逸经典!$A$3:$A$13,$J156)</f>
        <v>0</v>
      </c>
    </row>
    <row r="157" spans="1:15" ht="15.75">
      <c r="A157" s="115" t="e">
        <f>INDEX([1]第14代轩逸!$A$4:$A$13,MATCH(2,[1]第14代轩逸!$AF$4:$AF$13,0))</f>
        <v>#N/A</v>
      </c>
      <c r="B157" s="116">
        <f>SUMIFS([1]第14代轩逸!$G$3:$G$13,[1]第14代轩逸!$A$3:$A$13,$A157)</f>
        <v>0</v>
      </c>
      <c r="C157" s="116">
        <f>SUMIFS([1]第14代轩逸!$H$3:$H$13,[1]第14代轩逸!$A$3:$A$13,$A157)</f>
        <v>0</v>
      </c>
      <c r="D157" s="98">
        <f>SUMIFS([1]第14代轩逸!$I$3:$I$13,[1]第14代轩逸!$A$3:$A$13,$A157)</f>
        <v>0</v>
      </c>
      <c r="E157" s="98">
        <f>SUMIFS([1]第14代轩逸!$M$3:$M$13,[1]第14代轩逸!$A$3:$A$13,$A157)</f>
        <v>0</v>
      </c>
      <c r="F157" s="117">
        <f>SUMIFS([1]第14代轩逸!$N$3:$N$13,[1]第14代轩逸!$A$3:$A$13,$A157)</f>
        <v>0</v>
      </c>
      <c r="J157" s="115" t="e">
        <f>INDEX([1]轩逸经典!$A$4:$A$13,MATCH(2,[1]轩逸经典!$AF$4:$AF$13,0))</f>
        <v>#N/A</v>
      </c>
      <c r="K157" s="116">
        <f>SUMIFS([1]轩逸经典!$G$3:$G$13,[1]轩逸经典!$A$3:$A$13,$J157)</f>
        <v>0</v>
      </c>
      <c r="L157" s="116">
        <f>SUMIFS([1]轩逸经典!$H$3:$H$13,[1]轩逸经典!$A$3:$A$13,$J157)</f>
        <v>0</v>
      </c>
      <c r="M157" s="98">
        <f>SUMIFS([1]轩逸经典!$I$3:$I$13,[1]轩逸经典!$A$3:$A$13,$J157)</f>
        <v>0</v>
      </c>
      <c r="N157" s="98">
        <f>SUMIFS([1]轩逸经典!$M$3:$M$13,[1]轩逸经典!$A$3:$A$13,$J157)</f>
        <v>0</v>
      </c>
      <c r="O157" s="117">
        <f>SUMIFS([1]轩逸经典!$N$3:$N$13,[1]轩逸经典!$A$3:$A$13,$J157)</f>
        <v>0</v>
      </c>
    </row>
    <row r="158" spans="1:15" ht="15.75">
      <c r="A158" s="115" t="e">
        <f>INDEX([1]第14代轩逸!$A$4:$A$13,MATCH(3,[1]第14代轩逸!$AF$4:$AF$13,0))</f>
        <v>#N/A</v>
      </c>
      <c r="B158" s="116">
        <f>SUMIFS([1]第14代轩逸!$G$3:$G$13,[1]第14代轩逸!$A$3:$A$13,$A158)</f>
        <v>0</v>
      </c>
      <c r="C158" s="116">
        <f>SUMIFS([1]第14代轩逸!$H$3:$H$13,[1]第14代轩逸!$A$3:$A$13,$A158)</f>
        <v>0</v>
      </c>
      <c r="D158" s="98">
        <f>SUMIFS([1]第14代轩逸!$I$3:$I$13,[1]第14代轩逸!$A$3:$A$13,$A158)</f>
        <v>0</v>
      </c>
      <c r="E158" s="98">
        <f>SUMIFS([1]第14代轩逸!$M$3:$M$13,[1]第14代轩逸!$A$3:$A$13,$A158)</f>
        <v>0</v>
      </c>
      <c r="F158" s="117">
        <f>SUMIFS([1]第14代轩逸!$N$3:$N$13,[1]第14代轩逸!$A$3:$A$13,$A158)</f>
        <v>0</v>
      </c>
      <c r="J158" s="115" t="e">
        <f>INDEX([1]轩逸经典!$A$4:$A$13,MATCH(3,[1]轩逸经典!$AF$4:$AF$13,0))</f>
        <v>#N/A</v>
      </c>
      <c r="K158" s="116">
        <f>SUMIFS([1]轩逸经典!$G$3:$G$13,[1]轩逸经典!$A$3:$A$13,$J158)</f>
        <v>0</v>
      </c>
      <c r="L158" s="116">
        <f>SUMIFS([1]轩逸经典!$H$3:$H$13,[1]轩逸经典!$A$3:$A$13,$J158)</f>
        <v>0</v>
      </c>
      <c r="M158" s="98">
        <f>SUMIFS([1]轩逸经典!$I$3:$I$13,[1]轩逸经典!$A$3:$A$13,$J158)</f>
        <v>0</v>
      </c>
      <c r="N158" s="98">
        <f>SUMIFS([1]轩逸经典!$M$3:$M$13,[1]轩逸经典!$A$3:$A$13,$J158)</f>
        <v>0</v>
      </c>
      <c r="O158" s="117">
        <f>SUMIFS([1]轩逸经典!$N$3:$N$13,[1]轩逸经典!$A$3:$A$13,$J158)</f>
        <v>0</v>
      </c>
    </row>
    <row r="159" spans="1:15" ht="15.75">
      <c r="A159" s="115" t="e">
        <f>INDEX([1]第14代轩逸!$A$4:$A$13,MATCH(4,[1]第14代轩逸!$AF$4:$AF$13,0))</f>
        <v>#N/A</v>
      </c>
      <c r="B159" s="116">
        <f>SUMIFS([1]第14代轩逸!$G$3:$G$13,[1]第14代轩逸!$A$3:$A$13,$A159)</f>
        <v>0</v>
      </c>
      <c r="C159" s="116">
        <f>SUMIFS([1]第14代轩逸!$H$3:$H$13,[1]第14代轩逸!$A$3:$A$13,$A159)</f>
        <v>0</v>
      </c>
      <c r="D159" s="98">
        <f>SUMIFS([1]第14代轩逸!$I$3:$I$13,[1]第14代轩逸!$A$3:$A$13,$A159)</f>
        <v>0</v>
      </c>
      <c r="E159" s="98">
        <f>SUMIFS([1]第14代轩逸!$M$3:$M$13,[1]第14代轩逸!$A$3:$A$13,$A159)</f>
        <v>0</v>
      </c>
      <c r="F159" s="117">
        <f>SUMIFS([1]第14代轩逸!$N$3:$N$13,[1]第14代轩逸!$A$3:$A$13,$A159)</f>
        <v>0</v>
      </c>
      <c r="J159" s="115" t="e">
        <f>INDEX([1]轩逸经典!$A$4:$A$13,MATCH(4,[1]轩逸经典!$AF$4:$AF$13,0))</f>
        <v>#N/A</v>
      </c>
      <c r="K159" s="116">
        <f>SUMIFS([1]轩逸经典!$G$3:$G$13,[1]轩逸经典!$A$3:$A$13,$J159)</f>
        <v>0</v>
      </c>
      <c r="L159" s="116">
        <f>SUMIFS([1]轩逸经典!$H$3:$H$13,[1]轩逸经典!$A$3:$A$13,$J159)</f>
        <v>0</v>
      </c>
      <c r="M159" s="98">
        <f>SUMIFS([1]轩逸经典!$I$3:$I$13,[1]轩逸经典!$A$3:$A$13,$J159)</f>
        <v>0</v>
      </c>
      <c r="N159" s="98">
        <f>SUMIFS([1]轩逸经典!$M$3:$M$13,[1]轩逸经典!$A$3:$A$13,$J159)</f>
        <v>0</v>
      </c>
      <c r="O159" s="117">
        <f>SUMIFS([1]轩逸经典!$N$3:$N$13,[1]轩逸经典!$A$3:$A$13,$J159)</f>
        <v>0</v>
      </c>
    </row>
    <row r="160" spans="1:15" ht="15.75">
      <c r="A160" s="115" t="e">
        <f>INDEX([1]第14代轩逸!$A$4:$A$13,MATCH(5,[1]第14代轩逸!$AF$4:$AF$13,0))</f>
        <v>#N/A</v>
      </c>
      <c r="B160" s="116">
        <f>SUMIFS([1]第14代轩逸!$G$3:$G$13,[1]第14代轩逸!$A$3:$A$13,$A160)</f>
        <v>0</v>
      </c>
      <c r="C160" s="116">
        <f>SUMIFS([1]第14代轩逸!$H$3:$H$13,[1]第14代轩逸!$A$3:$A$13,$A160)</f>
        <v>0</v>
      </c>
      <c r="D160" s="98">
        <f>SUMIFS([1]第14代轩逸!$I$3:$I$13,[1]第14代轩逸!$A$3:$A$13,$A160)</f>
        <v>0</v>
      </c>
      <c r="E160" s="98">
        <f>SUMIFS([1]第14代轩逸!$M$3:$M$13,[1]第14代轩逸!$A$3:$A$13,$A160)</f>
        <v>0</v>
      </c>
      <c r="F160" s="117">
        <f>SUMIFS([1]第14代轩逸!$N$3:$N$13,[1]第14代轩逸!$A$3:$A$13,$A160)</f>
        <v>0</v>
      </c>
      <c r="J160" s="115" t="e">
        <f>INDEX([1]轩逸经典!$A$4:$A$13,MATCH(5,[1]轩逸经典!$AF$4:$AF$13,0))</f>
        <v>#N/A</v>
      </c>
      <c r="K160" s="116">
        <f>SUMIFS([1]轩逸经典!$G$3:$G$13,[1]轩逸经典!$A$3:$A$13,$J160)</f>
        <v>0</v>
      </c>
      <c r="L160" s="116">
        <f>SUMIFS([1]轩逸经典!$H$3:$H$13,[1]轩逸经典!$A$3:$A$13,$J160)</f>
        <v>0</v>
      </c>
      <c r="M160" s="98">
        <f>SUMIFS([1]轩逸经典!$I$3:$I$13,[1]轩逸经典!$A$3:$A$13,$J160)</f>
        <v>0</v>
      </c>
      <c r="N160" s="98">
        <f>SUMIFS([1]轩逸经典!$M$3:$M$13,[1]轩逸经典!$A$3:$A$13,$J160)</f>
        <v>0</v>
      </c>
      <c r="O160" s="117">
        <f>SUMIFS([1]轩逸经典!$N$3:$N$13,[1]轩逸经典!$A$3:$A$13,$J160)</f>
        <v>0</v>
      </c>
    </row>
    <row r="161" spans="1:15" ht="15.75">
      <c r="A161" s="115" t="e">
        <f>INDEX([1]第14代轩逸!$A$4:$A$13,MATCH(6,[1]第14代轩逸!$AF$4:$AF$13,0))</f>
        <v>#N/A</v>
      </c>
      <c r="B161" s="116">
        <f>SUMIFS([1]第14代轩逸!$G$3:$G$13,[1]第14代轩逸!$A$3:$A$13,$A161)</f>
        <v>0</v>
      </c>
      <c r="C161" s="116">
        <f>SUMIFS([1]第14代轩逸!$H$3:$H$13,[1]第14代轩逸!$A$3:$A$13,$A161)</f>
        <v>0</v>
      </c>
      <c r="D161" s="98">
        <f>SUMIFS([1]第14代轩逸!$I$3:$I$13,[1]第14代轩逸!$A$3:$A$13,$A161)</f>
        <v>0</v>
      </c>
      <c r="E161" s="98">
        <f>SUMIFS([1]第14代轩逸!$M$3:$M$13,[1]第14代轩逸!$A$3:$A$13,$A161)</f>
        <v>0</v>
      </c>
      <c r="F161" s="117">
        <f>SUMIFS([1]第14代轩逸!$N$3:$N$13,[1]第14代轩逸!$A$3:$A$13,$A161)</f>
        <v>0</v>
      </c>
      <c r="J161" s="115" t="e">
        <f>INDEX([1]轩逸经典!$A$4:$A$13,MATCH(6,[1]轩逸经典!$AF$4:$AF$13,0))</f>
        <v>#N/A</v>
      </c>
      <c r="K161" s="116">
        <f>SUMIFS([1]轩逸经典!$G$3:$G$13,[1]轩逸经典!$A$3:$A$13,$J161)</f>
        <v>0</v>
      </c>
      <c r="L161" s="116">
        <f>SUMIFS([1]轩逸经典!$H$3:$H$13,[1]轩逸经典!$A$3:$A$13,$J161)</f>
        <v>0</v>
      </c>
      <c r="M161" s="98">
        <f>SUMIFS([1]轩逸经典!$I$3:$I$13,[1]轩逸经典!$A$3:$A$13,$J161)</f>
        <v>0</v>
      </c>
      <c r="N161" s="98">
        <f>SUMIFS([1]轩逸经典!$M$3:$M$13,[1]轩逸经典!$A$3:$A$13,$J161)</f>
        <v>0</v>
      </c>
      <c r="O161" s="117">
        <f>SUMIFS([1]轩逸经典!$N$3:$N$13,[1]轩逸经典!$A$3:$A$13,$J161)</f>
        <v>0</v>
      </c>
    </row>
    <row r="162" spans="1:15" ht="15.75">
      <c r="A162" s="115" t="e">
        <f>INDEX([1]第14代轩逸!$A$4:$A$13,MATCH(7,[1]第14代轩逸!$AF$4:$AF$13,0))</f>
        <v>#N/A</v>
      </c>
      <c r="B162" s="116">
        <f>SUMIFS([1]第14代轩逸!$G$3:$G$13,[1]第14代轩逸!$A$3:$A$13,$A162)</f>
        <v>0</v>
      </c>
      <c r="C162" s="116">
        <f>SUMIFS([1]第14代轩逸!$H$3:$H$13,[1]第14代轩逸!$A$3:$A$13,$A162)</f>
        <v>0</v>
      </c>
      <c r="D162" s="98">
        <f>SUMIFS([1]第14代轩逸!$I$3:$I$13,[1]第14代轩逸!$A$3:$A$13,$A162)</f>
        <v>0</v>
      </c>
      <c r="E162" s="98">
        <f>SUMIFS([1]第14代轩逸!$M$3:$M$13,[1]第14代轩逸!$A$3:$A$13,$A162)</f>
        <v>0</v>
      </c>
      <c r="F162" s="117">
        <f>SUMIFS([1]第14代轩逸!$N$3:$N$13,[1]第14代轩逸!$A$3:$A$13,$A162)</f>
        <v>0</v>
      </c>
      <c r="J162" s="115" t="e">
        <f>INDEX([1]轩逸经典!$A$4:$A$13,MATCH(7,[1]轩逸经典!$AF$4:$AF$13,0))</f>
        <v>#N/A</v>
      </c>
      <c r="K162" s="116">
        <f>SUMIFS([1]轩逸经典!$G$3:$G$13,[1]轩逸经典!$A$3:$A$13,$J162)</f>
        <v>0</v>
      </c>
      <c r="L162" s="116">
        <f>SUMIFS([1]轩逸经典!$H$3:$H$13,[1]轩逸经典!$A$3:$A$13,$J162)</f>
        <v>0</v>
      </c>
      <c r="M162" s="98">
        <f>SUMIFS([1]轩逸经典!$I$3:$I$13,[1]轩逸经典!$A$3:$A$13,$J162)</f>
        <v>0</v>
      </c>
      <c r="N162" s="98">
        <f>SUMIFS([1]轩逸经典!$M$3:$M$13,[1]轩逸经典!$A$3:$A$13,$J162)</f>
        <v>0</v>
      </c>
      <c r="O162" s="117">
        <f>SUMIFS([1]轩逸经典!$N$3:$N$13,[1]轩逸经典!$A$3:$A$13,$J162)</f>
        <v>0</v>
      </c>
    </row>
    <row r="163" spans="1:15" ht="15.75">
      <c r="A163" s="115" t="e">
        <f>INDEX([1]第14代轩逸!$A$4:$A$13,MATCH(8,[1]第14代轩逸!$AF$4:$AF$13,0))</f>
        <v>#N/A</v>
      </c>
      <c r="B163" s="116">
        <f>SUMIFS([1]第14代轩逸!$G$3:$G$13,[1]第14代轩逸!$A$3:$A$13,$A163)</f>
        <v>0</v>
      </c>
      <c r="C163" s="116">
        <f>SUMIFS([1]第14代轩逸!$H$3:$H$13,[1]第14代轩逸!$A$3:$A$13,$A163)</f>
        <v>0</v>
      </c>
      <c r="D163" s="98">
        <f>SUMIFS([1]第14代轩逸!$I$3:$I$13,[1]第14代轩逸!$A$3:$A$13,$A163)</f>
        <v>0</v>
      </c>
      <c r="E163" s="98">
        <f>SUMIFS([1]第14代轩逸!$M$3:$M$13,[1]第14代轩逸!$A$3:$A$13,$A163)</f>
        <v>0</v>
      </c>
      <c r="F163" s="117">
        <f>SUMIFS([1]第14代轩逸!$N$3:$N$13,[1]第14代轩逸!$A$3:$A$13,$A163)</f>
        <v>0</v>
      </c>
      <c r="J163" s="115" t="e">
        <f>INDEX([1]轩逸经典!$A$4:$A$13,MATCH(8,[1]轩逸经典!$AF$4:$AF$13,0))</f>
        <v>#N/A</v>
      </c>
      <c r="K163" s="116">
        <f>SUMIFS([1]轩逸经典!$G$3:$G$13,[1]轩逸经典!$A$3:$A$13,$J163)</f>
        <v>0</v>
      </c>
      <c r="L163" s="116">
        <f>SUMIFS([1]轩逸经典!$H$3:$H$13,[1]轩逸经典!$A$3:$A$13,$J163)</f>
        <v>0</v>
      </c>
      <c r="M163" s="98">
        <f>SUMIFS([1]轩逸经典!$I$3:$I$13,[1]轩逸经典!$A$3:$A$13,$J163)</f>
        <v>0</v>
      </c>
      <c r="N163" s="98">
        <f>SUMIFS([1]轩逸经典!$M$3:$M$13,[1]轩逸经典!$A$3:$A$13,$J163)</f>
        <v>0</v>
      </c>
      <c r="O163" s="117">
        <f>SUMIFS([1]轩逸经典!$N$3:$N$13,[1]轩逸经典!$A$3:$A$13,$J163)</f>
        <v>0</v>
      </c>
    </row>
    <row r="164" spans="1:15" ht="15.75">
      <c r="A164" s="115" t="e">
        <f>INDEX([1]第14代轩逸!$A$4:$A$13,MATCH(9,[1]第14代轩逸!$AF$4:$AF$13,0))</f>
        <v>#N/A</v>
      </c>
      <c r="B164" s="116">
        <f>SUMIFS([1]第14代轩逸!$G$3:$G$13,[1]第14代轩逸!$A$3:$A$13,$A164)</f>
        <v>0</v>
      </c>
      <c r="C164" s="116">
        <f>SUMIFS([1]第14代轩逸!$H$3:$H$13,[1]第14代轩逸!$A$3:$A$13,$A164)</f>
        <v>0</v>
      </c>
      <c r="D164" s="98">
        <f>SUMIFS([1]第14代轩逸!$I$3:$I$13,[1]第14代轩逸!$A$3:$A$13,$A164)</f>
        <v>0</v>
      </c>
      <c r="E164" s="98">
        <f>SUMIFS([1]第14代轩逸!$M$3:$M$13,[1]第14代轩逸!$A$3:$A$13,$A164)</f>
        <v>0</v>
      </c>
      <c r="F164" s="117">
        <f>SUMIFS([1]第14代轩逸!$N$3:$N$13,[1]第14代轩逸!$A$3:$A$13,$A164)</f>
        <v>0</v>
      </c>
      <c r="J164" s="115" t="e">
        <f>INDEX([1]轩逸经典!$A$4:$A$13,MATCH(9,[1]轩逸经典!$AF$4:$AF$13,0))</f>
        <v>#N/A</v>
      </c>
      <c r="K164" s="116">
        <f>SUMIFS([1]轩逸经典!$G$3:$G$13,[1]轩逸经典!$A$3:$A$13,$J164)</f>
        <v>0</v>
      </c>
      <c r="L164" s="116">
        <f>SUMIFS([1]轩逸经典!$H$3:$H$13,[1]轩逸经典!$A$3:$A$13,$J164)</f>
        <v>0</v>
      </c>
      <c r="M164" s="98">
        <f>SUMIFS([1]轩逸经典!$I$3:$I$13,[1]轩逸经典!$A$3:$A$13,$J164)</f>
        <v>0</v>
      </c>
      <c r="N164" s="98">
        <f>SUMIFS([1]轩逸经典!$M$3:$M$13,[1]轩逸经典!$A$3:$A$13,$J164)</f>
        <v>0</v>
      </c>
      <c r="O164" s="117">
        <f>SUMIFS([1]轩逸经典!$N$3:$N$13,[1]轩逸经典!$A$3:$A$13,$J164)</f>
        <v>0</v>
      </c>
    </row>
    <row r="165" spans="1:15" ht="16.5" thickBot="1">
      <c r="A165" s="118" t="e">
        <f>INDEX([1]第14代轩逸!$A$4:$A$13,MATCH(10,[1]第14代轩逸!$AF$4:$AF$13,0))</f>
        <v>#N/A</v>
      </c>
      <c r="B165" s="119">
        <f>SUMIFS([1]第14代轩逸!$G$3:$G$13,[1]第14代轩逸!$A$3:$A$13,$A165)</f>
        <v>0</v>
      </c>
      <c r="C165" s="119">
        <f>SUMIFS([1]第14代轩逸!$H$3:$H$13,[1]第14代轩逸!$A$3:$A$13,$A165)</f>
        <v>0</v>
      </c>
      <c r="D165" s="104">
        <f>SUMIFS([1]第14代轩逸!$I$3:$I$13,[1]第14代轩逸!$A$3:$A$13,$A165)</f>
        <v>0</v>
      </c>
      <c r="E165" s="104">
        <f>SUMIFS([1]第14代轩逸!$M$3:$M$13,[1]第14代轩逸!$A$3:$A$13,$A165)</f>
        <v>0</v>
      </c>
      <c r="F165" s="120">
        <f>SUMIFS([1]第14代轩逸!$N$3:$N$13,[1]第14代轩逸!$A$3:$A$13,$A165)</f>
        <v>0</v>
      </c>
      <c r="J165" s="118" t="e">
        <f>INDEX([1]轩逸经典!$A$4:$A$13,MATCH(10,[1]轩逸经典!$AF$4:$AF$13,0))</f>
        <v>#N/A</v>
      </c>
      <c r="K165" s="119">
        <f>SUMIFS([1]轩逸经典!$G$3:$G$13,[1]轩逸经典!$A$3:$A$13,$J165)</f>
        <v>0</v>
      </c>
      <c r="L165" s="119">
        <f>SUMIFS([1]轩逸经典!$H$3:$H$13,[1]轩逸经典!$A$3:$A$13,$J165)</f>
        <v>0</v>
      </c>
      <c r="M165" s="104">
        <f>SUMIFS([1]轩逸经典!$I$3:$I$13,[1]轩逸经典!$A$3:$A$13,$J165)</f>
        <v>0</v>
      </c>
      <c r="N165" s="104">
        <f>SUMIFS([1]轩逸经典!$M$3:$M$13,[1]轩逸经典!$A$3:$A$13,$J165)</f>
        <v>0</v>
      </c>
      <c r="O165" s="120">
        <f>SUMIFS([1]轩逸经典!$N$3:$N$13,[1]轩逸经典!$A$3:$A$13,$J165)</f>
        <v>0</v>
      </c>
    </row>
    <row r="168" spans="1:15" ht="27" customHeight="1" thickBot="1">
      <c r="A168" s="109"/>
      <c r="B168" s="110"/>
      <c r="C168" s="111" t="s">
        <v>67</v>
      </c>
      <c r="D168" s="110"/>
      <c r="E168" s="110"/>
      <c r="F168" s="87" t="str">
        <f>O137</f>
        <v>统计周期4.1-4.9</v>
      </c>
      <c r="J168" s="109"/>
      <c r="K168" s="110"/>
      <c r="L168" s="111" t="s">
        <v>68</v>
      </c>
      <c r="M168" s="110"/>
      <c r="N168" s="110"/>
      <c r="O168" s="87" t="str">
        <f>O137</f>
        <v>统计周期4.1-4.9</v>
      </c>
    </row>
    <row r="169" spans="1:15" ht="26.45" customHeight="1">
      <c r="A169" s="112" t="s">
        <v>60</v>
      </c>
      <c r="B169" s="112" t="s">
        <v>61</v>
      </c>
      <c r="C169" s="112" t="s">
        <v>62</v>
      </c>
      <c r="D169" s="112" t="s">
        <v>63</v>
      </c>
      <c r="E169" s="112" t="s">
        <v>13</v>
      </c>
      <c r="F169" s="113" t="s">
        <v>14</v>
      </c>
      <c r="J169" s="112" t="s">
        <v>60</v>
      </c>
      <c r="K169" s="112" t="s">
        <v>61</v>
      </c>
      <c r="L169" s="112" t="s">
        <v>62</v>
      </c>
      <c r="M169" s="112" t="s">
        <v>63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f>SUMIFS([1]第七代天籁!$G$3:$G$13,[1]第七代天籁!$A$3:$A$13,$A170)</f>
        <v>0</v>
      </c>
      <c r="C170" s="92">
        <f>SUMIFS([1]第七代天籁!$H$3:$H$13,[1]第七代天籁!$A$3:$A$13,$A170)</f>
        <v>937</v>
      </c>
      <c r="D170" s="93">
        <f>SUMIFS([1]第七代天籁!$I$3:$I$13,[1]第七代天籁!$A$3:$A$13,$A170)</f>
        <v>0</v>
      </c>
      <c r="E170" s="93">
        <f>SUMIFS([1]第七代天籁!$M$3:$M$13,[1]第七代天籁!$A$3:$A$13,$A170)</f>
        <v>-0.78295112346536944</v>
      </c>
      <c r="F170" s="94">
        <f>SUMIFS([1]第七代天籁!$N$3:$N$13,[1]第七代天籁!$A$3:$A$13,$A170)</f>
        <v>-0.3219971056439942</v>
      </c>
      <c r="J170" s="114" t="s">
        <v>16</v>
      </c>
      <c r="K170" s="92">
        <f>SUMIFS([1]逍客系列!$G$3:$G$13,[1]逍客系列!$A$3:$A$13,$J170)</f>
        <v>0</v>
      </c>
      <c r="L170" s="92">
        <f>SUMIFS([1]逍客系列!$H$3:$H$13,[1]逍客系列!$A$3:$A$13,$J170)</f>
        <v>1963</v>
      </c>
      <c r="M170" s="93">
        <f>SUMIFS([1]逍客系列!$I$3:$I$13,[1]逍客系列!$A$3:$A$13,$J170)</f>
        <v>0</v>
      </c>
      <c r="N170" s="93">
        <f>SUMIFS([1]逍客系列!$M$3:$M$13,[1]逍客系列!$A$3:$A$13,$J170)</f>
        <v>-0.67179401437886643</v>
      </c>
      <c r="O170" s="94">
        <f>SUMIFS([1]逍客系列!$N$3:$N$13,[1]逍客系列!$A$3:$A$13,$J170)</f>
        <v>-0.42952630049404239</v>
      </c>
    </row>
    <row r="171" spans="1:15" ht="15.75">
      <c r="A171" s="115" t="s">
        <v>69</v>
      </c>
      <c r="B171" s="116">
        <f>SUMIFS([1]第七代天籁!$G$3:$G$13,[1]第七代天籁!$A$3:$A$13,$A171)</f>
        <v>0</v>
      </c>
      <c r="C171" s="116">
        <f>SUMIFS([1]第七代天籁!$H$3:$H$13,[1]第七代天籁!$A$3:$A$13,$A171)</f>
        <v>79</v>
      </c>
      <c r="D171" s="98">
        <f>SUMIFS([1]第七代天籁!$I$3:$I$13,[1]第七代天籁!$A$3:$A$13,$A171)</f>
        <v>0</v>
      </c>
      <c r="E171" s="98">
        <f>SUMIFS([1]第七代天籁!$M$3:$M$13,[1]第七代天籁!$A$3:$A$13,$A171)</f>
        <v>-0.8058968058968059</v>
      </c>
      <c r="F171" s="117">
        <f>SUMIFS([1]第七代天籁!$N$3:$N$13,[1]第七代天籁!$A$3:$A$13,$A171)</f>
        <v>-0.37301587301587302</v>
      </c>
      <c r="J171" s="115" t="e">
        <f>INDEX([1]逍客系列!$A$4:$A$13,MATCH(1,[1]逍客系列!$AM$4:$AM$13,0))</f>
        <v>#N/A</v>
      </c>
      <c r="K171" s="116">
        <f>SUMIFS([1]逍客系列!$G$3:$G$13,[1]逍客系列!$A$3:$A$13,$J171)</f>
        <v>0</v>
      </c>
      <c r="L171" s="116">
        <f>SUMIFS([1]逍客系列!$H$3:$H$13,[1]逍客系列!$A$3:$A$13,$J171)</f>
        <v>0</v>
      </c>
      <c r="M171" s="98">
        <f>SUMIFS([1]逍客系列!$I$3:$I$13,[1]逍客系列!$A$3:$A$13,$J171)</f>
        <v>0</v>
      </c>
      <c r="N171" s="98">
        <f>SUMIFS([1]逍客系列!$M$3:$M$13,[1]逍客系列!$A$3:$A$13,$J171)</f>
        <v>0</v>
      </c>
      <c r="O171" s="117">
        <f>SUMIFS([1]逍客系列!$N$3:$N$13,[1]逍客系列!$A$3:$A$13,$J171)</f>
        <v>0</v>
      </c>
    </row>
    <row r="172" spans="1:15" ht="15.75">
      <c r="A172" s="115" t="s">
        <v>70</v>
      </c>
      <c r="B172" s="116">
        <f>SUMIFS([1]第七代天籁!$G$3:$G$13,[1]第七代天籁!$A$3:$A$13,$A172)</f>
        <v>0</v>
      </c>
      <c r="C172" s="116">
        <f>SUMIFS([1]第七代天籁!$H$3:$H$13,[1]第七代天籁!$A$3:$A$13,$A172)</f>
        <v>84</v>
      </c>
      <c r="D172" s="98">
        <f>SUMIFS([1]第七代天籁!$I$3:$I$13,[1]第七代天籁!$A$3:$A$13,$A172)</f>
        <v>0</v>
      </c>
      <c r="E172" s="98">
        <f>SUMIFS([1]第七代天籁!$M$3:$M$13,[1]第七代天籁!$A$3:$A$13,$A172)</f>
        <v>-0.81333333333333335</v>
      </c>
      <c r="F172" s="117">
        <f>SUMIFS([1]第七代天籁!$N$3:$N$13,[1]第七代天籁!$A$3:$A$13,$A172)</f>
        <v>-0.30578512396694213</v>
      </c>
      <c r="J172" s="115" t="e">
        <f>INDEX([1]逍客系列!$A$4:$A$13,MATCH(2,[1]逍客系列!$AM$4:$AM$13,0))</f>
        <v>#N/A</v>
      </c>
      <c r="K172" s="116">
        <f>SUMIFS([1]逍客系列!$G$3:$G$13,[1]逍客系列!$A$3:$A$13,$J172)</f>
        <v>0</v>
      </c>
      <c r="L172" s="116">
        <f>SUMIFS([1]逍客系列!$H$3:$H$13,[1]逍客系列!$A$3:$A$13,$J172)</f>
        <v>0</v>
      </c>
      <c r="M172" s="98">
        <f>SUMIFS([1]逍客系列!$I$3:$I$13,[1]逍客系列!$A$3:$A$13,$J172)</f>
        <v>0</v>
      </c>
      <c r="N172" s="98">
        <f>SUMIFS([1]逍客系列!$M$3:$M$13,[1]逍客系列!$A$3:$A$13,$J172)</f>
        <v>0</v>
      </c>
      <c r="O172" s="117">
        <f>SUMIFS([1]逍客系列!$N$3:$N$13,[1]逍客系列!$A$3:$A$13,$J172)</f>
        <v>0</v>
      </c>
    </row>
    <row r="173" spans="1:15" ht="15.75">
      <c r="A173" s="115" t="s">
        <v>71</v>
      </c>
      <c r="B173" s="116">
        <f>SUMIFS([1]第七代天籁!$G$3:$G$13,[1]第七代天籁!$A$3:$A$13,$A173)</f>
        <v>0</v>
      </c>
      <c r="C173" s="116">
        <f>SUMIFS([1]第七代天籁!$H$3:$H$13,[1]第七代天籁!$A$3:$A$13,$A173)</f>
        <v>162</v>
      </c>
      <c r="D173" s="98">
        <f>SUMIFS([1]第七代天籁!$I$3:$I$13,[1]第七代天籁!$A$3:$A$13,$A173)</f>
        <v>0</v>
      </c>
      <c r="E173" s="98">
        <f>SUMIFS([1]第七代天籁!$M$3:$M$13,[1]第七代天籁!$A$3:$A$13,$A173)</f>
        <v>-0.69318181818181812</v>
      </c>
      <c r="F173" s="117">
        <f>SUMIFS([1]第七代天籁!$N$3:$N$13,[1]第七代天籁!$A$3:$A$13,$A173)</f>
        <v>-0.2429906542056075</v>
      </c>
      <c r="J173" s="115" t="e">
        <f>INDEX([1]逍客系列!$A$4:$A$13,MATCH(3,[1]逍客系列!$AM$4:$AM$13,0))</f>
        <v>#N/A</v>
      </c>
      <c r="K173" s="116">
        <f>SUMIFS([1]逍客系列!$G$3:$G$13,[1]逍客系列!$A$3:$A$13,$J173)</f>
        <v>0</v>
      </c>
      <c r="L173" s="116">
        <f>SUMIFS([1]逍客系列!$H$3:$H$13,[1]逍客系列!$A$3:$A$13,$J173)</f>
        <v>0</v>
      </c>
      <c r="M173" s="98">
        <f>SUMIFS([1]逍客系列!$I$3:$I$13,[1]逍客系列!$A$3:$A$13,$J173)</f>
        <v>0</v>
      </c>
      <c r="N173" s="98">
        <f>SUMIFS([1]逍客系列!$M$3:$M$13,[1]逍客系列!$A$3:$A$13,$J173)</f>
        <v>0</v>
      </c>
      <c r="O173" s="117">
        <f>SUMIFS([1]逍客系列!$N$3:$N$13,[1]逍客系列!$A$3:$A$13,$J173)</f>
        <v>0</v>
      </c>
    </row>
    <row r="174" spans="1:15" ht="15.75">
      <c r="A174" s="115" t="s">
        <v>72</v>
      </c>
      <c r="B174" s="116">
        <f>SUMIFS([1]第七代天籁!$G$3:$G$13,[1]第七代天籁!$A$3:$A$13,$A174)</f>
        <v>0</v>
      </c>
      <c r="C174" s="116">
        <f>SUMIFS([1]第七代天籁!$H$3:$H$13,[1]第七代天籁!$A$3:$A$13,$A174)</f>
        <v>124</v>
      </c>
      <c r="D174" s="98">
        <f>SUMIFS([1]第七代天籁!$I$3:$I$13,[1]第七代天籁!$A$3:$A$13,$A174)</f>
        <v>0</v>
      </c>
      <c r="E174" s="98">
        <f>SUMIFS([1]第七代天籁!$M$3:$M$13,[1]第七代天籁!$A$3:$A$13,$A174)</f>
        <v>-0.83422459893048129</v>
      </c>
      <c r="F174" s="117">
        <f>SUMIFS([1]第七代天籁!$N$3:$N$13,[1]第七代天籁!$A$3:$A$13,$A174)</f>
        <v>-0.35416666666666663</v>
      </c>
      <c r="J174" s="115" t="e">
        <f>INDEX([1]逍客系列!$A$4:$A$13,MATCH(4,[1]逍客系列!$AM$4:$AM$13,0))</f>
        <v>#N/A</v>
      </c>
      <c r="K174" s="116">
        <f>SUMIFS([1]逍客系列!$G$3:$G$13,[1]逍客系列!$A$3:$A$13,$J174)</f>
        <v>0</v>
      </c>
      <c r="L174" s="116">
        <f>SUMIFS([1]逍客系列!$H$3:$H$13,[1]逍客系列!$A$3:$A$13,$J174)</f>
        <v>0</v>
      </c>
      <c r="M174" s="98">
        <f>SUMIFS([1]逍客系列!$I$3:$I$13,[1]逍客系列!$A$3:$A$13,$J174)</f>
        <v>0</v>
      </c>
      <c r="N174" s="98">
        <f>SUMIFS([1]逍客系列!$M$3:$M$13,[1]逍客系列!$A$3:$A$13,$J174)</f>
        <v>0</v>
      </c>
      <c r="O174" s="117">
        <f>SUMIFS([1]逍客系列!$N$3:$N$13,[1]逍客系列!$A$3:$A$13,$J174)</f>
        <v>0</v>
      </c>
    </row>
    <row r="175" spans="1:15" ht="15.75">
      <c r="A175" s="115" t="s">
        <v>73</v>
      </c>
      <c r="B175" s="116">
        <f>SUMIFS([1]第七代天籁!$G$3:$G$13,[1]第七代天籁!$A$3:$A$13,$A175)</f>
        <v>0</v>
      </c>
      <c r="C175" s="116">
        <f>SUMIFS([1]第七代天籁!$H$3:$H$13,[1]第七代天籁!$A$3:$A$13,$A175)</f>
        <v>118</v>
      </c>
      <c r="D175" s="98">
        <f>SUMIFS([1]第七代天籁!$I$3:$I$13,[1]第七代天籁!$A$3:$A$13,$A175)</f>
        <v>0</v>
      </c>
      <c r="E175" s="98">
        <f>SUMIFS([1]第七代天籁!$M$3:$M$13,[1]第七代天籁!$A$3:$A$13,$A175)</f>
        <v>-0.70646766169154229</v>
      </c>
      <c r="F175" s="117">
        <f>SUMIFS([1]第七代天籁!$N$3:$N$13,[1]第七代天籁!$A$3:$A$13,$A175)</f>
        <v>-0.39795918367346939</v>
      </c>
      <c r="J175" s="115" t="e">
        <f>INDEX([1]逍客系列!$A$4:$A$13,MATCH(5,[1]逍客系列!$AM$4:$AM$13,0))</f>
        <v>#N/A</v>
      </c>
      <c r="K175" s="116">
        <f>SUMIFS([1]逍客系列!$G$3:$G$13,[1]逍客系列!$A$3:$A$13,$J175)</f>
        <v>0</v>
      </c>
      <c r="L175" s="116">
        <f>SUMIFS([1]逍客系列!$H$3:$H$13,[1]逍客系列!$A$3:$A$13,$J175)</f>
        <v>0</v>
      </c>
      <c r="M175" s="98">
        <f>SUMIFS([1]逍客系列!$I$3:$I$13,[1]逍客系列!$A$3:$A$13,$J175)</f>
        <v>0</v>
      </c>
      <c r="N175" s="98">
        <f>SUMIFS([1]逍客系列!$M$3:$M$13,[1]逍客系列!$A$3:$A$13,$J175)</f>
        <v>0</v>
      </c>
      <c r="O175" s="117">
        <f>SUMIFS([1]逍客系列!$N$3:$N$13,[1]逍客系列!$A$3:$A$13,$J175)</f>
        <v>0</v>
      </c>
    </row>
    <row r="176" spans="1:15" ht="15.75">
      <c r="A176" s="115" t="s">
        <v>74</v>
      </c>
      <c r="B176" s="116">
        <f>SUMIFS([1]第七代天籁!$G$3:$G$13,[1]第七代天籁!$A$3:$A$13,$A176)</f>
        <v>0</v>
      </c>
      <c r="C176" s="116">
        <f>SUMIFS([1]第七代天籁!$H$3:$H$13,[1]第七代天籁!$A$3:$A$13,$A176)</f>
        <v>91</v>
      </c>
      <c r="D176" s="98">
        <f>SUMIFS([1]第七代天籁!$I$3:$I$13,[1]第七代天籁!$A$3:$A$13,$A176)</f>
        <v>0</v>
      </c>
      <c r="E176" s="98">
        <f>SUMIFS([1]第七代天籁!$M$3:$M$13,[1]第七代天籁!$A$3:$A$13,$A176)</f>
        <v>-0.82051282051282048</v>
      </c>
      <c r="F176" s="117">
        <f>SUMIFS([1]第七代天籁!$N$3:$N$13,[1]第七代天籁!$A$3:$A$13,$A176)</f>
        <v>-0.44848484848484849</v>
      </c>
      <c r="J176" s="115" t="e">
        <f>INDEX([1]逍客系列!$A$4:$A$13,MATCH(6,[1]逍客系列!$AM$4:$AM$13,0))</f>
        <v>#N/A</v>
      </c>
      <c r="K176" s="116">
        <f>SUMIFS([1]逍客系列!$G$3:$G$13,[1]逍客系列!$A$3:$A$13,$J176)</f>
        <v>0</v>
      </c>
      <c r="L176" s="116">
        <f>SUMIFS([1]逍客系列!$H$3:$H$13,[1]逍客系列!$A$3:$A$13,$J176)</f>
        <v>0</v>
      </c>
      <c r="M176" s="98">
        <f>SUMIFS([1]逍客系列!$I$3:$I$13,[1]逍客系列!$A$3:$A$13,$J176)</f>
        <v>0</v>
      </c>
      <c r="N176" s="98">
        <f>SUMIFS([1]逍客系列!$M$3:$M$13,[1]逍客系列!$A$3:$A$13,$J176)</f>
        <v>0</v>
      </c>
      <c r="O176" s="117">
        <f>SUMIFS([1]逍客系列!$N$3:$N$13,[1]逍客系列!$A$3:$A$13,$J176)</f>
        <v>0</v>
      </c>
    </row>
    <row r="177" spans="1:20" ht="15.75">
      <c r="A177" s="115" t="s">
        <v>75</v>
      </c>
      <c r="B177" s="116">
        <f>SUMIFS([1]第七代天籁!$G$3:$G$13,[1]第七代天籁!$A$3:$A$13,$A177)</f>
        <v>0</v>
      </c>
      <c r="C177" s="116">
        <f>SUMIFS([1]第七代天籁!$H$3:$H$13,[1]第七代天籁!$A$3:$A$13,$A177)</f>
        <v>78</v>
      </c>
      <c r="D177" s="98">
        <f>SUMIFS([1]第七代天籁!$I$3:$I$13,[1]第七代天籁!$A$3:$A$13,$A177)</f>
        <v>0</v>
      </c>
      <c r="E177" s="98">
        <f>SUMIFS([1]第七代天籁!$M$3:$M$13,[1]第七代天籁!$A$3:$A$13,$A177)</f>
        <v>-0.69169960474308301</v>
      </c>
      <c r="F177" s="117">
        <f>SUMIFS([1]第七代天籁!$N$3:$N$13,[1]第七代天籁!$A$3:$A$13,$A177)</f>
        <v>-9.3023255813953543E-2</v>
      </c>
      <c r="J177" s="115" t="e">
        <f>INDEX([1]逍客系列!$A$4:$A$13,MATCH(7,[1]逍客系列!$AM$4:$AM$13,0))</f>
        <v>#N/A</v>
      </c>
      <c r="K177" s="116">
        <f>SUMIFS([1]逍客系列!$G$3:$G$13,[1]逍客系列!$A$3:$A$13,$J177)</f>
        <v>0</v>
      </c>
      <c r="L177" s="116">
        <f>SUMIFS([1]逍客系列!$H$3:$H$13,[1]逍客系列!$A$3:$A$13,$J177)</f>
        <v>0</v>
      </c>
      <c r="M177" s="98">
        <f>SUMIFS([1]逍客系列!$I$3:$I$13,[1]逍客系列!$A$3:$A$13,$J177)</f>
        <v>0</v>
      </c>
      <c r="N177" s="98">
        <f>SUMIFS([1]逍客系列!$M$3:$M$13,[1]逍客系列!$A$3:$A$13,$J177)</f>
        <v>0</v>
      </c>
      <c r="O177" s="117">
        <f>SUMIFS([1]逍客系列!$N$3:$N$13,[1]逍客系列!$A$3:$A$13,$J177)</f>
        <v>0</v>
      </c>
    </row>
    <row r="178" spans="1:20" ht="15.75">
      <c r="A178" s="115" t="s">
        <v>76</v>
      </c>
      <c r="B178" s="116">
        <f>SUMIFS([1]第七代天籁!$G$3:$G$13,[1]第七代天籁!$A$3:$A$13,$A178)</f>
        <v>0</v>
      </c>
      <c r="C178" s="116">
        <f>SUMIFS([1]第七代天籁!$H$3:$H$13,[1]第七代天籁!$A$3:$A$13,$A178)</f>
        <v>47</v>
      </c>
      <c r="D178" s="98">
        <f>SUMIFS([1]第七代天籁!$I$3:$I$13,[1]第七代天籁!$A$3:$A$13,$A178)</f>
        <v>0</v>
      </c>
      <c r="E178" s="98">
        <f>SUMIFS([1]第七代天籁!$M$3:$M$13,[1]第七代天籁!$A$3:$A$13,$A178)</f>
        <v>-0.58771929824561409</v>
      </c>
      <c r="F178" s="117">
        <f>SUMIFS([1]第七代天籁!$N$3:$N$13,[1]第七代天籁!$A$3:$A$13,$A178)</f>
        <v>-7.8431372549019662E-2</v>
      </c>
      <c r="J178" s="115" t="e">
        <f>INDEX([1]逍客系列!$A$4:$A$13,MATCH(8,[1]逍客系列!$AM$4:$AM$13,0))</f>
        <v>#N/A</v>
      </c>
      <c r="K178" s="116">
        <f>SUMIFS([1]逍客系列!$G$3:$G$13,[1]逍客系列!$A$3:$A$13,$J178)</f>
        <v>0</v>
      </c>
      <c r="L178" s="116">
        <f>SUMIFS([1]逍客系列!$H$3:$H$13,[1]逍客系列!$A$3:$A$13,$J178)</f>
        <v>0</v>
      </c>
      <c r="M178" s="98">
        <f>SUMIFS([1]逍客系列!$I$3:$I$13,[1]逍客系列!$A$3:$A$13,$J178)</f>
        <v>0</v>
      </c>
      <c r="N178" s="98">
        <f>SUMIFS([1]逍客系列!$M$3:$M$13,[1]逍客系列!$A$3:$A$13,$J178)</f>
        <v>0</v>
      </c>
      <c r="O178" s="117">
        <f>SUMIFS([1]逍客系列!$N$3:$N$13,[1]逍客系列!$A$3:$A$13,$J178)</f>
        <v>0</v>
      </c>
    </row>
    <row r="179" spans="1:20" ht="15.75">
      <c r="A179" s="115" t="s">
        <v>77</v>
      </c>
      <c r="B179" s="116">
        <f>SUMIFS([1]第七代天籁!$G$3:$G$13,[1]第七代天籁!$A$3:$A$13,$A179)</f>
        <v>0</v>
      </c>
      <c r="C179" s="116">
        <f>SUMIFS([1]第七代天籁!$H$3:$H$13,[1]第七代天籁!$A$3:$A$13,$A179)</f>
        <v>113</v>
      </c>
      <c r="D179" s="98">
        <f>SUMIFS([1]第七代天籁!$I$3:$I$13,[1]第七代天籁!$A$3:$A$13,$A179)</f>
        <v>0</v>
      </c>
      <c r="E179" s="98">
        <f>SUMIFS([1]第七代天籁!$M$3:$M$13,[1]第七代天籁!$A$3:$A$13,$A179)</f>
        <v>-0.8475033738191633</v>
      </c>
      <c r="F179" s="117">
        <f>SUMIFS([1]第七代天籁!$N$3:$N$13,[1]第七代天籁!$A$3:$A$13,$A179)</f>
        <v>-0.25657894736842102</v>
      </c>
      <c r="J179" s="115" t="e">
        <f>INDEX([1]逍客系列!$A$4:$A$13,MATCH(9,[1]逍客系列!$AM$4:$AM$13,0))</f>
        <v>#N/A</v>
      </c>
      <c r="K179" s="116">
        <f>SUMIFS([1]逍客系列!$G$3:$G$13,[1]逍客系列!$A$3:$A$13,$J179)</f>
        <v>0</v>
      </c>
      <c r="L179" s="116">
        <f>SUMIFS([1]逍客系列!$H$3:$H$13,[1]逍客系列!$A$3:$A$13,$J179)</f>
        <v>0</v>
      </c>
      <c r="M179" s="98">
        <f>SUMIFS([1]逍客系列!$I$3:$I$13,[1]逍客系列!$A$3:$A$13,$J179)</f>
        <v>0</v>
      </c>
      <c r="N179" s="98">
        <f>SUMIFS([1]逍客系列!$M$3:$M$13,[1]逍客系列!$A$3:$A$13,$J179)</f>
        <v>0</v>
      </c>
      <c r="O179" s="117">
        <f>SUMIFS([1]逍客系列!$N$3:$N$13,[1]逍客系列!$A$3:$A$13,$J179)</f>
        <v>0</v>
      </c>
    </row>
    <row r="180" spans="1:20" ht="16.5" thickBot="1">
      <c r="A180" s="118" t="s">
        <v>78</v>
      </c>
      <c r="B180" s="119">
        <f>SUMIFS([1]第七代天籁!$G$3:$G$13,[1]第七代天籁!$A$3:$A$13,$A180)</f>
        <v>0</v>
      </c>
      <c r="C180" s="119">
        <f>SUMIFS([1]第七代天籁!$H$3:$H$13,[1]第七代天籁!$A$3:$A$13,$A180)</f>
        <v>41</v>
      </c>
      <c r="D180" s="104">
        <f>SUMIFS([1]第七代天籁!$I$3:$I$13,[1]第七代天籁!$A$3:$A$13,$A180)</f>
        <v>0</v>
      </c>
      <c r="E180" s="104">
        <f>SUMIFS([1]第七代天籁!$M$3:$M$13,[1]第七代天籁!$A$3:$A$13,$A180)</f>
        <v>-0.75449101796407181</v>
      </c>
      <c r="F180" s="120">
        <f>SUMIFS([1]第七代天籁!$N$3:$N$13,[1]第七代天籁!$A$3:$A$13,$A180)</f>
        <v>-0.48101265822784811</v>
      </c>
      <c r="J180" s="118" t="e">
        <f>INDEX([1]逍客系列!$A$4:$A$13,MATCH(10,[1]逍客系列!$AM$4:$AM$13,0))</f>
        <v>#N/A</v>
      </c>
      <c r="K180" s="119">
        <f>SUMIFS([1]逍客系列!$G$3:$G$13,[1]逍客系列!$A$3:$A$13,$J180)</f>
        <v>0</v>
      </c>
      <c r="L180" s="119">
        <f>SUMIFS([1]逍客系列!$H$3:$H$13,[1]逍客系列!$A$3:$A$13,$J180)</f>
        <v>0</v>
      </c>
      <c r="M180" s="104">
        <f>SUMIFS([1]逍客系列!$I$3:$I$13,[1]逍客系列!$A$3:$A$13,$J180)</f>
        <v>0</v>
      </c>
      <c r="N180" s="104">
        <f>SUMIFS([1]逍客系列!$M$3:$M$13,[1]逍客系列!$A$3:$A$13,$J180)</f>
        <v>0</v>
      </c>
      <c r="O180" s="120">
        <f>SUMIFS([1]逍客系列!$N$3:$N$13,[1]逍客系列!$A$3:$A$13,$J180)</f>
        <v>0</v>
      </c>
    </row>
    <row r="183" spans="1:20" ht="21.95" customHeight="1" thickBot="1">
      <c r="A183" s="109"/>
      <c r="B183" s="110"/>
      <c r="C183" s="111" t="s">
        <v>79</v>
      </c>
      <c r="D183" s="110"/>
      <c r="E183" s="110"/>
      <c r="F183" s="87" t="str">
        <f>O137</f>
        <v>统计周期4.1-4.9</v>
      </c>
      <c r="J183" s="109"/>
      <c r="K183" s="110"/>
      <c r="L183" s="111" t="s">
        <v>80</v>
      </c>
      <c r="M183" s="110"/>
      <c r="N183" s="110"/>
      <c r="O183" s="87" t="str">
        <f>O137</f>
        <v>统计周期4.1-4.9</v>
      </c>
    </row>
    <row r="184" spans="1:20" ht="26.45" customHeight="1">
      <c r="A184" s="112" t="s">
        <v>60</v>
      </c>
      <c r="B184" s="112" t="s">
        <v>61</v>
      </c>
      <c r="C184" s="112" t="s">
        <v>62</v>
      </c>
      <c r="D184" s="112" t="s">
        <v>63</v>
      </c>
      <c r="E184" s="112" t="s">
        <v>13</v>
      </c>
      <c r="F184" s="113" t="s">
        <v>14</v>
      </c>
      <c r="J184" s="112" t="s">
        <v>60</v>
      </c>
      <c r="K184" s="112" t="s">
        <v>61</v>
      </c>
      <c r="L184" s="112" t="s">
        <v>62</v>
      </c>
      <c r="M184" s="112" t="s">
        <v>63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f>SUMIFS([1]探陆!$G$3:$G$13,[1]探陆!$A$3:$A$13,$A185)</f>
        <v>0</v>
      </c>
      <c r="C185" s="92">
        <f>SUMIFS([1]探陆!$H$3:$H$13,[1]探陆!$A$3:$A$13,$A185)</f>
        <v>398</v>
      </c>
      <c r="D185" s="93">
        <f>SUMIFS([1]探陆!$I$3:$I$13,[1]探陆!$A$3:$A$13,$A185)</f>
        <v>0</v>
      </c>
      <c r="E185" s="93">
        <f>SUMIFS([1]探陆!$M$3:$M$13,[1]探陆!$A$3:$A$13,$A185)</f>
        <v>-0.81199811053377424</v>
      </c>
      <c r="F185" s="94">
        <f>SUMIFS([1]探陆!$N$3:$N$13,[1]探陆!$A$3:$A$13,$A185)</f>
        <v>-0.1440860215053763</v>
      </c>
      <c r="J185" s="114" t="s">
        <v>16</v>
      </c>
      <c r="K185" s="92">
        <f>SUMIFS([1]奇骏系列!$G$3:$G$13,[1]奇骏系列!$A$3:$A$13,$J185)</f>
        <v>0</v>
      </c>
      <c r="L185" s="92">
        <f>SUMIFS([1]奇骏系列!$H$3:$H$13,[1]奇骏系列!$A$3:$A$13,$J185)</f>
        <v>1956</v>
      </c>
      <c r="M185" s="93">
        <f>SUMIFS([1]奇骏系列!$I$3:$I$13,[1]奇骏系列!$A$3:$A$13,$J185)</f>
        <v>0</v>
      </c>
      <c r="N185" s="93">
        <f>SUMIFS([1]奇骏系列!$M$3:$M$13,[1]奇骏系列!$A$3:$A$13,$J185)</f>
        <v>-0.12989323843416367</v>
      </c>
      <c r="O185" s="94">
        <f>SUMIFS([1]奇骏系列!$N$3:$N$13,[1]奇骏系列!$A$3:$A$13,$J185)</f>
        <v>-0.36057535142203334</v>
      </c>
    </row>
    <row r="186" spans="1:20" ht="15.75">
      <c r="A186" s="115" t="e">
        <f>INDEX([1]探陆!$A$4:$A$13,MATCH(1,[1]探陆!$AF$4:$AF$13,0))</f>
        <v>#N/A</v>
      </c>
      <c r="B186" s="116">
        <f>SUMIFS([1]探陆!$G$3:$G$13,[1]探陆!$A$3:$A$13,$A186)</f>
        <v>0</v>
      </c>
      <c r="C186" s="116">
        <f>SUMIFS([1]探陆!$H$3:$H$13,[1]探陆!$A$3:$A$13,$A186)</f>
        <v>0</v>
      </c>
      <c r="D186" s="98">
        <f>SUMIFS([1]探陆!$I$3:$I$13,[1]探陆!$A$3:$A$13,$A186)</f>
        <v>0</v>
      </c>
      <c r="E186" s="98">
        <f>SUMIFS([1]探陆!$M$3:$M$13,[1]探陆!$A$3:$A$13,$A186)</f>
        <v>0</v>
      </c>
      <c r="F186" s="117">
        <f>SUMIFS([1]探陆!$N$3:$N$13,[1]探陆!$A$3:$A$13,$A186)</f>
        <v>0</v>
      </c>
      <c r="J186" s="115" t="e">
        <f>INDEX([1]奇骏系列!$A$4:$A$13,MATCH(1,[1]奇骏系列!$AF$4:$AF$13,0))</f>
        <v>#N/A</v>
      </c>
      <c r="K186" s="116">
        <f>SUMIFS([1]奇骏系列!$G$3:$G$13,[1]奇骏系列!$A$3:$A$13,$J186)</f>
        <v>0</v>
      </c>
      <c r="L186" s="116">
        <f>SUMIFS([1]奇骏系列!$H$3:$H$13,[1]奇骏系列!$A$3:$A$13,$J186)</f>
        <v>0</v>
      </c>
      <c r="M186" s="98">
        <f>SUMIFS([1]奇骏系列!$I$3:$I$13,[1]奇骏系列!$A$3:$A$13,$J186)</f>
        <v>0</v>
      </c>
      <c r="N186" s="98">
        <f>SUMIFS([1]奇骏系列!$M$3:$M$13,[1]奇骏系列!$A$3:$A$13,$J186)</f>
        <v>0</v>
      </c>
      <c r="O186" s="117">
        <f>SUMIFS([1]奇骏系列!$N$3:$N$13,[1]奇骏系列!$A$3:$A$13,$J186)</f>
        <v>0</v>
      </c>
    </row>
    <row r="187" spans="1:20" ht="15.75">
      <c r="A187" s="115" t="e">
        <f>INDEX([1]探陆!$A$4:$A$13,MATCH(2,[1]探陆!$AF$4:$AF$13,0))</f>
        <v>#N/A</v>
      </c>
      <c r="B187" s="116">
        <f>SUMIFS([1]探陆!$G$3:$G$13,[1]探陆!$A$3:$A$13,$A187)</f>
        <v>0</v>
      </c>
      <c r="C187" s="116">
        <f>SUMIFS([1]探陆!$H$3:$H$13,[1]探陆!$A$3:$A$13,$A187)</f>
        <v>0</v>
      </c>
      <c r="D187" s="98">
        <f>SUMIFS([1]探陆!$I$3:$I$13,[1]探陆!$A$3:$A$13,$A187)</f>
        <v>0</v>
      </c>
      <c r="E187" s="98">
        <f>SUMIFS([1]探陆!$M$3:$M$13,[1]探陆!$A$3:$A$13,$A187)</f>
        <v>0</v>
      </c>
      <c r="F187" s="117">
        <f>SUMIFS([1]探陆!$N$3:$N$13,[1]探陆!$A$3:$A$13,$A187)</f>
        <v>0</v>
      </c>
      <c r="J187" s="115" t="e">
        <f>INDEX([1]奇骏系列!$A$4:$A$13,MATCH(2,[1]奇骏系列!$AF$4:$AF$13,0))</f>
        <v>#N/A</v>
      </c>
      <c r="K187" s="116">
        <f>SUMIFS([1]奇骏系列!$G$3:$G$13,[1]奇骏系列!$A$3:$A$13,$J187)</f>
        <v>0</v>
      </c>
      <c r="L187" s="116">
        <f>SUMIFS([1]奇骏系列!$H$3:$H$13,[1]奇骏系列!$A$3:$A$13,$J187)</f>
        <v>0</v>
      </c>
      <c r="M187" s="98">
        <f>SUMIFS([1]奇骏系列!$I$3:$I$13,[1]奇骏系列!$A$3:$A$13,$J187)</f>
        <v>0</v>
      </c>
      <c r="N187" s="98">
        <f>SUMIFS([1]奇骏系列!$M$3:$M$13,[1]奇骏系列!$A$3:$A$13,$J187)</f>
        <v>0</v>
      </c>
      <c r="O187" s="117">
        <f>SUMIFS([1]奇骏系列!$N$3:$N$13,[1]奇骏系列!$A$3:$A$13,$J187)</f>
        <v>0</v>
      </c>
    </row>
    <row r="188" spans="1:20" ht="15.75">
      <c r="A188" s="115" t="e">
        <f>INDEX([1]探陆!$A$4:$A$13,MATCH(3,[1]探陆!$AF$4:$AF$13,0))</f>
        <v>#N/A</v>
      </c>
      <c r="B188" s="116">
        <f>SUMIFS([1]探陆!$G$3:$G$13,[1]探陆!$A$3:$A$13,$A188)</f>
        <v>0</v>
      </c>
      <c r="C188" s="116">
        <f>SUMIFS([1]探陆!$H$3:$H$13,[1]探陆!$A$3:$A$13,$A188)</f>
        <v>0</v>
      </c>
      <c r="D188" s="98">
        <f>SUMIFS([1]探陆!$I$3:$I$13,[1]探陆!$A$3:$A$13,$A188)</f>
        <v>0</v>
      </c>
      <c r="E188" s="98">
        <f>SUMIFS([1]探陆!$M$3:$M$13,[1]探陆!$A$3:$A$13,$A188)</f>
        <v>0</v>
      </c>
      <c r="F188" s="117">
        <f>SUMIFS([1]探陆!$N$3:$N$13,[1]探陆!$A$3:$A$13,$A188)</f>
        <v>0</v>
      </c>
      <c r="J188" s="115" t="e">
        <f>INDEX([1]奇骏系列!$A$4:$A$13,MATCH(3,[1]奇骏系列!$AF$4:$AF$13,0))</f>
        <v>#N/A</v>
      </c>
      <c r="K188" s="116">
        <f>SUMIFS([1]奇骏系列!$G$3:$G$13,[1]奇骏系列!$A$3:$A$13,$J188)</f>
        <v>0</v>
      </c>
      <c r="L188" s="116">
        <f>SUMIFS([1]奇骏系列!$H$3:$H$13,[1]奇骏系列!$A$3:$A$13,$J188)</f>
        <v>0</v>
      </c>
      <c r="M188" s="98">
        <f>SUMIFS([1]奇骏系列!$I$3:$I$13,[1]奇骏系列!$A$3:$A$13,$J188)</f>
        <v>0</v>
      </c>
      <c r="N188" s="98">
        <f>SUMIFS([1]奇骏系列!$M$3:$M$13,[1]奇骏系列!$A$3:$A$13,$J188)</f>
        <v>0</v>
      </c>
      <c r="O188" s="117">
        <f>SUMIFS([1]奇骏系列!$N$3:$N$13,[1]奇骏系列!$A$3:$A$13,$J188)</f>
        <v>0</v>
      </c>
    </row>
    <row r="189" spans="1:20" ht="15.75">
      <c r="A189" s="115" t="e">
        <f>INDEX([1]探陆!$A$4:$A$13,MATCH(4,[1]探陆!$AF$4:$AF$13,0))</f>
        <v>#N/A</v>
      </c>
      <c r="B189" s="116">
        <f>SUMIFS([1]探陆!$G$3:$G$13,[1]探陆!$A$3:$A$13,$A189)</f>
        <v>0</v>
      </c>
      <c r="C189" s="116">
        <f>SUMIFS([1]探陆!$H$3:$H$13,[1]探陆!$A$3:$A$13,$A189)</f>
        <v>0</v>
      </c>
      <c r="D189" s="98">
        <f>SUMIFS([1]探陆!$I$3:$I$13,[1]探陆!$A$3:$A$13,$A189)</f>
        <v>0</v>
      </c>
      <c r="E189" s="98">
        <f>SUMIFS([1]探陆!$M$3:$M$13,[1]探陆!$A$3:$A$13,$A189)</f>
        <v>0</v>
      </c>
      <c r="F189" s="117">
        <f>SUMIFS([1]探陆!$N$3:$N$13,[1]探陆!$A$3:$A$13,$A189)</f>
        <v>0</v>
      </c>
      <c r="J189" s="115" t="e">
        <f>INDEX([1]奇骏系列!$A$4:$A$13,MATCH(4,[1]奇骏系列!$AF$4:$AF$13,0))</f>
        <v>#N/A</v>
      </c>
      <c r="K189" s="116">
        <f>SUMIFS([1]奇骏系列!$G$3:$G$13,[1]奇骏系列!$A$3:$A$13,$J189)</f>
        <v>0</v>
      </c>
      <c r="L189" s="116">
        <f>SUMIFS([1]奇骏系列!$H$3:$H$13,[1]奇骏系列!$A$3:$A$13,$J189)</f>
        <v>0</v>
      </c>
      <c r="M189" s="98">
        <f>SUMIFS([1]奇骏系列!$I$3:$I$13,[1]奇骏系列!$A$3:$A$13,$J189)</f>
        <v>0</v>
      </c>
      <c r="N189" s="98">
        <f>SUMIFS([1]奇骏系列!$M$3:$M$13,[1]奇骏系列!$A$3:$A$13,$J189)</f>
        <v>0</v>
      </c>
      <c r="O189" s="117">
        <f>SUMIFS([1]奇骏系列!$N$3:$N$13,[1]奇骏系列!$A$3:$A$13,$J189)</f>
        <v>0</v>
      </c>
    </row>
    <row r="190" spans="1:20" ht="15.75">
      <c r="A190" s="115" t="e">
        <f>INDEX([1]探陆!$A$4:$A$13,MATCH(5,[1]探陆!$AF$4:$AF$13,0))</f>
        <v>#N/A</v>
      </c>
      <c r="B190" s="116">
        <f>SUMIFS([1]探陆!$G$3:$G$13,[1]探陆!$A$3:$A$13,$A190)</f>
        <v>0</v>
      </c>
      <c r="C190" s="116">
        <f>SUMIFS([1]探陆!$H$3:$H$13,[1]探陆!$A$3:$A$13,$A190)</f>
        <v>0</v>
      </c>
      <c r="D190" s="98">
        <f>SUMIFS([1]探陆!$I$3:$I$13,[1]探陆!$A$3:$A$13,$A190)</f>
        <v>0</v>
      </c>
      <c r="E190" s="98">
        <f>SUMIFS([1]探陆!$M$3:$M$13,[1]探陆!$A$3:$A$13,$A190)</f>
        <v>0</v>
      </c>
      <c r="F190" s="117">
        <f>SUMIFS([1]探陆!$N$3:$N$13,[1]探陆!$A$3:$A$13,$A190)</f>
        <v>0</v>
      </c>
      <c r="J190" s="115" t="e">
        <f>INDEX([1]奇骏系列!$A$4:$A$13,MATCH(5,[1]奇骏系列!$AF$4:$AF$13,0))</f>
        <v>#N/A</v>
      </c>
      <c r="K190" s="116">
        <f>SUMIFS([1]奇骏系列!$G$3:$G$13,[1]奇骏系列!$A$3:$A$13,$J190)</f>
        <v>0</v>
      </c>
      <c r="L190" s="116">
        <f>SUMIFS([1]奇骏系列!$H$3:$H$13,[1]奇骏系列!$A$3:$A$13,$J190)</f>
        <v>0</v>
      </c>
      <c r="M190" s="98">
        <f>SUMIFS([1]奇骏系列!$I$3:$I$13,[1]奇骏系列!$A$3:$A$13,$J190)</f>
        <v>0</v>
      </c>
      <c r="N190" s="98">
        <f>SUMIFS([1]奇骏系列!$M$3:$M$13,[1]奇骏系列!$A$3:$A$13,$J190)</f>
        <v>0</v>
      </c>
      <c r="O190" s="117">
        <f>SUMIFS([1]奇骏系列!$N$3:$N$13,[1]奇骏系列!$A$3:$A$13,$J190)</f>
        <v>0</v>
      </c>
    </row>
    <row r="191" spans="1:20" ht="15.75">
      <c r="A191" s="115" t="e">
        <f>INDEX([1]探陆!$A$4:$A$13,MATCH(6,[1]探陆!$AF$4:$AF$13,0))</f>
        <v>#N/A</v>
      </c>
      <c r="B191" s="116">
        <f>SUMIFS([1]探陆!$G$3:$G$13,[1]探陆!$A$3:$A$13,$A191)</f>
        <v>0</v>
      </c>
      <c r="C191" s="116">
        <f>SUMIFS([1]探陆!$H$3:$H$13,[1]探陆!$A$3:$A$13,$A191)</f>
        <v>0</v>
      </c>
      <c r="D191" s="98">
        <f>SUMIFS([1]探陆!$I$3:$I$13,[1]探陆!$A$3:$A$13,$A191)</f>
        <v>0</v>
      </c>
      <c r="E191" s="98">
        <f>SUMIFS([1]探陆!$M$3:$M$13,[1]探陆!$A$3:$A$13,$A191)</f>
        <v>0</v>
      </c>
      <c r="F191" s="117">
        <f>SUMIFS([1]探陆!$N$3:$N$13,[1]探陆!$A$3:$A$13,$A191)</f>
        <v>0</v>
      </c>
      <c r="J191" s="115" t="e">
        <f>INDEX([1]奇骏系列!$A$4:$A$13,MATCH(6,[1]奇骏系列!$AF$4:$AF$13,0))</f>
        <v>#N/A</v>
      </c>
      <c r="K191" s="116">
        <f>SUMIFS([1]奇骏系列!$G$3:$G$13,[1]奇骏系列!$A$3:$A$13,$J191)</f>
        <v>0</v>
      </c>
      <c r="L191" s="116">
        <f>SUMIFS([1]奇骏系列!$H$3:$H$13,[1]奇骏系列!$A$3:$A$13,$J191)</f>
        <v>0</v>
      </c>
      <c r="M191" s="98">
        <f>SUMIFS([1]奇骏系列!$I$3:$I$13,[1]奇骏系列!$A$3:$A$13,$J191)</f>
        <v>0</v>
      </c>
      <c r="N191" s="98">
        <f>SUMIFS([1]奇骏系列!$M$3:$M$13,[1]奇骏系列!$A$3:$A$13,$J191)</f>
        <v>0</v>
      </c>
      <c r="O191" s="117">
        <f>SUMIFS([1]奇骏系列!$N$3:$N$13,[1]奇骏系列!$A$3:$A$13,$J191)</f>
        <v>0</v>
      </c>
    </row>
    <row r="192" spans="1:20" ht="15.75">
      <c r="A192" s="115" t="e">
        <f>INDEX([1]探陆!$A$4:$A$13,MATCH(7,[1]探陆!$AF$4:$AF$13,0))</f>
        <v>#N/A</v>
      </c>
      <c r="B192" s="116">
        <f>SUMIFS([1]探陆!$G$3:$G$13,[1]探陆!$A$3:$A$13,$A192)</f>
        <v>0</v>
      </c>
      <c r="C192" s="116">
        <f>SUMIFS([1]探陆!$H$3:$H$13,[1]探陆!$A$3:$A$13,$A192)</f>
        <v>0</v>
      </c>
      <c r="D192" s="98">
        <f>SUMIFS([1]探陆!$I$3:$I$13,[1]探陆!$A$3:$A$13,$A192)</f>
        <v>0</v>
      </c>
      <c r="E192" s="98">
        <f>SUMIFS([1]探陆!$M$3:$M$13,[1]探陆!$A$3:$A$13,$A192)</f>
        <v>0</v>
      </c>
      <c r="F192" s="117">
        <f>SUMIFS([1]探陆!$N$3:$N$13,[1]探陆!$A$3:$A$13,$A192)</f>
        <v>0</v>
      </c>
      <c r="J192" s="115" t="e">
        <f>INDEX([1]奇骏系列!$A$4:$A$13,MATCH(7,[1]奇骏系列!$AF$4:$AF$13,0))</f>
        <v>#N/A</v>
      </c>
      <c r="K192" s="116">
        <f>SUMIFS([1]奇骏系列!$G$3:$G$13,[1]奇骏系列!$A$3:$A$13,$J192)</f>
        <v>0</v>
      </c>
      <c r="L192" s="116">
        <f>SUMIFS([1]奇骏系列!$H$3:$H$13,[1]奇骏系列!$A$3:$A$13,$J192)</f>
        <v>0</v>
      </c>
      <c r="M192" s="98">
        <f>SUMIFS([1]奇骏系列!$I$3:$I$13,[1]奇骏系列!$A$3:$A$13,$J192)</f>
        <v>0</v>
      </c>
      <c r="N192" s="98">
        <f>SUMIFS([1]奇骏系列!$M$3:$M$13,[1]奇骏系列!$A$3:$A$13,$J192)</f>
        <v>0</v>
      </c>
      <c r="O192" s="117">
        <f>SUMIFS([1]奇骏系列!$N$3:$N$13,[1]奇骏系列!$A$3:$A$13,$J192)</f>
        <v>0</v>
      </c>
      <c r="T192" s="121"/>
    </row>
    <row r="193" spans="1:15" ht="15.75">
      <c r="A193" s="115" t="e">
        <f>INDEX([1]探陆!$A$4:$A$13,MATCH(8,[1]探陆!$AF$4:$AF$13,0))</f>
        <v>#N/A</v>
      </c>
      <c r="B193" s="116">
        <f>SUMIFS([1]探陆!$G$3:$G$13,[1]探陆!$A$3:$A$13,$A193)</f>
        <v>0</v>
      </c>
      <c r="C193" s="116">
        <f>SUMIFS([1]探陆!$H$3:$H$13,[1]探陆!$A$3:$A$13,$A193)</f>
        <v>0</v>
      </c>
      <c r="D193" s="98">
        <f>SUMIFS([1]探陆!$I$3:$I$13,[1]探陆!$A$3:$A$13,$A193)</f>
        <v>0</v>
      </c>
      <c r="E193" s="98">
        <f>SUMIFS([1]探陆!$M$3:$M$13,[1]探陆!$A$3:$A$13,$A193)</f>
        <v>0</v>
      </c>
      <c r="F193" s="117">
        <f>SUMIFS([1]探陆!$N$3:$N$13,[1]探陆!$A$3:$A$13,$A193)</f>
        <v>0</v>
      </c>
      <c r="J193" s="115" t="e">
        <f>INDEX([1]奇骏系列!$A$4:$A$13,MATCH(8,[1]奇骏系列!$AF$4:$AF$13,0))</f>
        <v>#N/A</v>
      </c>
      <c r="K193" s="116">
        <f>SUMIFS([1]奇骏系列!$G$3:$G$13,[1]奇骏系列!$A$3:$A$13,$J193)</f>
        <v>0</v>
      </c>
      <c r="L193" s="116">
        <f>SUMIFS([1]奇骏系列!$H$3:$H$13,[1]奇骏系列!$A$3:$A$13,$J193)</f>
        <v>0</v>
      </c>
      <c r="M193" s="98">
        <f>SUMIFS([1]奇骏系列!$I$3:$I$13,[1]奇骏系列!$A$3:$A$13,$J193)</f>
        <v>0</v>
      </c>
      <c r="N193" s="98">
        <f>SUMIFS([1]奇骏系列!$M$3:$M$13,[1]奇骏系列!$A$3:$A$13,$J193)</f>
        <v>0</v>
      </c>
      <c r="O193" s="117">
        <f>SUMIFS([1]奇骏系列!$N$3:$N$13,[1]奇骏系列!$A$3:$A$13,$J193)</f>
        <v>0</v>
      </c>
    </row>
    <row r="194" spans="1:15" ht="15.75">
      <c r="A194" s="115" t="e">
        <f>INDEX([1]探陆!$A$4:$A$13,MATCH(9,[1]探陆!$AF$4:$AF$13,0))</f>
        <v>#N/A</v>
      </c>
      <c r="B194" s="116">
        <f>SUMIFS([1]探陆!$G$3:$G$13,[1]探陆!$A$3:$A$13,$A194)</f>
        <v>0</v>
      </c>
      <c r="C194" s="116">
        <f>SUMIFS([1]探陆!$H$3:$H$13,[1]探陆!$A$3:$A$13,$A194)</f>
        <v>0</v>
      </c>
      <c r="D194" s="98">
        <f>SUMIFS([1]探陆!$I$3:$I$13,[1]探陆!$A$3:$A$13,$A194)</f>
        <v>0</v>
      </c>
      <c r="E194" s="98">
        <f>SUMIFS([1]探陆!$M$3:$M$13,[1]探陆!$A$3:$A$13,$A194)</f>
        <v>0</v>
      </c>
      <c r="F194" s="117">
        <f>SUMIFS([1]探陆!$N$3:$N$13,[1]探陆!$A$3:$A$13,$A194)</f>
        <v>0</v>
      </c>
      <c r="J194" s="115" t="e">
        <f>INDEX([1]奇骏系列!$A$4:$A$13,MATCH(9,[1]奇骏系列!$AF$4:$AF$13,0))</f>
        <v>#N/A</v>
      </c>
      <c r="K194" s="116">
        <f>SUMIFS([1]奇骏系列!$G$3:$G$13,[1]奇骏系列!$A$3:$A$13,$J194)</f>
        <v>0</v>
      </c>
      <c r="L194" s="116">
        <f>SUMIFS([1]奇骏系列!$H$3:$H$13,[1]奇骏系列!$A$3:$A$13,$J194)</f>
        <v>0</v>
      </c>
      <c r="M194" s="98">
        <f>SUMIFS([1]奇骏系列!$I$3:$I$13,[1]奇骏系列!$A$3:$A$13,$J194)</f>
        <v>0</v>
      </c>
      <c r="N194" s="98">
        <f>SUMIFS([1]奇骏系列!$M$3:$M$13,[1]奇骏系列!$A$3:$A$13,$J194)</f>
        <v>0</v>
      </c>
      <c r="O194" s="117">
        <f>SUMIFS([1]奇骏系列!$N$3:$N$13,[1]奇骏系列!$A$3:$A$13,$J194)</f>
        <v>0</v>
      </c>
    </row>
    <row r="195" spans="1:15" ht="16.5" thickBot="1">
      <c r="A195" s="118" t="e">
        <f>INDEX([1]探陆!$A$4:$A$13,MATCH(10,[1]探陆!$AF$4:$AF$13,0))</f>
        <v>#N/A</v>
      </c>
      <c r="B195" s="119">
        <f>SUMIFS([1]探陆!$G$3:$G$13,[1]探陆!$A$3:$A$13,$A195)</f>
        <v>0</v>
      </c>
      <c r="C195" s="119">
        <f>SUMIFS([1]探陆!$H$3:$H$13,[1]探陆!$A$3:$A$13,$A195)</f>
        <v>0</v>
      </c>
      <c r="D195" s="104">
        <f>SUMIFS([1]探陆!$I$3:$I$13,[1]探陆!$A$3:$A$13,$A195)</f>
        <v>0</v>
      </c>
      <c r="E195" s="104">
        <f>SUMIFS([1]探陆!$M$3:$M$13,[1]探陆!$A$3:$A$13,$A195)</f>
        <v>0</v>
      </c>
      <c r="F195" s="120">
        <f>SUMIFS([1]探陆!$N$3:$N$13,[1]探陆!$A$3:$A$13,$A195)</f>
        <v>0</v>
      </c>
      <c r="J195" s="118" t="e">
        <f>INDEX([1]奇骏系列!$A$4:$A$13,MATCH(10,[1]奇骏系列!$AF$4:$AF$13,0))</f>
        <v>#N/A</v>
      </c>
      <c r="K195" s="119">
        <f>SUMIFS([1]奇骏系列!$G$3:$G$13,[1]奇骏系列!$A$3:$A$13,$J195)</f>
        <v>0</v>
      </c>
      <c r="L195" s="119">
        <f>SUMIFS([1]奇骏系列!$H$3:$H$13,[1]奇骏系列!$A$3:$A$13,$J195)</f>
        <v>0</v>
      </c>
      <c r="M195" s="104">
        <f>SUMIFS([1]奇骏系列!$I$3:$I$13,[1]奇骏系列!$A$3:$A$13,$J195)</f>
        <v>0</v>
      </c>
      <c r="N195" s="104">
        <f>SUMIFS([1]奇骏系列!$M$3:$M$13,[1]奇骏系列!$A$3:$A$13,$J195)</f>
        <v>0</v>
      </c>
      <c r="O195" s="120">
        <f>SUMIFS([1]奇骏系列!$N$3:$N$13,[1]奇骏系列!$A$3:$A$13,$J195)</f>
        <v>0</v>
      </c>
    </row>
    <row r="197" spans="1:15" hidden="1"/>
    <row r="198" spans="1:15" ht="23.45" hidden="1" customHeight="1">
      <c r="A198" s="109"/>
      <c r="B198" s="110"/>
      <c r="C198" s="111" t="s">
        <v>79</v>
      </c>
      <c r="D198" s="110"/>
      <c r="E198" s="110"/>
      <c r="F198" s="87" t="str">
        <f>O137</f>
        <v>统计周期4.1-4.9</v>
      </c>
      <c r="J198" s="109"/>
      <c r="K198" s="110"/>
      <c r="L198" s="111" t="s">
        <v>81</v>
      </c>
      <c r="M198" s="110"/>
      <c r="N198" s="110"/>
      <c r="O198" s="87" t="str">
        <f>O137</f>
        <v>统计周期4.1-4.9</v>
      </c>
    </row>
    <row r="199" spans="1:15" ht="23.45" hidden="1" customHeight="1">
      <c r="A199" s="112" t="s">
        <v>60</v>
      </c>
      <c r="B199" s="112" t="s">
        <v>61</v>
      </c>
      <c r="C199" s="112" t="s">
        <v>62</v>
      </c>
      <c r="D199" s="112" t="s">
        <v>63</v>
      </c>
      <c r="E199" s="112" t="s">
        <v>13</v>
      </c>
      <c r="F199" s="113" t="s">
        <v>14</v>
      </c>
      <c r="J199" s="112" t="s">
        <v>60</v>
      </c>
      <c r="K199" s="112" t="s">
        <v>61</v>
      </c>
      <c r="L199" s="112" t="s">
        <v>62</v>
      </c>
      <c r="M199" s="112" t="s">
        <v>63</v>
      </c>
      <c r="N199" s="112" t="s">
        <v>13</v>
      </c>
      <c r="O199" s="113" t="s">
        <v>14</v>
      </c>
    </row>
    <row r="200" spans="1:15" ht="15.75" hidden="1">
      <c r="A200" s="114" t="s">
        <v>16</v>
      </c>
      <c r="B200" s="92">
        <f>SUMIFS([1]探陆!$G$3:$G$13,[1]探陆!$A$3:$A$13,$A200)</f>
        <v>0</v>
      </c>
      <c r="C200" s="92">
        <f>SUMIFS([1]探陆!$H$3:$H$13,[1]探陆!$A$3:$A$13,$A200)</f>
        <v>398</v>
      </c>
      <c r="D200" s="93">
        <f>SUMIFS([1]探陆!$I$3:$I$13,[1]探陆!$A$3:$A$13,$A200)</f>
        <v>0</v>
      </c>
      <c r="E200" s="93">
        <f>SUMIFS([1]探陆!$M$3:$M$13,[1]探陆!$A$3:$A$13,$A200)</f>
        <v>-0.81199811053377424</v>
      </c>
      <c r="F200" s="94">
        <f>SUMIFS([1]探陆!$N$3:$N$13,[1]探陆!$A$3:$A$13,$A200)</f>
        <v>-0.1440860215053763</v>
      </c>
      <c r="J200" s="114" t="s">
        <v>16</v>
      </c>
      <c r="K200" s="92" t="e">
        <f>SUMIFS(#REF!,#REF!,$J200)</f>
        <v>#REF!</v>
      </c>
      <c r="L200" s="92" t="e">
        <f>SUMIFS(#REF!,#REF!,$J200)</f>
        <v>#REF!</v>
      </c>
      <c r="M200" s="93" t="e">
        <f>SUMIFS(#REF!,#REF!,$J200)</f>
        <v>#REF!</v>
      </c>
      <c r="N200" s="93" t="e">
        <f>SUMIFS(#REF!,#REF!,$J200)</f>
        <v>#REF!</v>
      </c>
      <c r="O200" s="94" t="e">
        <f>SUMIFS(#REF!,#REF!,$J200)</f>
        <v>#REF!</v>
      </c>
    </row>
    <row r="201" spans="1:15" ht="15.75" hidden="1">
      <c r="A201" s="115" t="e">
        <f>INDEX([1]探陆!$A$4:$A$13,MATCH(1,[1]探陆!$AF$4:$AF$13,0))</f>
        <v>#N/A</v>
      </c>
      <c r="B201" s="116">
        <f>SUMIFS([1]探陆!$G$3:$G$13,[1]探陆!$A$3:$A$13,$A201)</f>
        <v>0</v>
      </c>
      <c r="C201" s="116">
        <f>SUMIFS([1]探陆!$H$3:$H$13,[1]探陆!$A$3:$A$13,$A201)</f>
        <v>0</v>
      </c>
      <c r="D201" s="98">
        <f>SUMIFS([1]探陆!$I$3:$I$13,[1]探陆!$A$3:$A$13,$A201)</f>
        <v>0</v>
      </c>
      <c r="E201" s="98">
        <f>SUMIFS([1]探陆!$M$3:$M$13,[1]探陆!$A$3:$A$13,$A201)</f>
        <v>0</v>
      </c>
      <c r="F201" s="117">
        <f>SUMIFS([1]探陆!$N$3:$N$13,[1]探陆!$A$3:$A$13,$A201)</f>
        <v>0</v>
      </c>
      <c r="J201" s="115" t="s">
        <v>82</v>
      </c>
      <c r="K201" s="116" t="e">
        <f>SUMIFS(#REF!,#REF!,$J201)</f>
        <v>#REF!</v>
      </c>
      <c r="L201" s="116" t="e">
        <f>SUMIFS(#REF!,#REF!,$J201)</f>
        <v>#REF!</v>
      </c>
      <c r="M201" s="98" t="e">
        <f>SUMIFS(#REF!,#REF!,$J201)</f>
        <v>#REF!</v>
      </c>
      <c r="N201" s="98" t="e">
        <f>SUMIFS(#REF!,#REF!,$J201)</f>
        <v>#REF!</v>
      </c>
      <c r="O201" s="117" t="e">
        <f>SUMIFS(#REF!,#REF!,$J201)</f>
        <v>#REF!</v>
      </c>
    </row>
    <row r="202" spans="1:15" ht="15.75" hidden="1">
      <c r="A202" s="115" t="e">
        <f>INDEX([1]探陆!$A$4:$A$13,MATCH(2,[1]探陆!$AF$4:$AF$13,0))</f>
        <v>#N/A</v>
      </c>
      <c r="B202" s="116">
        <f>SUMIFS([1]探陆!$G$3:$G$13,[1]探陆!$A$3:$A$13,$A202)</f>
        <v>0</v>
      </c>
      <c r="C202" s="116">
        <f>SUMIFS([1]探陆!$H$3:$H$13,[1]探陆!$A$3:$A$13,$A202)</f>
        <v>0</v>
      </c>
      <c r="D202" s="98">
        <f>SUMIFS([1]探陆!$I$3:$I$13,[1]探陆!$A$3:$A$13,$A202)</f>
        <v>0</v>
      </c>
      <c r="E202" s="98">
        <f>SUMIFS([1]探陆!$M$3:$M$13,[1]探陆!$A$3:$A$13,$A202)</f>
        <v>0</v>
      </c>
      <c r="F202" s="117">
        <f>SUMIFS([1]探陆!$N$3:$N$13,[1]探陆!$A$3:$A$13,$A202)</f>
        <v>0</v>
      </c>
      <c r="J202" s="115" t="s">
        <v>72</v>
      </c>
      <c r="K202" s="116" t="e">
        <f>SUMIFS(#REF!,#REF!,$J202)</f>
        <v>#REF!</v>
      </c>
      <c r="L202" s="116" t="e">
        <f>SUMIFS(#REF!,#REF!,$J202)</f>
        <v>#REF!</v>
      </c>
      <c r="M202" s="98" t="e">
        <f>SUMIFS(#REF!,#REF!,$J202)</f>
        <v>#REF!</v>
      </c>
      <c r="N202" s="98" t="e">
        <f>SUMIFS(#REF!,#REF!,$J202)</f>
        <v>#REF!</v>
      </c>
      <c r="O202" s="117" t="e">
        <f>SUMIFS(#REF!,#REF!,$J202)</f>
        <v>#REF!</v>
      </c>
    </row>
    <row r="203" spans="1:15" ht="15.75" hidden="1">
      <c r="A203" s="115" t="e">
        <f>INDEX([1]探陆!$A$4:$A$13,MATCH(3,[1]探陆!$AF$4:$AF$13,0))</f>
        <v>#N/A</v>
      </c>
      <c r="B203" s="116">
        <f>SUMIFS([1]探陆!$G$3:$G$13,[1]探陆!$A$3:$A$13,$A203)</f>
        <v>0</v>
      </c>
      <c r="C203" s="116">
        <f>SUMIFS([1]探陆!$H$3:$H$13,[1]探陆!$A$3:$A$13,$A203)</f>
        <v>0</v>
      </c>
      <c r="D203" s="98">
        <f>SUMIFS([1]探陆!$I$3:$I$13,[1]探陆!$A$3:$A$13,$A203)</f>
        <v>0</v>
      </c>
      <c r="E203" s="98">
        <f>SUMIFS([1]探陆!$M$3:$M$13,[1]探陆!$A$3:$A$13,$A203)</f>
        <v>0</v>
      </c>
      <c r="F203" s="117">
        <f>SUMIFS([1]探陆!$N$3:$N$13,[1]探陆!$A$3:$A$13,$A203)</f>
        <v>0</v>
      </c>
      <c r="J203" s="115" t="s">
        <v>73</v>
      </c>
      <c r="K203" s="116" t="e">
        <f>SUMIFS(#REF!,#REF!,$J203)</f>
        <v>#REF!</v>
      </c>
      <c r="L203" s="116" t="e">
        <f>SUMIFS(#REF!,#REF!,$J203)</f>
        <v>#REF!</v>
      </c>
      <c r="M203" s="98" t="e">
        <f>SUMIFS(#REF!,#REF!,$J203)</f>
        <v>#REF!</v>
      </c>
      <c r="N203" s="98" t="e">
        <f>SUMIFS(#REF!,#REF!,$J203)</f>
        <v>#REF!</v>
      </c>
      <c r="O203" s="117" t="e">
        <f>SUMIFS(#REF!,#REF!,$J203)</f>
        <v>#REF!</v>
      </c>
    </row>
    <row r="204" spans="1:15" ht="15.75" hidden="1">
      <c r="A204" s="115" t="e">
        <f>INDEX([1]探陆!$A$4:$A$13,MATCH(4,[1]探陆!$AF$4:$AF$13,0))</f>
        <v>#N/A</v>
      </c>
      <c r="B204" s="116">
        <f>SUMIFS([1]探陆!$G$3:$G$13,[1]探陆!$A$3:$A$13,$A204)</f>
        <v>0</v>
      </c>
      <c r="C204" s="116">
        <f>SUMIFS([1]探陆!$H$3:$H$13,[1]探陆!$A$3:$A$13,$A204)</f>
        <v>0</v>
      </c>
      <c r="D204" s="98">
        <f>SUMIFS([1]探陆!$I$3:$I$13,[1]探陆!$A$3:$A$13,$A204)</f>
        <v>0</v>
      </c>
      <c r="E204" s="98">
        <f>SUMIFS([1]探陆!$M$3:$M$13,[1]探陆!$A$3:$A$13,$A204)</f>
        <v>0</v>
      </c>
      <c r="F204" s="117">
        <f>SUMIFS([1]探陆!$N$3:$N$13,[1]探陆!$A$3:$A$13,$A204)</f>
        <v>0</v>
      </c>
      <c r="J204" s="115" t="s">
        <v>74</v>
      </c>
      <c r="K204" s="116" t="e">
        <f>SUMIFS(#REF!,#REF!,$J204)</f>
        <v>#REF!</v>
      </c>
      <c r="L204" s="116" t="e">
        <f>SUMIFS(#REF!,#REF!,$J204)</f>
        <v>#REF!</v>
      </c>
      <c r="M204" s="98" t="e">
        <f>SUMIFS(#REF!,#REF!,$J204)</f>
        <v>#REF!</v>
      </c>
      <c r="N204" s="98" t="e">
        <f>SUMIFS(#REF!,#REF!,$J204)</f>
        <v>#REF!</v>
      </c>
      <c r="O204" s="117" t="e">
        <f>SUMIFS(#REF!,#REF!,$J204)</f>
        <v>#REF!</v>
      </c>
    </row>
    <row r="205" spans="1:15" ht="15.75" hidden="1">
      <c r="A205" s="115" t="e">
        <f>INDEX([1]探陆!$A$4:$A$13,MATCH(5,[1]探陆!$AF$4:$AF$13,0))</f>
        <v>#N/A</v>
      </c>
      <c r="B205" s="116">
        <f>SUMIFS([1]探陆!$G$3:$G$13,[1]探陆!$A$3:$A$13,$A205)</f>
        <v>0</v>
      </c>
      <c r="C205" s="116">
        <f>SUMIFS([1]探陆!$H$3:$H$13,[1]探陆!$A$3:$A$13,$A205)</f>
        <v>0</v>
      </c>
      <c r="D205" s="98">
        <f>SUMIFS([1]探陆!$I$3:$I$13,[1]探陆!$A$3:$A$13,$A205)</f>
        <v>0</v>
      </c>
      <c r="E205" s="98">
        <f>SUMIFS([1]探陆!$M$3:$M$13,[1]探陆!$A$3:$A$13,$A205)</f>
        <v>0</v>
      </c>
      <c r="F205" s="117">
        <f>SUMIFS([1]探陆!$N$3:$N$13,[1]探陆!$A$3:$A$13,$A205)</f>
        <v>0</v>
      </c>
      <c r="J205" s="115" t="s">
        <v>75</v>
      </c>
      <c r="K205" s="116" t="e">
        <f>SUMIFS(#REF!,#REF!,$J205)</f>
        <v>#REF!</v>
      </c>
      <c r="L205" s="116" t="e">
        <f>SUMIFS(#REF!,#REF!,$J205)</f>
        <v>#REF!</v>
      </c>
      <c r="M205" s="98" t="e">
        <f>SUMIFS(#REF!,#REF!,$J205)</f>
        <v>#REF!</v>
      </c>
      <c r="N205" s="98" t="e">
        <f>SUMIFS(#REF!,#REF!,$J205)</f>
        <v>#REF!</v>
      </c>
      <c r="O205" s="117" t="e">
        <f>SUMIFS(#REF!,#REF!,$J205)</f>
        <v>#REF!</v>
      </c>
    </row>
    <row r="206" spans="1:15" ht="15.75" hidden="1">
      <c r="A206" s="115" t="e">
        <f>INDEX([1]探陆!$A$4:$A$13,MATCH(6,[1]探陆!$AF$4:$AF$13,0))</f>
        <v>#N/A</v>
      </c>
      <c r="B206" s="116">
        <f>SUMIFS([1]探陆!$G$3:$G$13,[1]探陆!$A$3:$A$13,$A206)</f>
        <v>0</v>
      </c>
      <c r="C206" s="116">
        <f>SUMIFS([1]探陆!$H$3:$H$13,[1]探陆!$A$3:$A$13,$A206)</f>
        <v>0</v>
      </c>
      <c r="D206" s="98">
        <f>SUMIFS([1]探陆!$I$3:$I$13,[1]探陆!$A$3:$A$13,$A206)</f>
        <v>0</v>
      </c>
      <c r="E206" s="98">
        <f>SUMIFS([1]探陆!$M$3:$M$13,[1]探陆!$A$3:$A$13,$A206)</f>
        <v>0</v>
      </c>
      <c r="F206" s="117">
        <f>SUMIFS([1]探陆!$N$3:$N$13,[1]探陆!$A$3:$A$13,$A206)</f>
        <v>0</v>
      </c>
      <c r="J206" s="115" t="s">
        <v>76</v>
      </c>
      <c r="K206" s="116" t="e">
        <f>SUMIFS(#REF!,#REF!,$J206)</f>
        <v>#REF!</v>
      </c>
      <c r="L206" s="116" t="e">
        <f>SUMIFS(#REF!,#REF!,$J206)</f>
        <v>#REF!</v>
      </c>
      <c r="M206" s="98" t="e">
        <f>SUMIFS(#REF!,#REF!,$J206)</f>
        <v>#REF!</v>
      </c>
      <c r="N206" s="98" t="e">
        <f>SUMIFS(#REF!,#REF!,$J206)</f>
        <v>#REF!</v>
      </c>
      <c r="O206" s="117" t="e">
        <f>SUMIFS(#REF!,#REF!,$J206)</f>
        <v>#REF!</v>
      </c>
    </row>
    <row r="207" spans="1:15" ht="15.75" hidden="1">
      <c r="A207" s="115" t="e">
        <f>INDEX([1]探陆!$A$4:$A$13,MATCH(7,[1]探陆!$AF$4:$AF$13,0))</f>
        <v>#N/A</v>
      </c>
      <c r="B207" s="116">
        <f>SUMIFS([1]探陆!$G$3:$G$13,[1]探陆!$A$3:$A$13,$A207)</f>
        <v>0</v>
      </c>
      <c r="C207" s="116">
        <f>SUMIFS([1]探陆!$H$3:$H$13,[1]探陆!$A$3:$A$13,$A207)</f>
        <v>0</v>
      </c>
      <c r="D207" s="98">
        <f>SUMIFS([1]探陆!$I$3:$I$13,[1]探陆!$A$3:$A$13,$A207)</f>
        <v>0</v>
      </c>
      <c r="E207" s="98">
        <f>SUMIFS([1]探陆!$M$3:$M$13,[1]探陆!$A$3:$A$13,$A207)</f>
        <v>0</v>
      </c>
      <c r="F207" s="117">
        <f>SUMIFS([1]探陆!$N$3:$N$13,[1]探陆!$A$3:$A$13,$A207)</f>
        <v>0</v>
      </c>
      <c r="J207" s="115" t="s">
        <v>77</v>
      </c>
      <c r="K207" s="116" t="e">
        <f>SUMIFS(#REF!,#REF!,$J207)</f>
        <v>#REF!</v>
      </c>
      <c r="L207" s="116" t="e">
        <f>SUMIFS(#REF!,#REF!,$J207)</f>
        <v>#REF!</v>
      </c>
      <c r="M207" s="98" t="e">
        <f>SUMIFS(#REF!,#REF!,$J207)</f>
        <v>#REF!</v>
      </c>
      <c r="N207" s="98" t="e">
        <f>SUMIFS(#REF!,#REF!,$J207)</f>
        <v>#REF!</v>
      </c>
      <c r="O207" s="117" t="e">
        <f>SUMIFS(#REF!,#REF!,$J207)</f>
        <v>#REF!</v>
      </c>
    </row>
    <row r="208" spans="1:15" ht="16.5" hidden="1" thickBot="1">
      <c r="A208" s="118" t="e">
        <f>INDEX([1]探陆!$A$4:$A$13,MATCH(8,[1]探陆!$AF$4:$AF$13,0))</f>
        <v>#N/A</v>
      </c>
      <c r="B208" s="119">
        <f>SUMIFS([1]探陆!$G$3:$G$13,[1]探陆!$A$3:$A$13,$A208)</f>
        <v>0</v>
      </c>
      <c r="C208" s="119">
        <f>SUMIFS([1]探陆!$H$3:$H$13,[1]探陆!$A$3:$A$13,$A208)</f>
        <v>0</v>
      </c>
      <c r="D208" s="104">
        <f>SUMIFS([1]探陆!$I$3:$I$13,[1]探陆!$A$3:$A$13,$A208)</f>
        <v>0</v>
      </c>
      <c r="E208" s="104">
        <f>SUMIFS([1]探陆!$M$3:$M$13,[1]探陆!$A$3:$A$13,$A208)</f>
        <v>0</v>
      </c>
      <c r="F208" s="120">
        <f>SUMIFS([1]探陆!$N$3:$N$13,[1]探陆!$A$3:$A$13,$A208)</f>
        <v>0</v>
      </c>
      <c r="J208" s="118" t="s">
        <v>78</v>
      </c>
      <c r="K208" s="119" t="e">
        <f>SUMIFS(#REF!,#REF!,$J208)</f>
        <v>#REF!</v>
      </c>
      <c r="L208" s="119" t="e">
        <f>SUMIFS(#REF!,#REF!,$J208)</f>
        <v>#REF!</v>
      </c>
      <c r="M208" s="104" t="e">
        <f>SUMIFS(#REF!,#REF!,$J208)</f>
        <v>#REF!</v>
      </c>
      <c r="N208" s="104" t="e">
        <f>SUMIFS(#REF!,#REF!,$J208)</f>
        <v>#REF!</v>
      </c>
      <c r="O208" s="120" t="e">
        <f>SUMIFS(#REF!,#REF!,$J208)</f>
        <v>#REF!</v>
      </c>
    </row>
    <row r="209" spans="1:18" hidden="1"/>
    <row r="210" spans="1:18" ht="15" thickBot="1"/>
    <row r="211" spans="1:18" ht="29.1" customHeight="1" thickBot="1">
      <c r="A211" s="109"/>
      <c r="B211" s="110"/>
      <c r="C211" s="111" t="s">
        <v>83</v>
      </c>
      <c r="D211" s="110"/>
      <c r="E211" s="110"/>
      <c r="F211" s="87" t="str">
        <f>O137</f>
        <v>统计周期4.1-4.9</v>
      </c>
      <c r="J211" s="109"/>
      <c r="K211" s="110"/>
      <c r="L211" s="111" t="s">
        <v>84</v>
      </c>
      <c r="M211" s="110"/>
      <c r="N211" s="110"/>
      <c r="O211" s="87" t="str">
        <f>O137</f>
        <v>统计周期4.1-4.9</v>
      </c>
    </row>
    <row r="212" spans="1:18" ht="26.1" customHeight="1">
      <c r="A212" s="112" t="s">
        <v>60</v>
      </c>
      <c r="B212" s="112" t="s">
        <v>61</v>
      </c>
      <c r="C212" s="112" t="s">
        <v>62</v>
      </c>
      <c r="D212" s="112" t="s">
        <v>63</v>
      </c>
      <c r="E212" s="112" t="s">
        <v>13</v>
      </c>
      <c r="F212" s="113" t="s">
        <v>14</v>
      </c>
      <c r="J212" s="112" t="s">
        <v>60</v>
      </c>
      <c r="K212" s="112" t="s">
        <v>61</v>
      </c>
      <c r="L212" s="112" t="s">
        <v>62</v>
      </c>
      <c r="M212" s="112" t="s">
        <v>63</v>
      </c>
      <c r="N212" s="112" t="s">
        <v>13</v>
      </c>
      <c r="O212" s="122" t="s">
        <v>14</v>
      </c>
      <c r="P212" s="123" t="s">
        <v>85</v>
      </c>
      <c r="Q212" s="124"/>
      <c r="R212" s="124"/>
    </row>
    <row r="213" spans="1:18" ht="15.75">
      <c r="A213" s="114" t="s">
        <v>16</v>
      </c>
      <c r="B213" s="92">
        <f>SUMIFS([1]骐达!$G$3:$G$13,[1]骐达!$A$3:$A$13,$A213)</f>
        <v>0</v>
      </c>
      <c r="C213" s="92">
        <f>SUMIFS([1]骐达!$H$3:$H$13,[1]骐达!$A$3:$A$13,$A213)</f>
        <v>82</v>
      </c>
      <c r="D213" s="93">
        <f>SUMIFS([1]骐达!$I$3:$I$13,[1]骐达!$A$3:$A$13,$A213)</f>
        <v>0</v>
      </c>
      <c r="E213" s="93">
        <f>SUMIFS([1]骐达!$M$3:$M$13,[1]骐达!$A$3:$A$13,$A213)</f>
        <v>-0.875</v>
      </c>
      <c r="F213" s="94">
        <f>SUMIFS([1]骐达!$N$3:$N$13,[1]骐达!$A$3:$A$13,$A213)</f>
        <v>-0.36923076923076925</v>
      </c>
      <c r="J213" s="114" t="s">
        <v>16</v>
      </c>
      <c r="K213" s="92">
        <f>SUMIFS([1]N7!$G$3:$G$13,[1]N7!$A$3:$A$13,$J213)</f>
        <v>0</v>
      </c>
      <c r="L213" s="92">
        <f>SUMIFS([1]N7!$H$3:$H$13,[1]N7!$A$3:$A$13,$J213)</f>
        <v>2802</v>
      </c>
      <c r="M213" s="93">
        <f>SUMIFS([1]N7!$I$3:$I$13,[1]N7!$A$3:$A$13,$J213)</f>
        <v>0</v>
      </c>
      <c r="N213" s="93">
        <f>SUMIFS([1]N7!$M$3:$M$13,[1]N7!$A$3:$A$13,$J213)</f>
        <v>3.9244288224956065</v>
      </c>
      <c r="O213" s="125">
        <f>SUMIFS([1]N7!$N$3:$N$13,[1]N7!$A$3:$A$13,$J213)</f>
        <v>-4.4012282497441158E-2</v>
      </c>
      <c r="P213" s="126">
        <v>2460</v>
      </c>
      <c r="Q213" s="124"/>
      <c r="R213" s="124"/>
    </row>
    <row r="214" spans="1:18" ht="15.75">
      <c r="A214" s="115" t="e">
        <f>INDEX([1]骐达!$A$4:$A$13,MATCH(1,[1]骐达!$AF$4:$AF$13,0))</f>
        <v>#N/A</v>
      </c>
      <c r="B214" s="116">
        <f>SUMIFS([1]骐达!$G$3:$G$13,[1]骐达!$A$3:$A$13,$A214)</f>
        <v>0</v>
      </c>
      <c r="C214" s="116">
        <f>SUMIFS([1]骐达!$H$3:$H$13,[1]骐达!$A$3:$A$13,$A214)</f>
        <v>0</v>
      </c>
      <c r="D214" s="98">
        <f>SUMIFS([1]骐达!$I$3:$I$13,[1]骐达!$A$3:$A$13,$A214)</f>
        <v>0</v>
      </c>
      <c r="E214" s="98">
        <f>SUMIFS([1]骐达!$M$3:$M$13,[1]骐达!$A$3:$A$13,$A214)</f>
        <v>0</v>
      </c>
      <c r="F214" s="117">
        <f>SUMIFS([1]骐达!$N$3:$N$13,[1]骐达!$A$3:$A$13,$A214)</f>
        <v>0</v>
      </c>
      <c r="J214" s="115" t="e">
        <f>INDEX([1]N7!$A$4:$A$13,MATCH(1,[1]N7!$V$4:$V$13,0))</f>
        <v>#N/A</v>
      </c>
      <c r="K214" s="97">
        <f>SUMIFS([1]N7!$G$3:$G$13,[1]N7!$A$3:$A$13,$J214)</f>
        <v>0</v>
      </c>
      <c r="L214" s="97">
        <f>SUMIFS([1]N7!$H$3:$H$13,[1]N7!$A$3:$A$13,$J214)</f>
        <v>0</v>
      </c>
      <c r="M214" s="98">
        <f>SUMIFS([1]N7!$I$3:$I$13,[1]N7!$A$3:$A$13,$J214)</f>
        <v>0</v>
      </c>
      <c r="N214" s="127">
        <f>SUMIFS([1]N7!$M$3:$M$13,[1]N7!$A$3:$A$13,$J214)</f>
        <v>0</v>
      </c>
      <c r="O214" s="128">
        <f>SUMIFS([1]N7!$N$3:$N$13,[1]N7!$A$3:$A$13,$J214)</f>
        <v>0</v>
      </c>
      <c r="P214" s="124"/>
      <c r="Q214" s="124"/>
      <c r="R214" s="124"/>
    </row>
    <row r="215" spans="1:18" ht="15.75">
      <c r="A215" s="115" t="e">
        <f>INDEX([1]骐达!$A$4:$A$13,MATCH(2,[1]骐达!$AF$4:$AF$13,0))</f>
        <v>#N/A</v>
      </c>
      <c r="B215" s="116">
        <f>SUMIFS([1]骐达!$G$3:$G$13,[1]骐达!$A$3:$A$13,$A215)</f>
        <v>0</v>
      </c>
      <c r="C215" s="116">
        <f>SUMIFS([1]骐达!$H$3:$H$13,[1]骐达!$A$3:$A$13,$A215)</f>
        <v>0</v>
      </c>
      <c r="D215" s="98">
        <f>SUMIFS([1]骐达!$I$3:$I$13,[1]骐达!$A$3:$A$13,$A215)</f>
        <v>0</v>
      </c>
      <c r="E215" s="98">
        <f>SUMIFS([1]骐达!$M$3:$M$13,[1]骐达!$A$3:$A$13,$A215)</f>
        <v>0</v>
      </c>
      <c r="F215" s="117">
        <f>SUMIFS([1]骐达!$N$3:$N$13,[1]骐达!$A$3:$A$13,$A215)</f>
        <v>0</v>
      </c>
      <c r="J215" s="115" t="e">
        <f>INDEX([1]N7!$A$4:$A$13,MATCH(2,[1]N7!$V$4:$V$13,0))</f>
        <v>#N/A</v>
      </c>
      <c r="K215" s="97">
        <f>SUMIFS([1]N7!$G$3:$G$13,[1]N7!$A$3:$A$13,$J215)</f>
        <v>0</v>
      </c>
      <c r="L215" s="97">
        <f>SUMIFS([1]N7!$H$3:$H$13,[1]N7!$A$3:$A$13,$J215)</f>
        <v>0</v>
      </c>
      <c r="M215" s="98">
        <f>SUMIFS([1]N7!$I$3:$I$13,[1]N7!$A$3:$A$13,$J215)</f>
        <v>0</v>
      </c>
      <c r="N215" s="127">
        <f>SUMIFS([1]N7!$M$3:$M$13,[1]N7!$A$3:$A$13,$J215)</f>
        <v>0</v>
      </c>
      <c r="O215" s="128">
        <f>SUMIFS([1]N7!$N$3:$N$13,[1]N7!$A$3:$A$13,$J215)</f>
        <v>0</v>
      </c>
      <c r="P215" s="124"/>
      <c r="Q215" s="124"/>
      <c r="R215" s="124"/>
    </row>
    <row r="216" spans="1:18" ht="15.75">
      <c r="A216" s="115" t="e">
        <f>INDEX([1]骐达!$A$4:$A$13,MATCH(3,[1]骐达!$AF$4:$AF$13,0))</f>
        <v>#N/A</v>
      </c>
      <c r="B216" s="116">
        <f>SUMIFS([1]骐达!$G$3:$G$13,[1]骐达!$A$3:$A$13,$A216)</f>
        <v>0</v>
      </c>
      <c r="C216" s="116">
        <f>SUMIFS([1]骐达!$H$3:$H$13,[1]骐达!$A$3:$A$13,$A216)</f>
        <v>0</v>
      </c>
      <c r="D216" s="98">
        <f>SUMIFS([1]骐达!$I$3:$I$13,[1]骐达!$A$3:$A$13,$A216)</f>
        <v>0</v>
      </c>
      <c r="E216" s="98">
        <f>SUMIFS([1]骐达!$M$3:$M$13,[1]骐达!$A$3:$A$13,$A216)</f>
        <v>0</v>
      </c>
      <c r="F216" s="117">
        <f>SUMIFS([1]骐达!$N$3:$N$13,[1]骐达!$A$3:$A$13,$A216)</f>
        <v>0</v>
      </c>
      <c r="J216" s="115" t="e">
        <f>INDEX([1]N7!$A$4:$A$13,MATCH(3,[1]N7!$V$4:$V$13,0))</f>
        <v>#N/A</v>
      </c>
      <c r="K216" s="97">
        <f>SUMIFS([1]N7!$G$3:$G$13,[1]N7!$A$3:$A$13,$J216)</f>
        <v>0</v>
      </c>
      <c r="L216" s="97">
        <f>SUMIFS([1]N7!$H$3:$H$13,[1]N7!$A$3:$A$13,$J216)</f>
        <v>0</v>
      </c>
      <c r="M216" s="98">
        <f>SUMIFS([1]N7!$I$3:$I$13,[1]N7!$A$3:$A$13,$J216)</f>
        <v>0</v>
      </c>
      <c r="N216" s="127">
        <f>SUMIFS([1]N7!$M$3:$M$13,[1]N7!$A$3:$A$13,$J216)</f>
        <v>0</v>
      </c>
      <c r="O216" s="128">
        <f>SUMIFS([1]N7!$N$3:$N$13,[1]N7!$A$3:$A$13,$J216)</f>
        <v>0</v>
      </c>
      <c r="P216" s="124"/>
      <c r="Q216" s="124"/>
      <c r="R216" s="124"/>
    </row>
    <row r="217" spans="1:18" ht="15.75">
      <c r="A217" s="115" t="e">
        <f>INDEX([1]骐达!$A$4:$A$13,MATCH(4,[1]骐达!$AF$4:$AF$13,0))</f>
        <v>#N/A</v>
      </c>
      <c r="B217" s="116">
        <f>SUMIFS([1]骐达!$G$3:$G$13,[1]骐达!$A$3:$A$13,$A217)</f>
        <v>0</v>
      </c>
      <c r="C217" s="116">
        <f>SUMIFS([1]骐达!$H$3:$H$13,[1]骐达!$A$3:$A$13,$A217)</f>
        <v>0</v>
      </c>
      <c r="D217" s="98">
        <f>SUMIFS([1]骐达!$I$3:$I$13,[1]骐达!$A$3:$A$13,$A217)</f>
        <v>0</v>
      </c>
      <c r="E217" s="98">
        <f>SUMIFS([1]骐达!$M$3:$M$13,[1]骐达!$A$3:$A$13,$A217)</f>
        <v>0</v>
      </c>
      <c r="F217" s="117">
        <f>SUMIFS([1]骐达!$N$3:$N$13,[1]骐达!$A$3:$A$13,$A217)</f>
        <v>0</v>
      </c>
      <c r="J217" s="115" t="e">
        <f>INDEX([1]N7!$A$4:$A$13,MATCH(4,[1]N7!$V$4:$V$13,0))</f>
        <v>#N/A</v>
      </c>
      <c r="K217" s="97">
        <f>SUMIFS([1]N7!$G$3:$G$13,[1]N7!$A$3:$A$13,$J217)</f>
        <v>0</v>
      </c>
      <c r="L217" s="97">
        <f>SUMIFS([1]N7!$H$3:$H$13,[1]N7!$A$3:$A$13,$J217)</f>
        <v>0</v>
      </c>
      <c r="M217" s="98">
        <f>SUMIFS([1]N7!$I$3:$I$13,[1]N7!$A$3:$A$13,$J217)</f>
        <v>0</v>
      </c>
      <c r="N217" s="127">
        <f>SUMIFS([1]N7!$M$3:$M$13,[1]N7!$A$3:$A$13,$J217)</f>
        <v>0</v>
      </c>
      <c r="O217" s="128">
        <f>SUMIFS([1]N7!$N$3:$N$13,[1]N7!$A$3:$A$13,$J217)</f>
        <v>0</v>
      </c>
    </row>
    <row r="218" spans="1:18" ht="15.75">
      <c r="A218" s="115" t="e">
        <f>INDEX([1]骐达!$A$4:$A$13,MATCH(5,[1]骐达!$AF$4:$AF$13,0))</f>
        <v>#N/A</v>
      </c>
      <c r="B218" s="116">
        <f>SUMIFS([1]骐达!$G$3:$G$13,[1]骐达!$A$3:$A$13,$A218)</f>
        <v>0</v>
      </c>
      <c r="C218" s="116">
        <f>SUMIFS([1]骐达!$H$3:$H$13,[1]骐达!$A$3:$A$13,$A218)</f>
        <v>0</v>
      </c>
      <c r="D218" s="98">
        <f>SUMIFS([1]骐达!$I$3:$I$13,[1]骐达!$A$3:$A$13,$A218)</f>
        <v>0</v>
      </c>
      <c r="E218" s="98">
        <f>SUMIFS([1]骐达!$M$3:$M$13,[1]骐达!$A$3:$A$13,$A218)</f>
        <v>0</v>
      </c>
      <c r="F218" s="117">
        <f>SUMIFS([1]骐达!$N$3:$N$13,[1]骐达!$A$3:$A$13,$A218)</f>
        <v>0</v>
      </c>
      <c r="J218" s="115" t="e">
        <f>INDEX([1]N7!$A$4:$A$13,MATCH(5,[1]N7!$V$4:$V$13,0))</f>
        <v>#N/A</v>
      </c>
      <c r="K218" s="97">
        <f>SUMIFS([1]N7!$G$3:$G$13,[1]N7!$A$3:$A$13,$J218)</f>
        <v>0</v>
      </c>
      <c r="L218" s="97">
        <f>SUMIFS([1]N7!$H$3:$H$13,[1]N7!$A$3:$A$13,$J218)</f>
        <v>0</v>
      </c>
      <c r="M218" s="98">
        <f>SUMIFS([1]N7!$I$3:$I$13,[1]N7!$A$3:$A$13,$J218)</f>
        <v>0</v>
      </c>
      <c r="N218" s="127">
        <f>SUMIFS([1]N7!$M$3:$M$13,[1]N7!$A$3:$A$13,$J218)</f>
        <v>0</v>
      </c>
      <c r="O218" s="128">
        <f>SUMIFS([1]N7!$N$3:$N$13,[1]N7!$A$3:$A$13,$J218)</f>
        <v>0</v>
      </c>
    </row>
    <row r="219" spans="1:18" ht="15.75">
      <c r="A219" s="115" t="e">
        <f>INDEX([1]骐达!$A$4:$A$13,MATCH(6,[1]骐达!$AF$4:$AF$13,0))</f>
        <v>#N/A</v>
      </c>
      <c r="B219" s="116">
        <f>SUMIFS([1]骐达!$G$3:$G$13,[1]骐达!$A$3:$A$13,$A219)</f>
        <v>0</v>
      </c>
      <c r="C219" s="116">
        <f>SUMIFS([1]骐达!$H$3:$H$13,[1]骐达!$A$3:$A$13,$A219)</f>
        <v>0</v>
      </c>
      <c r="D219" s="98">
        <f>SUMIFS([1]骐达!$I$3:$I$13,[1]骐达!$A$3:$A$13,$A219)</f>
        <v>0</v>
      </c>
      <c r="E219" s="98">
        <f>SUMIFS([1]骐达!$M$3:$M$13,[1]骐达!$A$3:$A$13,$A219)</f>
        <v>0</v>
      </c>
      <c r="F219" s="117">
        <f>SUMIFS([1]骐达!$N$3:$N$13,[1]骐达!$A$3:$A$13,$A219)</f>
        <v>0</v>
      </c>
      <c r="J219" s="115" t="e">
        <f>INDEX([1]N7!$A$4:$A$13,MATCH(6,[1]N7!$V$4:$V$13,0))</f>
        <v>#N/A</v>
      </c>
      <c r="K219" s="97">
        <f>SUMIFS([1]N7!$G$3:$G$13,[1]N7!$A$3:$A$13,$J219)</f>
        <v>0</v>
      </c>
      <c r="L219" s="97">
        <f>SUMIFS([1]N7!$H$3:$H$13,[1]N7!$A$3:$A$13,$J219)</f>
        <v>0</v>
      </c>
      <c r="M219" s="98">
        <f>SUMIFS([1]N7!$I$3:$I$13,[1]N7!$A$3:$A$13,$J219)</f>
        <v>0</v>
      </c>
      <c r="N219" s="127">
        <f>SUMIFS([1]N7!$M$3:$M$13,[1]N7!$A$3:$A$13,$J219)</f>
        <v>0</v>
      </c>
      <c r="O219" s="128">
        <f>SUMIFS([1]N7!$N$3:$N$13,[1]N7!$A$3:$A$13,$J219)</f>
        <v>0</v>
      </c>
    </row>
    <row r="220" spans="1:18" ht="15.75">
      <c r="A220" s="115" t="e">
        <f>INDEX([1]骐达!$A$4:$A$13,MATCH(7,[1]骐达!$AF$4:$AF$13,0))</f>
        <v>#N/A</v>
      </c>
      <c r="B220" s="116">
        <f>SUMIFS([1]骐达!$G$3:$G$13,[1]骐达!$A$3:$A$13,$A220)</f>
        <v>0</v>
      </c>
      <c r="C220" s="116">
        <f>SUMIFS([1]骐达!$H$3:$H$13,[1]骐达!$A$3:$A$13,$A220)</f>
        <v>0</v>
      </c>
      <c r="D220" s="98">
        <f>SUMIFS([1]骐达!$I$3:$I$13,[1]骐达!$A$3:$A$13,$A220)</f>
        <v>0</v>
      </c>
      <c r="E220" s="98">
        <f>SUMIFS([1]骐达!$M$3:$M$13,[1]骐达!$A$3:$A$13,$A220)</f>
        <v>0</v>
      </c>
      <c r="F220" s="117">
        <f>SUMIFS([1]骐达!$N$3:$N$13,[1]骐达!$A$3:$A$13,$A220)</f>
        <v>0</v>
      </c>
      <c r="J220" s="115" t="e">
        <f>INDEX([1]N7!$A$4:$A$13,MATCH(7,[1]N7!$V$4:$V$13,0))</f>
        <v>#N/A</v>
      </c>
      <c r="K220" s="97">
        <f>SUMIFS([1]N7!$G$3:$G$13,[1]N7!$A$3:$A$13,$J220)</f>
        <v>0</v>
      </c>
      <c r="L220" s="97">
        <f>SUMIFS([1]N7!$H$3:$H$13,[1]N7!$A$3:$A$13,$J220)</f>
        <v>0</v>
      </c>
      <c r="M220" s="98">
        <f>SUMIFS([1]N7!$I$3:$I$13,[1]N7!$A$3:$A$13,$J220)</f>
        <v>0</v>
      </c>
      <c r="N220" s="127">
        <f>SUMIFS([1]N7!$M$3:$M$13,[1]N7!$A$3:$A$13,$J220)</f>
        <v>0</v>
      </c>
      <c r="O220" s="128">
        <f>SUMIFS([1]N7!$N$3:$N$13,[1]N7!$A$3:$A$13,$J220)</f>
        <v>0</v>
      </c>
    </row>
    <row r="221" spans="1:18" ht="15.75">
      <c r="A221" s="115" t="e">
        <f>INDEX([1]骐达!$A$4:$A$13,MATCH(8,[1]骐达!$AF$4:$AF$13,0))</f>
        <v>#N/A</v>
      </c>
      <c r="B221" s="116">
        <f>SUMIFS([1]骐达!$G$3:$G$13,[1]骐达!$A$3:$A$13,$A221)</f>
        <v>0</v>
      </c>
      <c r="C221" s="116">
        <f>SUMIFS([1]骐达!$H$3:$H$13,[1]骐达!$A$3:$A$13,$A221)</f>
        <v>0</v>
      </c>
      <c r="D221" s="98">
        <f>SUMIFS([1]骐达!$I$3:$I$13,[1]骐达!$A$3:$A$13,$A221)</f>
        <v>0</v>
      </c>
      <c r="E221" s="98">
        <f>SUMIFS([1]骐达!$M$3:$M$13,[1]骐达!$A$3:$A$13,$A221)</f>
        <v>0</v>
      </c>
      <c r="F221" s="117">
        <f>SUMIFS([1]骐达!$N$3:$N$13,[1]骐达!$A$3:$A$13,$A221)</f>
        <v>0</v>
      </c>
      <c r="J221" s="115" t="e">
        <f>INDEX([1]N7!$A$4:$A$13,MATCH(8,[1]N7!$V$4:$V$13,0))</f>
        <v>#N/A</v>
      </c>
      <c r="K221" s="97">
        <f>SUMIFS([1]N7!$G$3:$G$13,[1]N7!$A$3:$A$13,$J221)</f>
        <v>0</v>
      </c>
      <c r="L221" s="97">
        <f>SUMIFS([1]N7!$H$3:$H$13,[1]N7!$A$3:$A$13,$J221)</f>
        <v>0</v>
      </c>
      <c r="M221" s="98">
        <f>SUMIFS([1]N7!$I$3:$I$13,[1]N7!$A$3:$A$13,$J221)</f>
        <v>0</v>
      </c>
      <c r="N221" s="127">
        <f>SUMIFS([1]N7!$M$3:$M$13,[1]N7!$A$3:$A$13,$J221)</f>
        <v>0</v>
      </c>
      <c r="O221" s="128">
        <f>SUMIFS([1]N7!$N$3:$N$13,[1]N7!$A$3:$A$13,$J221)</f>
        <v>0</v>
      </c>
    </row>
    <row r="222" spans="1:18" ht="15.75">
      <c r="A222" s="115" t="e">
        <f>INDEX([1]骐达!$A$4:$A$13,MATCH(9,[1]骐达!$AF$4:$AF$13,0))</f>
        <v>#N/A</v>
      </c>
      <c r="B222" s="116">
        <f>SUMIFS([1]骐达!$G$3:$G$13,[1]骐达!$A$3:$A$13,$A222)</f>
        <v>0</v>
      </c>
      <c r="C222" s="116">
        <f>SUMIFS([1]骐达!$H$3:$H$13,[1]骐达!$A$3:$A$13,$A222)</f>
        <v>0</v>
      </c>
      <c r="D222" s="98">
        <f>SUMIFS([1]骐达!$I$3:$I$13,[1]骐达!$A$3:$A$13,$A222)</f>
        <v>0</v>
      </c>
      <c r="E222" s="98">
        <f>SUMIFS([1]骐达!$M$3:$M$13,[1]骐达!$A$3:$A$13,$A222)</f>
        <v>0</v>
      </c>
      <c r="F222" s="117">
        <f>SUMIFS([1]骐达!$N$3:$N$13,[1]骐达!$A$3:$A$13,$A222)</f>
        <v>0</v>
      </c>
      <c r="J222" s="115" t="e">
        <f>INDEX([1]N7!$A$4:$A$13,MATCH(9,[1]N7!$V$4:$V$13,0))</f>
        <v>#N/A</v>
      </c>
      <c r="K222" s="97">
        <f>SUMIFS([1]N7!$G$3:$G$13,[1]N7!$A$3:$A$13,$J222)</f>
        <v>0</v>
      </c>
      <c r="L222" s="97">
        <f>SUMIFS([1]N7!$H$3:$H$13,[1]N7!$A$3:$A$13,$J222)</f>
        <v>0</v>
      </c>
      <c r="M222" s="98">
        <f>SUMIFS([1]N7!$I$3:$I$13,[1]N7!$A$3:$A$13,$J222)</f>
        <v>0</v>
      </c>
      <c r="N222" s="127">
        <f>SUMIFS([1]N7!$M$3:$M$13,[1]N7!$A$3:$A$13,$J222)</f>
        <v>0</v>
      </c>
      <c r="O222" s="128">
        <f>SUMIFS([1]N7!$N$3:$N$13,[1]N7!$A$3:$A$13,$J222)</f>
        <v>0</v>
      </c>
    </row>
    <row r="223" spans="1:18" ht="16.5" thickBot="1">
      <c r="A223" s="118" t="e">
        <f>INDEX([1]骐达!$A$4:$A$13,MATCH(10,[1]骐达!$AF$4:$AF$13,0))</f>
        <v>#N/A</v>
      </c>
      <c r="B223" s="119">
        <f>SUMIFS([1]骐达!$G$3:$G$13,[1]骐达!$A$3:$A$13,$A223)</f>
        <v>0</v>
      </c>
      <c r="C223" s="119">
        <f>SUMIFS([1]骐达!$H$3:$H$13,[1]骐达!$A$3:$A$13,$A223)</f>
        <v>0</v>
      </c>
      <c r="D223" s="104">
        <f>SUMIFS([1]骐达!$I$3:$I$13,[1]骐达!$A$3:$A$13,$A223)</f>
        <v>0</v>
      </c>
      <c r="E223" s="104">
        <f>SUMIFS([1]骐达!$M$3:$M$13,[1]骐达!$A$3:$A$13,$A223)</f>
        <v>0</v>
      </c>
      <c r="F223" s="120">
        <f>SUMIFS([1]骐达!$N$3:$N$13,[1]骐达!$A$3:$A$13,$A223)</f>
        <v>0</v>
      </c>
      <c r="J223" s="118" t="e">
        <f>INDEX([1]N7!$A$4:$A$13,MATCH(10,[1]N7!$V$4:$V$13,0))</f>
        <v>#N/A</v>
      </c>
      <c r="K223" s="103">
        <f>SUMIFS([1]N7!$G$3:$G$13,[1]N7!$A$3:$A$13,$J223)</f>
        <v>0</v>
      </c>
      <c r="L223" s="103">
        <f>SUMIFS([1]N7!$H$3:$H$13,[1]N7!$A$3:$A$13,$J223)</f>
        <v>0</v>
      </c>
      <c r="M223" s="104">
        <f>SUMIFS([1]N7!$I$3:$I$13,[1]N7!$A$3:$A$13,$J223)</f>
        <v>0</v>
      </c>
      <c r="N223" s="129">
        <f>SUMIFS([1]N7!$M$3:$M$13,[1]N7!$A$3:$A$13,$J223)</f>
        <v>0</v>
      </c>
      <c r="O223" s="130">
        <f>SUMIFS([1]N7!$N$3:$N$13,[1]N7!$A$3:$A$13,$J223)</f>
        <v>0</v>
      </c>
    </row>
    <row r="226" spans="1:15" ht="17.25" thickBot="1">
      <c r="A226" s="109"/>
      <c r="B226" s="110"/>
      <c r="C226" s="111" t="s">
        <v>86</v>
      </c>
      <c r="D226" s="110"/>
      <c r="E226" s="110"/>
      <c r="F226" s="87" t="str">
        <f>O137</f>
        <v>统计周期4.1-4.9</v>
      </c>
      <c r="J226" s="109"/>
      <c r="K226" s="110"/>
      <c r="L226" s="111" t="s">
        <v>87</v>
      </c>
      <c r="M226" s="110"/>
      <c r="N226" s="110"/>
      <c r="O226" s="87" t="str">
        <f>O137</f>
        <v>统计周期4.1-4.9</v>
      </c>
    </row>
    <row r="227" spans="1:15" ht="42.75">
      <c r="A227" s="112" t="s">
        <v>60</v>
      </c>
      <c r="B227" s="112" t="s">
        <v>61</v>
      </c>
      <c r="C227" s="112" t="s">
        <v>62</v>
      </c>
      <c r="D227" s="112" t="s">
        <v>63</v>
      </c>
      <c r="E227" s="112" t="s">
        <v>13</v>
      </c>
      <c r="F227" s="113" t="s">
        <v>14</v>
      </c>
      <c r="J227" s="112" t="s">
        <v>60</v>
      </c>
      <c r="K227" s="112" t="s">
        <v>61</v>
      </c>
      <c r="L227" s="112" t="s">
        <v>62</v>
      </c>
      <c r="M227" s="112" t="s">
        <v>63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f>SUMIFS([1]N6!$G$3:$G$13,[1]N6!$A$3:$A$13,$A228)</f>
        <v>0</v>
      </c>
      <c r="C228" s="92">
        <f>SUMIFS([1]N6!$H$3:$H$13,[1]N6!$A$3:$A$13,$A228)</f>
        <v>2546</v>
      </c>
      <c r="D228" s="93">
        <f>SUMIFS([1]N6!$I$3:$I$13,[1]N6!$A$3:$A$13,$A228)</f>
        <v>0</v>
      </c>
      <c r="E228" s="93">
        <f>SUMIFS([1]N6!$M$3:$M$13,[1]N6!$A$3:$A$13,$A228)</f>
        <v>0</v>
      </c>
      <c r="F228" s="94">
        <f>SUMIFS([1]N6!$N$3:$N$13,[1]N6!$A$3:$A$13,$A228)</f>
        <v>-0.25007363770250368</v>
      </c>
      <c r="J228" s="114" t="s">
        <v>16</v>
      </c>
      <c r="K228" s="92">
        <f>SUMIFS([1]天籁·鸿蒙!$G$3:$G$13,[1]天籁·鸿蒙!$A$3:$A$13,$J228)</f>
        <v>0</v>
      </c>
      <c r="L228" s="92">
        <f>SUMIFS([1]天籁·鸿蒙!$H$3:$H$13,[1]天籁·鸿蒙!$A$3:$A$13,$J228)</f>
        <v>4647</v>
      </c>
      <c r="M228" s="93">
        <f>SUMIFS([1]天籁·鸿蒙!$I$3:$I$13,[1]天籁·鸿蒙!$A$3:$A$13,$J228)</f>
        <v>0</v>
      </c>
      <c r="N228" s="93">
        <f>SUMIFS([1]天籁·鸿蒙!$M$3:$M$13,[1]天籁·鸿蒙!$A$3:$A$13,$J228)</f>
        <v>0</v>
      </c>
      <c r="O228" s="94">
        <f>SUMIFS([1]天籁·鸿蒙!$N$3:$N$13,[1]天籁·鸿蒙!$A$3:$A$13,$J228)</f>
        <v>-0.30151811212986623</v>
      </c>
    </row>
    <row r="229" spans="1:15" ht="15.75">
      <c r="A229" s="115" t="e">
        <f>INDEX([1]N6!$A$4:$A$13,MATCH(1,[1]N6!$V$4:$V$13,0))</f>
        <v>#N/A</v>
      </c>
      <c r="B229" s="116">
        <f>SUMIFS([1]N6!$G$3:$G$13,[1]N6!$A$3:$A$13,$A229)</f>
        <v>0</v>
      </c>
      <c r="C229" s="116">
        <f>SUMIFS([1]N6!$H$3:$H$13,[1]N6!$A$3:$A$13,$A229)</f>
        <v>0</v>
      </c>
      <c r="D229" s="98">
        <f>SUMIFS([1]N6!$I$3:$I$13,[1]N6!$A$3:$A$13,$A229)</f>
        <v>0</v>
      </c>
      <c r="E229" s="98">
        <f>SUMIFS([1]N6!$M$3:$M$13,[1]N6!$A$3:$A$13,$A229)</f>
        <v>0</v>
      </c>
      <c r="F229" s="117">
        <f>SUMIFS([1]N6!$N$3:$N$13,[1]N6!$A$3:$A$13,$A229)</f>
        <v>0</v>
      </c>
      <c r="J229" s="115" t="e">
        <f>INDEX([1]天籁·鸿蒙!$A$4:$A$13,MATCH(1,[1]天籁·鸿蒙!$V$4:$V$13,0))</f>
        <v>#N/A</v>
      </c>
      <c r="K229" s="97">
        <f>SUMIFS([1]天籁·鸿蒙!$G$3:$G$13,[1]天籁·鸿蒙!$A$3:$A$13,$J229)</f>
        <v>0</v>
      </c>
      <c r="L229" s="97">
        <f>SUMIFS([1]天籁·鸿蒙!$H$3:$H$13,[1]天籁·鸿蒙!$A$3:$A$13,$J229)</f>
        <v>0</v>
      </c>
      <c r="M229" s="98">
        <f>SUMIFS([1]天籁·鸿蒙!$I$3:$I$13,[1]天籁·鸿蒙!$A$3:$A$13,$J229)</f>
        <v>0</v>
      </c>
      <c r="N229" s="127">
        <f>SUMIFS([1]天籁·鸿蒙!$M$3:$M$13,[1]天籁·鸿蒙!$A$3:$A$13,$J229)</f>
        <v>0</v>
      </c>
      <c r="O229" s="128">
        <f>SUMIFS([1]天籁·鸿蒙!$N$3:$N$13,[1]天籁·鸿蒙!$A$3:$A$13,$J229)</f>
        <v>0</v>
      </c>
    </row>
    <row r="230" spans="1:15" ht="15.75">
      <c r="A230" s="115" t="e">
        <f>INDEX([1]N6!$A$4:$A$13,MATCH(2,[1]N6!$V$4:$V$13,0))</f>
        <v>#N/A</v>
      </c>
      <c r="B230" s="116">
        <f>SUMIFS([1]N6!$G$3:$G$13,[1]N6!$A$3:$A$13,$A230)</f>
        <v>0</v>
      </c>
      <c r="C230" s="116">
        <f>SUMIFS([1]N6!$H$3:$H$13,[1]N6!$A$3:$A$13,$A230)</f>
        <v>0</v>
      </c>
      <c r="D230" s="98">
        <f>SUMIFS([1]N6!$I$3:$I$13,[1]N6!$A$3:$A$13,$A230)</f>
        <v>0</v>
      </c>
      <c r="E230" s="98">
        <f>SUMIFS([1]N6!$M$3:$M$13,[1]N6!$A$3:$A$13,$A230)</f>
        <v>0</v>
      </c>
      <c r="F230" s="117">
        <f>SUMIFS([1]N6!$N$3:$N$13,[1]N6!$A$3:$A$13,$A230)</f>
        <v>0</v>
      </c>
      <c r="J230" s="115" t="e">
        <f>INDEX([1]天籁·鸿蒙!$A$4:$A$13,MATCH(2,[1]天籁·鸿蒙!$V$4:$V$13,0))</f>
        <v>#N/A</v>
      </c>
      <c r="K230" s="97">
        <f>SUMIFS([1]天籁·鸿蒙!$G$3:$G$13,[1]天籁·鸿蒙!$A$3:$A$13,$J230)</f>
        <v>0</v>
      </c>
      <c r="L230" s="97">
        <f>SUMIFS([1]天籁·鸿蒙!$H$3:$H$13,[1]天籁·鸿蒙!$A$3:$A$13,$J230)</f>
        <v>0</v>
      </c>
      <c r="M230" s="98">
        <f>SUMIFS([1]天籁·鸿蒙!$I$3:$I$13,[1]天籁·鸿蒙!$A$3:$A$13,$J230)</f>
        <v>0</v>
      </c>
      <c r="N230" s="127">
        <f>SUMIFS([1]天籁·鸿蒙!$M$3:$M$13,[1]天籁·鸿蒙!$A$3:$A$13,$J230)</f>
        <v>0</v>
      </c>
      <c r="O230" s="128">
        <f>SUMIFS([1]天籁·鸿蒙!$N$3:$N$13,[1]天籁·鸿蒙!$A$3:$A$13,$J230)</f>
        <v>0</v>
      </c>
    </row>
    <row r="231" spans="1:15" ht="15.75">
      <c r="A231" s="115" t="e">
        <f>INDEX([1]N6!$A$4:$A$13,MATCH(3,[1]N6!$V$4:$V$13,0))</f>
        <v>#N/A</v>
      </c>
      <c r="B231" s="116">
        <f>SUMIFS([1]N6!$G$3:$G$13,[1]N6!$A$3:$A$13,$A231)</f>
        <v>0</v>
      </c>
      <c r="C231" s="116">
        <f>SUMIFS([1]N6!$H$3:$H$13,[1]N6!$A$3:$A$13,$A231)</f>
        <v>0</v>
      </c>
      <c r="D231" s="98">
        <f>SUMIFS([1]N6!$I$3:$I$13,[1]N6!$A$3:$A$13,$A231)</f>
        <v>0</v>
      </c>
      <c r="E231" s="98">
        <f>SUMIFS([1]N6!$M$3:$M$13,[1]N6!$A$3:$A$13,$A231)</f>
        <v>0</v>
      </c>
      <c r="F231" s="117">
        <f>SUMIFS([1]N6!$N$3:$N$13,[1]N6!$A$3:$A$13,$A231)</f>
        <v>0</v>
      </c>
      <c r="J231" s="115" t="e">
        <f>INDEX([1]天籁·鸿蒙!$A$4:$A$13,MATCH(3,[1]天籁·鸿蒙!$V$4:$V$13,0))</f>
        <v>#N/A</v>
      </c>
      <c r="K231" s="97">
        <f>SUMIFS([1]天籁·鸿蒙!$G$3:$G$13,[1]天籁·鸿蒙!$A$3:$A$13,$J231)</f>
        <v>0</v>
      </c>
      <c r="L231" s="97">
        <f>SUMIFS([1]天籁·鸿蒙!$H$3:$H$13,[1]天籁·鸿蒙!$A$3:$A$13,$J231)</f>
        <v>0</v>
      </c>
      <c r="M231" s="98">
        <f>SUMIFS([1]天籁·鸿蒙!$I$3:$I$13,[1]天籁·鸿蒙!$A$3:$A$13,$J231)</f>
        <v>0</v>
      </c>
      <c r="N231" s="127">
        <f>SUMIFS([1]天籁·鸿蒙!$M$3:$M$13,[1]天籁·鸿蒙!$A$3:$A$13,$J231)</f>
        <v>0</v>
      </c>
      <c r="O231" s="128">
        <f>SUMIFS([1]天籁·鸿蒙!$N$3:$N$13,[1]天籁·鸿蒙!$A$3:$A$13,$J231)</f>
        <v>0</v>
      </c>
    </row>
    <row r="232" spans="1:15" ht="15.75">
      <c r="A232" s="115" t="e">
        <f>INDEX([1]N6!$A$4:$A$13,MATCH(4,[1]N6!$V$4:$V$13,0))</f>
        <v>#N/A</v>
      </c>
      <c r="B232" s="116">
        <f>SUMIFS([1]N6!$G$3:$G$13,[1]N6!$A$3:$A$13,$A232)</f>
        <v>0</v>
      </c>
      <c r="C232" s="116">
        <f>SUMIFS([1]N6!$H$3:$H$13,[1]N6!$A$3:$A$13,$A232)</f>
        <v>0</v>
      </c>
      <c r="D232" s="98">
        <f>SUMIFS([1]N6!$I$3:$I$13,[1]N6!$A$3:$A$13,$A232)</f>
        <v>0</v>
      </c>
      <c r="E232" s="98">
        <f>SUMIFS([1]N6!$M$3:$M$13,[1]N6!$A$3:$A$13,$A232)</f>
        <v>0</v>
      </c>
      <c r="F232" s="117">
        <f>SUMIFS([1]N6!$N$3:$N$13,[1]N6!$A$3:$A$13,$A232)</f>
        <v>0</v>
      </c>
      <c r="J232" s="115" t="e">
        <f>INDEX([1]天籁·鸿蒙!$A$4:$A$13,MATCH(4,[1]天籁·鸿蒙!$V$4:$V$13,0))</f>
        <v>#N/A</v>
      </c>
      <c r="K232" s="97">
        <f>SUMIFS([1]天籁·鸿蒙!$G$3:$G$13,[1]天籁·鸿蒙!$A$3:$A$13,$J232)</f>
        <v>0</v>
      </c>
      <c r="L232" s="97">
        <f>SUMIFS([1]天籁·鸿蒙!$H$3:$H$13,[1]天籁·鸿蒙!$A$3:$A$13,$J232)</f>
        <v>0</v>
      </c>
      <c r="M232" s="98">
        <f>SUMIFS([1]天籁·鸿蒙!$I$3:$I$13,[1]天籁·鸿蒙!$A$3:$A$13,$J232)</f>
        <v>0</v>
      </c>
      <c r="N232" s="127">
        <f>SUMIFS([1]天籁·鸿蒙!$M$3:$M$13,[1]天籁·鸿蒙!$A$3:$A$13,$J232)</f>
        <v>0</v>
      </c>
      <c r="O232" s="128">
        <f>SUMIFS([1]天籁·鸿蒙!$N$3:$N$13,[1]天籁·鸿蒙!$A$3:$A$13,$J232)</f>
        <v>0</v>
      </c>
    </row>
    <row r="233" spans="1:15" ht="15.75">
      <c r="A233" s="115" t="e">
        <f>INDEX([1]N6!$A$4:$A$13,MATCH(5,[1]N6!$V$4:$V$13,0))</f>
        <v>#N/A</v>
      </c>
      <c r="B233" s="116">
        <f>SUMIFS([1]N6!$G$3:$G$13,[1]N6!$A$3:$A$13,$A233)</f>
        <v>0</v>
      </c>
      <c r="C233" s="116">
        <f>SUMIFS([1]N6!$H$3:$H$13,[1]N6!$A$3:$A$13,$A233)</f>
        <v>0</v>
      </c>
      <c r="D233" s="98">
        <f>SUMIFS([1]N6!$I$3:$I$13,[1]N6!$A$3:$A$13,$A233)</f>
        <v>0</v>
      </c>
      <c r="E233" s="98">
        <f>SUMIFS([1]N6!$M$3:$M$13,[1]N6!$A$3:$A$13,$A233)</f>
        <v>0</v>
      </c>
      <c r="F233" s="117">
        <f>SUMIFS([1]N6!$N$3:$N$13,[1]N6!$A$3:$A$13,$A233)</f>
        <v>0</v>
      </c>
      <c r="J233" s="115" t="e">
        <f>INDEX([1]天籁·鸿蒙!$A$4:$A$13,MATCH(5,[1]天籁·鸿蒙!$V$4:$V$13,0))</f>
        <v>#N/A</v>
      </c>
      <c r="K233" s="97">
        <f>SUMIFS([1]天籁·鸿蒙!$G$3:$G$13,[1]天籁·鸿蒙!$A$3:$A$13,$J233)</f>
        <v>0</v>
      </c>
      <c r="L233" s="97">
        <f>SUMIFS([1]天籁·鸿蒙!$H$3:$H$13,[1]天籁·鸿蒙!$A$3:$A$13,$J233)</f>
        <v>0</v>
      </c>
      <c r="M233" s="98">
        <f>SUMIFS([1]天籁·鸿蒙!$I$3:$I$13,[1]天籁·鸿蒙!$A$3:$A$13,$J233)</f>
        <v>0</v>
      </c>
      <c r="N233" s="127">
        <f>SUMIFS([1]天籁·鸿蒙!$M$3:$M$13,[1]天籁·鸿蒙!$A$3:$A$13,$J233)</f>
        <v>0</v>
      </c>
      <c r="O233" s="128">
        <f>SUMIFS([1]天籁·鸿蒙!$N$3:$N$13,[1]天籁·鸿蒙!$A$3:$A$13,$J233)</f>
        <v>0</v>
      </c>
    </row>
    <row r="234" spans="1:15" ht="15.75">
      <c r="A234" s="115" t="e">
        <f>INDEX([1]N6!$A$4:$A$13,MATCH(6,[1]N6!$V$4:$V$13,0))</f>
        <v>#N/A</v>
      </c>
      <c r="B234" s="116">
        <f>SUMIFS([1]N6!$G$3:$G$13,[1]N6!$A$3:$A$13,$A234)</f>
        <v>0</v>
      </c>
      <c r="C234" s="116">
        <f>SUMIFS([1]N6!$H$3:$H$13,[1]N6!$A$3:$A$13,$A234)</f>
        <v>0</v>
      </c>
      <c r="D234" s="98">
        <f>SUMIFS([1]N6!$I$3:$I$13,[1]N6!$A$3:$A$13,$A234)</f>
        <v>0</v>
      </c>
      <c r="E234" s="98">
        <f>SUMIFS([1]N6!$M$3:$M$13,[1]N6!$A$3:$A$13,$A234)</f>
        <v>0</v>
      </c>
      <c r="F234" s="117">
        <f>SUMIFS([1]N6!$N$3:$N$13,[1]N6!$A$3:$A$13,$A234)</f>
        <v>0</v>
      </c>
      <c r="J234" s="115" t="e">
        <f>INDEX([1]天籁·鸿蒙!$A$4:$A$13,MATCH(6,[1]天籁·鸿蒙!$V$4:$V$13,0))</f>
        <v>#N/A</v>
      </c>
      <c r="K234" s="97">
        <f>SUMIFS([1]天籁·鸿蒙!$G$3:$G$13,[1]天籁·鸿蒙!$A$3:$A$13,$J234)</f>
        <v>0</v>
      </c>
      <c r="L234" s="97">
        <f>SUMIFS([1]天籁·鸿蒙!$H$3:$H$13,[1]天籁·鸿蒙!$A$3:$A$13,$J234)</f>
        <v>0</v>
      </c>
      <c r="M234" s="98">
        <f>SUMIFS([1]天籁·鸿蒙!$I$3:$I$13,[1]天籁·鸿蒙!$A$3:$A$13,$J234)</f>
        <v>0</v>
      </c>
      <c r="N234" s="127">
        <f>SUMIFS([1]天籁·鸿蒙!$M$3:$M$13,[1]天籁·鸿蒙!$A$3:$A$13,$J234)</f>
        <v>0</v>
      </c>
      <c r="O234" s="128">
        <f>SUMIFS([1]天籁·鸿蒙!$N$3:$N$13,[1]天籁·鸿蒙!$A$3:$A$13,$J234)</f>
        <v>0</v>
      </c>
    </row>
    <row r="235" spans="1:15" ht="15.75">
      <c r="A235" s="115" t="e">
        <f>INDEX([1]N6!$A$4:$A$13,MATCH(7,[1]N6!$V$4:$V$13,0))</f>
        <v>#N/A</v>
      </c>
      <c r="B235" s="116">
        <f>SUMIFS([1]N6!$G$3:$G$13,[1]N6!$A$3:$A$13,$A235)</f>
        <v>0</v>
      </c>
      <c r="C235" s="116">
        <f>SUMIFS([1]N6!$H$3:$H$13,[1]N6!$A$3:$A$13,$A235)</f>
        <v>0</v>
      </c>
      <c r="D235" s="98">
        <f>SUMIFS([1]N6!$I$3:$I$13,[1]N6!$A$3:$A$13,$A235)</f>
        <v>0</v>
      </c>
      <c r="E235" s="98">
        <f>SUMIFS([1]N6!$M$3:$M$13,[1]N6!$A$3:$A$13,$A235)</f>
        <v>0</v>
      </c>
      <c r="F235" s="117">
        <f>SUMIFS([1]N6!$N$3:$N$13,[1]N6!$A$3:$A$13,$A235)</f>
        <v>0</v>
      </c>
      <c r="J235" s="115" t="e">
        <f>INDEX([1]天籁·鸿蒙!$A$4:$A$13,MATCH(7,[1]天籁·鸿蒙!$V$4:$V$13,0))</f>
        <v>#N/A</v>
      </c>
      <c r="K235" s="97">
        <f>SUMIFS([1]天籁·鸿蒙!$G$3:$G$13,[1]天籁·鸿蒙!$A$3:$A$13,$J235)</f>
        <v>0</v>
      </c>
      <c r="L235" s="97">
        <f>SUMIFS([1]天籁·鸿蒙!$H$3:$H$13,[1]天籁·鸿蒙!$A$3:$A$13,$J235)</f>
        <v>0</v>
      </c>
      <c r="M235" s="98">
        <f>SUMIFS([1]天籁·鸿蒙!$I$3:$I$13,[1]天籁·鸿蒙!$A$3:$A$13,$J235)</f>
        <v>0</v>
      </c>
      <c r="N235" s="127">
        <f>SUMIFS([1]天籁·鸿蒙!$M$3:$M$13,[1]天籁·鸿蒙!$A$3:$A$13,$J235)</f>
        <v>0</v>
      </c>
      <c r="O235" s="128">
        <f>SUMIFS([1]天籁·鸿蒙!$N$3:$N$13,[1]天籁·鸿蒙!$A$3:$A$13,$J235)</f>
        <v>0</v>
      </c>
    </row>
    <row r="236" spans="1:15" ht="15.75">
      <c r="A236" s="115" t="e">
        <f>INDEX([1]N6!$A$4:$A$13,MATCH(8,[1]N6!$V$4:$V$13,0))</f>
        <v>#N/A</v>
      </c>
      <c r="B236" s="116">
        <f>SUMIFS([1]N6!$G$3:$G$13,[1]N6!$A$3:$A$13,$A236)</f>
        <v>0</v>
      </c>
      <c r="C236" s="116">
        <f>SUMIFS([1]N6!$H$3:$H$13,[1]N6!$A$3:$A$13,$A236)</f>
        <v>0</v>
      </c>
      <c r="D236" s="98">
        <f>SUMIFS([1]N6!$I$3:$I$13,[1]N6!$A$3:$A$13,$A236)</f>
        <v>0</v>
      </c>
      <c r="E236" s="98">
        <f>SUMIFS([1]N6!$M$3:$M$13,[1]N6!$A$3:$A$13,$A236)</f>
        <v>0</v>
      </c>
      <c r="F236" s="117">
        <f>SUMIFS([1]N6!$N$3:$N$13,[1]N6!$A$3:$A$13,$A236)</f>
        <v>0</v>
      </c>
      <c r="J236" s="115" t="e">
        <f>INDEX([1]天籁·鸿蒙!$A$4:$A$13,MATCH(8,[1]天籁·鸿蒙!$V$4:$V$13,0))</f>
        <v>#N/A</v>
      </c>
      <c r="K236" s="97">
        <f>SUMIFS([1]天籁·鸿蒙!$G$3:$G$13,[1]天籁·鸿蒙!$A$3:$A$13,$J236)</f>
        <v>0</v>
      </c>
      <c r="L236" s="97">
        <f>SUMIFS([1]天籁·鸿蒙!$H$3:$H$13,[1]天籁·鸿蒙!$A$3:$A$13,$J236)</f>
        <v>0</v>
      </c>
      <c r="M236" s="98">
        <f>SUMIFS([1]天籁·鸿蒙!$I$3:$I$13,[1]天籁·鸿蒙!$A$3:$A$13,$J236)</f>
        <v>0</v>
      </c>
      <c r="N236" s="127">
        <f>SUMIFS([1]天籁·鸿蒙!$M$3:$M$13,[1]天籁·鸿蒙!$A$3:$A$13,$J236)</f>
        <v>0</v>
      </c>
      <c r="O236" s="128">
        <f>SUMIFS([1]天籁·鸿蒙!$N$3:$N$13,[1]天籁·鸿蒙!$A$3:$A$13,$J236)</f>
        <v>0</v>
      </c>
    </row>
    <row r="237" spans="1:15" ht="15.75">
      <c r="A237" s="115" t="e">
        <f>INDEX([1]N6!$A$4:$A$13,MATCH(8,[1]N6!$V$4:$V$13,0))</f>
        <v>#N/A</v>
      </c>
      <c r="B237" s="116">
        <f>SUMIFS([1]N6!$G$3:$G$13,[1]N6!$A$3:$A$13,$A237)</f>
        <v>0</v>
      </c>
      <c r="C237" s="116">
        <f>SUMIFS([1]N6!$H$3:$H$13,[1]N6!$A$3:$A$13,$A237)</f>
        <v>0</v>
      </c>
      <c r="D237" s="98">
        <f>SUMIFS([1]N6!$I$3:$I$13,[1]N6!$A$3:$A$13,$A237)</f>
        <v>0</v>
      </c>
      <c r="E237" s="98">
        <f>SUMIFS([1]N6!$M$3:$M$13,[1]N6!$A$3:$A$13,$A237)</f>
        <v>0</v>
      </c>
      <c r="F237" s="117">
        <f>SUMIFS([1]N6!$N$3:$N$13,[1]N6!$A$3:$A$13,$A237)</f>
        <v>0</v>
      </c>
      <c r="J237" s="115" t="e">
        <f>INDEX([1]天籁·鸿蒙!$A$4:$A$13,MATCH(9,[1]天籁·鸿蒙!$V$4:$V$13,0))</f>
        <v>#N/A</v>
      </c>
      <c r="K237" s="97">
        <f>SUMIFS([1]天籁·鸿蒙!$G$3:$G$13,[1]天籁·鸿蒙!$A$3:$A$13,$J237)</f>
        <v>0</v>
      </c>
      <c r="L237" s="97">
        <f>SUMIFS([1]天籁·鸿蒙!$H$3:$H$13,[1]天籁·鸿蒙!$A$3:$A$13,$J237)</f>
        <v>0</v>
      </c>
      <c r="M237" s="98">
        <f>SUMIFS([1]天籁·鸿蒙!$I$3:$I$13,[1]天籁·鸿蒙!$A$3:$A$13,$J237)</f>
        <v>0</v>
      </c>
      <c r="N237" s="127">
        <f>SUMIFS([1]天籁·鸿蒙!$M$3:$M$13,[1]天籁·鸿蒙!$A$3:$A$13,$J237)</f>
        <v>0</v>
      </c>
      <c r="O237" s="128">
        <f>SUMIFS([1]天籁·鸿蒙!$N$3:$N$13,[1]天籁·鸿蒙!$A$3:$A$13,$J237)</f>
        <v>0</v>
      </c>
    </row>
    <row r="238" spans="1:15" ht="16.5" thickBot="1">
      <c r="A238" s="118" t="e">
        <f>INDEX([1]N6!$A$4:$A$13,MATCH(10,[1]N6!$V$4:$V$13,0))</f>
        <v>#N/A</v>
      </c>
      <c r="B238" s="119">
        <f>SUMIFS([1]N6!$G$3:$G$13,[1]N6!$A$3:$A$13,$A238)</f>
        <v>0</v>
      </c>
      <c r="C238" s="119">
        <f>SUMIFS([1]N6!$H$3:$H$13,[1]N6!$A$3:$A$13,$A238)</f>
        <v>0</v>
      </c>
      <c r="D238" s="104">
        <f>SUMIFS([1]N6!$I$3:$I$13,[1]N6!$A$3:$A$13,$A238)</f>
        <v>0</v>
      </c>
      <c r="E238" s="104">
        <f>SUMIFS([1]N6!$M$3:$M$13,[1]N6!$A$3:$A$13,$A238)</f>
        <v>0</v>
      </c>
      <c r="F238" s="120">
        <f>SUMIFS([1]N6!$N$3:$N$13,[1]N6!$A$3:$A$13,$A238)</f>
        <v>0</v>
      </c>
      <c r="J238" s="118" t="e">
        <f>INDEX([1]天籁·鸿蒙!$A$4:$A$13,MATCH(10,[1]天籁·鸿蒙!$V$4:$V$13,0))</f>
        <v>#N/A</v>
      </c>
      <c r="K238" s="103">
        <f>SUMIFS([1]天籁·鸿蒙!$G$3:$G$13,[1]天籁·鸿蒙!$A$3:$A$13,$J238)</f>
        <v>0</v>
      </c>
      <c r="L238" s="103">
        <f>SUMIFS([1]天籁·鸿蒙!$H$3:$H$13,[1]天籁·鸿蒙!$A$3:$A$13,$J238)</f>
        <v>0</v>
      </c>
      <c r="M238" s="104">
        <f>SUMIFS([1]天籁·鸿蒙!$I$3:$I$13,[1]天籁·鸿蒙!$A$3:$A$13,$J238)</f>
        <v>0</v>
      </c>
      <c r="N238" s="129">
        <f>SUMIFS([1]天籁·鸿蒙!$M$3:$M$13,[1]天籁·鸿蒙!$A$3:$A$13,$J238)</f>
        <v>0</v>
      </c>
      <c r="O238" s="130">
        <f>SUMIFS([1]天籁·鸿蒙!$N$3:$N$13,[1]天籁·鸿蒙!$A$3:$A$13,$J238)</f>
        <v>0</v>
      </c>
    </row>
  </sheetData>
  <mergeCells count="8">
    <mergeCell ref="M138:O138"/>
    <mergeCell ref="A22:J22"/>
    <mergeCell ref="A58:J58"/>
    <mergeCell ref="A95:J95"/>
    <mergeCell ref="A132:L132"/>
    <mergeCell ref="A138:F138"/>
    <mergeCell ref="G138:I138"/>
    <mergeCell ref="J138:L138"/>
  </mergeCells>
  <phoneticPr fontId="2" type="noConversion"/>
  <conditionalFormatting sqref="D141:D150">
    <cfRule type="top10" dxfId="21" priority="21" bottom="1" rank="3"/>
    <cfRule type="top10" dxfId="20" priority="22" rank="3"/>
  </conditionalFormatting>
  <conditionalFormatting sqref="D156:D165">
    <cfRule type="top10" dxfId="19" priority="19" bottom="1" rank="3"/>
    <cfRule type="top10" dxfId="18" priority="20" rank="3"/>
  </conditionalFormatting>
  <conditionalFormatting sqref="D186:D195">
    <cfRule type="top10" dxfId="17" priority="5" bottom="1" rank="3"/>
    <cfRule type="top10" dxfId="16" priority="6" rank="3"/>
  </conditionalFormatting>
  <conditionalFormatting sqref="D201:D208">
    <cfRule type="top10" dxfId="15" priority="11" bottom="1" rank="3"/>
    <cfRule type="top10" dxfId="14" priority="12" rank="3"/>
  </conditionalFormatting>
  <conditionalFormatting sqref="D214:D223">
    <cfRule type="top10" dxfId="13" priority="9" bottom="1" rank="3"/>
    <cfRule type="top10" dxfId="12" priority="10" rank="3"/>
  </conditionalFormatting>
  <conditionalFormatting sqref="D229:D238">
    <cfRule type="top10" dxfId="11" priority="1" bottom="1" rank="3"/>
    <cfRule type="top10" dxfId="10" priority="2" rank="3"/>
  </conditionalFormatting>
  <conditionalFormatting sqref="M156:M165">
    <cfRule type="top10" dxfId="9" priority="17" bottom="1" rank="3"/>
    <cfRule type="top10" dxfId="8" priority="18" rank="3"/>
  </conditionalFormatting>
  <conditionalFormatting sqref="M171:M180">
    <cfRule type="top10" dxfId="7" priority="15" bottom="1" rank="3"/>
    <cfRule type="top10" dxfId="6" priority="16" rank="3"/>
  </conditionalFormatting>
  <conditionalFormatting sqref="M186:M195">
    <cfRule type="top10" dxfId="5" priority="13" bottom="1" rank="3"/>
    <cfRule type="top10" dxfId="4" priority="14" rank="3"/>
  </conditionalFormatting>
  <conditionalFormatting sqref="M214:M223">
    <cfRule type="top10" dxfId="3" priority="7" bottom="1" rank="3"/>
    <cfRule type="top10" dxfId="2" priority="8" rank="3"/>
  </conditionalFormatting>
  <conditionalFormatting sqref="M229:M238">
    <cfRule type="top10" dxfId="1" priority="3" bottom="1" rank="3"/>
    <cfRule type="top10" dxfId="0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2026-04-10T17:21:33Z</dcterms:modified>
</cp:coreProperties>
</file>