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786BEAB0-1590-4766-A5DA-0DB8AD5736FE}" xr6:coauthVersionLast="47" xr6:coauthVersionMax="47" xr10:uidLastSave="{00000000-0000-0000-0000-000000000000}"/>
  <bookViews>
    <workbookView xWindow="-28920" yWindow="-120" windowWidth="29040" windowHeight="15720" tabRatio="858" xr2:uid="{00000000-000D-0000-FFFF-FFFF00000000}"/>
  </bookViews>
  <sheets>
    <sheet name="参数" sheetId="141" r:id="rId1"/>
    <sheet name="目标竖版" sheetId="184" r:id="rId2"/>
    <sheet name="全车有效线索管控" sheetId="188" r:id="rId3"/>
    <sheet name="全国按日NEV" sheetId="186" r:id="rId4"/>
    <sheet name="全国按日ICE" sheetId="162" r:id="rId5"/>
    <sheet name="十五代轩逸按日" sheetId="163" r:id="rId6"/>
    <sheet name="每日NEV早报模板" sheetId="187" r:id="rId7"/>
  </sheets>
  <definedNames>
    <definedName name="_xlnm._FilterDatabase" localSheetId="1" hidden="1">目标竖版!$A$2:$BP$1226</definedName>
    <definedName name="_xlnm._FilterDatabase" localSheetId="4" hidden="1">全国按日ICE!$A$1:$U$1</definedName>
    <definedName name="_xlnm._FilterDatabase" localSheetId="3" hidden="1">全国按日NEV!$A$2:$CH$155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26" i="184" l="1"/>
  <c r="M1225" i="184"/>
  <c r="M1224" i="184"/>
  <c r="M1223" i="184"/>
  <c r="M1222" i="184"/>
  <c r="M1221" i="184"/>
  <c r="M1220" i="184"/>
  <c r="M1219" i="184"/>
  <c r="M1218" i="184"/>
  <c r="M1217" i="184"/>
  <c r="M1216" i="184"/>
  <c r="M1215" i="184"/>
  <c r="M1214" i="184"/>
  <c r="M1213" i="184"/>
  <c r="M1212" i="184"/>
  <c r="M1211" i="184"/>
  <c r="M1210" i="184"/>
  <c r="M1209" i="184"/>
  <c r="M1208" i="184"/>
  <c r="M1207" i="184"/>
  <c r="M1206" i="184"/>
  <c r="M1205" i="184"/>
  <c r="M1204" i="184"/>
  <c r="M1203" i="184"/>
  <c r="M1202" i="184"/>
  <c r="M1201" i="184"/>
  <c r="M1200" i="184"/>
  <c r="M1199" i="184"/>
  <c r="M1198" i="184"/>
  <c r="M1197" i="184"/>
  <c r="M1196" i="184"/>
  <c r="M1195" i="184"/>
  <c r="M1194" i="184"/>
  <c r="M1193" i="184"/>
  <c r="M1192" i="184"/>
  <c r="M1191" i="184"/>
  <c r="M1190" i="184"/>
  <c r="M1189" i="184"/>
  <c r="M1188" i="184"/>
  <c r="M1187" i="184"/>
  <c r="M1186" i="184"/>
  <c r="M1185" i="184"/>
  <c r="M1184" i="184"/>
  <c r="M1183" i="184"/>
  <c r="M1182" i="184"/>
  <c r="M1181" i="184"/>
  <c r="M1180" i="184"/>
  <c r="M1179" i="184"/>
  <c r="M1178" i="184"/>
  <c r="M1177" i="184"/>
  <c r="M1176" i="184"/>
  <c r="M1175" i="184"/>
  <c r="M1174" i="184"/>
  <c r="M1173" i="184"/>
  <c r="M1172" i="184"/>
  <c r="M1171" i="184"/>
  <c r="M1170" i="184"/>
  <c r="M1169" i="184"/>
  <c r="M1168" i="184"/>
  <c r="M1167" i="184"/>
  <c r="M1166" i="184"/>
  <c r="M1165" i="184"/>
  <c r="M1164" i="184"/>
  <c r="M1163" i="184"/>
  <c r="M1162" i="184"/>
  <c r="M1161" i="184"/>
  <c r="M1160" i="184"/>
  <c r="M1159" i="184"/>
  <c r="M1158" i="184"/>
  <c r="M1157" i="184"/>
  <c r="M1156" i="184"/>
  <c r="M1155" i="184"/>
  <c r="M1154" i="184"/>
  <c r="M1153" i="184"/>
  <c r="M1152" i="184"/>
  <c r="M1151" i="184"/>
  <c r="M1150" i="184"/>
  <c r="M1149" i="184"/>
  <c r="M1148" i="184"/>
  <c r="M1147" i="184"/>
  <c r="M1146" i="184"/>
  <c r="M1145" i="184"/>
  <c r="M1144" i="184"/>
  <c r="M1143" i="184"/>
  <c r="M1142" i="184"/>
  <c r="M1141" i="184"/>
  <c r="M1140" i="184"/>
  <c r="M1139" i="184"/>
  <c r="M1138" i="184"/>
  <c r="M1137" i="184"/>
  <c r="M1136" i="184"/>
  <c r="M1135" i="184"/>
  <c r="M1134" i="184"/>
  <c r="M1133" i="184"/>
  <c r="M1132" i="184"/>
  <c r="M1131" i="184"/>
  <c r="M1130" i="184"/>
  <c r="M1129" i="184"/>
  <c r="M1128" i="184"/>
  <c r="M1127" i="184"/>
  <c r="M1126" i="184"/>
  <c r="M1125" i="184"/>
  <c r="M1124" i="184"/>
  <c r="M1123" i="184"/>
  <c r="M1122" i="184"/>
  <c r="M1121" i="184"/>
  <c r="M1120" i="184"/>
  <c r="M1119" i="184"/>
  <c r="M1118" i="184"/>
  <c r="M1117" i="184"/>
  <c r="M1116" i="184"/>
  <c r="M1115" i="184"/>
  <c r="M1114" i="184"/>
  <c r="M1113" i="184"/>
  <c r="M1112" i="184"/>
  <c r="M1111" i="184"/>
  <c r="M1110" i="184"/>
  <c r="M1109" i="184"/>
  <c r="M1108" i="184"/>
  <c r="M1107" i="184"/>
  <c r="M1106" i="184"/>
  <c r="M1105" i="184"/>
  <c r="M1104" i="184"/>
  <c r="M1103" i="184"/>
  <c r="M1102" i="184"/>
  <c r="M1101" i="184"/>
  <c r="M1100" i="184"/>
  <c r="M1099" i="184"/>
  <c r="M1098" i="184"/>
  <c r="M1097" i="184"/>
  <c r="M1096" i="184"/>
  <c r="M1095" i="184"/>
  <c r="M1094" i="184"/>
  <c r="M1093" i="184"/>
  <c r="M1092" i="184"/>
  <c r="M1091" i="184"/>
  <c r="M1090" i="184"/>
  <c r="M1089" i="184"/>
  <c r="M1088" i="184"/>
  <c r="M1087" i="184"/>
  <c r="M1086" i="184"/>
  <c r="M1085" i="184"/>
  <c r="M1084" i="184"/>
  <c r="M1083" i="184"/>
  <c r="M1082" i="184"/>
  <c r="M1081" i="184"/>
  <c r="M1080" i="184"/>
  <c r="M1079" i="184"/>
  <c r="M1078" i="184"/>
  <c r="M1077" i="184"/>
  <c r="M1076" i="184"/>
  <c r="M1075" i="184"/>
  <c r="M1074" i="184"/>
  <c r="M1073" i="184"/>
  <c r="M1072" i="184"/>
  <c r="M1071" i="184"/>
  <c r="M1070" i="184"/>
  <c r="M1069" i="184"/>
  <c r="M1068" i="184"/>
  <c r="M1067" i="184"/>
  <c r="M1066" i="184"/>
  <c r="M1065" i="184"/>
  <c r="M1064" i="184"/>
  <c r="M1063" i="184"/>
  <c r="M1062" i="184"/>
  <c r="M1061" i="184"/>
  <c r="M1060" i="184"/>
  <c r="M1059" i="184"/>
  <c r="M1058" i="184"/>
  <c r="M1057" i="184"/>
  <c r="M1056" i="184"/>
  <c r="M1055" i="184"/>
  <c r="M1054" i="184"/>
  <c r="M1053" i="184"/>
  <c r="M1052" i="184"/>
  <c r="M1051" i="184"/>
  <c r="M1050" i="184"/>
  <c r="M1049" i="184"/>
  <c r="M1048" i="184"/>
  <c r="M1047" i="184"/>
  <c r="M1046" i="184"/>
  <c r="M1045" i="184"/>
  <c r="M1044" i="184"/>
  <c r="M1043" i="184"/>
  <c r="M1042" i="184"/>
  <c r="M1041" i="184"/>
  <c r="M1040" i="184"/>
  <c r="M1039" i="184"/>
  <c r="M1038" i="184"/>
  <c r="M1037" i="184"/>
  <c r="M1036" i="184"/>
  <c r="M1035" i="184"/>
  <c r="M1034" i="184"/>
  <c r="M1033" i="184"/>
  <c r="M1032" i="184"/>
  <c r="M1031" i="184"/>
  <c r="M1030" i="184"/>
  <c r="M1029" i="184"/>
  <c r="M1028" i="184"/>
  <c r="M1027" i="184"/>
  <c r="M1026" i="184"/>
  <c r="M1025" i="184"/>
  <c r="M1024" i="184"/>
  <c r="M1023" i="184"/>
  <c r="M1022" i="184"/>
  <c r="M1021" i="184"/>
  <c r="M1020" i="184"/>
  <c r="M1019" i="184"/>
  <c r="M1018" i="184"/>
  <c r="M1017" i="184"/>
  <c r="M1016" i="184"/>
  <c r="M1015" i="184"/>
  <c r="M1014" i="184"/>
  <c r="M1013" i="184"/>
  <c r="M1012" i="184"/>
  <c r="M1011" i="184"/>
  <c r="M1010" i="184"/>
  <c r="M1009" i="184"/>
  <c r="M1008" i="184"/>
  <c r="M1007" i="184"/>
  <c r="M1006" i="184"/>
  <c r="M1005" i="184"/>
  <c r="M1004" i="184"/>
  <c r="M1003" i="184"/>
  <c r="M1002" i="184"/>
  <c r="M1001" i="184"/>
  <c r="M1000" i="184"/>
  <c r="M999" i="184"/>
  <c r="M998" i="184"/>
  <c r="M997" i="184"/>
  <c r="M996" i="184"/>
  <c r="M995" i="184"/>
  <c r="M994" i="184"/>
  <c r="M993" i="184"/>
  <c r="M992" i="184"/>
  <c r="M991" i="184"/>
  <c r="M990" i="184"/>
  <c r="M989" i="184"/>
  <c r="M988" i="184"/>
  <c r="M987" i="184"/>
  <c r="M986" i="184"/>
  <c r="M985" i="184"/>
  <c r="M984" i="184"/>
  <c r="M983" i="184"/>
  <c r="M982" i="184"/>
  <c r="M981" i="184"/>
  <c r="M980" i="184"/>
  <c r="M979" i="184"/>
  <c r="M978" i="184"/>
  <c r="M977" i="184"/>
  <c r="M976" i="184"/>
  <c r="M975" i="184"/>
  <c r="M974" i="184"/>
  <c r="M973" i="184"/>
  <c r="M972" i="184"/>
  <c r="M971" i="184"/>
  <c r="M970" i="184"/>
  <c r="M969" i="184"/>
  <c r="M968" i="184"/>
  <c r="M967" i="184"/>
  <c r="M966" i="184"/>
  <c r="M965" i="184"/>
  <c r="M964" i="184"/>
  <c r="M963" i="184"/>
  <c r="M962" i="184"/>
  <c r="M961" i="184"/>
  <c r="M960" i="184"/>
  <c r="M959" i="184"/>
  <c r="M958" i="184"/>
  <c r="M957" i="184"/>
  <c r="M956" i="184"/>
  <c r="M955" i="184"/>
  <c r="M954" i="184"/>
  <c r="M953" i="184"/>
  <c r="M952" i="184"/>
  <c r="N951" i="184"/>
  <c r="M951" i="184" s="1"/>
  <c r="N950" i="184"/>
  <c r="M950" i="184"/>
  <c r="N949" i="184"/>
  <c r="M949" i="184" s="1"/>
  <c r="N948" i="184"/>
  <c r="M948" i="184"/>
  <c r="N947" i="184"/>
  <c r="M947" i="184"/>
  <c r="N946" i="184"/>
  <c r="M946" i="184"/>
  <c r="N945" i="184"/>
  <c r="M945" i="184" s="1"/>
  <c r="N944" i="184"/>
  <c r="M944" i="184"/>
  <c r="N943" i="184"/>
  <c r="M943" i="184"/>
  <c r="N942" i="184"/>
  <c r="M942" i="184"/>
  <c r="N941" i="184"/>
  <c r="M941" i="184" s="1"/>
  <c r="N940" i="184"/>
  <c r="M940" i="184"/>
  <c r="M939" i="184"/>
  <c r="M938" i="184"/>
  <c r="M937" i="184"/>
  <c r="M936" i="184"/>
  <c r="M935" i="184"/>
  <c r="M934" i="184"/>
  <c r="M933" i="184"/>
  <c r="M932" i="184"/>
  <c r="M931" i="184"/>
  <c r="M930" i="184"/>
  <c r="M929" i="184"/>
  <c r="M928" i="184"/>
  <c r="M927" i="184"/>
  <c r="M926" i="184"/>
  <c r="M925" i="184"/>
  <c r="M924" i="184"/>
  <c r="M923" i="184"/>
  <c r="M922" i="184"/>
  <c r="M921" i="184"/>
  <c r="M920" i="184"/>
  <c r="M919" i="184"/>
  <c r="M918" i="184"/>
  <c r="M917" i="184"/>
  <c r="M916" i="184"/>
  <c r="M915" i="184"/>
  <c r="M914" i="184"/>
  <c r="M913" i="184"/>
  <c r="M912" i="184"/>
  <c r="M911" i="184"/>
  <c r="M910" i="184"/>
  <c r="M909" i="184"/>
  <c r="M908" i="184"/>
  <c r="M907" i="184"/>
  <c r="M906" i="184"/>
  <c r="M905" i="184"/>
  <c r="M904" i="184"/>
  <c r="M903" i="184"/>
  <c r="M902" i="184"/>
  <c r="M901" i="184"/>
  <c r="M900" i="184"/>
  <c r="M899" i="184"/>
  <c r="M898" i="184"/>
  <c r="M897" i="184"/>
  <c r="M896" i="184"/>
  <c r="M895" i="184"/>
  <c r="M894" i="184"/>
  <c r="M893" i="184"/>
  <c r="M892" i="184"/>
  <c r="M891" i="184"/>
  <c r="M890" i="184"/>
  <c r="M889" i="184"/>
  <c r="M888" i="184"/>
  <c r="M887" i="184"/>
  <c r="M886" i="184"/>
  <c r="M885" i="184"/>
  <c r="M884" i="184"/>
  <c r="M883" i="184"/>
  <c r="M882" i="184"/>
  <c r="M881" i="184"/>
  <c r="M880" i="184"/>
  <c r="M879" i="184"/>
  <c r="M878" i="184"/>
  <c r="M877" i="184"/>
  <c r="M876" i="184"/>
  <c r="M875" i="184"/>
  <c r="M874" i="184"/>
  <c r="M873" i="184"/>
  <c r="M872" i="184"/>
  <c r="M871" i="184"/>
  <c r="M870" i="184"/>
  <c r="M869" i="184"/>
  <c r="M868" i="184"/>
  <c r="M867" i="184"/>
  <c r="M866" i="184"/>
  <c r="M865" i="184"/>
  <c r="M864" i="184"/>
  <c r="M863" i="184"/>
  <c r="M862" i="184"/>
  <c r="M861" i="184"/>
  <c r="M860" i="184"/>
  <c r="M859" i="184"/>
  <c r="M858" i="184"/>
  <c r="M857" i="184"/>
  <c r="M856" i="184"/>
  <c r="M855" i="184"/>
  <c r="M854" i="184"/>
  <c r="M853" i="184"/>
  <c r="M852" i="184"/>
  <c r="M851" i="184"/>
  <c r="M850" i="184"/>
  <c r="M849" i="184"/>
  <c r="M848" i="184"/>
  <c r="M847" i="184"/>
  <c r="M846" i="184"/>
  <c r="M845" i="184"/>
  <c r="M844" i="184"/>
  <c r="M843" i="184"/>
  <c r="M842" i="184"/>
  <c r="M841" i="184"/>
  <c r="M840" i="184"/>
  <c r="M839" i="184"/>
  <c r="M838" i="184"/>
  <c r="M837" i="184"/>
  <c r="M836" i="184"/>
  <c r="M835" i="184"/>
  <c r="M834" i="184"/>
  <c r="M833" i="184"/>
  <c r="M832" i="184"/>
  <c r="M831" i="184"/>
  <c r="M830" i="184"/>
  <c r="M829" i="184"/>
  <c r="M828" i="184"/>
  <c r="M827" i="184"/>
  <c r="M826" i="184"/>
  <c r="M825" i="184"/>
  <c r="M824" i="184"/>
  <c r="M823" i="184"/>
  <c r="M822" i="184"/>
  <c r="M821" i="184"/>
  <c r="M820" i="184"/>
  <c r="M819" i="184"/>
  <c r="M818" i="184"/>
  <c r="M817" i="184"/>
  <c r="M816" i="184"/>
  <c r="M815" i="184"/>
  <c r="M814" i="184"/>
  <c r="M813" i="184"/>
  <c r="M812" i="184"/>
  <c r="M811" i="184"/>
  <c r="M810" i="184"/>
  <c r="M809" i="184"/>
  <c r="M808" i="184"/>
  <c r="M807" i="184"/>
  <c r="M806" i="184"/>
  <c r="M805" i="184"/>
  <c r="M804" i="184"/>
  <c r="M803" i="184"/>
  <c r="M802" i="184"/>
  <c r="M801" i="184"/>
  <c r="M800" i="184"/>
  <c r="M799" i="184"/>
  <c r="M798" i="184"/>
  <c r="M797" i="184"/>
  <c r="M796" i="184"/>
  <c r="M795" i="184"/>
  <c r="M794" i="184"/>
  <c r="M793" i="184"/>
  <c r="M792" i="184"/>
  <c r="M791" i="184"/>
  <c r="M790" i="184"/>
  <c r="M789" i="184"/>
  <c r="M788" i="184"/>
  <c r="M787" i="184"/>
  <c r="M786" i="184"/>
  <c r="M785" i="184"/>
  <c r="M784" i="184"/>
  <c r="M783" i="184"/>
  <c r="M782" i="184"/>
  <c r="M781" i="184"/>
  <c r="M780" i="184"/>
  <c r="M779" i="184"/>
  <c r="M778" i="184"/>
  <c r="M777" i="184"/>
  <c r="M776" i="184"/>
  <c r="M775" i="184"/>
  <c r="M774" i="184"/>
  <c r="M773" i="184"/>
  <c r="M772" i="184"/>
  <c r="M771" i="184"/>
  <c r="M770" i="184"/>
  <c r="M769" i="184"/>
  <c r="M768" i="184"/>
  <c r="M767" i="184"/>
  <c r="M766" i="184"/>
  <c r="M765" i="184"/>
  <c r="M764" i="184"/>
  <c r="M763" i="184"/>
  <c r="M762" i="184"/>
  <c r="M761" i="184"/>
  <c r="M760" i="184"/>
  <c r="M759" i="184"/>
  <c r="M758" i="184"/>
  <c r="M757" i="184"/>
  <c r="M756" i="184"/>
  <c r="M755" i="184"/>
  <c r="M754" i="184"/>
  <c r="M753" i="184"/>
  <c r="M752" i="184"/>
  <c r="M751" i="184"/>
  <c r="M750" i="184"/>
  <c r="M749" i="184"/>
  <c r="M748" i="184"/>
  <c r="M747" i="184"/>
  <c r="M746" i="184"/>
  <c r="M745" i="184"/>
  <c r="M744" i="184"/>
  <c r="M743" i="184"/>
  <c r="M742" i="184"/>
  <c r="M741" i="184"/>
  <c r="M740" i="184"/>
  <c r="M739" i="184"/>
  <c r="M738" i="184"/>
  <c r="M737" i="184"/>
  <c r="M736" i="184"/>
  <c r="M735" i="184"/>
  <c r="M734" i="184"/>
  <c r="M733" i="184"/>
  <c r="M732" i="184"/>
  <c r="M731" i="184"/>
  <c r="M730" i="184"/>
  <c r="M729" i="184"/>
  <c r="M728" i="184"/>
  <c r="M727" i="184"/>
  <c r="M726" i="184"/>
  <c r="M725" i="184"/>
  <c r="M724" i="184"/>
  <c r="M723" i="184"/>
  <c r="M722" i="184"/>
  <c r="M721" i="184"/>
  <c r="M720" i="184"/>
  <c r="M719" i="184"/>
  <c r="M718" i="184"/>
  <c r="M717" i="184"/>
  <c r="M716" i="184"/>
  <c r="M715" i="184"/>
  <c r="M714" i="184"/>
  <c r="M713" i="184"/>
  <c r="M712" i="184"/>
  <c r="M711" i="184"/>
  <c r="M710" i="184"/>
  <c r="M709" i="184"/>
  <c r="M708" i="184"/>
  <c r="M707" i="184"/>
  <c r="M706" i="184"/>
  <c r="M705" i="184"/>
  <c r="M704" i="184"/>
  <c r="M703" i="184"/>
  <c r="M702" i="184"/>
  <c r="M701" i="184"/>
  <c r="M700" i="184"/>
  <c r="M699" i="184"/>
  <c r="M698" i="184"/>
  <c r="M697" i="184"/>
  <c r="M696" i="184"/>
  <c r="M695" i="184"/>
  <c r="M694" i="184"/>
  <c r="M693" i="184"/>
  <c r="M692" i="184"/>
  <c r="M691" i="184"/>
  <c r="M690" i="184"/>
  <c r="M689" i="184"/>
  <c r="M688" i="184"/>
  <c r="M687" i="184"/>
  <c r="M686" i="184"/>
  <c r="M685" i="184"/>
  <c r="M684" i="184"/>
  <c r="M683" i="184"/>
  <c r="M682" i="184"/>
  <c r="M681" i="184"/>
  <c r="M680" i="184"/>
  <c r="M679" i="184"/>
  <c r="M678" i="184"/>
  <c r="M677" i="184"/>
  <c r="M676" i="184"/>
  <c r="M675" i="184"/>
  <c r="M674" i="184"/>
  <c r="M673" i="184"/>
  <c r="M672" i="184"/>
  <c r="M671" i="184"/>
  <c r="M670" i="184"/>
  <c r="M669" i="184"/>
  <c r="M668" i="184"/>
  <c r="M667" i="184"/>
  <c r="M666" i="184"/>
  <c r="M665" i="184"/>
  <c r="M664" i="184"/>
  <c r="M663" i="184"/>
  <c r="M662" i="184"/>
  <c r="M661" i="184"/>
  <c r="M660" i="184"/>
  <c r="M659" i="184"/>
  <c r="M658" i="184"/>
  <c r="M657" i="184"/>
  <c r="M656" i="184"/>
  <c r="M655" i="184"/>
  <c r="M654" i="184"/>
  <c r="M653" i="184"/>
  <c r="M652" i="184"/>
  <c r="M651" i="184"/>
  <c r="M650" i="184"/>
  <c r="M649" i="184"/>
  <c r="M648" i="184"/>
  <c r="M647" i="184"/>
  <c r="M646" i="184"/>
  <c r="M645" i="184"/>
  <c r="M644" i="184"/>
  <c r="M643" i="184"/>
  <c r="M642" i="184"/>
  <c r="M641" i="184"/>
  <c r="M640" i="184"/>
  <c r="M639" i="184"/>
  <c r="M638" i="184"/>
  <c r="M637" i="184"/>
  <c r="M636" i="184"/>
  <c r="M635" i="184"/>
  <c r="M634" i="184"/>
  <c r="M633" i="184"/>
  <c r="M632" i="184"/>
  <c r="M631" i="184"/>
  <c r="M630" i="184"/>
  <c r="M629" i="184"/>
  <c r="M628" i="184"/>
  <c r="M627" i="184"/>
  <c r="M626" i="184"/>
  <c r="M625" i="184"/>
  <c r="M624" i="184"/>
  <c r="M623" i="184"/>
  <c r="M622" i="184"/>
  <c r="M621" i="184"/>
  <c r="M620" i="184"/>
  <c r="M619" i="184"/>
  <c r="M618" i="184"/>
  <c r="M617" i="184"/>
  <c r="M616" i="184"/>
  <c r="M615" i="184"/>
  <c r="M614" i="184"/>
  <c r="M613" i="184"/>
  <c r="M612" i="184"/>
  <c r="M611" i="184"/>
  <c r="M610" i="184"/>
  <c r="M609" i="184"/>
  <c r="M608" i="184"/>
  <c r="M607" i="184"/>
  <c r="M606" i="184"/>
  <c r="M605" i="184"/>
  <c r="M604" i="184"/>
  <c r="M603" i="184"/>
  <c r="M602" i="184"/>
  <c r="M601" i="184"/>
  <c r="M600" i="184"/>
  <c r="M599" i="184"/>
  <c r="M598" i="184"/>
  <c r="M597" i="184"/>
  <c r="M596" i="184"/>
  <c r="M595" i="184"/>
  <c r="M594" i="184"/>
  <c r="M593" i="184"/>
  <c r="M592" i="184"/>
  <c r="M591" i="184"/>
  <c r="M590" i="184"/>
  <c r="M589" i="184"/>
  <c r="M588" i="184"/>
  <c r="M587" i="184"/>
  <c r="M586" i="184"/>
  <c r="M585" i="184"/>
  <c r="M584" i="184"/>
  <c r="M583" i="184"/>
  <c r="M582" i="184"/>
  <c r="M581" i="184"/>
  <c r="M580" i="184"/>
  <c r="M579" i="184"/>
  <c r="M578" i="184"/>
  <c r="M577" i="184"/>
  <c r="M576" i="184"/>
  <c r="M575" i="184"/>
  <c r="M574" i="184"/>
  <c r="M573" i="184"/>
  <c r="M572" i="184"/>
  <c r="M571" i="184"/>
  <c r="M570" i="184"/>
  <c r="M569" i="184"/>
  <c r="M568" i="184"/>
  <c r="M567" i="184"/>
  <c r="M566" i="184"/>
  <c r="M565" i="184"/>
  <c r="M564" i="184"/>
  <c r="M563" i="184"/>
  <c r="M562" i="184"/>
  <c r="M561" i="184"/>
  <c r="M560" i="184"/>
  <c r="M559" i="184"/>
  <c r="M558" i="184"/>
  <c r="M557" i="184"/>
  <c r="M556" i="184"/>
  <c r="M555" i="184"/>
  <c r="M554" i="184"/>
  <c r="M553" i="184"/>
  <c r="M552" i="184"/>
  <c r="M551" i="184"/>
  <c r="M550" i="184"/>
  <c r="M549" i="184"/>
  <c r="M548" i="184"/>
  <c r="M547" i="184"/>
  <c r="M546" i="184"/>
  <c r="M545" i="184"/>
  <c r="M544" i="184"/>
  <c r="M543" i="184"/>
  <c r="M542" i="184"/>
  <c r="M541" i="184"/>
  <c r="M540" i="184"/>
  <c r="M539" i="184"/>
  <c r="M538" i="184"/>
  <c r="M537" i="184"/>
  <c r="M536" i="184"/>
  <c r="M535" i="184"/>
  <c r="M534" i="184"/>
  <c r="M533" i="184"/>
  <c r="M532" i="184"/>
  <c r="M531" i="184"/>
  <c r="M530" i="184"/>
  <c r="M529" i="184"/>
  <c r="M528" i="184"/>
  <c r="M527" i="184"/>
  <c r="M526" i="184"/>
  <c r="M525" i="184"/>
  <c r="M524" i="184"/>
  <c r="M523" i="184"/>
  <c r="M522" i="184"/>
  <c r="M521" i="184"/>
  <c r="M520" i="184"/>
  <c r="M519" i="184"/>
  <c r="M518" i="184"/>
  <c r="M517" i="184"/>
  <c r="M516" i="184"/>
  <c r="M515" i="184"/>
  <c r="M514" i="184"/>
  <c r="M513" i="184"/>
  <c r="M512" i="184"/>
  <c r="M511" i="184"/>
  <c r="M510" i="184"/>
  <c r="M509" i="184"/>
  <c r="M508" i="184"/>
  <c r="M507" i="184"/>
  <c r="M506" i="184"/>
  <c r="M505" i="184"/>
  <c r="M504" i="184"/>
  <c r="M503" i="184"/>
  <c r="M502" i="184"/>
  <c r="M501" i="184"/>
  <c r="M500" i="184"/>
  <c r="M499" i="184"/>
  <c r="M498" i="184"/>
  <c r="M497" i="184"/>
  <c r="M496" i="184"/>
  <c r="M495" i="184"/>
  <c r="M494" i="184"/>
  <c r="M493" i="184"/>
  <c r="M492" i="184"/>
  <c r="M491" i="184"/>
  <c r="M490" i="184"/>
  <c r="M489" i="184"/>
  <c r="M488" i="184"/>
  <c r="M487" i="184"/>
  <c r="M486" i="184"/>
  <c r="M485" i="184"/>
  <c r="M484" i="184"/>
  <c r="M483" i="184"/>
  <c r="M482" i="184"/>
  <c r="M481" i="184"/>
  <c r="M480" i="184"/>
  <c r="M479" i="184"/>
  <c r="M478" i="184"/>
  <c r="M477" i="184"/>
  <c r="M476" i="184"/>
  <c r="M475" i="184"/>
  <c r="M474" i="184"/>
  <c r="M473" i="184"/>
  <c r="M472" i="184"/>
  <c r="M471" i="184"/>
  <c r="M470" i="184"/>
  <c r="M469" i="184"/>
  <c r="M468" i="184"/>
  <c r="M467" i="184"/>
  <c r="M466" i="184"/>
  <c r="M465" i="184"/>
  <c r="M464" i="184"/>
  <c r="M463" i="184"/>
  <c r="M462" i="184"/>
  <c r="M461" i="184"/>
  <c r="M460" i="184"/>
  <c r="M459" i="184"/>
  <c r="M458" i="184"/>
  <c r="M457" i="184"/>
  <c r="M456" i="184"/>
  <c r="M455" i="184"/>
  <c r="M454" i="184"/>
  <c r="M453" i="184"/>
  <c r="M452" i="184"/>
  <c r="M451" i="184"/>
  <c r="M450" i="184"/>
  <c r="M449" i="184"/>
  <c r="M448" i="184"/>
  <c r="M447" i="184"/>
  <c r="M446" i="184"/>
  <c r="M445" i="184"/>
  <c r="M444" i="184"/>
  <c r="M443" i="184"/>
  <c r="M442" i="184"/>
  <c r="M441" i="184"/>
  <c r="M440" i="184"/>
  <c r="M439" i="184"/>
  <c r="M438" i="184"/>
  <c r="M437" i="184"/>
  <c r="M436" i="184"/>
  <c r="M435" i="184"/>
  <c r="M434" i="184"/>
  <c r="M433" i="184"/>
  <c r="M432" i="184"/>
  <c r="M431" i="184"/>
  <c r="M430" i="184"/>
  <c r="M429" i="184"/>
  <c r="M428" i="184"/>
  <c r="M427" i="184"/>
  <c r="M426" i="184"/>
  <c r="M425" i="184"/>
  <c r="M424" i="184"/>
  <c r="M423" i="184"/>
  <c r="M422" i="184"/>
  <c r="M421" i="184"/>
  <c r="M420" i="184"/>
  <c r="M419" i="184"/>
  <c r="M418" i="184"/>
  <c r="M417" i="184"/>
  <c r="M416" i="184"/>
  <c r="M415" i="184"/>
  <c r="M414" i="184"/>
  <c r="M413" i="184"/>
  <c r="M412" i="184"/>
  <c r="M411" i="184"/>
  <c r="M410" i="184"/>
  <c r="M409" i="184"/>
  <c r="M408" i="184"/>
  <c r="M407" i="184"/>
  <c r="M406" i="184"/>
  <c r="M405" i="184"/>
  <c r="M404" i="184"/>
  <c r="M403" i="184"/>
  <c r="M402" i="184"/>
  <c r="M401" i="184"/>
  <c r="M400" i="184"/>
  <c r="M399" i="184"/>
  <c r="M398" i="184"/>
  <c r="M397" i="184"/>
  <c r="M396" i="184"/>
  <c r="M395" i="184"/>
  <c r="M394" i="184"/>
  <c r="M393" i="184"/>
  <c r="M392" i="184"/>
  <c r="M391" i="184"/>
  <c r="M390" i="184"/>
  <c r="M389" i="184"/>
  <c r="M388" i="184"/>
  <c r="M387" i="184"/>
  <c r="M386" i="184"/>
  <c r="M385" i="184"/>
  <c r="M384" i="184"/>
  <c r="M383" i="184"/>
  <c r="M382" i="184"/>
  <c r="M381" i="184"/>
  <c r="M380" i="184"/>
  <c r="M379" i="184"/>
  <c r="M378" i="184"/>
  <c r="M377" i="184"/>
  <c r="M376" i="184"/>
  <c r="M375" i="184"/>
  <c r="M374" i="184"/>
  <c r="M373" i="184"/>
  <c r="M372" i="184"/>
  <c r="M371" i="184"/>
  <c r="M370" i="184"/>
  <c r="M369" i="184"/>
  <c r="M368" i="184"/>
  <c r="M367" i="184"/>
  <c r="M366" i="184"/>
  <c r="M365" i="184"/>
  <c r="M364" i="184"/>
  <c r="M363" i="184"/>
  <c r="M362" i="184"/>
  <c r="M361" i="184"/>
  <c r="M360" i="184"/>
  <c r="M359" i="184"/>
  <c r="M358" i="184"/>
  <c r="M357" i="184"/>
  <c r="M356" i="184"/>
  <c r="M355" i="184"/>
  <c r="M354" i="184"/>
  <c r="M353" i="184"/>
  <c r="M352" i="184"/>
  <c r="M351" i="184"/>
  <c r="M350" i="184"/>
  <c r="M349" i="184"/>
  <c r="M348" i="184"/>
  <c r="M347" i="184"/>
  <c r="M346" i="184"/>
  <c r="M345" i="184"/>
  <c r="M344" i="184"/>
  <c r="M343" i="184"/>
  <c r="M342" i="184"/>
  <c r="M341" i="184"/>
  <c r="M340" i="184"/>
  <c r="M339" i="184"/>
  <c r="M338" i="184"/>
  <c r="M337" i="184"/>
  <c r="M336" i="184"/>
  <c r="M335" i="184"/>
  <c r="M334" i="184"/>
  <c r="M333" i="184"/>
  <c r="M332" i="184"/>
  <c r="M331" i="184"/>
  <c r="M330" i="184"/>
  <c r="M329" i="184"/>
  <c r="M328" i="184"/>
  <c r="M327" i="184"/>
  <c r="M326" i="184"/>
  <c r="M325" i="184"/>
  <c r="M324" i="184"/>
  <c r="M323" i="184"/>
  <c r="M322" i="184"/>
  <c r="M321" i="184"/>
  <c r="M320" i="184"/>
  <c r="M319" i="184"/>
  <c r="M318" i="184"/>
  <c r="M317" i="184"/>
  <c r="M316" i="184"/>
  <c r="M315" i="184"/>
  <c r="M314" i="184"/>
  <c r="M313" i="184"/>
  <c r="M312" i="184"/>
  <c r="M311" i="184"/>
  <c r="M310" i="184"/>
  <c r="M309" i="184"/>
  <c r="M308" i="184"/>
  <c r="M307" i="184"/>
  <c r="M306" i="184"/>
  <c r="M305" i="184"/>
  <c r="M304" i="184"/>
  <c r="M303" i="184"/>
  <c r="M302" i="184"/>
  <c r="M301" i="184"/>
  <c r="M300" i="184"/>
  <c r="M299" i="184"/>
  <c r="M298" i="184"/>
  <c r="M297" i="184"/>
  <c r="M296" i="184"/>
  <c r="M295" i="184"/>
  <c r="M294" i="184"/>
  <c r="M293" i="184"/>
  <c r="M292" i="184"/>
  <c r="M291" i="184"/>
  <c r="M290" i="184"/>
  <c r="M289" i="184"/>
  <c r="M288" i="184"/>
  <c r="M287" i="184"/>
  <c r="M286" i="184"/>
  <c r="M285" i="184"/>
  <c r="M284" i="184"/>
  <c r="M283" i="184"/>
  <c r="M282" i="184"/>
  <c r="M281" i="184"/>
  <c r="M280" i="184"/>
  <c r="M279" i="184"/>
  <c r="M278" i="184"/>
  <c r="M277" i="184"/>
  <c r="M276" i="184"/>
  <c r="M275" i="184"/>
  <c r="M274" i="184"/>
  <c r="M273" i="184"/>
  <c r="M272" i="184"/>
  <c r="M271" i="184"/>
  <c r="M270" i="184"/>
  <c r="M269" i="184"/>
  <c r="M268" i="184"/>
  <c r="M267" i="184"/>
  <c r="M266" i="184"/>
  <c r="M265" i="184"/>
  <c r="M264" i="184"/>
  <c r="M263" i="184"/>
  <c r="M262" i="184"/>
  <c r="M261" i="184"/>
  <c r="M260" i="184"/>
  <c r="M259" i="184"/>
  <c r="M258" i="184"/>
  <c r="M257" i="184"/>
  <c r="M256" i="184"/>
  <c r="M255" i="184"/>
  <c r="M254" i="184"/>
  <c r="M253" i="184"/>
  <c r="M252" i="184"/>
  <c r="M251" i="184"/>
  <c r="M250" i="184"/>
  <c r="M249" i="184"/>
  <c r="M248" i="184"/>
  <c r="M247" i="184"/>
  <c r="M246" i="184"/>
  <c r="M245" i="184"/>
  <c r="M244" i="184"/>
  <c r="M243" i="184"/>
  <c r="M242" i="184"/>
  <c r="M241" i="184"/>
  <c r="M240" i="184"/>
  <c r="M239" i="184"/>
  <c r="M238" i="184"/>
  <c r="M237" i="184"/>
  <c r="M236" i="184"/>
  <c r="M235" i="184"/>
  <c r="M234" i="184"/>
  <c r="M233" i="184"/>
  <c r="M232" i="184"/>
  <c r="M231" i="184"/>
  <c r="M230" i="184"/>
  <c r="M229" i="184"/>
  <c r="M228" i="184"/>
  <c r="M227" i="184"/>
  <c r="M226" i="184"/>
  <c r="M225" i="184"/>
  <c r="M224" i="184"/>
  <c r="M223" i="184"/>
  <c r="M222" i="184"/>
  <c r="M221" i="184"/>
  <c r="M220" i="184"/>
  <c r="M219" i="184"/>
  <c r="M218" i="184"/>
  <c r="M217" i="184"/>
  <c r="M216" i="184"/>
  <c r="M215" i="184"/>
  <c r="M214" i="184"/>
  <c r="M213" i="184"/>
  <c r="M212" i="184"/>
  <c r="M211" i="184"/>
  <c r="M210" i="184"/>
  <c r="M209" i="184"/>
  <c r="M208" i="184"/>
  <c r="M207" i="184"/>
  <c r="M206" i="184"/>
  <c r="M205" i="184"/>
  <c r="M204" i="184"/>
  <c r="M203" i="184"/>
  <c r="M202" i="184"/>
  <c r="M201" i="184"/>
  <c r="M200" i="184"/>
  <c r="M199" i="184"/>
  <c r="M198" i="184"/>
  <c r="M197" i="184"/>
  <c r="M196" i="184"/>
  <c r="M195" i="184"/>
  <c r="M194" i="184"/>
  <c r="M193" i="184"/>
  <c r="M192" i="184"/>
  <c r="M191" i="184"/>
  <c r="M190" i="184"/>
  <c r="M189" i="184"/>
  <c r="M188" i="184"/>
  <c r="M187" i="184"/>
  <c r="M186" i="184"/>
  <c r="M185" i="184"/>
  <c r="M184" i="184"/>
  <c r="M183" i="184"/>
  <c r="M182" i="184"/>
  <c r="M181" i="184"/>
  <c r="M180" i="184"/>
  <c r="M179" i="184"/>
  <c r="M178" i="184"/>
  <c r="M177" i="184"/>
  <c r="M176" i="184"/>
  <c r="M175" i="184"/>
  <c r="M174" i="184"/>
  <c r="M173" i="184"/>
  <c r="M172" i="184"/>
  <c r="M171" i="184"/>
  <c r="M170" i="184"/>
  <c r="M169" i="184"/>
  <c r="M168" i="184"/>
  <c r="M167" i="184"/>
  <c r="M166" i="184"/>
  <c r="M165" i="184"/>
  <c r="M164" i="184"/>
  <c r="M163" i="184"/>
  <c r="M162" i="184"/>
  <c r="M161" i="184"/>
  <c r="M160" i="184"/>
  <c r="M159" i="184"/>
  <c r="M158" i="184"/>
  <c r="M157" i="184"/>
  <c r="M156" i="184"/>
  <c r="M155" i="184"/>
  <c r="M154" i="184"/>
  <c r="M153" i="184"/>
  <c r="M152" i="184"/>
  <c r="M151" i="184"/>
  <c r="M150" i="184"/>
  <c r="M149" i="184"/>
  <c r="M148" i="184"/>
  <c r="M147" i="184"/>
  <c r="M146" i="184"/>
  <c r="M145" i="184"/>
  <c r="M144" i="184"/>
  <c r="M143" i="184"/>
  <c r="M142" i="184"/>
  <c r="M141" i="184"/>
  <c r="M140" i="184"/>
  <c r="M139" i="184"/>
  <c r="M138" i="184"/>
  <c r="M137" i="184"/>
  <c r="M136" i="184"/>
  <c r="M135" i="184"/>
  <c r="M134" i="184"/>
  <c r="M133" i="184"/>
  <c r="M132" i="184"/>
  <c r="M131" i="184"/>
  <c r="M130" i="184"/>
  <c r="M129" i="184"/>
  <c r="M128" i="184"/>
  <c r="M127" i="184"/>
  <c r="M126" i="184"/>
  <c r="M125" i="184"/>
  <c r="M124" i="184"/>
  <c r="M123" i="184"/>
  <c r="M122" i="184"/>
  <c r="M121" i="184"/>
  <c r="M120" i="184"/>
  <c r="M119" i="184"/>
  <c r="M118" i="184"/>
  <c r="M117" i="184"/>
  <c r="M116" i="184"/>
  <c r="M115" i="184"/>
  <c r="M114" i="184"/>
  <c r="M113" i="184"/>
  <c r="M112" i="184"/>
  <c r="M111" i="184"/>
  <c r="M110" i="184"/>
  <c r="M109" i="184"/>
  <c r="M108" i="184"/>
  <c r="M107" i="184"/>
  <c r="M106" i="184"/>
  <c r="M105" i="184"/>
  <c r="M104" i="184"/>
  <c r="M103" i="184"/>
  <c r="M102" i="184"/>
  <c r="M101" i="184"/>
  <c r="M100" i="184"/>
  <c r="M99" i="184"/>
  <c r="M98" i="184"/>
  <c r="M97" i="184"/>
  <c r="M96" i="184"/>
  <c r="M95" i="184"/>
  <c r="M94" i="184"/>
  <c r="M93" i="184"/>
  <c r="M92" i="184"/>
  <c r="M91" i="184"/>
  <c r="M90" i="184"/>
  <c r="M89" i="184"/>
  <c r="M88" i="184"/>
  <c r="M87" i="184"/>
  <c r="M86" i="184"/>
  <c r="M85" i="184"/>
  <c r="M84" i="184"/>
  <c r="M83" i="184"/>
  <c r="M82" i="184"/>
  <c r="M81" i="184"/>
  <c r="M80" i="184"/>
  <c r="M79" i="184"/>
  <c r="M78" i="184"/>
  <c r="M77" i="184"/>
  <c r="M76" i="184"/>
  <c r="M75" i="184"/>
  <c r="M74" i="184"/>
  <c r="M73" i="184"/>
  <c r="M72" i="184"/>
  <c r="M71" i="184"/>
  <c r="M70" i="184"/>
  <c r="M69" i="184"/>
  <c r="M68" i="184"/>
  <c r="M67" i="184"/>
  <c r="M66" i="184"/>
  <c r="M65" i="184"/>
  <c r="M64" i="184"/>
  <c r="M63" i="184"/>
  <c r="M62" i="184"/>
  <c r="M61" i="184"/>
  <c r="M60" i="184"/>
  <c r="M59" i="184"/>
  <c r="M58" i="184"/>
  <c r="M57" i="184"/>
  <c r="M56" i="184"/>
  <c r="M55" i="184"/>
  <c r="M54" i="184"/>
  <c r="M53" i="184"/>
  <c r="M52" i="184"/>
  <c r="M51" i="184"/>
  <c r="M50" i="184"/>
  <c r="M49" i="184"/>
  <c r="M48" i="184"/>
  <c r="M47" i="184"/>
  <c r="M46" i="184"/>
  <c r="M45" i="184"/>
  <c r="M44" i="184"/>
  <c r="M43" i="184"/>
  <c r="M42" i="184"/>
  <c r="M41" i="184"/>
  <c r="M40" i="184"/>
  <c r="M39" i="184"/>
  <c r="M38" i="184"/>
  <c r="M37" i="184"/>
  <c r="M36" i="184"/>
  <c r="M35" i="184"/>
  <c r="M34" i="184"/>
  <c r="M33" i="184"/>
  <c r="M32" i="184"/>
  <c r="M31" i="184"/>
  <c r="M30" i="184"/>
  <c r="M29" i="184"/>
  <c r="M28" i="184"/>
  <c r="M27" i="184"/>
  <c r="M26" i="184"/>
  <c r="M25" i="184"/>
  <c r="M24" i="184"/>
  <c r="M23" i="184"/>
  <c r="M22" i="184"/>
  <c r="M21" i="184"/>
  <c r="M20" i="184"/>
  <c r="M19" i="184"/>
  <c r="M18" i="184"/>
  <c r="M17" i="184"/>
  <c r="M16" i="184"/>
  <c r="M15" i="184"/>
  <c r="M14" i="184"/>
  <c r="M13" i="184"/>
  <c r="M12" i="184"/>
  <c r="M11" i="184"/>
  <c r="M10" i="184"/>
  <c r="M9" i="184"/>
  <c r="M8" i="184"/>
  <c r="M7" i="184"/>
  <c r="M6" i="184"/>
  <c r="M5" i="184"/>
  <c r="M4" i="184"/>
  <c r="M3" i="184"/>
  <c r="C6" i="188"/>
  <c r="D6" i="188"/>
  <c r="E6" i="188"/>
  <c r="F6" i="188"/>
  <c r="G6" i="188"/>
  <c r="H6" i="188"/>
  <c r="I6" i="188"/>
  <c r="J6" i="188"/>
  <c r="J9" i="188" s="1"/>
  <c r="K6" i="188"/>
  <c r="L6" i="188"/>
  <c r="M6" i="188"/>
  <c r="N6" i="188"/>
  <c r="O6" i="188"/>
  <c r="P6" i="188"/>
  <c r="Q6" i="188"/>
  <c r="R6" i="188"/>
  <c r="R9" i="188" s="1"/>
  <c r="S6" i="188"/>
  <c r="T6" i="188"/>
  <c r="U6" i="188"/>
  <c r="V6" i="188"/>
  <c r="W6" i="188"/>
  <c r="X6" i="188"/>
  <c r="Y6" i="188"/>
  <c r="Y9" i="188" s="1"/>
  <c r="Z6" i="188"/>
  <c r="Z9" i="188" s="1"/>
  <c r="AA6" i="188"/>
  <c r="AB6" i="188"/>
  <c r="AB9" i="188" s="1"/>
  <c r="AC6" i="188"/>
  <c r="AD6" i="188"/>
  <c r="AD9" i="188" s="1"/>
  <c r="AE6" i="188"/>
  <c r="B6" i="188"/>
  <c r="E8" i="188" s="1"/>
  <c r="C5" i="188"/>
  <c r="C9" i="188" s="1"/>
  <c r="D5" i="188"/>
  <c r="D9" i="188" s="1"/>
  <c r="E5" i="188"/>
  <c r="F5" i="188"/>
  <c r="G5" i="188"/>
  <c r="H5" i="188"/>
  <c r="I5" i="188"/>
  <c r="I9" i="188" s="1"/>
  <c r="J5" i="188"/>
  <c r="K5" i="188"/>
  <c r="L5" i="188"/>
  <c r="L9" i="188" s="1"/>
  <c r="M5" i="188"/>
  <c r="N5" i="188"/>
  <c r="O5" i="188"/>
  <c r="P5" i="188"/>
  <c r="Q5" i="188"/>
  <c r="R5" i="188"/>
  <c r="S5" i="188"/>
  <c r="T5" i="188"/>
  <c r="U5" i="188"/>
  <c r="V5" i="188"/>
  <c r="W5" i="188"/>
  <c r="X5" i="188"/>
  <c r="Y5" i="188"/>
  <c r="Z5" i="188"/>
  <c r="AA5" i="188"/>
  <c r="AB5" i="188"/>
  <c r="AC5" i="188"/>
  <c r="AD5" i="188"/>
  <c r="AE5" i="188"/>
  <c r="AF5" i="188"/>
  <c r="B5" i="188"/>
  <c r="E9" i="188"/>
  <c r="F9" i="188"/>
  <c r="G9" i="188"/>
  <c r="H9" i="188"/>
  <c r="K9" i="188"/>
  <c r="M9" i="188"/>
  <c r="N9" i="188"/>
  <c r="O9" i="188"/>
  <c r="P9" i="188"/>
  <c r="Q9" i="188"/>
  <c r="S9" i="188"/>
  <c r="T9" i="188"/>
  <c r="U9" i="188"/>
  <c r="V9" i="188"/>
  <c r="W9" i="188"/>
  <c r="X9" i="188"/>
  <c r="AA9" i="188"/>
  <c r="AC9" i="188"/>
  <c r="AE9" i="188"/>
  <c r="AF9" i="188"/>
  <c r="P8" i="188"/>
  <c r="Q8" i="188"/>
  <c r="R8" i="188"/>
  <c r="S8" i="188"/>
  <c r="T8" i="188"/>
  <c r="U8" i="188"/>
  <c r="V8" i="188"/>
  <c r="W8" i="188"/>
  <c r="X8" i="188"/>
  <c r="Y8" i="188"/>
  <c r="Z8" i="188"/>
  <c r="AA8" i="188"/>
  <c r="AB8" i="188"/>
  <c r="AC8" i="188"/>
  <c r="AD8" i="188"/>
  <c r="AE8" i="188"/>
  <c r="AF8" i="188"/>
  <c r="C7" i="141"/>
  <c r="O8" i="188" l="1"/>
  <c r="G7" i="188"/>
  <c r="B8" i="188"/>
  <c r="I8" i="188"/>
  <c r="H8" i="188"/>
  <c r="D8" i="188"/>
  <c r="D10" i="188" s="1"/>
  <c r="G8" i="188"/>
  <c r="G10" i="188" s="1"/>
  <c r="L8" i="188"/>
  <c r="K8" i="188"/>
  <c r="J8" i="188"/>
  <c r="N8" i="188"/>
  <c r="F8" i="188"/>
  <c r="C8" i="188"/>
  <c r="M8" i="188"/>
  <c r="M10" i="188" s="1"/>
  <c r="AD7" i="188"/>
  <c r="AD10" i="188" s="1"/>
  <c r="AC7" i="188"/>
  <c r="AC10" i="188" s="1"/>
  <c r="E7" i="188"/>
  <c r="E10" i="188" s="1"/>
  <c r="T7" i="188"/>
  <c r="T10" i="188" s="1"/>
  <c r="B7" i="188"/>
  <c r="D7" i="188"/>
  <c r="Y7" i="188"/>
  <c r="Y10" i="188" s="1"/>
  <c r="Q7" i="188"/>
  <c r="Q10" i="188" s="1"/>
  <c r="I7" i="188"/>
  <c r="I10" i="188" s="1"/>
  <c r="W10" i="188"/>
  <c r="U7" i="188"/>
  <c r="B9" i="188"/>
  <c r="AB7" i="188"/>
  <c r="AB10" i="188" s="1"/>
  <c r="L7" i="188"/>
  <c r="AA7" i="188"/>
  <c r="AA10" i="188" s="1"/>
  <c r="S7" i="188"/>
  <c r="S10" i="188" s="1"/>
  <c r="K7" i="188"/>
  <c r="C7" i="188"/>
  <c r="R7" i="188"/>
  <c r="R10" i="188" s="1"/>
  <c r="AF7" i="188"/>
  <c r="AF10" i="188" s="1"/>
  <c r="X7" i="188"/>
  <c r="X10" i="188" s="1"/>
  <c r="P7" i="188"/>
  <c r="P10" i="188" s="1"/>
  <c r="H7" i="188"/>
  <c r="F10" i="188"/>
  <c r="V7" i="188"/>
  <c r="V10" i="188" s="1"/>
  <c r="N7" i="188"/>
  <c r="N10" i="188" s="1"/>
  <c r="F7" i="188"/>
  <c r="M7" i="188"/>
  <c r="Z7" i="188"/>
  <c r="Z10" i="188" s="1"/>
  <c r="J7" i="188"/>
  <c r="H10" i="188"/>
  <c r="AE7" i="188"/>
  <c r="AE10" i="188" s="1"/>
  <c r="W7" i="188"/>
  <c r="O7" i="188"/>
  <c r="O10" i="188" s="1"/>
  <c r="U10" i="188"/>
  <c r="C1" i="141"/>
  <c r="B10" i="188" l="1"/>
  <c r="K10" i="188"/>
  <c r="C10" i="188"/>
  <c r="J10" i="188"/>
  <c r="L10" i="188"/>
  <c r="C2" i="141"/>
  <c r="F2" i="141" l="1"/>
  <c r="I2" i="141"/>
  <c r="I6" i="141" s="1"/>
  <c r="C4" i="141"/>
  <c r="C5" i="141"/>
  <c r="C6" i="141"/>
  <c r="C3" i="141"/>
  <c r="F4" i="141" l="1"/>
  <c r="F6" i="141"/>
  <c r="F5" i="141"/>
  <c r="F3" i="141"/>
  <c r="I4" i="141"/>
  <c r="I3" i="141"/>
  <c r="I5" i="141"/>
</calcChain>
</file>

<file path=xl/sharedStrings.xml><?xml version="1.0" encoding="utf-8"?>
<sst xmlns="http://schemas.openxmlformats.org/spreadsheetml/2006/main" count="2906" uniqueCount="786">
  <si>
    <t>1</t>
  </si>
  <si>
    <t>合计</t>
  </si>
  <si>
    <t>N6</t>
  </si>
  <si>
    <t>区域</t>
  </si>
  <si>
    <t>线索有效率</t>
  </si>
  <si>
    <t>全国</t>
  </si>
  <si>
    <t>线索跟进</t>
  </si>
  <si>
    <t>有效线索量</t>
  </si>
  <si>
    <t>线索总量</t>
  </si>
  <si>
    <t>按时回访量</t>
  </si>
  <si>
    <t>应回访线索量</t>
  </si>
  <si>
    <t>到店量</t>
  </si>
  <si>
    <t>成交量</t>
  </si>
  <si>
    <t>有效线索转化率</t>
  </si>
  <si>
    <t>有效线索到店率</t>
  </si>
  <si>
    <t>到店成交率</t>
  </si>
  <si>
    <t>序号</t>
  </si>
  <si>
    <t>日报日期</t>
    <phoneticPr fontId="9" type="noConversion"/>
  </si>
  <si>
    <t>上期</t>
    <phoneticPr fontId="9" type="noConversion"/>
  </si>
  <si>
    <t>去年同期</t>
    <phoneticPr fontId="9" type="noConversion"/>
  </si>
  <si>
    <t>时间进度</t>
    <phoneticPr fontId="9" type="noConversion"/>
  </si>
  <si>
    <t>日</t>
    <phoneticPr fontId="9" type="noConversion"/>
  </si>
  <si>
    <t>年份</t>
    <phoneticPr fontId="9" type="noConversion"/>
  </si>
  <si>
    <t>月份</t>
    <phoneticPr fontId="9" type="noConversion"/>
  </si>
  <si>
    <t>今日</t>
    <phoneticPr fontId="9" type="noConversion"/>
  </si>
  <si>
    <t>NX8</t>
  </si>
  <si>
    <t>2</t>
  </si>
  <si>
    <t>0.00%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</si>
  <si>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</si>
  <si>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</si>
  <si>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</si>
  <si>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</si>
  <si>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</si>
  <si>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</si>
  <si>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</si>
  <si>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</si>
  <si>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</si>
  <si>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</si>
  <si>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</si>
  <si>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</si>
  <si>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</si>
  <si>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</si>
  <si>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</si>
  <si>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</si>
  <si>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</si>
  <si>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</si>
  <si>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</si>
  <si>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</si>
  <si>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</si>
  <si>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</si>
  <si>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</si>
  <si>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</si>
  <si>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</si>
  <si>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</si>
  <si>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</si>
  <si>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</si>
  <si>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</si>
  <si>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</si>
  <si>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</si>
  <si>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</si>
  <si>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</si>
  <si>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</si>
  <si>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</si>
  <si>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</si>
  <si>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6.25%</t>
  </si>
  <si>
    <t>4.00%</t>
  </si>
  <si>
    <t>10.00%</t>
  </si>
  <si>
    <t>7.14%</t>
  </si>
  <si>
    <t>77.78%</t>
  </si>
  <si>
    <t>15.38%</t>
  </si>
  <si>
    <t>数营成交贡献度</t>
  </si>
  <si>
    <t>7.69%</t>
  </si>
  <si>
    <t>4.55%</t>
  </si>
  <si>
    <t>2.70%</t>
  </si>
  <si>
    <t>1.12%</t>
  </si>
  <si>
    <t>2.86%</t>
  </si>
  <si>
    <t>4.44%</t>
  </si>
  <si>
    <t>2.17%</t>
  </si>
  <si>
    <t>0.69%</t>
  </si>
  <si>
    <t>0.83%</t>
  </si>
  <si>
    <t>6.45%</t>
  </si>
  <si>
    <t>1.23%</t>
  </si>
  <si>
    <t>11.67%</t>
  </si>
  <si>
    <t>1.20%</t>
  </si>
  <si>
    <t>1.30%</t>
  </si>
  <si>
    <t>6.49%</t>
  </si>
  <si>
    <t>2.13%</t>
  </si>
  <si>
    <t>3.70%</t>
  </si>
  <si>
    <t>1.14%</t>
  </si>
  <si>
    <t>2.50%</t>
  </si>
  <si>
    <t>0.46%</t>
  </si>
  <si>
    <t>4.17%</t>
  </si>
  <si>
    <t>0.68%</t>
  </si>
  <si>
    <t>1.63%</t>
  </si>
  <si>
    <t>1.22%</t>
  </si>
  <si>
    <t>1.16%</t>
  </si>
  <si>
    <t>1.54%</t>
  </si>
  <si>
    <t>0.50%</t>
  </si>
  <si>
    <t>0.64%</t>
  </si>
  <si>
    <t>8.00%</t>
  </si>
  <si>
    <t>2.33%</t>
  </si>
  <si>
    <t>1.92%</t>
  </si>
  <si>
    <t>5.77%</t>
  </si>
  <si>
    <t>3.60%</t>
  </si>
  <si>
    <t>0.57%</t>
  </si>
  <si>
    <t>0.38%</t>
  </si>
  <si>
    <t>21.74%</t>
  </si>
  <si>
    <t>1.19%</t>
  </si>
  <si>
    <t>1.28%</t>
  </si>
  <si>
    <t>0.55%</t>
  </si>
  <si>
    <t>3.08%</t>
  </si>
  <si>
    <t>3.81%</t>
  </si>
  <si>
    <t>0.97%</t>
  </si>
  <si>
    <t>0.67%</t>
  </si>
  <si>
    <t>0.43%</t>
  </si>
  <si>
    <t>0.36%</t>
  </si>
  <si>
    <t>3.31%</t>
  </si>
  <si>
    <t>0.99%</t>
  </si>
  <si>
    <t>1.08%</t>
  </si>
  <si>
    <t>0.96%</t>
  </si>
  <si>
    <t>1.43%</t>
  </si>
  <si>
    <t>2.75%</t>
  </si>
  <si>
    <t>0.47%</t>
  </si>
  <si>
    <t>0.61%</t>
  </si>
  <si>
    <t>1.49%</t>
  </si>
  <si>
    <t>1.47%</t>
  </si>
  <si>
    <t>1.90%</t>
  </si>
  <si>
    <t>1.01%</t>
  </si>
  <si>
    <t>0.78%</t>
  </si>
  <si>
    <t>0.75%</t>
  </si>
  <si>
    <t>3.48%</t>
  </si>
  <si>
    <t>2.52%</t>
  </si>
  <si>
    <t>5.19%</t>
  </si>
  <si>
    <t>2.31%</t>
  </si>
  <si>
    <t>1.39%</t>
  </si>
  <si>
    <t>6.41%</t>
  </si>
  <si>
    <t>6.78%</t>
  </si>
  <si>
    <t>20.83%</t>
  </si>
  <si>
    <t>1.05%</t>
  </si>
  <si>
    <t>0.41%</t>
  </si>
  <si>
    <t>0.44%</t>
  </si>
  <si>
    <t>1.18%</t>
  </si>
  <si>
    <t>2.53%</t>
  </si>
  <si>
    <t>13.64%</t>
  </si>
  <si>
    <t>1.09%</t>
  </si>
  <si>
    <t>0.52%</t>
  </si>
  <si>
    <t>1.26%</t>
  </si>
  <si>
    <t>0.79%</t>
  </si>
  <si>
    <t>0.37%</t>
  </si>
  <si>
    <t>1.31%</t>
  </si>
  <si>
    <t>6.56%</t>
  </si>
  <si>
    <t>2.55%</t>
  </si>
  <si>
    <t>1.11%</t>
  </si>
  <si>
    <t>7.27%</t>
  </si>
  <si>
    <t>1.95%</t>
  </si>
  <si>
    <t>0.91%</t>
  </si>
  <si>
    <t>3.15%</t>
  </si>
  <si>
    <t>2.90%</t>
  </si>
  <si>
    <t>4.48%</t>
  </si>
  <si>
    <t>3.26%</t>
  </si>
  <si>
    <t>0.30%</t>
  </si>
  <si>
    <t>4.21%</t>
  </si>
  <si>
    <t>3.16%</t>
  </si>
  <si>
    <t>0.54%</t>
  </si>
  <si>
    <t>12.35%</t>
  </si>
  <si>
    <t>3.24%</t>
  </si>
  <si>
    <t>-2.53%</t>
  </si>
  <si>
    <t>0.34%</t>
  </si>
  <si>
    <t>2.16%</t>
  </si>
  <si>
    <t>2.96%</t>
  </si>
  <si>
    <t>0.26%</t>
  </si>
  <si>
    <t>2.14%</t>
  </si>
  <si>
    <t>按日</t>
  </si>
  <si>
    <t>超时回访量</t>
  </si>
  <si>
    <t>订单量</t>
  </si>
  <si>
    <t>总成交量</t>
  </si>
  <si>
    <t>战败线索量</t>
  </si>
  <si>
    <t>有效线索下订率</t>
  </si>
  <si>
    <t>线索到店率</t>
  </si>
  <si>
    <t>线索下订率</t>
  </si>
  <si>
    <t>线索转化率</t>
  </si>
  <si>
    <t>6.91%</t>
  </si>
  <si>
    <t>0.20%</t>
  </si>
  <si>
    <t>3.55%</t>
  </si>
  <si>
    <t>0.15%</t>
  </si>
  <si>
    <t>3.38%</t>
  </si>
  <si>
    <t>3.59%</t>
  </si>
  <si>
    <t>5.27%</t>
  </si>
  <si>
    <t>6.39%</t>
  </si>
  <si>
    <t>6.88%</t>
  </si>
  <si>
    <t>8.41%</t>
  </si>
  <si>
    <t>10.33%</t>
  </si>
  <si>
    <t>0.39%</t>
  </si>
  <si>
    <t>0.71%</t>
  </si>
  <si>
    <t>0.07%</t>
  </si>
  <si>
    <t>0.14%</t>
  </si>
  <si>
    <t>0.21%</t>
  </si>
  <si>
    <t>5.22%</t>
  </si>
  <si>
    <t>-0.06%</t>
  </si>
  <si>
    <t>3.98%</t>
  </si>
  <si>
    <t>1.58%</t>
  </si>
  <si>
    <t>31.50%</t>
  </si>
  <si>
    <t>3.79%</t>
  </si>
  <si>
    <t>11.38%</t>
  </si>
  <si>
    <t>2.61%</t>
  </si>
  <si>
    <t>4.34%</t>
  </si>
  <si>
    <t>0.13%</t>
  </si>
  <si>
    <t>28.76%</t>
  </si>
  <si>
    <t>3.35%</t>
  </si>
  <si>
    <t>17.52%</t>
  </si>
  <si>
    <t>5.12%</t>
  </si>
  <si>
    <t>4.77%</t>
  </si>
  <si>
    <t>0.24%</t>
  </si>
  <si>
    <t>20.45%</t>
  </si>
  <si>
    <t>5.69%</t>
  </si>
  <si>
    <t>32.17%</t>
  </si>
  <si>
    <t>12.08%</t>
  </si>
  <si>
    <t>4.51%</t>
  </si>
  <si>
    <t>36.29%</t>
  </si>
  <si>
    <t>23.72%</t>
  </si>
  <si>
    <t>33.67%</t>
  </si>
  <si>
    <t>3.25%</t>
  </si>
  <si>
    <t>18.25%</t>
  </si>
  <si>
    <t>-2.73%</t>
  </si>
  <si>
    <t>3.99%</t>
  </si>
  <si>
    <t>-0.11%</t>
  </si>
  <si>
    <t>-13.13%</t>
  </si>
  <si>
    <t>14.20%</t>
  </si>
  <si>
    <t>7.13%</t>
  </si>
  <si>
    <t>43.07%</t>
  </si>
  <si>
    <t>6.75%</t>
  </si>
  <si>
    <t>43.82%</t>
  </si>
  <si>
    <t>43.62%</t>
  </si>
  <si>
    <t>3.89%</t>
  </si>
  <si>
    <t>67.72%</t>
  </si>
  <si>
    <t>60.41%</t>
  </si>
  <si>
    <t>2.49%</t>
  </si>
  <si>
    <t>54.68%</t>
  </si>
  <si>
    <t>3.34%</t>
  </si>
  <si>
    <t>50.46%</t>
  </si>
  <si>
    <t>4.09%</t>
  </si>
  <si>
    <t>3.73%</t>
  </si>
  <si>
    <t>60.24%</t>
  </si>
  <si>
    <t>47.63%</t>
  </si>
  <si>
    <t>-0.21%</t>
  </si>
  <si>
    <t>0.48%</t>
  </si>
  <si>
    <t>0.12%</t>
  </si>
  <si>
    <t>0.23%</t>
  </si>
  <si>
    <t>8.75%</t>
  </si>
  <si>
    <t>0.58%</t>
  </si>
  <si>
    <t>0.11%</t>
  </si>
  <si>
    <t>4.60%</t>
  </si>
  <si>
    <t>3.44%</t>
  </si>
  <si>
    <t>0.16%</t>
  </si>
  <si>
    <t>0.28%</t>
  </si>
  <si>
    <t>13.10%</t>
  </si>
  <si>
    <t>3.50%</t>
  </si>
  <si>
    <t>3.93%</t>
  </si>
  <si>
    <t>0.09%</t>
  </si>
  <si>
    <t>1.66%</t>
  </si>
  <si>
    <t>-15.49%</t>
  </si>
  <si>
    <t>-0.53%</t>
  </si>
  <si>
    <t>-2.96%</t>
  </si>
  <si>
    <t>3.40%</t>
  </si>
  <si>
    <t>-7.46%</t>
  </si>
  <si>
    <t>2.79%</t>
  </si>
  <si>
    <t>9.72%</t>
  </si>
  <si>
    <t>1.88%</t>
  </si>
  <si>
    <t>26.89%</t>
  </si>
  <si>
    <t>29.57%</t>
  </si>
  <si>
    <t>2.81%</t>
  </si>
  <si>
    <t>28.89%</t>
  </si>
  <si>
    <t>1.24%</t>
  </si>
  <si>
    <t>2.59%</t>
  </si>
  <si>
    <t>19.84%</t>
  </si>
  <si>
    <t>33.59%</t>
  </si>
  <si>
    <t>7.86%</t>
  </si>
  <si>
    <t>31.94%</t>
  </si>
  <si>
    <t>5.66%</t>
  </si>
  <si>
    <t>-1.25%</t>
  </si>
  <si>
    <t>7.95%</t>
  </si>
  <si>
    <t>6.02%</t>
  </si>
  <si>
    <t>54.17%</t>
  </si>
  <si>
    <t>3.01%</t>
  </si>
  <si>
    <t>5.16%</t>
  </si>
  <si>
    <t>N7</t>
  </si>
  <si>
    <t>2.48%</t>
  </si>
  <si>
    <t>天籁·鸿蒙座舱</t>
  </si>
  <si>
    <t>日期</t>
  </si>
  <si>
    <t>线索-交车率</t>
  </si>
  <si>
    <t>线索-锁单率</t>
  </si>
  <si>
    <t>线索-大定率</t>
  </si>
  <si>
    <t>交车量</t>
  </si>
  <si>
    <t>锁单量</t>
  </si>
  <si>
    <t>大定量</t>
  </si>
  <si>
    <t>新增大定量</t>
  </si>
  <si>
    <t>试驾24H回访率</t>
  </si>
  <si>
    <t>到店线索试驾率</t>
  </si>
  <si>
    <t>线索试驾率</t>
  </si>
  <si>
    <t>有效试驾量</t>
  </si>
  <si>
    <t xml:space="preserve">试驾量 </t>
  </si>
  <si>
    <t>排程试驾率</t>
  </si>
  <si>
    <t>排程试驾量</t>
  </si>
  <si>
    <t>线索排程率</t>
  </si>
  <si>
    <t>线索排程量</t>
  </si>
  <si>
    <t>到店企微绑定率</t>
  </si>
  <si>
    <t>到店企微绑定数</t>
  </si>
  <si>
    <t>再次来店占比</t>
  </si>
  <si>
    <t>再次来店量</t>
  </si>
  <si>
    <t>新增到店率</t>
  </si>
  <si>
    <t>新增到店量</t>
  </si>
  <si>
    <t>暂败率</t>
  </si>
  <si>
    <t>暂败线索量</t>
  </si>
  <si>
    <t>休眠率</t>
  </si>
  <si>
    <t>休眠线索量</t>
  </si>
  <si>
    <t>战败率</t>
  </si>
  <si>
    <t>现存线索企微绑定率</t>
  </si>
  <si>
    <t>现存线索企微绑定数</t>
  </si>
  <si>
    <t>现存线索量H级占比</t>
  </si>
  <si>
    <t>现存线索量H级数</t>
  </si>
  <si>
    <t>现存线索量</t>
  </si>
  <si>
    <t>超期未回访数</t>
  </si>
  <si>
    <t>线索按时跟进率</t>
  </si>
  <si>
    <t>按时跟进任务量</t>
  </si>
  <si>
    <t>实际跟进任务量</t>
  </si>
  <si>
    <t>应跟进任务量</t>
  </si>
  <si>
    <t>按时首访率</t>
  </si>
  <si>
    <t>按时首访量</t>
  </si>
  <si>
    <t>应首访量</t>
  </si>
  <si>
    <t>门店线索占比</t>
  </si>
  <si>
    <t>门店线索总量</t>
  </si>
  <si>
    <t>有效线索率</t>
  </si>
  <si>
    <t>新增线索量</t>
  </si>
  <si>
    <t>意向基准车系</t>
  </si>
  <si>
    <t>到店转化</t>
  </si>
  <si>
    <t>-</t>
  </si>
  <si>
    <t>交付NPS值</t>
  </si>
  <si>
    <t>订单NPS值</t>
  </si>
  <si>
    <t>试驾NPS值</t>
  </si>
  <si>
    <t>低满数</t>
  </si>
  <si>
    <t>试驾-锁单率</t>
  </si>
  <si>
    <t>小订量</t>
  </si>
  <si>
    <t>销售有效客诉量</t>
  </si>
  <si>
    <t>新增小订量</t>
  </si>
  <si>
    <t>满意度</t>
  </si>
  <si>
    <t>订单转化</t>
  </si>
  <si>
    <t>试驾转化</t>
  </si>
  <si>
    <t>异常线索</t>
  </si>
  <si>
    <t>现存线索</t>
  </si>
  <si>
    <t>线索开发</t>
  </si>
  <si>
    <t>10.45%</t>
  </si>
  <si>
    <t>4.29%</t>
  </si>
  <si>
    <t>3.10%</t>
  </si>
  <si>
    <t>4.97%</t>
  </si>
  <si>
    <t>67.63%</t>
  </si>
  <si>
    <t>57.84%</t>
  </si>
  <si>
    <t>0.25%</t>
  </si>
  <si>
    <t>0.18%</t>
  </si>
  <si>
    <t>19.81%</t>
  </si>
  <si>
    <t>18.40%</t>
  </si>
  <si>
    <t>12.57%</t>
  </si>
  <si>
    <t>20.77%</t>
  </si>
  <si>
    <t>6.44%</t>
  </si>
  <si>
    <t>18.66%</t>
  </si>
  <si>
    <t>54.59%</t>
  </si>
  <si>
    <t>41.37%</t>
  </si>
  <si>
    <t>55.39%</t>
  </si>
  <si>
    <t>5.24%</t>
  </si>
  <si>
    <t>10.70%</t>
  </si>
  <si>
    <t>9.37%</t>
  </si>
  <si>
    <t>9.39%</t>
  </si>
  <si>
    <t>70.22%</t>
  </si>
  <si>
    <t>30.65%</t>
  </si>
  <si>
    <t>-0.28%</t>
  </si>
  <si>
    <t>1.62%</t>
  </si>
  <si>
    <t>15.74%</t>
  </si>
  <si>
    <t>86.60%</t>
  </si>
  <si>
    <t>176.63%</t>
  </si>
  <si>
    <t>4.68%</t>
  </si>
  <si>
    <t>3.02%</t>
  </si>
  <si>
    <t>34.00%</t>
  </si>
  <si>
    <t>10.11%</t>
  </si>
  <si>
    <t>5.53%</t>
  </si>
  <si>
    <t>9.85%</t>
  </si>
  <si>
    <t>222.24%</t>
  </si>
  <si>
    <t>67.53%</t>
  </si>
  <si>
    <t>9.18%</t>
  </si>
  <si>
    <t>9.05%</t>
  </si>
  <si>
    <t>-0.07%</t>
  </si>
  <si>
    <t>0.08%</t>
  </si>
  <si>
    <t>27.24%</t>
  </si>
  <si>
    <t>7.26%</t>
  </si>
  <si>
    <t>18.23%</t>
  </si>
  <si>
    <t>-0.29%</t>
  </si>
  <si>
    <t>4.58%</t>
  </si>
  <si>
    <t>2.18%</t>
  </si>
  <si>
    <t>20.22%</t>
  </si>
  <si>
    <t>12.02%</t>
  </si>
  <si>
    <t>-0.16%</t>
  </si>
  <si>
    <t>102.42%</t>
  </si>
  <si>
    <t>17.28%</t>
  </si>
  <si>
    <t>14.38%</t>
  </si>
  <si>
    <t>92.63%</t>
  </si>
  <si>
    <t>6.92%</t>
  </si>
  <si>
    <t>34.27%</t>
  </si>
  <si>
    <t>8.59%</t>
  </si>
  <si>
    <t>15.17%</t>
  </si>
  <si>
    <t>115.46%</t>
  </si>
  <si>
    <t>103.67%</t>
  </si>
  <si>
    <t>12.45%</t>
  </si>
  <si>
    <t>12.91%</t>
  </si>
  <si>
    <t>33.35%</t>
  </si>
  <si>
    <t>4.80%</t>
  </si>
  <si>
    <t>1.70%</t>
  </si>
  <si>
    <t>1.85%</t>
  </si>
  <si>
    <t>0.65%</t>
  </si>
  <si>
    <t>7.45%</t>
  </si>
  <si>
    <t>4.90%</t>
  </si>
  <si>
    <t>1.07%</t>
  </si>
  <si>
    <t>0.32%</t>
  </si>
  <si>
    <t>1.51%</t>
  </si>
  <si>
    <t>69.39%</t>
  </si>
  <si>
    <t>69.37%</t>
  </si>
  <si>
    <t>1.56%</t>
  </si>
  <si>
    <t>0.60%</t>
  </si>
  <si>
    <t>6.32%</t>
  </si>
  <si>
    <t>6.07%</t>
  </si>
  <si>
    <t>0.17%</t>
  </si>
  <si>
    <t>2.43%</t>
  </si>
  <si>
    <t>2.23%</t>
  </si>
  <si>
    <t>2.60%</t>
  </si>
  <si>
    <t>0.92%</t>
  </si>
  <si>
    <t>68.06%</t>
  </si>
  <si>
    <t>4.61%</t>
  </si>
  <si>
    <t>4.85%</t>
  </si>
  <si>
    <t>1.55%</t>
  </si>
  <si>
    <t>0.87%</t>
  </si>
  <si>
    <t>3.46%</t>
  </si>
  <si>
    <t>4.81%</t>
  </si>
  <si>
    <t>8.98%</t>
  </si>
  <si>
    <t>0.62%</t>
  </si>
  <si>
    <t>4.23%</t>
  </si>
  <si>
    <t>0.10%</t>
  </si>
  <si>
    <t>4.88%</t>
  </si>
  <si>
    <t>0.19%</t>
  </si>
  <si>
    <t>-5.56%</t>
  </si>
  <si>
    <t>3.85%</t>
  </si>
  <si>
    <t>8.70%</t>
  </si>
  <si>
    <t>当月首日</t>
    <phoneticPr fontId="9" type="noConversion"/>
  </si>
  <si>
    <t>61.48%</t>
  </si>
  <si>
    <t>6.48%</t>
  </si>
  <si>
    <t>60.94%</t>
  </si>
  <si>
    <t>1.72%</t>
  </si>
  <si>
    <t>63.36%</t>
  </si>
  <si>
    <t>4.12%</t>
  </si>
  <si>
    <t>62.30%</t>
  </si>
  <si>
    <t>4.95%</t>
  </si>
  <si>
    <t>63.42%</t>
  </si>
  <si>
    <t>6.30%</t>
  </si>
  <si>
    <t>1.86%</t>
  </si>
  <si>
    <t>63.48%</t>
  </si>
  <si>
    <t>5.28%</t>
  </si>
  <si>
    <t>63.58%</t>
  </si>
  <si>
    <t>7.50%</t>
  </si>
  <si>
    <t>1.82%</t>
  </si>
  <si>
    <t>63.43%</t>
  </si>
  <si>
    <t>65.19%</t>
  </si>
  <si>
    <t>3.90%</t>
  </si>
  <si>
    <t>0.84%</t>
  </si>
  <si>
    <t>65.15%</t>
  </si>
  <si>
    <t>4.62%</t>
  </si>
  <si>
    <t>1.67%</t>
  </si>
  <si>
    <t>65.72%</t>
  </si>
  <si>
    <t>5.48%</t>
  </si>
  <si>
    <t>1.60%</t>
  </si>
  <si>
    <t>65.87%</t>
  </si>
  <si>
    <t>4.93%</t>
  </si>
  <si>
    <t>68.10%</t>
  </si>
  <si>
    <t>5.86%</t>
  </si>
  <si>
    <t>66.65%</t>
  </si>
  <si>
    <t>10.69%</t>
  </si>
  <si>
    <t>5.08%</t>
  </si>
  <si>
    <t>1.52%</t>
  </si>
  <si>
    <t>68.03%</t>
  </si>
  <si>
    <t>9.92%</t>
  </si>
  <si>
    <t>3.67%</t>
  </si>
  <si>
    <t>68.84%</t>
  </si>
  <si>
    <t>9.53%</t>
  </si>
  <si>
    <t>5.65%</t>
  </si>
  <si>
    <t>4.16%</t>
  </si>
  <si>
    <t>68.70%</t>
  </si>
  <si>
    <t>8.39%</t>
  </si>
  <si>
    <t>5.07%</t>
  </si>
  <si>
    <t>69.21%</t>
  </si>
  <si>
    <t>6.47%</t>
  </si>
  <si>
    <t>69.50%</t>
  </si>
  <si>
    <t>7.54%</t>
  </si>
  <si>
    <t>69.38%</t>
  </si>
  <si>
    <t>9.91%</t>
  </si>
  <si>
    <t>5.90%</t>
  </si>
  <si>
    <t>5.37%</t>
  </si>
  <si>
    <t>71.35%</t>
  </si>
  <si>
    <t>11.79%</t>
  </si>
  <si>
    <t>4.01%</t>
  </si>
  <si>
    <t>73.11%</t>
  </si>
  <si>
    <t>16.44%</t>
  </si>
  <si>
    <t>10.76%</t>
  </si>
  <si>
    <t>25.79%</t>
  </si>
  <si>
    <t>4.24%</t>
  </si>
  <si>
    <t>72.05%</t>
  </si>
  <si>
    <t>14.50%</t>
  </si>
  <si>
    <t>13.68%</t>
  </si>
  <si>
    <t>14.85%</t>
  </si>
  <si>
    <t>73.13%</t>
  </si>
  <si>
    <t>12.81%</t>
  </si>
  <si>
    <t>12.83%</t>
  </si>
  <si>
    <t>28.48%</t>
  </si>
  <si>
    <t>74.28%</t>
  </si>
  <si>
    <t>3.39%</t>
  </si>
  <si>
    <t>73.93%</t>
  </si>
  <si>
    <t>0.35%</t>
  </si>
  <si>
    <t>75.96%</t>
  </si>
  <si>
    <t>4.91%</t>
  </si>
  <si>
    <t>75.89%</t>
  </si>
  <si>
    <t>6.03%</t>
  </si>
  <si>
    <t>1.44%</t>
  </si>
  <si>
    <t>77.98%</t>
  </si>
  <si>
    <t>6.84%</t>
  </si>
  <si>
    <t>1.64%</t>
  </si>
  <si>
    <t>5.34%</t>
  </si>
  <si>
    <t>80.08%</t>
  </si>
  <si>
    <t>8.64%</t>
  </si>
  <si>
    <t>8.01%</t>
  </si>
  <si>
    <t>81.83%</t>
  </si>
  <si>
    <t>15.22%</t>
  </si>
  <si>
    <t>15.77%</t>
  </si>
  <si>
    <t>15.78%</t>
  </si>
  <si>
    <t>12.90%</t>
  </si>
  <si>
    <t>7.49%</t>
  </si>
  <si>
    <t>0.29%</t>
  </si>
  <si>
    <t>-0.05%</t>
  </si>
  <si>
    <t>-5.62%</t>
  </si>
  <si>
    <t>0.05%</t>
  </si>
  <si>
    <t>7.04%</t>
  </si>
  <si>
    <t>0.03%</t>
  </si>
  <si>
    <t>65.42%</t>
  </si>
  <si>
    <t>3.86%</t>
  </si>
  <si>
    <t>62.44%</t>
  </si>
  <si>
    <t>4.40%</t>
  </si>
  <si>
    <t>0.94%</t>
  </si>
  <si>
    <t>65.48%</t>
  </si>
  <si>
    <t>0.73%</t>
  </si>
  <si>
    <t>68.27%</t>
  </si>
  <si>
    <t>5.03%</t>
  </si>
  <si>
    <t>65.41%</t>
  </si>
  <si>
    <t>4.96%</t>
  </si>
  <si>
    <t>67.65%</t>
  </si>
  <si>
    <t>5.15%</t>
  </si>
  <si>
    <t>0.80%</t>
  </si>
  <si>
    <t>6.76%</t>
  </si>
  <si>
    <t>67.39%</t>
  </si>
  <si>
    <t>5.83%</t>
  </si>
  <si>
    <t>0.70%</t>
  </si>
  <si>
    <t>69.62%</t>
  </si>
  <si>
    <t>4.66%</t>
  </si>
  <si>
    <t>70.04%</t>
  </si>
  <si>
    <t>-0.76%</t>
  </si>
  <si>
    <t>67.09%</t>
  </si>
  <si>
    <t>70.03%</t>
  </si>
  <si>
    <t>6.01%</t>
  </si>
  <si>
    <t>70.65%</t>
  </si>
  <si>
    <t>3.95%</t>
  </si>
  <si>
    <t>2.08%</t>
  </si>
  <si>
    <t>0.51%</t>
  </si>
  <si>
    <t>9.01%</t>
  </si>
  <si>
    <t>0.88%</t>
  </si>
  <si>
    <t>71.94%</t>
  </si>
  <si>
    <t>6.17%</t>
  </si>
  <si>
    <t>2.65%</t>
  </si>
  <si>
    <t>7.53%</t>
  </si>
  <si>
    <t>72.88%</t>
  </si>
  <si>
    <t>5.89%</t>
  </si>
  <si>
    <t>2.22%</t>
  </si>
  <si>
    <t>72.31%</t>
  </si>
  <si>
    <t>7.82%</t>
  </si>
  <si>
    <t>71.39%</t>
  </si>
  <si>
    <t>9.08%</t>
  </si>
  <si>
    <t>3.05%</t>
  </si>
  <si>
    <t>68.80%</t>
  </si>
  <si>
    <t>71.70%</t>
  </si>
  <si>
    <t>13.05%</t>
  </si>
  <si>
    <t>7.72%</t>
  </si>
  <si>
    <t>2.05%</t>
  </si>
  <si>
    <t>9.36%</t>
  </si>
  <si>
    <t>73.95%</t>
  </si>
  <si>
    <t>12.42%</t>
  </si>
  <si>
    <t>12.24%</t>
  </si>
  <si>
    <t>10.75%</t>
  </si>
  <si>
    <t>11.62%</t>
  </si>
  <si>
    <t>10.16%</t>
  </si>
  <si>
    <t>20.52%</t>
  </si>
  <si>
    <t>7.52%</t>
  </si>
  <si>
    <t>75.05%</t>
  </si>
  <si>
    <t>77.90%</t>
  </si>
  <si>
    <t>5.85%</t>
  </si>
  <si>
    <t>4.56%</t>
  </si>
  <si>
    <t>75.99%</t>
  </si>
  <si>
    <t>8.76%</t>
  </si>
  <si>
    <t>1.96%</t>
  </si>
  <si>
    <t>6.66%</t>
  </si>
  <si>
    <t>78.68%</t>
  </si>
  <si>
    <t>5.10%</t>
  </si>
  <si>
    <t>82.24%</t>
  </si>
  <si>
    <t>5.70%</t>
  </si>
  <si>
    <t>4.36%</t>
  </si>
  <si>
    <t>86.04%</t>
  </si>
  <si>
    <t>8.07%</t>
  </si>
  <si>
    <t>7.99%</t>
  </si>
  <si>
    <t>9.32%</t>
  </si>
  <si>
    <t>6.94%</t>
  </si>
  <si>
    <t>6.87%</t>
  </si>
  <si>
    <t>8.02%</t>
  </si>
  <si>
    <t>24.24%</t>
  </si>
  <si>
    <t>-0.17%</t>
  </si>
  <si>
    <t>-1.12%</t>
  </si>
  <si>
    <t>0.31%</t>
  </si>
  <si>
    <t>39</t>
  </si>
  <si>
    <t>0.42%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</si>
  <si>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<phoneticPr fontId="9" type="noConversion"/>
  </si>
  <si>
    <t>3.19%</t>
  </si>
  <si>
    <t>40</t>
  </si>
  <si>
    <t>1.57%</t>
  </si>
  <si>
    <t>-2.35%</t>
  </si>
  <si>
    <t>2.24%</t>
  </si>
  <si>
    <t>2.56%</t>
  </si>
  <si>
    <t>3.07%</t>
  </si>
  <si>
    <t>2.68%</t>
  </si>
  <si>
    <t>8.90%</t>
  </si>
  <si>
    <t>41</t>
  </si>
  <si>
    <t>2.21%</t>
  </si>
  <si>
    <t>0.22%</t>
  </si>
  <si>
    <t>-4.09%</t>
  </si>
  <si>
    <t>0.40%</t>
  </si>
  <si>
    <t>-0.09%</t>
  </si>
  <si>
    <t>-16.07%</t>
  </si>
  <si>
    <t>42</t>
  </si>
  <si>
    <t>4.87%</t>
  </si>
  <si>
    <t>0.89%</t>
  </si>
  <si>
    <t>2.57%</t>
  </si>
  <si>
    <t>0.33%</t>
  </si>
  <si>
    <t>3.76%</t>
  </si>
  <si>
    <t>2.69%</t>
  </si>
  <si>
    <t>0.59%</t>
  </si>
  <si>
    <t>5.31%</t>
  </si>
  <si>
    <t>43</t>
  </si>
  <si>
    <t>15.21%</t>
  </si>
  <si>
    <t>44</t>
  </si>
  <si>
    <t>3.88%</t>
  </si>
  <si>
    <t>8.82%</t>
  </si>
  <si>
    <t>15.63%</t>
  </si>
  <si>
    <t>3.45%</t>
  </si>
  <si>
    <t>3.06%</t>
  </si>
  <si>
    <t>75.38%</t>
  </si>
  <si>
    <t>0.04%</t>
  </si>
  <si>
    <t>0.49%</t>
  </si>
  <si>
    <t>3.00%</t>
  </si>
  <si>
    <t>4.78%</t>
  </si>
  <si>
    <t>3.65%</t>
  </si>
  <si>
    <t>5.60%</t>
  </si>
  <si>
    <t>1.03%</t>
  </si>
  <si>
    <t>0.27%</t>
  </si>
  <si>
    <t>28.88%</t>
  </si>
  <si>
    <t>45</t>
  </si>
  <si>
    <t>-0.23%</t>
  </si>
  <si>
    <t>0.53%</t>
  </si>
  <si>
    <t>3.09%</t>
  </si>
  <si>
    <t>上期日期</t>
    <phoneticPr fontId="9" type="noConversion"/>
  </si>
  <si>
    <t>本期日期</t>
    <phoneticPr fontId="9" type="noConversion"/>
  </si>
  <si>
    <t>上期实绩</t>
  </si>
  <si>
    <t>本期实绩</t>
  </si>
  <si>
    <t>上期累计实绩</t>
  </si>
  <si>
    <t>本期累计实绩</t>
  </si>
  <si>
    <t>环比</t>
    <phoneticPr fontId="9" type="noConversion"/>
  </si>
  <si>
    <t>累计环比</t>
    <phoneticPr fontId="9" type="noConversion"/>
  </si>
  <si>
    <t>车型</t>
    <phoneticPr fontId="9" type="noConversion"/>
  </si>
  <si>
    <t>华东一区</t>
    <phoneticPr fontId="9" type="noConversion"/>
  </si>
  <si>
    <t>华东二区</t>
    <phoneticPr fontId="9" type="noConversion"/>
  </si>
  <si>
    <t>华东三区</t>
    <phoneticPr fontId="9" type="noConversion"/>
  </si>
  <si>
    <t>华南区</t>
    <phoneticPr fontId="9" type="noConversion"/>
  </si>
  <si>
    <t>华中一区</t>
    <phoneticPr fontId="9" type="noConversion"/>
  </si>
  <si>
    <t>华中二区</t>
    <phoneticPr fontId="9" type="noConversion"/>
  </si>
  <si>
    <t>西南区</t>
    <phoneticPr fontId="9" type="noConversion"/>
  </si>
  <si>
    <t>西北区</t>
    <phoneticPr fontId="9" type="noConversion"/>
  </si>
  <si>
    <t>华北区</t>
    <phoneticPr fontId="9" type="noConversion"/>
  </si>
  <si>
    <t>东北区</t>
    <phoneticPr fontId="9" type="noConversion"/>
  </si>
  <si>
    <t>其它</t>
    <phoneticPr fontId="9" type="noConversion"/>
  </si>
  <si>
    <t>合计</t>
    <phoneticPr fontId="9" type="noConversion"/>
  </si>
  <si>
    <t>R1-自有平台</t>
    <phoneticPr fontId="9" type="noConversion"/>
  </si>
  <si>
    <t>R2-总部客服</t>
    <phoneticPr fontId="9" type="noConversion"/>
  </si>
  <si>
    <t>R3-天网行动</t>
    <phoneticPr fontId="9" type="noConversion"/>
  </si>
  <si>
    <t>R4-媒体专案</t>
    <phoneticPr fontId="9" type="noConversion"/>
  </si>
  <si>
    <t>R5-专营店自建</t>
    <phoneticPr fontId="9" type="noConversion"/>
  </si>
  <si>
    <t>R6-1总部新媒体</t>
    <phoneticPr fontId="9" type="noConversion"/>
  </si>
  <si>
    <t>R8-线下活动</t>
    <phoneticPr fontId="9" type="noConversion"/>
  </si>
  <si>
    <t>R9-保客推荐</t>
    <phoneticPr fontId="9" type="noConversion"/>
  </si>
  <si>
    <t>R6-2经销商新媒体</t>
    <phoneticPr fontId="9" type="noConversion"/>
  </si>
  <si>
    <t>R6-3总部自媒体</t>
    <phoneticPr fontId="9" type="noConversion"/>
  </si>
  <si>
    <t>N7</t>
    <phoneticPr fontId="9" type="noConversion"/>
  </si>
  <si>
    <t>N6</t>
    <phoneticPr fontId="9" type="noConversion"/>
  </si>
  <si>
    <t>天籁·鸿蒙座舱</t>
    <phoneticPr fontId="9" type="noConversion"/>
  </si>
  <si>
    <t>NX8</t>
    <phoneticPr fontId="9" type="noConversion"/>
  </si>
  <si>
    <t>71.32%</t>
  </si>
  <si>
    <t>3.22%</t>
  </si>
  <si>
    <t>36.45%</t>
  </si>
  <si>
    <t>2.47%</t>
  </si>
  <si>
    <t>4.83%</t>
  </si>
  <si>
    <t>2.29%</t>
  </si>
  <si>
    <t>1.76%</t>
  </si>
  <si>
    <t>43.65%</t>
  </si>
  <si>
    <t>69.64%</t>
  </si>
  <si>
    <t>72.48%</t>
  </si>
  <si>
    <t>72.59%</t>
  </si>
  <si>
    <t>74.65%</t>
  </si>
  <si>
    <t>4.37%</t>
  </si>
  <si>
    <t>75.32%</t>
  </si>
  <si>
    <t>4.99%</t>
  </si>
  <si>
    <t>75.88%</t>
  </si>
  <si>
    <t>4.20%</t>
  </si>
  <si>
    <t>75.91%</t>
  </si>
  <si>
    <t>78.16%</t>
  </si>
  <si>
    <t>0.77%</t>
  </si>
  <si>
    <t>79.79%</t>
  </si>
  <si>
    <t>81.82%</t>
  </si>
  <si>
    <t>0.72%</t>
  </si>
  <si>
    <t>82.93%</t>
  </si>
  <si>
    <t>4.41%</t>
  </si>
  <si>
    <t>84.40%</t>
  </si>
  <si>
    <t>5.75%</t>
  </si>
  <si>
    <t>86.98%</t>
  </si>
  <si>
    <t>1.81%</t>
  </si>
  <si>
    <t>5.56%</t>
  </si>
  <si>
    <t>3.82%</t>
  </si>
  <si>
    <t>18.83%</t>
  </si>
  <si>
    <t>46</t>
  </si>
  <si>
    <t>90.97%</t>
  </si>
  <si>
    <t>3.20%</t>
  </si>
  <si>
    <t>-0.02%</t>
  </si>
  <si>
    <t>2.91%</t>
  </si>
  <si>
    <t>1.02%</t>
  </si>
  <si>
    <t>-2.78%</t>
  </si>
  <si>
    <t>73.08%</t>
  </si>
  <si>
    <t>5.92%</t>
  </si>
  <si>
    <t>2.01%</t>
  </si>
  <si>
    <t>26.93%</t>
  </si>
  <si>
    <t>1.59%</t>
  </si>
  <si>
    <t>4.32%</t>
  </si>
  <si>
    <t>74.50%</t>
  </si>
  <si>
    <t>3.43%</t>
  </si>
  <si>
    <t>74.34%</t>
  </si>
  <si>
    <t>4.13%</t>
  </si>
  <si>
    <t>73.90%</t>
  </si>
  <si>
    <t>4.67%</t>
  </si>
  <si>
    <t>75.76%</t>
  </si>
  <si>
    <t>6.42%</t>
  </si>
  <si>
    <t>79.41%</t>
  </si>
  <si>
    <t>6.16%</t>
  </si>
  <si>
    <t>4.89%</t>
  </si>
  <si>
    <t>78.00%</t>
  </si>
  <si>
    <t>3.21%</t>
  </si>
  <si>
    <t>81.36%</t>
  </si>
  <si>
    <t>3.27%</t>
  </si>
  <si>
    <t>82.01%</t>
  </si>
  <si>
    <t>2.72%</t>
  </si>
  <si>
    <t>83.54%</t>
  </si>
  <si>
    <t>3.17%</t>
  </si>
  <si>
    <t>82.43%</t>
  </si>
  <si>
    <t>4.65%</t>
  </si>
  <si>
    <t>88.58%</t>
  </si>
  <si>
    <t>2.74%</t>
  </si>
  <si>
    <t>88.52%</t>
  </si>
  <si>
    <t>1.83%</t>
  </si>
  <si>
    <t>92.57%</t>
  </si>
  <si>
    <t>-11.11%</t>
  </si>
  <si>
    <t>2.41%</t>
  </si>
  <si>
    <t>-0.27%</t>
  </si>
  <si>
    <t>-4.63%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</si>
</sst>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F800]dddd\,\ mmmm\ dd\,\ yyyy"/>
    <numFmt numFmtId="177" formatCode="0_ "/>
    <numFmt numFmtId="178" formatCode="0.0_ "/>
    <numFmt numFmtId="179" formatCode="#0.0%"/>
    <numFmt numFmtId="180" formatCode="#0.00%"/>
    <numFmt numFmtId="181" formatCode="#0"/>
    <numFmt numFmtId="182" formatCode="m/d;@"/>
    <numFmt numFmtId="183" formatCode="0.0%"/>
  </numFmts>
  <fonts count="21">
    <font>
      <sz val="11"/>
      <color theme="1"/>
      <name val="等线"/>
      <charset val="134"/>
      <scheme val="minor"/>
    </font>
    <font>
      <b/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b/>
      <sz val="11"/>
      <color indexed="8"/>
      <name val="simsun"/>
      <charset val="134"/>
    </font>
    <font>
      <sz val="11"/>
      <color indexed="8"/>
      <name val="simsun"/>
      <charset val="134"/>
    </font>
    <font>
      <sz val="10"/>
      <color theme="1" tint="0.34998626667073579"/>
      <name val="Arial"/>
      <family val="2"/>
    </font>
    <font>
      <sz val="11"/>
      <color theme="1" tint="0.34998626667073579"/>
      <name val="Arial"/>
      <family val="2"/>
    </font>
    <font>
      <b/>
      <sz val="10"/>
      <color rgb="FF000333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</borders>
  <cellStyleXfs count="17">
    <xf numFmtId="0" fontId="0" fillId="0" borderId="0"/>
    <xf numFmtId="9" fontId="5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176" fontId="5" fillId="0" borderId="0">
      <alignment vertical="center"/>
    </xf>
    <xf numFmtId="0" fontId="7" fillId="0" borderId="0"/>
    <xf numFmtId="0" fontId="8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0" fillId="0" borderId="0">
      <alignment vertical="center"/>
    </xf>
  </cellStyleXfs>
  <cellXfs count="51">
    <xf numFmtId="0" fontId="0" fillId="0" borderId="0" xfId="0"/>
    <xf numFmtId="0" fontId="10" fillId="2" borderId="2" xfId="0" applyFont="1" applyFill="1" applyBorder="1"/>
    <xf numFmtId="31" fontId="0" fillId="2" borderId="3" xfId="0" applyNumberFormat="1" applyFill="1" applyBorder="1"/>
    <xf numFmtId="0" fontId="10" fillId="2" borderId="4" xfId="0" applyFont="1" applyFill="1" applyBorder="1"/>
    <xf numFmtId="10" fontId="0" fillId="2" borderId="5" xfId="1" applyNumberFormat="1" applyFont="1" applyFill="1" applyBorder="1" applyAlignment="1"/>
    <xf numFmtId="0" fontId="0" fillId="2" borderId="5" xfId="0" applyFill="1" applyBorder="1"/>
    <xf numFmtId="0" fontId="10" fillId="2" borderId="6" xfId="0" applyFont="1" applyFill="1" applyBorder="1"/>
    <xf numFmtId="0" fontId="0" fillId="2" borderId="7" xfId="0" applyFill="1" applyBorder="1"/>
    <xf numFmtId="31" fontId="11" fillId="2" borderId="3" xfId="0" applyNumberFormat="1" applyFont="1" applyFill="1" applyBorder="1"/>
    <xf numFmtId="0" fontId="12" fillId="3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7" fontId="13" fillId="0" borderId="1" xfId="0" applyNumberFormat="1" applyFont="1" applyBorder="1" applyAlignment="1">
      <alignment horizontal="center" vertical="center"/>
    </xf>
    <xf numFmtId="178" fontId="13" fillId="0" borderId="1" xfId="0" applyNumberFormat="1" applyFont="1" applyBorder="1" applyAlignment="1">
      <alignment horizontal="center" vertical="center"/>
    </xf>
    <xf numFmtId="14" fontId="13" fillId="0" borderId="1" xfId="0" applyNumberFormat="1" applyFont="1" applyBorder="1" applyAlignment="1">
      <alignment horizontal="center" vertical="center"/>
    </xf>
    <xf numFmtId="0" fontId="5" fillId="0" borderId="0" xfId="8"/>
    <xf numFmtId="176" fontId="5" fillId="0" borderId="0" xfId="8" applyNumberFormat="1"/>
    <xf numFmtId="1" fontId="14" fillId="0" borderId="1" xfId="3" applyNumberFormat="1" applyFont="1" applyFill="1" applyBorder="1" applyAlignment="1">
      <alignment horizontal="center" vertical="center" wrapText="1"/>
    </xf>
    <xf numFmtId="1" fontId="14" fillId="4" borderId="1" xfId="3" applyNumberFormat="1" applyFont="1" applyFill="1" applyBorder="1" applyAlignment="1">
      <alignment horizontal="center" vertical="center" wrapText="1"/>
    </xf>
    <xf numFmtId="31" fontId="5" fillId="0" borderId="1" xfId="8" applyNumberFormat="1" applyBorder="1"/>
    <xf numFmtId="176" fontId="5" fillId="0" borderId="1" xfId="8" applyNumberFormat="1" applyBorder="1"/>
    <xf numFmtId="1" fontId="15" fillId="0" borderId="1" xfId="3" applyNumberFormat="1" applyFont="1" applyFill="1" applyBorder="1" applyAlignment="1">
      <alignment horizontal="center" vertical="center" wrapText="1"/>
    </xf>
    <xf numFmtId="0" fontId="5" fillId="0" borderId="1" xfId="8" applyBorder="1"/>
    <xf numFmtId="1" fontId="5" fillId="4" borderId="1" xfId="8" applyNumberFormat="1" applyFill="1" applyBorder="1"/>
    <xf numFmtId="1" fontId="5" fillId="0" borderId="1" xfId="8" applyNumberFormat="1" applyBorder="1"/>
    <xf numFmtId="0" fontId="5" fillId="0" borderId="1" xfId="8" applyBorder="1" applyAlignment="1">
      <alignment horizontal="center" vertical="center"/>
    </xf>
    <xf numFmtId="0" fontId="5" fillId="4" borderId="1" xfId="8" applyFill="1" applyBorder="1" applyAlignment="1">
      <alignment horizontal="center" vertical="center"/>
    </xf>
    <xf numFmtId="0" fontId="5" fillId="5" borderId="1" xfId="8" applyFill="1" applyBorder="1" applyAlignment="1">
      <alignment horizontal="center" vertical="center"/>
    </xf>
    <xf numFmtId="176" fontId="5" fillId="5" borderId="1" xfId="8" applyNumberForma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179" fontId="17" fillId="7" borderId="8" xfId="0" applyNumberFormat="1" applyFont="1" applyFill="1" applyBorder="1" applyAlignment="1">
      <alignment horizontal="center" vertical="center" wrapText="1"/>
    </xf>
    <xf numFmtId="179" fontId="4" fillId="0" borderId="8" xfId="0" applyNumberFormat="1" applyFont="1" applyBorder="1" applyAlignment="1">
      <alignment horizontal="center" vertical="center" wrapText="1"/>
    </xf>
    <xf numFmtId="180" fontId="17" fillId="7" borderId="8" xfId="0" applyNumberFormat="1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181" fontId="17" fillId="7" borderId="8" xfId="0" applyNumberFormat="1" applyFont="1" applyFill="1" applyBorder="1" applyAlignment="1">
      <alignment horizontal="center" vertical="center" wrapText="1"/>
    </xf>
    <xf numFmtId="14" fontId="4" fillId="0" borderId="8" xfId="0" applyNumberFormat="1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5" fillId="0" borderId="0" xfId="0" applyFont="1"/>
    <xf numFmtId="31" fontId="11" fillId="2" borderId="11" xfId="0" applyNumberFormat="1" applyFont="1" applyFill="1" applyBorder="1"/>
    <xf numFmtId="0" fontId="5" fillId="2" borderId="6" xfId="0" applyFont="1" applyFill="1" applyBorder="1"/>
    <xf numFmtId="14" fontId="0" fillId="0" borderId="7" xfId="0" applyNumberFormat="1" applyBorder="1"/>
    <xf numFmtId="0" fontId="5" fillId="0" borderId="0" xfId="8" applyAlignment="1">
      <alignment vertical="top" wrapText="1"/>
    </xf>
    <xf numFmtId="182" fontId="0" fillId="0" borderId="0" xfId="0" applyNumberFormat="1"/>
    <xf numFmtId="183" fontId="0" fillId="0" borderId="0" xfId="1" applyNumberFormat="1" applyFont="1" applyAlignment="1"/>
    <xf numFmtId="0" fontId="16" fillId="6" borderId="8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3" fillId="0" borderId="8" xfId="0" applyFont="1" applyBorder="1" applyAlignment="1">
      <alignment horizontal="center" vertical="center" wrapText="1"/>
    </xf>
  </cellXfs>
  <cellStyles count="17">
    <cellStyle name="百分比" xfId="1" builtinId="5"/>
    <cellStyle name="百分比 2" xfId="2" xr:uid="{00000000-0005-0000-0000-000031000000}"/>
    <cellStyle name="百分比 2 2" xfId="3" xr:uid="{00000000-0005-0000-0000-000032000000}"/>
    <cellStyle name="百分比 4" xfId="4" xr:uid="{00000000-0005-0000-0000-000033000000}"/>
    <cellStyle name="百分比 5" xfId="5" xr:uid="{00000000-0005-0000-0000-000034000000}"/>
    <cellStyle name="常规" xfId="0" builtinId="0"/>
    <cellStyle name="常规 2" xfId="6" xr:uid="{00000000-0005-0000-0000-000035000000}"/>
    <cellStyle name="常规 2 2 2" xfId="7" xr:uid="{00000000-0005-0000-0000-000036000000}"/>
    <cellStyle name="常规 2 3" xfId="8" xr:uid="{00000000-0005-0000-0000-000037000000}"/>
    <cellStyle name="常规 3" xfId="9" xr:uid="{00000000-0005-0000-0000-000038000000}"/>
    <cellStyle name="常规 4" xfId="10" xr:uid="{00000000-0005-0000-0000-000039000000}"/>
    <cellStyle name="常规 4 2" xfId="11" xr:uid="{00000000-0005-0000-0000-00003A000000}"/>
    <cellStyle name="常规 5" xfId="12" xr:uid="{00000000-0005-0000-0000-00003B000000}"/>
    <cellStyle name="常规 6" xfId="16" xr:uid="{D3C2C6E8-D139-4BD7-B116-A84377B71B1A}"/>
    <cellStyle name="常规 7" xfId="13" xr:uid="{00000000-0005-0000-0000-00003C000000}"/>
    <cellStyle name="常规 7 2" xfId="15" xr:uid="{79466CB6-E81F-4F3C-ACBF-8CCAEC4F4FFA}"/>
    <cellStyle name="常规 8" xfId="14" xr:uid="{00000000-0005-0000-0000-00003D000000}"/>
  </cellStyles>
  <dxfs count="4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E54C5E"/>
      <color rgb="FFFADBDF"/>
      <color rgb="FFEF94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 alt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全车有效线索管控!$A$5</c:f>
              <c:strCache>
                <c:ptCount val="1"/>
                <c:pt idx="0">
                  <c:v>上期实绩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全车有效线索管控!$B$5:$AF$5</c:f>
              <c:numCache>
                <c:formatCode>General</c:formatCode>
                <c:ptCount val="31"/>
                <c:pt idx="0">
                  <c:v>24944</c:v>
                </c:pt>
                <c:pt idx="1">
                  <c:v>24314</c:v>
                </c:pt>
                <c:pt idx="2">
                  <c:v>23682</c:v>
                </c:pt>
                <c:pt idx="3">
                  <c:v>24712</c:v>
                </c:pt>
                <c:pt idx="4">
                  <c:v>24641</c:v>
                </c:pt>
                <c:pt idx="5">
                  <c:v>23986</c:v>
                </c:pt>
                <c:pt idx="6">
                  <c:v>25175</c:v>
                </c:pt>
                <c:pt idx="7">
                  <c:v>24336</c:v>
                </c:pt>
                <c:pt idx="8">
                  <c:v>23207</c:v>
                </c:pt>
                <c:pt idx="9">
                  <c:v>23197</c:v>
                </c:pt>
                <c:pt idx="10">
                  <c:v>22800</c:v>
                </c:pt>
                <c:pt idx="11">
                  <c:v>23811</c:v>
                </c:pt>
                <c:pt idx="12">
                  <c:v>24683</c:v>
                </c:pt>
                <c:pt idx="13">
                  <c:v>26242</c:v>
                </c:pt>
                <c:pt idx="14">
                  <c:v>26887</c:v>
                </c:pt>
                <c:pt idx="15">
                  <c:v>26772</c:v>
                </c:pt>
                <c:pt idx="16">
                  <c:v>24431</c:v>
                </c:pt>
                <c:pt idx="17">
                  <c:v>24048</c:v>
                </c:pt>
                <c:pt idx="18">
                  <c:v>23889</c:v>
                </c:pt>
                <c:pt idx="19">
                  <c:v>25064</c:v>
                </c:pt>
                <c:pt idx="20">
                  <c:v>25346</c:v>
                </c:pt>
                <c:pt idx="21">
                  <c:v>29600</c:v>
                </c:pt>
                <c:pt idx="22">
                  <c:v>25535</c:v>
                </c:pt>
                <c:pt idx="23">
                  <c:v>23656</c:v>
                </c:pt>
                <c:pt idx="24">
                  <c:v>23366</c:v>
                </c:pt>
                <c:pt idx="25">
                  <c:v>25365</c:v>
                </c:pt>
                <c:pt idx="26">
                  <c:v>24052</c:v>
                </c:pt>
                <c:pt idx="27">
                  <c:v>25855</c:v>
                </c:pt>
                <c:pt idx="28">
                  <c:v>26953</c:v>
                </c:pt>
                <c:pt idx="29">
                  <c:v>25433</c:v>
                </c:pt>
                <c:pt idx="30">
                  <c:v>24499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A5-4F2C-B765-F67D0F471246}"/>
            </c:ext>
          </c:extLst>
        </c:ser>
        <c:ser>
          <c:idx val="2"/>
          <c:order val="1"/>
          <c:tx>
            <c:strRef>
              <c:f>全车有效线索管控!$A$6</c:f>
              <c:strCache>
                <c:ptCount val="1"/>
                <c:pt idx="0">
                  <c:v>本期实绩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全车有效线索管控!$B$6:$AF$6</c:f>
              <c:numCache>
                <c:formatCode>General</c:formatCode>
                <c:ptCount val="31"/>
                <c:pt idx="0">
                  <c:v>20606</c:v>
                </c:pt>
                <c:pt idx="1">
                  <c:v>21529</c:v>
                </c:pt>
                <c:pt idx="2">
                  <c:v>22544</c:v>
                </c:pt>
                <c:pt idx="3">
                  <c:v>24137</c:v>
                </c:pt>
                <c:pt idx="4">
                  <c:v>26419</c:v>
                </c:pt>
                <c:pt idx="5">
                  <c:v>25624</c:v>
                </c:pt>
                <c:pt idx="6">
                  <c:v>25779</c:v>
                </c:pt>
                <c:pt idx="7">
                  <c:v>30512</c:v>
                </c:pt>
                <c:pt idx="8">
                  <c:v>28960</c:v>
                </c:pt>
                <c:pt idx="9">
                  <c:v>26569</c:v>
                </c:pt>
                <c:pt idx="10">
                  <c:v>31198</c:v>
                </c:pt>
                <c:pt idx="11">
                  <c:v>34298</c:v>
                </c:pt>
                <c:pt idx="12">
                  <c:v>30893</c:v>
                </c:pt>
                <c:pt idx="13">
                  <c:v>31164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A5-4F2C-B765-F67D0F471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4336288"/>
        <c:axId val="20596112"/>
      </c:barChart>
      <c:lineChart>
        <c:grouping val="standard"/>
        <c:varyColors val="0"/>
        <c:ser>
          <c:idx val="3"/>
          <c:order val="2"/>
          <c:tx>
            <c:strRef>
              <c:f>全车有效线索管控!$A$7</c:f>
              <c:strCache>
                <c:ptCount val="1"/>
                <c:pt idx="0">
                  <c:v>上期累计实绩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全车有效线索管控!$B$7:$AF$7</c:f>
              <c:numCache>
                <c:formatCode>General</c:formatCode>
                <c:ptCount val="31"/>
                <c:pt idx="0">
                  <c:v>24944</c:v>
                </c:pt>
                <c:pt idx="1">
                  <c:v>49258</c:v>
                </c:pt>
                <c:pt idx="2">
                  <c:v>72940</c:v>
                </c:pt>
                <c:pt idx="3">
                  <c:v>97652</c:v>
                </c:pt>
                <c:pt idx="4">
                  <c:v>122293</c:v>
                </c:pt>
                <c:pt idx="5">
                  <c:v>146279</c:v>
                </c:pt>
                <c:pt idx="6">
                  <c:v>171454</c:v>
                </c:pt>
                <c:pt idx="7">
                  <c:v>195790</c:v>
                </c:pt>
                <c:pt idx="8">
                  <c:v>218997</c:v>
                </c:pt>
                <c:pt idx="9">
                  <c:v>242194</c:v>
                </c:pt>
                <c:pt idx="10">
                  <c:v>264994</c:v>
                </c:pt>
                <c:pt idx="11">
                  <c:v>288805</c:v>
                </c:pt>
                <c:pt idx="12">
                  <c:v>313488</c:v>
                </c:pt>
                <c:pt idx="13">
                  <c:v>339730</c:v>
                </c:pt>
                <c:pt idx="14">
                  <c:v>366617</c:v>
                </c:pt>
                <c:pt idx="15">
                  <c:v>393389</c:v>
                </c:pt>
                <c:pt idx="16">
                  <c:v>417820</c:v>
                </c:pt>
                <c:pt idx="17">
                  <c:v>441868</c:v>
                </c:pt>
                <c:pt idx="18">
                  <c:v>465757</c:v>
                </c:pt>
                <c:pt idx="19">
                  <c:v>490821</c:v>
                </c:pt>
                <c:pt idx="20">
                  <c:v>516167</c:v>
                </c:pt>
                <c:pt idx="21">
                  <c:v>545767</c:v>
                </c:pt>
                <c:pt idx="22">
                  <c:v>571302</c:v>
                </c:pt>
                <c:pt idx="23">
                  <c:v>594958</c:v>
                </c:pt>
                <c:pt idx="24">
                  <c:v>618324</c:v>
                </c:pt>
                <c:pt idx="25">
                  <c:v>643689</c:v>
                </c:pt>
                <c:pt idx="26">
                  <c:v>667741</c:v>
                </c:pt>
                <c:pt idx="27">
                  <c:v>693596</c:v>
                </c:pt>
                <c:pt idx="28">
                  <c:v>720549</c:v>
                </c:pt>
                <c:pt idx="29">
                  <c:v>745982</c:v>
                </c:pt>
                <c:pt idx="30">
                  <c:v>770481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A5-4F2C-B765-F67D0F471246}"/>
            </c:ext>
          </c:extLst>
        </c:ser>
        <c:ser>
          <c:idx val="4"/>
          <c:order val="3"/>
          <c:tx>
            <c:strRef>
              <c:f>全车有效线索管控!$A$8</c:f>
              <c:strCache>
                <c:ptCount val="1"/>
                <c:pt idx="0">
                  <c:v>本期累计实绩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全车有效线索管控!$B$8:$AF$8</c:f>
              <c:numCache>
                <c:formatCode>General</c:formatCode>
                <c:ptCount val="31"/>
                <c:pt idx="0">
                  <c:v>20606</c:v>
                </c:pt>
                <c:pt idx="1">
                  <c:v>42135</c:v>
                </c:pt>
                <c:pt idx="2">
                  <c:v>64679</c:v>
                </c:pt>
                <c:pt idx="3">
                  <c:v>88816</c:v>
                </c:pt>
                <c:pt idx="4">
                  <c:v>115235</c:v>
                </c:pt>
                <c:pt idx="5">
                  <c:v>140859</c:v>
                </c:pt>
                <c:pt idx="6">
                  <c:v>166638</c:v>
                </c:pt>
                <c:pt idx="7">
                  <c:v>197150</c:v>
                </c:pt>
                <c:pt idx="8">
                  <c:v>226110</c:v>
                </c:pt>
                <c:pt idx="9">
                  <c:v>252679</c:v>
                </c:pt>
                <c:pt idx="10">
                  <c:v>283877</c:v>
                </c:pt>
                <c:pt idx="11">
                  <c:v>318175</c:v>
                </c:pt>
                <c:pt idx="12">
                  <c:v>349068</c:v>
                </c:pt>
                <c:pt idx="13">
                  <c:v>380232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A5-4F2C-B765-F67D0F471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134048"/>
        <c:axId val="2115135008"/>
      </c:lineChart>
      <c:catAx>
        <c:axId val="2115134048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5008"/>
        <c:crosses val="autoZero"/>
        <c:auto val="1"/>
        <c:lblAlgn val="ctr"/>
        <c:lblOffset val="100"/>
        <c:noMultiLvlLbl val="0"/>
      </c:catAx>
      <c:valAx>
        <c:axId val="211513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4048"/>
        <c:crosses val="autoZero"/>
        <c:crossBetween val="between"/>
      </c:valAx>
      <c:valAx>
        <c:axId val="20596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4336288"/>
        <c:crosses val="max"/>
        <c:crossBetween val="between"/>
      </c:valAx>
      <c:dateAx>
        <c:axId val="2114336288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20596112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14</xdr:row>
      <xdr:rowOff>14817</xdr:rowOff>
    </xdr:from>
    <xdr:to>
      <xdr:col>32</xdr:col>
      <xdr:colOff>328084</xdr:colOff>
      <xdr:row>36</xdr:row>
      <xdr:rowOff>63500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BD368C1-36AC-BE9A-6A85-D20A78FC2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96776031-9DEC-4F8A-BDB3-D819A42B8C21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B820D9C8-84D9-4F52-BADE-D7B5BF9FBE5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FB626580-DBD0-4927-84C8-E49409D0249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4094B40A-47E9-48DC-A3A1-5B730FCFE1D3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E0EC0AE0-2376-465A-A2EA-F29E6B5D5AE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B5F4EADB-767B-468F-9F77-B5CE0BD5E798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8" name="文本框 7">
          <a:extLst>
            <a:ext uri="{FF2B5EF4-FFF2-40B4-BE49-F238E27FC236}">
              <a16:creationId xmlns:a16="http://schemas.microsoft.com/office/drawing/2014/main" id="{D466C7BF-FF88-4FBB-A240-0378DCEAB1EF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888D8A3D-6824-4798-84EC-FC182394617D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443B85B1-9D97-4581-82D2-C776CCA2C615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3E0BADA4-AB4D-4EAD-9275-93914D31E072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7C698D37-374B-4C83-AEBF-C068A2DE544E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3" name="文本框 12">
          <a:extLst>
            <a:ext uri="{FF2B5EF4-FFF2-40B4-BE49-F238E27FC236}">
              <a16:creationId xmlns:a16="http://schemas.microsoft.com/office/drawing/2014/main" id="{8CA1B6B9-A25D-45DE-B7D0-C34190226A56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4" name="文本框 13">
          <a:extLst>
            <a:ext uri="{FF2B5EF4-FFF2-40B4-BE49-F238E27FC236}">
              <a16:creationId xmlns:a16="http://schemas.microsoft.com/office/drawing/2014/main" id="{1657C0EE-E474-4664-94DF-59335D8F1A0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22B6A541-FDBD-46F6-8794-8FA787C3F36F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BC89-9491-47A3-A7BB-1E5331A42AF3}">
  <sheetPr>
    <tabColor rgb="FFE54C5E"/>
  </sheetPr>
  <dimension ref="B1:I7"/>
  <sheetViews>
    <sheetView tabSelected="1" workbookViewId="0">
      <selection activeCell="K9" sqref="K9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thickBot="1">
      <c r="B1" s="39" t="s">
        <v>24</v>
      </c>
      <c r="C1" s="40">
        <f ca="1">TODAY()</f>
        <v>46127</v>
      </c>
    </row>
    <row r="2" spans="2:9">
      <c r="B2" s="1" t="s">
        <v>17</v>
      </c>
      <c r="C2" s="8">
        <f ca="1">C1-1</f>
        <v>46126</v>
      </c>
      <c r="E2" s="1" t="s">
        <v>18</v>
      </c>
      <c r="F2" s="2">
        <f ca="1">EDATE(C2,-1)</f>
        <v>46095</v>
      </c>
      <c r="H2" s="1" t="s">
        <v>19</v>
      </c>
      <c r="I2" s="2">
        <f ca="1">EDATE(C2,-12)</f>
        <v>45761</v>
      </c>
    </row>
    <row r="3" spans="2:9">
      <c r="B3" s="3" t="s">
        <v>20</v>
      </c>
      <c r="C3" s="4">
        <f ca="1">DAY(C2)/DAY(EOMONTH(C2,0))</f>
        <v>0.46666666666666667</v>
      </c>
      <c r="E3" s="3" t="s">
        <v>20</v>
      </c>
      <c r="F3" s="4">
        <f ca="1">DAY(F2)/DAY(EOMONTH(F2,0))</f>
        <v>0.45161290322580644</v>
      </c>
      <c r="H3" s="3" t="s">
        <v>20</v>
      </c>
      <c r="I3" s="4">
        <f ca="1">DAY(I2)/DAY(EOMONTH(I2,0))</f>
        <v>0.46666666666666667</v>
      </c>
    </row>
    <row r="4" spans="2:9">
      <c r="B4" s="3" t="s">
        <v>22</v>
      </c>
      <c r="C4" s="5">
        <f ca="1">YEAR(C2)</f>
        <v>2026</v>
      </c>
      <c r="E4" s="3" t="s">
        <v>22</v>
      </c>
      <c r="F4" s="5">
        <f ca="1">YEAR(F2)</f>
        <v>2026</v>
      </c>
      <c r="H4" s="3" t="s">
        <v>22</v>
      </c>
      <c r="I4" s="5">
        <f ca="1">YEAR(I2)</f>
        <v>2025</v>
      </c>
    </row>
    <row r="5" spans="2:9">
      <c r="B5" s="3" t="s">
        <v>23</v>
      </c>
      <c r="C5" s="5">
        <f ca="1">MONTH(C2)</f>
        <v>4</v>
      </c>
      <c r="E5" s="3" t="s">
        <v>23</v>
      </c>
      <c r="F5" s="5">
        <f ca="1">MONTH(F2)</f>
        <v>3</v>
      </c>
      <c r="H5" s="3" t="s">
        <v>23</v>
      </c>
      <c r="I5" s="5">
        <f ca="1">MONTH(I2)</f>
        <v>4</v>
      </c>
    </row>
    <row r="6" spans="2:9" ht="15" thickBot="1">
      <c r="B6" s="3" t="s">
        <v>21</v>
      </c>
      <c r="C6" s="5">
        <f ca="1">DAY(C2)</f>
        <v>14</v>
      </c>
      <c r="E6" s="6" t="s">
        <v>21</v>
      </c>
      <c r="F6" s="7">
        <f ca="1">DAY(F2)</f>
        <v>14</v>
      </c>
      <c r="H6" s="6" t="s">
        <v>21</v>
      </c>
      <c r="I6" s="7">
        <f ca="1">DAY(I2)</f>
        <v>14</v>
      </c>
    </row>
    <row r="7" spans="2:9" ht="15" thickBot="1">
      <c r="B7" s="41" t="s">
        <v>448</v>
      </c>
      <c r="C7" s="42">
        <f ca="1">TODAY() - DAY(TODAY()) + 1</f>
        <v>46113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F074D-97CF-4B19-AD0A-25D04BF0F4A7}">
  <sheetPr>
    <tabColor theme="7" tint="0.79998168889431442"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sqref="A1:XFD1048576"/>
    </sheetView>
  </sheetViews>
  <sheetFormatPr defaultRowHeight="14.25"/>
  <cols>
    <col min="1" max="1" width="15.625" style="15" bestFit="1" customWidth="1"/>
    <col min="2" max="2" width="15" style="14" customWidth="1"/>
    <col min="3" max="14" width="9" style="14"/>
    <col min="15" max="18" width="16.625" style="14" bestFit="1" customWidth="1"/>
    <col min="19" max="19" width="18.625" style="14" bestFit="1" customWidth="1"/>
    <col min="20" max="20" width="19.625" style="14" bestFit="1" customWidth="1"/>
    <col min="21" max="22" width="16.625" style="14" bestFit="1" customWidth="1"/>
    <col min="23" max="23" width="21.75" style="14" bestFit="1" customWidth="1"/>
    <col min="24" max="24" width="19.625" style="14" bestFit="1" customWidth="1"/>
    <col min="25" max="16384" width="9" style="14"/>
  </cols>
  <sheetData>
    <row r="2" spans="1:24">
      <c r="A2" s="27" t="s">
        <v>288</v>
      </c>
      <c r="B2" s="26" t="s">
        <v>684</v>
      </c>
      <c r="C2" s="24" t="s">
        <v>685</v>
      </c>
      <c r="D2" s="24" t="s">
        <v>686</v>
      </c>
      <c r="E2" s="24" t="s">
        <v>687</v>
      </c>
      <c r="F2" s="24" t="s">
        <v>688</v>
      </c>
      <c r="G2" s="24" t="s">
        <v>689</v>
      </c>
      <c r="H2" s="24" t="s">
        <v>690</v>
      </c>
      <c r="I2" s="24" t="s">
        <v>691</v>
      </c>
      <c r="J2" s="24" t="s">
        <v>692</v>
      </c>
      <c r="K2" s="24" t="s">
        <v>693</v>
      </c>
      <c r="L2" s="24" t="s">
        <v>694</v>
      </c>
      <c r="M2" s="24" t="s">
        <v>695</v>
      </c>
      <c r="N2" s="25" t="s">
        <v>696</v>
      </c>
      <c r="O2" s="24" t="s">
        <v>697</v>
      </c>
      <c r="P2" s="24" t="s">
        <v>698</v>
      </c>
      <c r="Q2" s="24" t="s">
        <v>699</v>
      </c>
      <c r="R2" s="24" t="s">
        <v>700</v>
      </c>
      <c r="S2" s="24" t="s">
        <v>701</v>
      </c>
      <c r="T2" s="24" t="s">
        <v>702</v>
      </c>
      <c r="U2" s="24" t="s">
        <v>703</v>
      </c>
      <c r="V2" s="24" t="s">
        <v>704</v>
      </c>
      <c r="W2" s="24" t="s">
        <v>705</v>
      </c>
      <c r="X2" s="24" t="s">
        <v>706</v>
      </c>
    </row>
    <row r="3" spans="1:24">
      <c r="A3" s="19">
        <v>46082</v>
      </c>
      <c r="B3" s="18" t="s">
        <v>707</v>
      </c>
      <c r="C3" s="16">
        <v>322</v>
      </c>
      <c r="D3" s="16">
        <v>297</v>
      </c>
      <c r="E3" s="16">
        <v>148</v>
      </c>
      <c r="F3" s="16">
        <v>495</v>
      </c>
      <c r="G3" s="16">
        <v>297</v>
      </c>
      <c r="H3" s="16">
        <v>223</v>
      </c>
      <c r="I3" s="16">
        <v>247</v>
      </c>
      <c r="J3" s="16">
        <v>99</v>
      </c>
      <c r="K3" s="16">
        <v>247</v>
      </c>
      <c r="L3" s="16">
        <v>99</v>
      </c>
      <c r="M3" s="16">
        <f t="shared" ref="M3:M66" si="0">N3-SUM(C3:L3)</f>
        <v>1060</v>
      </c>
      <c r="N3" s="17">
        <v>3534</v>
      </c>
      <c r="O3" s="16">
        <v>134</v>
      </c>
      <c r="P3" s="16">
        <v>6</v>
      </c>
      <c r="Q3" s="16">
        <v>550</v>
      </c>
      <c r="R3" s="16">
        <v>1000</v>
      </c>
      <c r="S3" s="16">
        <v>500</v>
      </c>
      <c r="T3" s="16">
        <v>300</v>
      </c>
      <c r="U3" s="16">
        <v>0</v>
      </c>
      <c r="V3" s="16">
        <v>435</v>
      </c>
      <c r="W3" s="16">
        <v>609</v>
      </c>
      <c r="X3" s="16">
        <v>0</v>
      </c>
    </row>
    <row r="4" spans="1:24">
      <c r="A4" s="19">
        <v>46083</v>
      </c>
      <c r="B4" s="18" t="s">
        <v>707</v>
      </c>
      <c r="C4" s="16">
        <v>318</v>
      </c>
      <c r="D4" s="16">
        <v>294</v>
      </c>
      <c r="E4" s="16">
        <v>147</v>
      </c>
      <c r="F4" s="16">
        <v>490</v>
      </c>
      <c r="G4" s="16">
        <v>294</v>
      </c>
      <c r="H4" s="16">
        <v>220</v>
      </c>
      <c r="I4" s="16">
        <v>245</v>
      </c>
      <c r="J4" s="16">
        <v>98</v>
      </c>
      <c r="K4" s="16">
        <v>245</v>
      </c>
      <c r="L4" s="16">
        <v>98</v>
      </c>
      <c r="M4" s="16">
        <f t="shared" si="0"/>
        <v>1050</v>
      </c>
      <c r="N4" s="17">
        <v>3499</v>
      </c>
      <c r="O4" s="16">
        <v>134</v>
      </c>
      <c r="P4" s="16">
        <v>6</v>
      </c>
      <c r="Q4" s="16">
        <v>422</v>
      </c>
      <c r="R4" s="16">
        <v>1000</v>
      </c>
      <c r="S4" s="16">
        <v>450</v>
      </c>
      <c r="T4" s="16">
        <v>300</v>
      </c>
      <c r="U4" s="16">
        <v>0</v>
      </c>
      <c r="V4" s="16">
        <v>435</v>
      </c>
      <c r="W4" s="16">
        <v>729</v>
      </c>
      <c r="X4" s="16">
        <v>23</v>
      </c>
    </row>
    <row r="5" spans="1:24">
      <c r="A5" s="19">
        <v>46084</v>
      </c>
      <c r="B5" s="18" t="s">
        <v>707</v>
      </c>
      <c r="C5" s="16">
        <v>321</v>
      </c>
      <c r="D5" s="16">
        <v>297</v>
      </c>
      <c r="E5" s="16">
        <v>148</v>
      </c>
      <c r="F5" s="16">
        <v>494</v>
      </c>
      <c r="G5" s="16">
        <v>297</v>
      </c>
      <c r="H5" s="16">
        <v>222</v>
      </c>
      <c r="I5" s="16">
        <v>247</v>
      </c>
      <c r="J5" s="16">
        <v>99</v>
      </c>
      <c r="K5" s="16">
        <v>247</v>
      </c>
      <c r="L5" s="16">
        <v>99</v>
      </c>
      <c r="M5" s="16">
        <f t="shared" si="0"/>
        <v>1060</v>
      </c>
      <c r="N5" s="17">
        <v>3531</v>
      </c>
      <c r="O5" s="16">
        <v>134</v>
      </c>
      <c r="P5" s="16">
        <v>6</v>
      </c>
      <c r="Q5" s="16">
        <v>422</v>
      </c>
      <c r="R5" s="16">
        <v>1000</v>
      </c>
      <c r="S5" s="16">
        <v>450</v>
      </c>
      <c r="T5" s="16">
        <v>300</v>
      </c>
      <c r="U5" s="16">
        <v>0</v>
      </c>
      <c r="V5" s="16">
        <v>435</v>
      </c>
      <c r="W5" s="16">
        <v>761</v>
      </c>
      <c r="X5" s="16">
        <v>23</v>
      </c>
    </row>
    <row r="6" spans="1:24">
      <c r="A6" s="19">
        <v>46085</v>
      </c>
      <c r="B6" s="18" t="s">
        <v>707</v>
      </c>
      <c r="C6" s="16">
        <v>320</v>
      </c>
      <c r="D6" s="16">
        <v>295</v>
      </c>
      <c r="E6" s="16">
        <v>148</v>
      </c>
      <c r="F6" s="16">
        <v>492</v>
      </c>
      <c r="G6" s="16">
        <v>295</v>
      </c>
      <c r="H6" s="16">
        <v>222</v>
      </c>
      <c r="I6" s="16">
        <v>246</v>
      </c>
      <c r="J6" s="16">
        <v>98</v>
      </c>
      <c r="K6" s="16">
        <v>246</v>
      </c>
      <c r="L6" s="16">
        <v>98</v>
      </c>
      <c r="M6" s="16">
        <f t="shared" si="0"/>
        <v>1057</v>
      </c>
      <c r="N6" s="17">
        <v>3517</v>
      </c>
      <c r="O6" s="16">
        <v>134</v>
      </c>
      <c r="P6" s="16">
        <v>6</v>
      </c>
      <c r="Q6" s="16">
        <v>422</v>
      </c>
      <c r="R6" s="16">
        <v>1000</v>
      </c>
      <c r="S6" s="16">
        <v>450</v>
      </c>
      <c r="T6" s="16">
        <v>300</v>
      </c>
      <c r="U6" s="16">
        <v>0</v>
      </c>
      <c r="V6" s="16">
        <v>435</v>
      </c>
      <c r="W6" s="16">
        <v>747</v>
      </c>
      <c r="X6" s="16">
        <v>23</v>
      </c>
    </row>
    <row r="7" spans="1:24">
      <c r="A7" s="19">
        <v>46086</v>
      </c>
      <c r="B7" s="18" t="s">
        <v>707</v>
      </c>
      <c r="C7" s="16">
        <v>328</v>
      </c>
      <c r="D7" s="16">
        <v>302</v>
      </c>
      <c r="E7" s="16">
        <v>151</v>
      </c>
      <c r="F7" s="16">
        <v>504</v>
      </c>
      <c r="G7" s="16">
        <v>302</v>
      </c>
      <c r="H7" s="16">
        <v>227</v>
      </c>
      <c r="I7" s="16">
        <v>252</v>
      </c>
      <c r="J7" s="16">
        <v>101</v>
      </c>
      <c r="K7" s="16">
        <v>252</v>
      </c>
      <c r="L7" s="16">
        <v>101</v>
      </c>
      <c r="M7" s="16">
        <f t="shared" si="0"/>
        <v>1079</v>
      </c>
      <c r="N7" s="17">
        <v>3599</v>
      </c>
      <c r="O7" s="16">
        <v>134</v>
      </c>
      <c r="P7" s="16">
        <v>6</v>
      </c>
      <c r="Q7" s="16">
        <v>422</v>
      </c>
      <c r="R7" s="16">
        <v>1000</v>
      </c>
      <c r="S7" s="16">
        <v>450</v>
      </c>
      <c r="T7" s="16">
        <v>300</v>
      </c>
      <c r="U7" s="16">
        <v>0</v>
      </c>
      <c r="V7" s="16">
        <v>435</v>
      </c>
      <c r="W7" s="16">
        <v>829</v>
      </c>
      <c r="X7" s="16">
        <v>23</v>
      </c>
    </row>
    <row r="8" spans="1:24">
      <c r="A8" s="19">
        <v>46087</v>
      </c>
      <c r="B8" s="18" t="s">
        <v>707</v>
      </c>
      <c r="C8" s="16">
        <v>336</v>
      </c>
      <c r="D8" s="16">
        <v>310</v>
      </c>
      <c r="E8" s="16">
        <v>155</v>
      </c>
      <c r="F8" s="16">
        <v>517</v>
      </c>
      <c r="G8" s="16">
        <v>310</v>
      </c>
      <c r="H8" s="16">
        <v>233</v>
      </c>
      <c r="I8" s="16">
        <v>259</v>
      </c>
      <c r="J8" s="16">
        <v>103</v>
      </c>
      <c r="K8" s="16">
        <v>259</v>
      </c>
      <c r="L8" s="16">
        <v>103</v>
      </c>
      <c r="M8" s="16">
        <f t="shared" si="0"/>
        <v>1110</v>
      </c>
      <c r="N8" s="17">
        <v>3695</v>
      </c>
      <c r="O8" s="16">
        <v>134</v>
      </c>
      <c r="P8" s="16">
        <v>6</v>
      </c>
      <c r="Q8" s="16">
        <v>422</v>
      </c>
      <c r="R8" s="16">
        <v>1000</v>
      </c>
      <c r="S8" s="16">
        <v>450</v>
      </c>
      <c r="T8" s="16">
        <v>300</v>
      </c>
      <c r="U8" s="16">
        <v>118</v>
      </c>
      <c r="V8" s="16">
        <v>435</v>
      </c>
      <c r="W8" s="16">
        <v>807</v>
      </c>
      <c r="X8" s="16">
        <v>23</v>
      </c>
    </row>
    <row r="9" spans="1:24">
      <c r="A9" s="19">
        <v>46088</v>
      </c>
      <c r="B9" s="18" t="s">
        <v>707</v>
      </c>
      <c r="C9" s="16">
        <v>361</v>
      </c>
      <c r="D9" s="16">
        <v>333</v>
      </c>
      <c r="E9" s="16">
        <v>167</v>
      </c>
      <c r="F9" s="16">
        <v>556</v>
      </c>
      <c r="G9" s="16">
        <v>333</v>
      </c>
      <c r="H9" s="16">
        <v>250</v>
      </c>
      <c r="I9" s="16">
        <v>278</v>
      </c>
      <c r="J9" s="16">
        <v>111</v>
      </c>
      <c r="K9" s="16">
        <v>278</v>
      </c>
      <c r="L9" s="16">
        <v>111</v>
      </c>
      <c r="M9" s="16">
        <f t="shared" si="0"/>
        <v>1191</v>
      </c>
      <c r="N9" s="17">
        <v>3969</v>
      </c>
      <c r="O9" s="16">
        <v>134</v>
      </c>
      <c r="P9" s="16">
        <v>6</v>
      </c>
      <c r="Q9" s="16">
        <v>549</v>
      </c>
      <c r="R9" s="16">
        <v>1000</v>
      </c>
      <c r="S9" s="16">
        <v>500</v>
      </c>
      <c r="T9" s="16">
        <v>350</v>
      </c>
      <c r="U9" s="16">
        <v>118</v>
      </c>
      <c r="V9" s="16">
        <v>435</v>
      </c>
      <c r="W9" s="16">
        <v>877</v>
      </c>
      <c r="X9" s="16">
        <v>0</v>
      </c>
    </row>
    <row r="10" spans="1:24">
      <c r="A10" s="19">
        <v>46089</v>
      </c>
      <c r="B10" s="18" t="s">
        <v>707</v>
      </c>
      <c r="C10" s="16">
        <v>455</v>
      </c>
      <c r="D10" s="16">
        <v>420</v>
      </c>
      <c r="E10" s="16">
        <v>210</v>
      </c>
      <c r="F10" s="16">
        <v>700</v>
      </c>
      <c r="G10" s="16">
        <v>420</v>
      </c>
      <c r="H10" s="16">
        <v>315</v>
      </c>
      <c r="I10" s="16">
        <v>350</v>
      </c>
      <c r="J10" s="16">
        <v>140</v>
      </c>
      <c r="K10" s="16">
        <v>350</v>
      </c>
      <c r="L10" s="16">
        <v>140</v>
      </c>
      <c r="M10" s="16">
        <f t="shared" si="0"/>
        <v>1499</v>
      </c>
      <c r="N10" s="17">
        <v>4999</v>
      </c>
      <c r="O10" s="16">
        <v>134</v>
      </c>
      <c r="P10" s="16">
        <v>6</v>
      </c>
      <c r="Q10" s="16">
        <v>549</v>
      </c>
      <c r="R10" s="16">
        <v>1941</v>
      </c>
      <c r="S10" s="16">
        <v>550</v>
      </c>
      <c r="T10" s="16">
        <v>350</v>
      </c>
      <c r="U10" s="16">
        <v>118</v>
      </c>
      <c r="V10" s="16">
        <v>435</v>
      </c>
      <c r="W10" s="16">
        <v>916</v>
      </c>
      <c r="X10" s="16">
        <v>0</v>
      </c>
    </row>
    <row r="11" spans="1:24">
      <c r="A11" s="19">
        <v>46090</v>
      </c>
      <c r="B11" s="18" t="s">
        <v>707</v>
      </c>
      <c r="C11" s="16">
        <v>432</v>
      </c>
      <c r="D11" s="16">
        <v>399</v>
      </c>
      <c r="E11" s="16">
        <v>200</v>
      </c>
      <c r="F11" s="16">
        <v>665</v>
      </c>
      <c r="G11" s="16">
        <v>399</v>
      </c>
      <c r="H11" s="16">
        <v>299</v>
      </c>
      <c r="I11" s="16">
        <v>333</v>
      </c>
      <c r="J11" s="16">
        <v>133</v>
      </c>
      <c r="K11" s="16">
        <v>333</v>
      </c>
      <c r="L11" s="16">
        <v>133</v>
      </c>
      <c r="M11" s="16">
        <f t="shared" si="0"/>
        <v>1425</v>
      </c>
      <c r="N11" s="17">
        <v>4751</v>
      </c>
      <c r="O11" s="16">
        <v>134</v>
      </c>
      <c r="P11" s="16">
        <v>6</v>
      </c>
      <c r="Q11" s="16">
        <v>422</v>
      </c>
      <c r="R11" s="16">
        <v>1941</v>
      </c>
      <c r="S11" s="16">
        <v>450</v>
      </c>
      <c r="T11" s="16">
        <v>300</v>
      </c>
      <c r="U11" s="16">
        <v>118</v>
      </c>
      <c r="V11" s="16">
        <v>435</v>
      </c>
      <c r="W11" s="16">
        <v>922</v>
      </c>
      <c r="X11" s="16">
        <v>23</v>
      </c>
    </row>
    <row r="12" spans="1:24">
      <c r="A12" s="19">
        <v>46091</v>
      </c>
      <c r="B12" s="18" t="s">
        <v>707</v>
      </c>
      <c r="C12" s="16">
        <v>429</v>
      </c>
      <c r="D12" s="16">
        <v>396</v>
      </c>
      <c r="E12" s="16">
        <v>198</v>
      </c>
      <c r="F12" s="16">
        <v>661</v>
      </c>
      <c r="G12" s="16">
        <v>396</v>
      </c>
      <c r="H12" s="16">
        <v>297</v>
      </c>
      <c r="I12" s="16">
        <v>330</v>
      </c>
      <c r="J12" s="16">
        <v>132</v>
      </c>
      <c r="K12" s="16">
        <v>330</v>
      </c>
      <c r="L12" s="16">
        <v>132</v>
      </c>
      <c r="M12" s="16">
        <f t="shared" si="0"/>
        <v>1418</v>
      </c>
      <c r="N12" s="17">
        <v>4719</v>
      </c>
      <c r="O12" s="16">
        <v>134</v>
      </c>
      <c r="P12" s="16">
        <v>6</v>
      </c>
      <c r="Q12" s="16">
        <v>422</v>
      </c>
      <c r="R12" s="16">
        <v>1941</v>
      </c>
      <c r="S12" s="16">
        <v>450</v>
      </c>
      <c r="T12" s="16">
        <v>400</v>
      </c>
      <c r="U12" s="16">
        <v>0</v>
      </c>
      <c r="V12" s="16">
        <v>435</v>
      </c>
      <c r="W12" s="16">
        <v>907</v>
      </c>
      <c r="X12" s="16">
        <v>24</v>
      </c>
    </row>
    <row r="13" spans="1:24">
      <c r="A13" s="19">
        <v>46092</v>
      </c>
      <c r="B13" s="18" t="s">
        <v>707</v>
      </c>
      <c r="C13" s="16">
        <v>448</v>
      </c>
      <c r="D13" s="16">
        <v>413</v>
      </c>
      <c r="E13" s="16">
        <v>207</v>
      </c>
      <c r="F13" s="16">
        <v>689</v>
      </c>
      <c r="G13" s="16">
        <v>413</v>
      </c>
      <c r="H13" s="16">
        <v>310</v>
      </c>
      <c r="I13" s="16">
        <v>344</v>
      </c>
      <c r="J13" s="16">
        <v>138</v>
      </c>
      <c r="K13" s="16">
        <v>344</v>
      </c>
      <c r="L13" s="16">
        <v>138</v>
      </c>
      <c r="M13" s="16">
        <f t="shared" si="0"/>
        <v>1474</v>
      </c>
      <c r="N13" s="17">
        <v>4918</v>
      </c>
      <c r="O13" s="16">
        <v>134</v>
      </c>
      <c r="P13" s="16">
        <v>6</v>
      </c>
      <c r="Q13" s="16">
        <v>465</v>
      </c>
      <c r="R13" s="16">
        <v>1941</v>
      </c>
      <c r="S13" s="16">
        <v>450</v>
      </c>
      <c r="T13" s="16">
        <v>400</v>
      </c>
      <c r="U13" s="16">
        <v>226</v>
      </c>
      <c r="V13" s="16">
        <v>435</v>
      </c>
      <c r="W13" s="16">
        <v>837</v>
      </c>
      <c r="X13" s="16">
        <v>24</v>
      </c>
    </row>
    <row r="14" spans="1:24">
      <c r="A14" s="19">
        <v>46093</v>
      </c>
      <c r="B14" s="18" t="s">
        <v>707</v>
      </c>
      <c r="C14" s="16">
        <v>596</v>
      </c>
      <c r="D14" s="16">
        <v>550</v>
      </c>
      <c r="E14" s="16">
        <v>275</v>
      </c>
      <c r="F14" s="16">
        <v>917</v>
      </c>
      <c r="G14" s="16">
        <v>550</v>
      </c>
      <c r="H14" s="16">
        <v>412</v>
      </c>
      <c r="I14" s="16">
        <v>458</v>
      </c>
      <c r="J14" s="16">
        <v>183</v>
      </c>
      <c r="K14" s="16">
        <v>458</v>
      </c>
      <c r="L14" s="16">
        <v>183</v>
      </c>
      <c r="M14" s="16">
        <f t="shared" si="0"/>
        <v>1965</v>
      </c>
      <c r="N14" s="17">
        <v>6547</v>
      </c>
      <c r="O14" s="16">
        <v>134</v>
      </c>
      <c r="P14" s="16">
        <v>6</v>
      </c>
      <c r="Q14" s="16">
        <v>465</v>
      </c>
      <c r="R14" s="16">
        <v>3600</v>
      </c>
      <c r="S14" s="16">
        <v>450</v>
      </c>
      <c r="T14" s="16">
        <v>400</v>
      </c>
      <c r="U14" s="16">
        <v>226</v>
      </c>
      <c r="V14" s="16">
        <v>435</v>
      </c>
      <c r="W14" s="16">
        <v>807</v>
      </c>
      <c r="X14" s="16">
        <v>24</v>
      </c>
    </row>
    <row r="15" spans="1:24">
      <c r="A15" s="19">
        <v>46094</v>
      </c>
      <c r="B15" s="18" t="s">
        <v>707</v>
      </c>
      <c r="C15" s="16">
        <v>606</v>
      </c>
      <c r="D15" s="16">
        <v>559</v>
      </c>
      <c r="E15" s="16">
        <v>280</v>
      </c>
      <c r="F15" s="16">
        <v>932</v>
      </c>
      <c r="G15" s="16">
        <v>559</v>
      </c>
      <c r="H15" s="16">
        <v>419</v>
      </c>
      <c r="I15" s="16">
        <v>466</v>
      </c>
      <c r="J15" s="16">
        <v>186</v>
      </c>
      <c r="K15" s="16">
        <v>466</v>
      </c>
      <c r="L15" s="16">
        <v>186</v>
      </c>
      <c r="M15" s="16">
        <f t="shared" si="0"/>
        <v>1998</v>
      </c>
      <c r="N15" s="17">
        <v>6657</v>
      </c>
      <c r="O15" s="16">
        <v>134</v>
      </c>
      <c r="P15" s="16">
        <v>6</v>
      </c>
      <c r="Q15" s="16">
        <v>465</v>
      </c>
      <c r="R15" s="16">
        <v>3600</v>
      </c>
      <c r="S15" s="16">
        <v>450</v>
      </c>
      <c r="T15" s="16">
        <v>400</v>
      </c>
      <c r="U15" s="16">
        <v>226</v>
      </c>
      <c r="V15" s="16">
        <v>435</v>
      </c>
      <c r="W15" s="16">
        <v>917</v>
      </c>
      <c r="X15" s="16">
        <v>24</v>
      </c>
    </row>
    <row r="16" spans="1:24">
      <c r="A16" s="19">
        <v>46095</v>
      </c>
      <c r="B16" s="18" t="s">
        <v>707</v>
      </c>
      <c r="C16" s="16">
        <v>625</v>
      </c>
      <c r="D16" s="16">
        <v>577</v>
      </c>
      <c r="E16" s="16">
        <v>288</v>
      </c>
      <c r="F16" s="16">
        <v>961</v>
      </c>
      <c r="G16" s="16">
        <v>577</v>
      </c>
      <c r="H16" s="16">
        <v>433</v>
      </c>
      <c r="I16" s="16">
        <v>481</v>
      </c>
      <c r="J16" s="16">
        <v>192</v>
      </c>
      <c r="K16" s="16">
        <v>481</v>
      </c>
      <c r="L16" s="16">
        <v>192</v>
      </c>
      <c r="M16" s="16">
        <f t="shared" si="0"/>
        <v>2059</v>
      </c>
      <c r="N16" s="17">
        <v>6866</v>
      </c>
      <c r="O16" s="16">
        <v>134</v>
      </c>
      <c r="P16" s="16">
        <v>6</v>
      </c>
      <c r="Q16" s="16">
        <v>604</v>
      </c>
      <c r="R16" s="16">
        <v>3600</v>
      </c>
      <c r="S16" s="16">
        <v>500</v>
      </c>
      <c r="T16" s="16">
        <v>400</v>
      </c>
      <c r="U16" s="16">
        <v>226</v>
      </c>
      <c r="V16" s="16">
        <v>435</v>
      </c>
      <c r="W16" s="16">
        <v>961</v>
      </c>
      <c r="X16" s="16">
        <v>0</v>
      </c>
    </row>
    <row r="17" spans="1:24">
      <c r="A17" s="19">
        <v>46096</v>
      </c>
      <c r="B17" s="18" t="s">
        <v>707</v>
      </c>
      <c r="C17" s="16">
        <v>637</v>
      </c>
      <c r="D17" s="16">
        <v>588</v>
      </c>
      <c r="E17" s="16">
        <v>294</v>
      </c>
      <c r="F17" s="16">
        <v>980</v>
      </c>
      <c r="G17" s="16">
        <v>588</v>
      </c>
      <c r="H17" s="16">
        <v>441</v>
      </c>
      <c r="I17" s="16">
        <v>490</v>
      </c>
      <c r="J17" s="16">
        <v>196</v>
      </c>
      <c r="K17" s="16">
        <v>490</v>
      </c>
      <c r="L17" s="16">
        <v>196</v>
      </c>
      <c r="M17" s="16">
        <f t="shared" si="0"/>
        <v>2097</v>
      </c>
      <c r="N17" s="17">
        <v>6997</v>
      </c>
      <c r="O17" s="16">
        <v>134</v>
      </c>
      <c r="P17" s="16">
        <v>6</v>
      </c>
      <c r="Q17" s="16">
        <v>604</v>
      </c>
      <c r="R17" s="16">
        <v>3600</v>
      </c>
      <c r="S17" s="16">
        <v>500</v>
      </c>
      <c r="T17" s="16">
        <v>400</v>
      </c>
      <c r="U17" s="16">
        <v>226</v>
      </c>
      <c r="V17" s="16">
        <v>435</v>
      </c>
      <c r="W17" s="16">
        <v>1092</v>
      </c>
      <c r="X17" s="16">
        <v>0</v>
      </c>
    </row>
    <row r="18" spans="1:24">
      <c r="A18" s="19">
        <v>46097</v>
      </c>
      <c r="B18" s="18" t="s">
        <v>707</v>
      </c>
      <c r="C18" s="16">
        <v>625</v>
      </c>
      <c r="D18" s="16">
        <v>577</v>
      </c>
      <c r="E18" s="16">
        <v>289</v>
      </c>
      <c r="F18" s="16">
        <v>962</v>
      </c>
      <c r="G18" s="16">
        <v>577</v>
      </c>
      <c r="H18" s="16">
        <v>433</v>
      </c>
      <c r="I18" s="16">
        <v>481</v>
      </c>
      <c r="J18" s="16">
        <v>192</v>
      </c>
      <c r="K18" s="16">
        <v>481</v>
      </c>
      <c r="L18" s="16">
        <v>192</v>
      </c>
      <c r="M18" s="16">
        <f t="shared" si="0"/>
        <v>2062</v>
      </c>
      <c r="N18" s="17">
        <v>6871</v>
      </c>
      <c r="O18" s="16">
        <v>133</v>
      </c>
      <c r="P18" s="16">
        <v>6</v>
      </c>
      <c r="Q18" s="16">
        <v>465</v>
      </c>
      <c r="R18" s="16">
        <v>3600</v>
      </c>
      <c r="S18" s="16">
        <v>450</v>
      </c>
      <c r="T18" s="16">
        <v>400</v>
      </c>
      <c r="U18" s="16">
        <v>226</v>
      </c>
      <c r="V18" s="16">
        <v>435</v>
      </c>
      <c r="W18" s="16">
        <v>1132</v>
      </c>
      <c r="X18" s="16">
        <v>24</v>
      </c>
    </row>
    <row r="19" spans="1:24">
      <c r="A19" s="19">
        <v>46098</v>
      </c>
      <c r="B19" s="18" t="s">
        <v>707</v>
      </c>
      <c r="C19" s="16">
        <v>615</v>
      </c>
      <c r="D19" s="16">
        <v>568</v>
      </c>
      <c r="E19" s="16">
        <v>284</v>
      </c>
      <c r="F19" s="16">
        <v>946</v>
      </c>
      <c r="G19" s="16">
        <v>568</v>
      </c>
      <c r="H19" s="16">
        <v>426</v>
      </c>
      <c r="I19" s="16">
        <v>473</v>
      </c>
      <c r="J19" s="16">
        <v>189</v>
      </c>
      <c r="K19" s="16">
        <v>473</v>
      </c>
      <c r="L19" s="16">
        <v>189</v>
      </c>
      <c r="M19" s="16">
        <f t="shared" si="0"/>
        <v>2026</v>
      </c>
      <c r="N19" s="17">
        <v>6757</v>
      </c>
      <c r="O19" s="16">
        <v>133</v>
      </c>
      <c r="P19" s="16">
        <v>6</v>
      </c>
      <c r="Q19" s="16">
        <v>465</v>
      </c>
      <c r="R19" s="16">
        <v>3600</v>
      </c>
      <c r="S19" s="16">
        <v>450</v>
      </c>
      <c r="T19" s="16">
        <v>600</v>
      </c>
      <c r="U19" s="16">
        <v>0</v>
      </c>
      <c r="V19" s="16">
        <v>435</v>
      </c>
      <c r="W19" s="16">
        <v>1044</v>
      </c>
      <c r="X19" s="16">
        <v>24</v>
      </c>
    </row>
    <row r="20" spans="1:24">
      <c r="A20" s="19">
        <v>46099</v>
      </c>
      <c r="B20" s="18" t="s">
        <v>707</v>
      </c>
      <c r="C20" s="16">
        <v>520</v>
      </c>
      <c r="D20" s="16">
        <v>480</v>
      </c>
      <c r="E20" s="16">
        <v>240</v>
      </c>
      <c r="F20" s="16">
        <v>800</v>
      </c>
      <c r="G20" s="16">
        <v>480</v>
      </c>
      <c r="H20" s="16">
        <v>360</v>
      </c>
      <c r="I20" s="16">
        <v>400</v>
      </c>
      <c r="J20" s="16">
        <v>160</v>
      </c>
      <c r="K20" s="16">
        <v>400</v>
      </c>
      <c r="L20" s="16">
        <v>160</v>
      </c>
      <c r="M20" s="16">
        <f t="shared" si="0"/>
        <v>1711</v>
      </c>
      <c r="N20" s="17">
        <v>5711</v>
      </c>
      <c r="O20" s="16">
        <v>133</v>
      </c>
      <c r="P20" s="16">
        <v>6</v>
      </c>
      <c r="Q20" s="16">
        <v>465</v>
      </c>
      <c r="R20" s="16">
        <v>2556</v>
      </c>
      <c r="S20" s="16">
        <v>450</v>
      </c>
      <c r="T20" s="16">
        <v>600</v>
      </c>
      <c r="U20" s="16">
        <v>0</v>
      </c>
      <c r="V20" s="16">
        <v>435</v>
      </c>
      <c r="W20" s="16">
        <v>1042</v>
      </c>
      <c r="X20" s="16">
        <v>24</v>
      </c>
    </row>
    <row r="21" spans="1:24">
      <c r="A21" s="19">
        <v>46100</v>
      </c>
      <c r="B21" s="18" t="s">
        <v>707</v>
      </c>
      <c r="C21" s="16">
        <v>469</v>
      </c>
      <c r="D21" s="16">
        <v>433</v>
      </c>
      <c r="E21" s="16">
        <v>216</v>
      </c>
      <c r="F21" s="16">
        <v>721</v>
      </c>
      <c r="G21" s="16">
        <v>433</v>
      </c>
      <c r="H21" s="16">
        <v>325</v>
      </c>
      <c r="I21" s="16">
        <v>361</v>
      </c>
      <c r="J21" s="16">
        <v>144</v>
      </c>
      <c r="K21" s="16">
        <v>361</v>
      </c>
      <c r="L21" s="16">
        <v>144</v>
      </c>
      <c r="M21" s="16">
        <f t="shared" si="0"/>
        <v>1544</v>
      </c>
      <c r="N21" s="17">
        <v>5151</v>
      </c>
      <c r="O21" s="16">
        <v>133</v>
      </c>
      <c r="P21" s="16">
        <v>6</v>
      </c>
      <c r="Q21" s="16">
        <v>465</v>
      </c>
      <c r="R21" s="16">
        <v>1941</v>
      </c>
      <c r="S21" s="16">
        <v>450</v>
      </c>
      <c r="T21" s="16">
        <v>600</v>
      </c>
      <c r="U21" s="16">
        <v>0</v>
      </c>
      <c r="V21" s="16">
        <v>435</v>
      </c>
      <c r="W21" s="16">
        <v>1097</v>
      </c>
      <c r="X21" s="16">
        <v>24</v>
      </c>
    </row>
    <row r="22" spans="1:24">
      <c r="A22" s="19">
        <v>46101</v>
      </c>
      <c r="B22" s="18" t="s">
        <v>707</v>
      </c>
      <c r="C22" s="16">
        <v>464</v>
      </c>
      <c r="D22" s="16">
        <v>428</v>
      </c>
      <c r="E22" s="16">
        <v>214</v>
      </c>
      <c r="F22" s="16">
        <v>714</v>
      </c>
      <c r="G22" s="16">
        <v>428</v>
      </c>
      <c r="H22" s="16">
        <v>321</v>
      </c>
      <c r="I22" s="16">
        <v>357</v>
      </c>
      <c r="J22" s="16">
        <v>143</v>
      </c>
      <c r="K22" s="16">
        <v>357</v>
      </c>
      <c r="L22" s="16">
        <v>143</v>
      </c>
      <c r="M22" s="16">
        <f t="shared" si="0"/>
        <v>1529</v>
      </c>
      <c r="N22" s="17">
        <v>5098</v>
      </c>
      <c r="O22" s="16">
        <v>133</v>
      </c>
      <c r="P22" s="16">
        <v>6</v>
      </c>
      <c r="Q22" s="16">
        <v>465</v>
      </c>
      <c r="R22" s="16">
        <v>1941</v>
      </c>
      <c r="S22" s="16">
        <v>450</v>
      </c>
      <c r="T22" s="16">
        <v>600</v>
      </c>
      <c r="U22" s="16">
        <v>0</v>
      </c>
      <c r="V22" s="16">
        <v>435</v>
      </c>
      <c r="W22" s="16">
        <v>1044</v>
      </c>
      <c r="X22" s="16">
        <v>24</v>
      </c>
    </row>
    <row r="23" spans="1:24">
      <c r="A23" s="19">
        <v>46102</v>
      </c>
      <c r="B23" s="18" t="s">
        <v>707</v>
      </c>
      <c r="C23" s="16">
        <v>494</v>
      </c>
      <c r="D23" s="16">
        <v>456</v>
      </c>
      <c r="E23" s="16">
        <v>228</v>
      </c>
      <c r="F23" s="16">
        <v>760</v>
      </c>
      <c r="G23" s="16">
        <v>456</v>
      </c>
      <c r="H23" s="16">
        <v>342</v>
      </c>
      <c r="I23" s="16">
        <v>380</v>
      </c>
      <c r="J23" s="16">
        <v>152</v>
      </c>
      <c r="K23" s="16">
        <v>380</v>
      </c>
      <c r="L23" s="16">
        <v>152</v>
      </c>
      <c r="M23" s="16">
        <f t="shared" si="0"/>
        <v>1627</v>
      </c>
      <c r="N23" s="17">
        <v>5427</v>
      </c>
      <c r="O23" s="16">
        <v>133</v>
      </c>
      <c r="P23" s="16">
        <v>6</v>
      </c>
      <c r="Q23" s="16">
        <v>659</v>
      </c>
      <c r="R23" s="16">
        <v>1941</v>
      </c>
      <c r="S23" s="16">
        <v>500</v>
      </c>
      <c r="T23" s="16">
        <v>700</v>
      </c>
      <c r="U23" s="16">
        <v>0</v>
      </c>
      <c r="V23" s="16">
        <v>435</v>
      </c>
      <c r="W23" s="16">
        <v>1053</v>
      </c>
      <c r="X23" s="16">
        <v>0</v>
      </c>
    </row>
    <row r="24" spans="1:24">
      <c r="A24" s="19">
        <v>46103</v>
      </c>
      <c r="B24" s="18" t="s">
        <v>707</v>
      </c>
      <c r="C24" s="16">
        <v>652</v>
      </c>
      <c r="D24" s="16">
        <v>602</v>
      </c>
      <c r="E24" s="16">
        <v>301</v>
      </c>
      <c r="F24" s="16">
        <v>1004</v>
      </c>
      <c r="G24" s="16">
        <v>602</v>
      </c>
      <c r="H24" s="16">
        <v>452</v>
      </c>
      <c r="I24" s="16">
        <v>502</v>
      </c>
      <c r="J24" s="16">
        <v>201</v>
      </c>
      <c r="K24" s="16">
        <v>502</v>
      </c>
      <c r="L24" s="16">
        <v>201</v>
      </c>
      <c r="M24" s="16">
        <f t="shared" si="0"/>
        <v>2149</v>
      </c>
      <c r="N24" s="17">
        <v>7168</v>
      </c>
      <c r="O24" s="16">
        <v>133</v>
      </c>
      <c r="P24" s="16">
        <v>6</v>
      </c>
      <c r="Q24" s="16">
        <v>659</v>
      </c>
      <c r="R24" s="16">
        <v>3600</v>
      </c>
      <c r="S24" s="16">
        <v>500</v>
      </c>
      <c r="T24" s="16">
        <v>700</v>
      </c>
      <c r="U24" s="16">
        <v>0</v>
      </c>
      <c r="V24" s="16">
        <v>435</v>
      </c>
      <c r="W24" s="16">
        <v>1135</v>
      </c>
      <c r="X24" s="16">
        <v>0</v>
      </c>
    </row>
    <row r="25" spans="1:24">
      <c r="A25" s="19">
        <v>46104</v>
      </c>
      <c r="B25" s="18" t="s">
        <v>707</v>
      </c>
      <c r="C25" s="16">
        <v>488</v>
      </c>
      <c r="D25" s="16">
        <v>451</v>
      </c>
      <c r="E25" s="16">
        <v>225</v>
      </c>
      <c r="F25" s="16">
        <v>751</v>
      </c>
      <c r="G25" s="16">
        <v>451</v>
      </c>
      <c r="H25" s="16">
        <v>338</v>
      </c>
      <c r="I25" s="16">
        <v>376</v>
      </c>
      <c r="J25" s="16">
        <v>150</v>
      </c>
      <c r="K25" s="16">
        <v>376</v>
      </c>
      <c r="L25" s="16">
        <v>150</v>
      </c>
      <c r="M25" s="16">
        <f t="shared" si="0"/>
        <v>1611</v>
      </c>
      <c r="N25" s="17">
        <v>5367</v>
      </c>
      <c r="O25" s="16">
        <v>133</v>
      </c>
      <c r="P25" s="16">
        <v>6</v>
      </c>
      <c r="Q25" s="16">
        <v>507</v>
      </c>
      <c r="R25" s="16">
        <v>1941</v>
      </c>
      <c r="S25" s="16">
        <v>450</v>
      </c>
      <c r="T25" s="16">
        <v>700</v>
      </c>
      <c r="U25" s="16">
        <v>0</v>
      </c>
      <c r="V25" s="16">
        <v>435</v>
      </c>
      <c r="W25" s="16">
        <v>1171</v>
      </c>
      <c r="X25" s="16">
        <v>24</v>
      </c>
    </row>
    <row r="26" spans="1:24">
      <c r="A26" s="19">
        <v>46105</v>
      </c>
      <c r="B26" s="18" t="s">
        <v>707</v>
      </c>
      <c r="C26" s="16">
        <v>479</v>
      </c>
      <c r="D26" s="16">
        <v>442</v>
      </c>
      <c r="E26" s="16">
        <v>221</v>
      </c>
      <c r="F26" s="16">
        <v>737</v>
      </c>
      <c r="G26" s="16">
        <v>442</v>
      </c>
      <c r="H26" s="16">
        <v>332</v>
      </c>
      <c r="I26" s="16">
        <v>368</v>
      </c>
      <c r="J26" s="16">
        <v>147</v>
      </c>
      <c r="K26" s="16">
        <v>368</v>
      </c>
      <c r="L26" s="16">
        <v>147</v>
      </c>
      <c r="M26" s="16">
        <f t="shared" si="0"/>
        <v>1579</v>
      </c>
      <c r="N26" s="17">
        <v>5262</v>
      </c>
      <c r="O26" s="16">
        <v>133</v>
      </c>
      <c r="P26" s="16">
        <v>6</v>
      </c>
      <c r="Q26" s="16">
        <v>507</v>
      </c>
      <c r="R26" s="16">
        <v>1941</v>
      </c>
      <c r="S26" s="16">
        <v>450</v>
      </c>
      <c r="T26" s="16">
        <v>700</v>
      </c>
      <c r="U26" s="16">
        <v>0</v>
      </c>
      <c r="V26" s="16">
        <v>435</v>
      </c>
      <c r="W26" s="16">
        <v>1066</v>
      </c>
      <c r="X26" s="16">
        <v>24</v>
      </c>
    </row>
    <row r="27" spans="1:24">
      <c r="A27" s="19">
        <v>46106</v>
      </c>
      <c r="B27" s="18" t="s">
        <v>707</v>
      </c>
      <c r="C27" s="16">
        <v>479</v>
      </c>
      <c r="D27" s="16">
        <v>442</v>
      </c>
      <c r="E27" s="16">
        <v>221</v>
      </c>
      <c r="F27" s="16">
        <v>737</v>
      </c>
      <c r="G27" s="16">
        <v>442</v>
      </c>
      <c r="H27" s="16">
        <v>332</v>
      </c>
      <c r="I27" s="16">
        <v>368</v>
      </c>
      <c r="J27" s="16">
        <v>147</v>
      </c>
      <c r="K27" s="16">
        <v>368</v>
      </c>
      <c r="L27" s="16">
        <v>147</v>
      </c>
      <c r="M27" s="16">
        <f t="shared" si="0"/>
        <v>1580</v>
      </c>
      <c r="N27" s="17">
        <v>5263</v>
      </c>
      <c r="O27" s="16">
        <v>133</v>
      </c>
      <c r="P27" s="16">
        <v>6</v>
      </c>
      <c r="Q27" s="16">
        <v>507</v>
      </c>
      <c r="R27" s="16">
        <v>1941</v>
      </c>
      <c r="S27" s="16">
        <v>450</v>
      </c>
      <c r="T27" s="16">
        <v>700</v>
      </c>
      <c r="U27" s="16">
        <v>0</v>
      </c>
      <c r="V27" s="16">
        <v>435</v>
      </c>
      <c r="W27" s="16">
        <v>1067</v>
      </c>
      <c r="X27" s="16">
        <v>24</v>
      </c>
    </row>
    <row r="28" spans="1:24">
      <c r="A28" s="19">
        <v>46107</v>
      </c>
      <c r="B28" s="18" t="s">
        <v>707</v>
      </c>
      <c r="C28" s="16">
        <v>415</v>
      </c>
      <c r="D28" s="16">
        <v>383</v>
      </c>
      <c r="E28" s="16">
        <v>192</v>
      </c>
      <c r="F28" s="16">
        <v>639</v>
      </c>
      <c r="G28" s="16">
        <v>383</v>
      </c>
      <c r="H28" s="16">
        <v>288</v>
      </c>
      <c r="I28" s="16">
        <v>320</v>
      </c>
      <c r="J28" s="16">
        <v>128</v>
      </c>
      <c r="K28" s="16">
        <v>320</v>
      </c>
      <c r="L28" s="16">
        <v>128</v>
      </c>
      <c r="M28" s="16">
        <f t="shared" si="0"/>
        <v>1369</v>
      </c>
      <c r="N28" s="17">
        <v>4565</v>
      </c>
      <c r="O28" s="16">
        <v>133</v>
      </c>
      <c r="P28" s="16">
        <v>6</v>
      </c>
      <c r="Q28" s="16">
        <v>507</v>
      </c>
      <c r="R28" s="16">
        <v>1000</v>
      </c>
      <c r="S28" s="16">
        <v>450</v>
      </c>
      <c r="T28" s="16">
        <v>700</v>
      </c>
      <c r="U28" s="16">
        <v>240</v>
      </c>
      <c r="V28" s="16">
        <v>438</v>
      </c>
      <c r="W28" s="16">
        <v>1067</v>
      </c>
      <c r="X28" s="16">
        <v>24</v>
      </c>
    </row>
    <row r="29" spans="1:24">
      <c r="A29" s="19">
        <v>46108</v>
      </c>
      <c r="B29" s="18" t="s">
        <v>707</v>
      </c>
      <c r="C29" s="16">
        <v>427</v>
      </c>
      <c r="D29" s="16">
        <v>394</v>
      </c>
      <c r="E29" s="16">
        <v>197</v>
      </c>
      <c r="F29" s="16">
        <v>656</v>
      </c>
      <c r="G29" s="16">
        <v>394</v>
      </c>
      <c r="H29" s="16">
        <v>295</v>
      </c>
      <c r="I29" s="16">
        <v>328</v>
      </c>
      <c r="J29" s="16">
        <v>131</v>
      </c>
      <c r="K29" s="16">
        <v>328</v>
      </c>
      <c r="L29" s="16">
        <v>131</v>
      </c>
      <c r="M29" s="16">
        <f t="shared" si="0"/>
        <v>1406</v>
      </c>
      <c r="N29" s="17">
        <v>4687</v>
      </c>
      <c r="O29" s="16">
        <v>133</v>
      </c>
      <c r="P29" s="16">
        <v>6</v>
      </c>
      <c r="Q29" s="16">
        <v>507</v>
      </c>
      <c r="R29" s="16">
        <v>1000</v>
      </c>
      <c r="S29" s="16">
        <v>450</v>
      </c>
      <c r="T29" s="16">
        <v>700</v>
      </c>
      <c r="U29" s="16">
        <v>353</v>
      </c>
      <c r="V29" s="16">
        <v>435</v>
      </c>
      <c r="W29" s="16">
        <v>1079</v>
      </c>
      <c r="X29" s="16">
        <v>24</v>
      </c>
    </row>
    <row r="30" spans="1:24">
      <c r="A30" s="19">
        <v>46109</v>
      </c>
      <c r="B30" s="18" t="s">
        <v>707</v>
      </c>
      <c r="C30" s="16">
        <v>450</v>
      </c>
      <c r="D30" s="16">
        <v>415</v>
      </c>
      <c r="E30" s="16">
        <v>208</v>
      </c>
      <c r="F30" s="16">
        <v>692</v>
      </c>
      <c r="G30" s="16">
        <v>415</v>
      </c>
      <c r="H30" s="16">
        <v>312</v>
      </c>
      <c r="I30" s="16">
        <v>346</v>
      </c>
      <c r="J30" s="16">
        <v>138</v>
      </c>
      <c r="K30" s="16">
        <v>346</v>
      </c>
      <c r="L30" s="16">
        <v>138</v>
      </c>
      <c r="M30" s="16">
        <f t="shared" si="0"/>
        <v>1485</v>
      </c>
      <c r="N30" s="17">
        <v>4945</v>
      </c>
      <c r="O30" s="16">
        <v>133</v>
      </c>
      <c r="P30" s="16">
        <v>6</v>
      </c>
      <c r="Q30" s="16">
        <v>659</v>
      </c>
      <c r="R30" s="16">
        <v>1000</v>
      </c>
      <c r="S30" s="16">
        <v>500</v>
      </c>
      <c r="T30" s="16">
        <v>700</v>
      </c>
      <c r="U30" s="16">
        <v>353</v>
      </c>
      <c r="V30" s="16">
        <v>440</v>
      </c>
      <c r="W30" s="16">
        <v>1154</v>
      </c>
      <c r="X30" s="16">
        <v>0</v>
      </c>
    </row>
    <row r="31" spans="1:24">
      <c r="A31" s="19">
        <v>46110</v>
      </c>
      <c r="B31" s="18" t="s">
        <v>707</v>
      </c>
      <c r="C31" s="16">
        <v>453</v>
      </c>
      <c r="D31" s="16">
        <v>418</v>
      </c>
      <c r="E31" s="16">
        <v>209</v>
      </c>
      <c r="F31" s="16">
        <v>697</v>
      </c>
      <c r="G31" s="16">
        <v>418</v>
      </c>
      <c r="H31" s="16">
        <v>313</v>
      </c>
      <c r="I31" s="16">
        <v>348</v>
      </c>
      <c r="J31" s="16">
        <v>139</v>
      </c>
      <c r="K31" s="16">
        <v>348</v>
      </c>
      <c r="L31" s="16">
        <v>139</v>
      </c>
      <c r="M31" s="16">
        <f t="shared" si="0"/>
        <v>1493</v>
      </c>
      <c r="N31" s="17">
        <v>4975</v>
      </c>
      <c r="O31" s="16">
        <v>133</v>
      </c>
      <c r="P31" s="16">
        <v>6</v>
      </c>
      <c r="Q31" s="16">
        <v>659</v>
      </c>
      <c r="R31" s="16">
        <v>1000</v>
      </c>
      <c r="S31" s="16">
        <v>500</v>
      </c>
      <c r="T31" s="16">
        <v>700</v>
      </c>
      <c r="U31" s="16">
        <v>347</v>
      </c>
      <c r="V31" s="16">
        <v>440</v>
      </c>
      <c r="W31" s="16">
        <v>1190</v>
      </c>
      <c r="X31" s="16">
        <v>0</v>
      </c>
    </row>
    <row r="32" spans="1:24">
      <c r="A32" s="19">
        <v>46111</v>
      </c>
      <c r="B32" s="18" t="s">
        <v>707</v>
      </c>
      <c r="C32" s="16">
        <v>390</v>
      </c>
      <c r="D32" s="16">
        <v>360</v>
      </c>
      <c r="E32" s="16">
        <v>180</v>
      </c>
      <c r="F32" s="16">
        <v>600</v>
      </c>
      <c r="G32" s="16">
        <v>360</v>
      </c>
      <c r="H32" s="16">
        <v>270</v>
      </c>
      <c r="I32" s="16">
        <v>300</v>
      </c>
      <c r="J32" s="16">
        <v>120</v>
      </c>
      <c r="K32" s="16">
        <v>300</v>
      </c>
      <c r="L32" s="16">
        <v>120</v>
      </c>
      <c r="M32" s="16">
        <f t="shared" si="0"/>
        <v>1288</v>
      </c>
      <c r="N32" s="17">
        <v>4288</v>
      </c>
      <c r="O32" s="16">
        <v>133</v>
      </c>
      <c r="P32" s="16">
        <v>6</v>
      </c>
      <c r="Q32" s="16">
        <v>507</v>
      </c>
      <c r="R32" s="16">
        <v>1000</v>
      </c>
      <c r="S32" s="16">
        <v>400</v>
      </c>
      <c r="T32" s="16">
        <v>700</v>
      </c>
      <c r="U32" s="16">
        <v>0</v>
      </c>
      <c r="V32" s="16">
        <v>440</v>
      </c>
      <c r="W32" s="16">
        <v>1079</v>
      </c>
      <c r="X32" s="16">
        <v>23</v>
      </c>
    </row>
    <row r="33" spans="1:24">
      <c r="A33" s="19">
        <v>46112</v>
      </c>
      <c r="B33" s="18" t="s">
        <v>707</v>
      </c>
      <c r="C33" s="16">
        <v>397</v>
      </c>
      <c r="D33" s="16">
        <v>366</v>
      </c>
      <c r="E33" s="16">
        <v>183</v>
      </c>
      <c r="F33" s="16">
        <v>610</v>
      </c>
      <c r="G33" s="16">
        <v>366</v>
      </c>
      <c r="H33" s="16">
        <v>275</v>
      </c>
      <c r="I33" s="16">
        <v>305</v>
      </c>
      <c r="J33" s="16">
        <v>122</v>
      </c>
      <c r="K33" s="16">
        <v>305</v>
      </c>
      <c r="L33" s="16">
        <v>122</v>
      </c>
      <c r="M33" s="16">
        <f t="shared" si="0"/>
        <v>1308</v>
      </c>
      <c r="N33" s="17">
        <v>4359</v>
      </c>
      <c r="O33" s="16">
        <v>133</v>
      </c>
      <c r="P33" s="16">
        <v>6</v>
      </c>
      <c r="Q33" s="16">
        <v>507</v>
      </c>
      <c r="R33" s="16">
        <v>1000</v>
      </c>
      <c r="S33" s="16">
        <v>410</v>
      </c>
      <c r="T33" s="16">
        <v>827</v>
      </c>
      <c r="U33" s="16">
        <v>0</v>
      </c>
      <c r="V33" s="16">
        <v>440</v>
      </c>
      <c r="W33" s="16">
        <v>1013</v>
      </c>
      <c r="X33" s="16">
        <v>23</v>
      </c>
    </row>
    <row r="34" spans="1:24">
      <c r="A34" s="19">
        <v>46113</v>
      </c>
      <c r="B34" s="18" t="s">
        <v>707</v>
      </c>
      <c r="C34" s="23">
        <v>234.11240968885247</v>
      </c>
      <c r="D34" s="23">
        <v>229.78918775837769</v>
      </c>
      <c r="E34" s="23">
        <v>174.5381789356677</v>
      </c>
      <c r="F34" s="23">
        <v>438.30651220300882</v>
      </c>
      <c r="G34" s="23">
        <v>250.3104272747496</v>
      </c>
      <c r="H34" s="23">
        <v>202.61099217698893</v>
      </c>
      <c r="I34" s="23">
        <v>223.1316444426958</v>
      </c>
      <c r="J34" s="23">
        <v>125.62137321362084</v>
      </c>
      <c r="K34" s="23">
        <v>247.08207548027244</v>
      </c>
      <c r="L34" s="23">
        <v>84.397198825764434</v>
      </c>
      <c r="M34" s="16">
        <f>N34-SUM(C34:L34)</f>
        <v>947.10000000000127</v>
      </c>
      <c r="N34" s="22">
        <v>3157</v>
      </c>
      <c r="O34" s="23">
        <v>158</v>
      </c>
      <c r="P34" s="23">
        <v>3</v>
      </c>
      <c r="Q34" s="23">
        <v>391</v>
      </c>
      <c r="R34" s="23">
        <v>813</v>
      </c>
      <c r="S34" s="23">
        <v>260</v>
      </c>
      <c r="T34" s="23">
        <v>261</v>
      </c>
      <c r="U34" s="23">
        <v>182</v>
      </c>
      <c r="V34" s="23">
        <v>477</v>
      </c>
      <c r="W34" s="23">
        <v>548</v>
      </c>
      <c r="X34" s="23">
        <v>64</v>
      </c>
    </row>
    <row r="35" spans="1:24">
      <c r="A35" s="19">
        <v>46114</v>
      </c>
      <c r="B35" s="18" t="s">
        <v>707</v>
      </c>
      <c r="C35" s="23">
        <v>236.26295130461958</v>
      </c>
      <c r="D35" s="23">
        <v>231.90001653411193</v>
      </c>
      <c r="E35" s="23">
        <v>176.14147547958103</v>
      </c>
      <c r="F35" s="23">
        <v>442.33276777915307</v>
      </c>
      <c r="G35" s="23">
        <v>252.60976284363392</v>
      </c>
      <c r="H35" s="23">
        <v>204.47216378710382</v>
      </c>
      <c r="I35" s="23">
        <v>225.18131745151373</v>
      </c>
      <c r="J35" s="23">
        <v>126.77532311010327</v>
      </c>
      <c r="K35" s="23">
        <v>249.35175561613812</v>
      </c>
      <c r="L35" s="23">
        <v>85.172466094040388</v>
      </c>
      <c r="M35" s="16">
        <f t="shared" si="0"/>
        <v>955.80000000000109</v>
      </c>
      <c r="N35" s="22">
        <v>3186</v>
      </c>
      <c r="O35" s="23">
        <v>164</v>
      </c>
      <c r="P35" s="23">
        <v>6</v>
      </c>
      <c r="Q35" s="23">
        <v>391</v>
      </c>
      <c r="R35" s="23">
        <v>820</v>
      </c>
      <c r="S35" s="23">
        <v>268</v>
      </c>
      <c r="T35" s="23">
        <v>268</v>
      </c>
      <c r="U35" s="23">
        <v>182</v>
      </c>
      <c r="V35" s="23">
        <v>477</v>
      </c>
      <c r="W35" s="23">
        <v>546</v>
      </c>
      <c r="X35" s="23">
        <v>64</v>
      </c>
    </row>
    <row r="36" spans="1:24">
      <c r="A36" s="19">
        <v>46115</v>
      </c>
      <c r="B36" s="18" t="s">
        <v>707</v>
      </c>
      <c r="C36" s="23">
        <v>236.11463808973909</v>
      </c>
      <c r="D36" s="23">
        <v>231.75444213578544</v>
      </c>
      <c r="E36" s="23">
        <v>176.03090330413875</v>
      </c>
      <c r="F36" s="23">
        <v>442.05509498079829</v>
      </c>
      <c r="G36" s="23">
        <v>252.45118797681431</v>
      </c>
      <c r="H36" s="23">
        <v>204.34380712433727</v>
      </c>
      <c r="I36" s="23">
        <v>225.03996069228489</v>
      </c>
      <c r="J36" s="23">
        <v>126.69574035862172</v>
      </c>
      <c r="K36" s="23">
        <v>249.19522595159563</v>
      </c>
      <c r="L36" s="23">
        <v>85.118999385883427</v>
      </c>
      <c r="M36" s="16">
        <f t="shared" si="0"/>
        <v>955.20000000000118</v>
      </c>
      <c r="N36" s="22">
        <v>3184</v>
      </c>
      <c r="O36" s="23">
        <v>164</v>
      </c>
      <c r="P36" s="23">
        <v>6</v>
      </c>
      <c r="Q36" s="23">
        <v>391</v>
      </c>
      <c r="R36" s="23">
        <v>820</v>
      </c>
      <c r="S36" s="23">
        <v>268</v>
      </c>
      <c r="T36" s="23">
        <v>268</v>
      </c>
      <c r="U36" s="23">
        <v>182</v>
      </c>
      <c r="V36" s="23">
        <v>477</v>
      </c>
      <c r="W36" s="23">
        <v>544</v>
      </c>
      <c r="X36" s="23">
        <v>64</v>
      </c>
    </row>
    <row r="37" spans="1:24">
      <c r="A37" s="19">
        <v>46116</v>
      </c>
      <c r="B37" s="18" t="s">
        <v>707</v>
      </c>
      <c r="C37" s="23">
        <v>252.05830868939171</v>
      </c>
      <c r="D37" s="23">
        <v>247.403689955884</v>
      </c>
      <c r="E37" s="23">
        <v>187.91741216418581</v>
      </c>
      <c r="F37" s="23">
        <v>471.90492080393636</v>
      </c>
      <c r="G37" s="23">
        <v>269.49798615992205</v>
      </c>
      <c r="H37" s="23">
        <v>218.14214837174072</v>
      </c>
      <c r="I37" s="23">
        <v>240.23581230938328</v>
      </c>
      <c r="J37" s="23">
        <v>135.25088614288794</v>
      </c>
      <c r="K37" s="23">
        <v>266.02216488991007</v>
      </c>
      <c r="L37" s="23">
        <v>90.866670512756841</v>
      </c>
      <c r="M37" s="16">
        <f t="shared" si="0"/>
        <v>1019.7000000000012</v>
      </c>
      <c r="N37" s="22">
        <v>3399</v>
      </c>
      <c r="O37" s="23">
        <v>188</v>
      </c>
      <c r="P37" s="23">
        <v>7</v>
      </c>
      <c r="Q37" s="23">
        <v>450</v>
      </c>
      <c r="R37" s="23">
        <v>820</v>
      </c>
      <c r="S37" s="23">
        <v>308</v>
      </c>
      <c r="T37" s="23">
        <v>308</v>
      </c>
      <c r="U37" s="23">
        <v>209</v>
      </c>
      <c r="V37" s="23">
        <v>549</v>
      </c>
      <c r="W37" s="23">
        <v>560</v>
      </c>
      <c r="X37" s="23">
        <v>0</v>
      </c>
    </row>
    <row r="38" spans="1:24">
      <c r="A38" s="19">
        <v>46117</v>
      </c>
      <c r="B38" s="18" t="s">
        <v>707</v>
      </c>
      <c r="C38" s="23">
        <v>251.98415208195146</v>
      </c>
      <c r="D38" s="23">
        <v>247.33090275672077</v>
      </c>
      <c r="E38" s="23">
        <v>187.86212607646465</v>
      </c>
      <c r="F38" s="23">
        <v>471.766084404759</v>
      </c>
      <c r="G38" s="23">
        <v>269.41869872651228</v>
      </c>
      <c r="H38" s="23">
        <v>218.07797004035746</v>
      </c>
      <c r="I38" s="23">
        <v>240.1651339297689</v>
      </c>
      <c r="J38" s="23">
        <v>135.21109476714719</v>
      </c>
      <c r="K38" s="23">
        <v>265.94390005763881</v>
      </c>
      <c r="L38" s="23">
        <v>90.839937158678367</v>
      </c>
      <c r="M38" s="16">
        <f t="shared" si="0"/>
        <v>1019.400000000001</v>
      </c>
      <c r="N38" s="22">
        <v>3398</v>
      </c>
      <c r="O38" s="23">
        <v>188</v>
      </c>
      <c r="P38" s="23">
        <v>7</v>
      </c>
      <c r="Q38" s="23">
        <v>450</v>
      </c>
      <c r="R38" s="23">
        <v>820</v>
      </c>
      <c r="S38" s="23">
        <v>308</v>
      </c>
      <c r="T38" s="23">
        <v>308</v>
      </c>
      <c r="U38" s="23">
        <v>209</v>
      </c>
      <c r="V38" s="23">
        <v>549</v>
      </c>
      <c r="W38" s="23">
        <v>559</v>
      </c>
      <c r="X38" s="23">
        <v>0</v>
      </c>
    </row>
    <row r="39" spans="1:24">
      <c r="A39" s="19">
        <v>46118</v>
      </c>
      <c r="B39" s="18" t="s">
        <v>707</v>
      </c>
      <c r="C39" s="23">
        <v>250.05608028850509</v>
      </c>
      <c r="D39" s="23">
        <v>245.43843557847629</v>
      </c>
      <c r="E39" s="23">
        <v>186.42468779571476</v>
      </c>
      <c r="F39" s="23">
        <v>468.1563380261469</v>
      </c>
      <c r="G39" s="23">
        <v>267.35722545785734</v>
      </c>
      <c r="H39" s="23">
        <v>216.40933342439237</v>
      </c>
      <c r="I39" s="23">
        <v>238.32749605979419</v>
      </c>
      <c r="J39" s="23">
        <v>134.17651899788706</v>
      </c>
      <c r="K39" s="23">
        <v>263.90901441858682</v>
      </c>
      <c r="L39" s="23">
        <v>90.144869952637848</v>
      </c>
      <c r="M39" s="16">
        <f t="shared" si="0"/>
        <v>1011.6000000000017</v>
      </c>
      <c r="N39" s="22">
        <v>3372</v>
      </c>
      <c r="O39" s="23">
        <v>188</v>
      </c>
      <c r="P39" s="23">
        <v>7</v>
      </c>
      <c r="Q39" s="23">
        <v>450</v>
      </c>
      <c r="R39" s="23">
        <v>820</v>
      </c>
      <c r="S39" s="23">
        <v>308</v>
      </c>
      <c r="T39" s="23">
        <v>308</v>
      </c>
      <c r="U39" s="23">
        <v>209</v>
      </c>
      <c r="V39" s="23">
        <v>549</v>
      </c>
      <c r="W39" s="23">
        <v>533</v>
      </c>
      <c r="X39" s="23">
        <v>0</v>
      </c>
    </row>
    <row r="40" spans="1:24">
      <c r="A40" s="19">
        <v>46119</v>
      </c>
      <c r="B40" s="18" t="s">
        <v>707</v>
      </c>
      <c r="C40" s="23">
        <v>234.26072290373298</v>
      </c>
      <c r="D40" s="23">
        <v>229.93476215670421</v>
      </c>
      <c r="E40" s="23">
        <v>174.64875111111002</v>
      </c>
      <c r="F40" s="23">
        <v>438.58418500136361</v>
      </c>
      <c r="G40" s="23">
        <v>250.46900214156923</v>
      </c>
      <c r="H40" s="23">
        <v>202.73934883975548</v>
      </c>
      <c r="I40" s="23">
        <v>223.27300120192461</v>
      </c>
      <c r="J40" s="23">
        <v>125.70095596510239</v>
      </c>
      <c r="K40" s="23">
        <v>247.2386051448149</v>
      </c>
      <c r="L40" s="23">
        <v>84.450665533921395</v>
      </c>
      <c r="M40" s="16">
        <f t="shared" si="0"/>
        <v>947.70000000000118</v>
      </c>
      <c r="N40" s="22">
        <v>3159</v>
      </c>
      <c r="O40" s="23">
        <v>164</v>
      </c>
      <c r="P40" s="23">
        <v>6</v>
      </c>
      <c r="Q40" s="23">
        <v>391</v>
      </c>
      <c r="R40" s="23">
        <v>820</v>
      </c>
      <c r="S40" s="23">
        <v>268</v>
      </c>
      <c r="T40" s="23">
        <v>268</v>
      </c>
      <c r="U40" s="23">
        <v>182</v>
      </c>
      <c r="V40" s="23">
        <v>477</v>
      </c>
      <c r="W40" s="23">
        <v>519</v>
      </c>
      <c r="X40" s="23">
        <v>64</v>
      </c>
    </row>
    <row r="41" spans="1:24">
      <c r="A41" s="19">
        <v>46120</v>
      </c>
      <c r="B41" s="18" t="s">
        <v>707</v>
      </c>
      <c r="C41" s="23">
        <v>218.76199194872186</v>
      </c>
      <c r="D41" s="23">
        <v>214.72223753158514</v>
      </c>
      <c r="E41" s="23">
        <v>163.09395877738987</v>
      </c>
      <c r="F41" s="23">
        <v>409.56737757328989</v>
      </c>
      <c r="G41" s="23">
        <v>233.89792855892031</v>
      </c>
      <c r="H41" s="23">
        <v>189.32607758065171</v>
      </c>
      <c r="I41" s="23">
        <v>208.50121986251273</v>
      </c>
      <c r="J41" s="23">
        <v>117.38455843528081</v>
      </c>
      <c r="K41" s="23">
        <v>230.8812552001279</v>
      </c>
      <c r="L41" s="23">
        <v>78.863394531518892</v>
      </c>
      <c r="M41" s="16">
        <f t="shared" si="0"/>
        <v>885.00000000000091</v>
      </c>
      <c r="N41" s="22">
        <v>2950</v>
      </c>
      <c r="O41" s="23">
        <v>164</v>
      </c>
      <c r="P41" s="23">
        <v>6</v>
      </c>
      <c r="Q41" s="23">
        <v>391</v>
      </c>
      <c r="R41" s="23">
        <v>820</v>
      </c>
      <c r="S41" s="23">
        <v>268</v>
      </c>
      <c r="T41" s="23">
        <v>100</v>
      </c>
      <c r="U41" s="23">
        <v>182</v>
      </c>
      <c r="V41" s="23">
        <v>477</v>
      </c>
      <c r="W41" s="23">
        <v>478</v>
      </c>
      <c r="X41" s="23">
        <v>64</v>
      </c>
    </row>
    <row r="42" spans="1:24">
      <c r="A42" s="19">
        <v>46121</v>
      </c>
      <c r="B42" s="18" t="s">
        <v>707</v>
      </c>
      <c r="C42" s="23">
        <v>233.0000605772488</v>
      </c>
      <c r="D42" s="23">
        <v>228.69737977092896</v>
      </c>
      <c r="E42" s="23">
        <v>173.70888761985046</v>
      </c>
      <c r="F42" s="23">
        <v>436.22396621534801</v>
      </c>
      <c r="G42" s="23">
        <v>249.12111577360255</v>
      </c>
      <c r="H42" s="23">
        <v>201.64831720623985</v>
      </c>
      <c r="I42" s="23">
        <v>222.07146874847962</v>
      </c>
      <c r="J42" s="23">
        <v>125.02450257750924</v>
      </c>
      <c r="K42" s="23">
        <v>245.90810299620398</v>
      </c>
      <c r="L42" s="23">
        <v>83.996198514587221</v>
      </c>
      <c r="M42" s="16">
        <f t="shared" si="0"/>
        <v>942.60000000000127</v>
      </c>
      <c r="N42" s="22">
        <v>3142</v>
      </c>
      <c r="O42" s="23">
        <v>164</v>
      </c>
      <c r="P42" s="23">
        <v>6</v>
      </c>
      <c r="Q42" s="23">
        <v>391</v>
      </c>
      <c r="R42" s="23">
        <v>820</v>
      </c>
      <c r="S42" s="23">
        <v>268</v>
      </c>
      <c r="T42" s="23">
        <v>268</v>
      </c>
      <c r="U42" s="23">
        <v>182</v>
      </c>
      <c r="V42" s="23">
        <v>477</v>
      </c>
      <c r="W42" s="23">
        <v>502</v>
      </c>
      <c r="X42" s="23">
        <v>64</v>
      </c>
    </row>
    <row r="43" spans="1:24">
      <c r="A43" s="19">
        <v>46122</v>
      </c>
      <c r="B43" s="18" t="s">
        <v>707</v>
      </c>
      <c r="C43" s="23">
        <v>233.37084361445002</v>
      </c>
      <c r="D43" s="23">
        <v>229.0613157667452</v>
      </c>
      <c r="E43" s="23">
        <v>173.98531805845622</v>
      </c>
      <c r="F43" s="23">
        <v>436.91814821123495</v>
      </c>
      <c r="G43" s="23">
        <v>249.51755294065157</v>
      </c>
      <c r="H43" s="23">
        <v>201.96920886315621</v>
      </c>
      <c r="I43" s="23">
        <v>222.42486064655168</v>
      </c>
      <c r="J43" s="23">
        <v>125.22345945621311</v>
      </c>
      <c r="K43" s="23">
        <v>246.29942715756013</v>
      </c>
      <c r="L43" s="23">
        <v>84.12986528497963</v>
      </c>
      <c r="M43" s="16">
        <f t="shared" si="0"/>
        <v>944.10000000000127</v>
      </c>
      <c r="N43" s="22">
        <v>3147</v>
      </c>
      <c r="O43" s="23">
        <v>164</v>
      </c>
      <c r="P43" s="23">
        <v>6</v>
      </c>
      <c r="Q43" s="23">
        <v>391</v>
      </c>
      <c r="R43" s="23">
        <v>820</v>
      </c>
      <c r="S43" s="23">
        <v>268</v>
      </c>
      <c r="T43" s="23">
        <v>268</v>
      </c>
      <c r="U43" s="23">
        <v>182</v>
      </c>
      <c r="V43" s="23">
        <v>477</v>
      </c>
      <c r="W43" s="23">
        <v>507</v>
      </c>
      <c r="X43" s="23">
        <v>64</v>
      </c>
    </row>
    <row r="44" spans="1:24">
      <c r="A44" s="19">
        <v>46123</v>
      </c>
      <c r="B44" s="18" t="s">
        <v>707</v>
      </c>
      <c r="C44" s="23">
        <v>259.91890907805765</v>
      </c>
      <c r="D44" s="23">
        <v>255.11913306718844</v>
      </c>
      <c r="E44" s="23">
        <v>193.77773746262761</v>
      </c>
      <c r="F44" s="23">
        <v>486.62157911673938</v>
      </c>
      <c r="G44" s="23">
        <v>277.90245410136129</v>
      </c>
      <c r="H44" s="23">
        <v>224.94505149836755</v>
      </c>
      <c r="I44" s="23">
        <v>247.72772054851089</v>
      </c>
      <c r="J44" s="23">
        <v>139.46877197140992</v>
      </c>
      <c r="K44" s="23">
        <v>274.31823711066045</v>
      </c>
      <c r="L44" s="23">
        <v>93.700406045075837</v>
      </c>
      <c r="M44" s="16">
        <f t="shared" si="0"/>
        <v>1051.5000000000009</v>
      </c>
      <c r="N44" s="22">
        <v>3505</v>
      </c>
      <c r="O44" s="23">
        <v>188</v>
      </c>
      <c r="P44" s="23">
        <v>7</v>
      </c>
      <c r="Q44" s="23">
        <v>450</v>
      </c>
      <c r="R44" s="23">
        <v>960</v>
      </c>
      <c r="S44" s="23">
        <v>308</v>
      </c>
      <c r="T44" s="23">
        <v>308</v>
      </c>
      <c r="U44" s="23">
        <v>209</v>
      </c>
      <c r="V44" s="23">
        <v>549</v>
      </c>
      <c r="W44" s="23">
        <v>526</v>
      </c>
      <c r="X44" s="23">
        <v>0</v>
      </c>
    </row>
    <row r="45" spans="1:24">
      <c r="A45" s="19">
        <v>46124</v>
      </c>
      <c r="B45" s="18" t="s">
        <v>707</v>
      </c>
      <c r="C45" s="23">
        <v>260.51216193757961</v>
      </c>
      <c r="D45" s="23">
        <v>255.70143066049445</v>
      </c>
      <c r="E45" s="23">
        <v>194.22002616439681</v>
      </c>
      <c r="F45" s="23">
        <v>487.73227031015841</v>
      </c>
      <c r="G45" s="23">
        <v>278.53675356863971</v>
      </c>
      <c r="H45" s="23">
        <v>225.45847814943372</v>
      </c>
      <c r="I45" s="23">
        <v>248.29314758542617</v>
      </c>
      <c r="J45" s="23">
        <v>139.7871029773361</v>
      </c>
      <c r="K45" s="23">
        <v>274.94435576883029</v>
      </c>
      <c r="L45" s="23">
        <v>93.914272877703681</v>
      </c>
      <c r="M45" s="16">
        <f t="shared" si="0"/>
        <v>1053.900000000001</v>
      </c>
      <c r="N45" s="22">
        <v>3513</v>
      </c>
      <c r="O45" s="23">
        <v>188</v>
      </c>
      <c r="P45" s="23">
        <v>7</v>
      </c>
      <c r="Q45" s="23">
        <v>450</v>
      </c>
      <c r="R45" s="23">
        <v>960</v>
      </c>
      <c r="S45" s="23">
        <v>308</v>
      </c>
      <c r="T45" s="23">
        <v>308</v>
      </c>
      <c r="U45" s="23">
        <v>209</v>
      </c>
      <c r="V45" s="23">
        <v>549</v>
      </c>
      <c r="W45" s="23">
        <v>534</v>
      </c>
      <c r="X45" s="23">
        <v>0</v>
      </c>
    </row>
    <row r="46" spans="1:24">
      <c r="A46" s="19">
        <v>46125</v>
      </c>
      <c r="B46" s="18" t="s">
        <v>707</v>
      </c>
      <c r="C46" s="23">
        <v>244.04939508584528</v>
      </c>
      <c r="D46" s="23">
        <v>239.54267244625311</v>
      </c>
      <c r="E46" s="23">
        <v>181.94651469030171</v>
      </c>
      <c r="F46" s="23">
        <v>456.91058969277861</v>
      </c>
      <c r="G46" s="23">
        <v>260.93494335166332</v>
      </c>
      <c r="H46" s="23">
        <v>211.21088858234737</v>
      </c>
      <c r="I46" s="23">
        <v>232.60254731102691</v>
      </c>
      <c r="J46" s="23">
        <v>130.95341756288445</v>
      </c>
      <c r="K46" s="23">
        <v>257.56956300461724</v>
      </c>
      <c r="L46" s="23">
        <v>87.979468272280897</v>
      </c>
      <c r="M46" s="16">
        <f t="shared" si="0"/>
        <v>987.30000000000109</v>
      </c>
      <c r="N46" s="22">
        <v>3291</v>
      </c>
      <c r="O46" s="23">
        <v>164</v>
      </c>
      <c r="P46" s="23">
        <v>6</v>
      </c>
      <c r="Q46" s="23">
        <v>391</v>
      </c>
      <c r="R46" s="23">
        <v>960</v>
      </c>
      <c r="S46" s="23">
        <v>268</v>
      </c>
      <c r="T46" s="23">
        <v>268</v>
      </c>
      <c r="U46" s="23">
        <v>182</v>
      </c>
      <c r="V46" s="23">
        <v>477</v>
      </c>
      <c r="W46" s="23">
        <v>511</v>
      </c>
      <c r="X46" s="23">
        <v>64</v>
      </c>
    </row>
    <row r="47" spans="1:24">
      <c r="A47" s="19">
        <v>46126</v>
      </c>
      <c r="B47" s="18" t="s">
        <v>707</v>
      </c>
      <c r="C47" s="23">
        <v>244.86511776768796</v>
      </c>
      <c r="D47" s="23">
        <v>240.34333163704883</v>
      </c>
      <c r="E47" s="23">
        <v>182.55466165523433</v>
      </c>
      <c r="F47" s="23">
        <v>458.43779008372985</v>
      </c>
      <c r="G47" s="23">
        <v>261.80710511917113</v>
      </c>
      <c r="H47" s="23">
        <v>211.91685022756334</v>
      </c>
      <c r="I47" s="23">
        <v>233.38000948678541</v>
      </c>
      <c r="J47" s="23">
        <v>131.39112269603294</v>
      </c>
      <c r="K47" s="23">
        <v>258.43047615960074</v>
      </c>
      <c r="L47" s="23">
        <v>88.273535167144175</v>
      </c>
      <c r="M47" s="16">
        <f t="shared" si="0"/>
        <v>990.60000000000127</v>
      </c>
      <c r="N47" s="22">
        <v>3302</v>
      </c>
      <c r="O47" s="23">
        <v>164</v>
      </c>
      <c r="P47" s="23">
        <v>6</v>
      </c>
      <c r="Q47" s="23">
        <v>391</v>
      </c>
      <c r="R47" s="23">
        <v>960</v>
      </c>
      <c r="S47" s="23">
        <v>268</v>
      </c>
      <c r="T47" s="23">
        <v>268</v>
      </c>
      <c r="U47" s="23">
        <v>182</v>
      </c>
      <c r="V47" s="23">
        <v>477</v>
      </c>
      <c r="W47" s="23">
        <v>522</v>
      </c>
      <c r="X47" s="23">
        <v>64</v>
      </c>
    </row>
    <row r="48" spans="1:24">
      <c r="A48" s="19">
        <v>46127</v>
      </c>
      <c r="B48" s="18" t="s">
        <v>707</v>
      </c>
      <c r="C48" s="23">
        <v>245.01343098256845</v>
      </c>
      <c r="D48" s="23">
        <v>240.48890603537535</v>
      </c>
      <c r="E48" s="23">
        <v>182.66523383067664</v>
      </c>
      <c r="F48" s="23">
        <v>458.71546288208464</v>
      </c>
      <c r="G48" s="23">
        <v>261.96567998599073</v>
      </c>
      <c r="H48" s="23">
        <v>212.04520689032989</v>
      </c>
      <c r="I48" s="23">
        <v>233.52136624601422</v>
      </c>
      <c r="J48" s="23">
        <v>131.47070544751449</v>
      </c>
      <c r="K48" s="23">
        <v>258.5870058241432</v>
      </c>
      <c r="L48" s="23">
        <v>88.32700187530115</v>
      </c>
      <c r="M48" s="16">
        <f t="shared" si="0"/>
        <v>991.20000000000164</v>
      </c>
      <c r="N48" s="22">
        <v>3304</v>
      </c>
      <c r="O48" s="23">
        <v>164</v>
      </c>
      <c r="P48" s="23">
        <v>6</v>
      </c>
      <c r="Q48" s="23">
        <v>391</v>
      </c>
      <c r="R48" s="23">
        <v>960</v>
      </c>
      <c r="S48" s="23">
        <v>268</v>
      </c>
      <c r="T48" s="23">
        <v>268</v>
      </c>
      <c r="U48" s="23">
        <v>182</v>
      </c>
      <c r="V48" s="23">
        <v>477</v>
      </c>
      <c r="W48" s="23">
        <v>524</v>
      </c>
      <c r="X48" s="23">
        <v>64</v>
      </c>
    </row>
    <row r="49" spans="1:24">
      <c r="A49" s="19">
        <v>46128</v>
      </c>
      <c r="B49" s="18" t="s">
        <v>707</v>
      </c>
      <c r="C49" s="23">
        <v>244.86511776768796</v>
      </c>
      <c r="D49" s="23">
        <v>240.34333163704883</v>
      </c>
      <c r="E49" s="23">
        <v>182.55466165523433</v>
      </c>
      <c r="F49" s="23">
        <v>458.43779008372985</v>
      </c>
      <c r="G49" s="23">
        <v>261.80710511917113</v>
      </c>
      <c r="H49" s="23">
        <v>211.91685022756334</v>
      </c>
      <c r="I49" s="23">
        <v>233.38000948678541</v>
      </c>
      <c r="J49" s="23">
        <v>131.39112269603294</v>
      </c>
      <c r="K49" s="23">
        <v>258.43047615960074</v>
      </c>
      <c r="L49" s="23">
        <v>88.273535167144175</v>
      </c>
      <c r="M49" s="16">
        <f t="shared" si="0"/>
        <v>990.60000000000127</v>
      </c>
      <c r="N49" s="22">
        <v>3302</v>
      </c>
      <c r="O49" s="23">
        <v>164</v>
      </c>
      <c r="P49" s="23">
        <v>6</v>
      </c>
      <c r="Q49" s="23">
        <v>391</v>
      </c>
      <c r="R49" s="23">
        <v>960</v>
      </c>
      <c r="S49" s="23">
        <v>268</v>
      </c>
      <c r="T49" s="23">
        <v>268</v>
      </c>
      <c r="U49" s="23">
        <v>182</v>
      </c>
      <c r="V49" s="23">
        <v>477</v>
      </c>
      <c r="W49" s="23">
        <v>522</v>
      </c>
      <c r="X49" s="23">
        <v>64</v>
      </c>
    </row>
    <row r="50" spans="1:24">
      <c r="A50" s="19">
        <v>46129</v>
      </c>
      <c r="B50" s="18" t="s">
        <v>707</v>
      </c>
      <c r="C50" s="23">
        <v>246.12578009417211</v>
      </c>
      <c r="D50" s="23">
        <v>241.58071402282408</v>
      </c>
      <c r="E50" s="23">
        <v>183.49452514649386</v>
      </c>
      <c r="F50" s="23">
        <v>460.79800886974544</v>
      </c>
      <c r="G50" s="23">
        <v>263.15499148713781</v>
      </c>
      <c r="H50" s="23">
        <v>213.00788186107897</v>
      </c>
      <c r="I50" s="23">
        <v>234.58154194023041</v>
      </c>
      <c r="J50" s="23">
        <v>132.06757608362611</v>
      </c>
      <c r="K50" s="23">
        <v>259.76097830821169</v>
      </c>
      <c r="L50" s="23">
        <v>88.728002186478363</v>
      </c>
      <c r="M50" s="16">
        <f t="shared" si="0"/>
        <v>995.70000000000118</v>
      </c>
      <c r="N50" s="22">
        <v>3319</v>
      </c>
      <c r="O50" s="23">
        <v>164</v>
      </c>
      <c r="P50" s="23">
        <v>6</v>
      </c>
      <c r="Q50" s="23">
        <v>391</v>
      </c>
      <c r="R50" s="23">
        <v>960</v>
      </c>
      <c r="S50" s="23">
        <v>268</v>
      </c>
      <c r="T50" s="23">
        <v>268</v>
      </c>
      <c r="U50" s="23">
        <v>182</v>
      </c>
      <c r="V50" s="23">
        <v>477</v>
      </c>
      <c r="W50" s="23">
        <v>539</v>
      </c>
      <c r="X50" s="23">
        <v>64</v>
      </c>
    </row>
    <row r="51" spans="1:24">
      <c r="A51" s="19">
        <v>46130</v>
      </c>
      <c r="B51" s="18" t="s">
        <v>707</v>
      </c>
      <c r="C51" s="23">
        <v>263.1817998054284</v>
      </c>
      <c r="D51" s="23">
        <v>258.32176983037141</v>
      </c>
      <c r="E51" s="23">
        <v>196.21032532235816</v>
      </c>
      <c r="F51" s="23">
        <v>492.73038068054433</v>
      </c>
      <c r="G51" s="23">
        <v>281.39110117139256</v>
      </c>
      <c r="H51" s="23">
        <v>227.76889807923149</v>
      </c>
      <c r="I51" s="23">
        <v>250.83756925154495</v>
      </c>
      <c r="J51" s="23">
        <v>141.21959250400391</v>
      </c>
      <c r="K51" s="23">
        <v>277.76188973059453</v>
      </c>
      <c r="L51" s="23">
        <v>94.876673624528976</v>
      </c>
      <c r="M51" s="16">
        <f t="shared" si="0"/>
        <v>1064.7000000000012</v>
      </c>
      <c r="N51" s="22">
        <v>3549</v>
      </c>
      <c r="O51" s="23">
        <v>188</v>
      </c>
      <c r="P51" s="23">
        <v>7</v>
      </c>
      <c r="Q51" s="23">
        <v>450</v>
      </c>
      <c r="R51" s="23">
        <v>960</v>
      </c>
      <c r="S51" s="23">
        <v>308</v>
      </c>
      <c r="T51" s="23">
        <v>308</v>
      </c>
      <c r="U51" s="23">
        <v>209</v>
      </c>
      <c r="V51" s="23">
        <v>549</v>
      </c>
      <c r="W51" s="23">
        <v>570</v>
      </c>
      <c r="X51" s="23">
        <v>0</v>
      </c>
    </row>
    <row r="52" spans="1:24">
      <c r="A52" s="19">
        <v>46131</v>
      </c>
      <c r="B52" s="18" t="s">
        <v>707</v>
      </c>
      <c r="C52" s="23">
        <v>263.47842623518943</v>
      </c>
      <c r="D52" s="23">
        <v>258.61291862702438</v>
      </c>
      <c r="E52" s="23">
        <v>196.43146967324276</v>
      </c>
      <c r="F52" s="23">
        <v>493.2857262772539</v>
      </c>
      <c r="G52" s="23">
        <v>281.70825090503183</v>
      </c>
      <c r="H52" s="23">
        <v>228.02561140476459</v>
      </c>
      <c r="I52" s="23">
        <v>251.1202827700026</v>
      </c>
      <c r="J52" s="23">
        <v>141.37875800696702</v>
      </c>
      <c r="K52" s="23">
        <v>278.07494905967945</v>
      </c>
      <c r="L52" s="23">
        <v>94.983607040842912</v>
      </c>
      <c r="M52" s="16">
        <f t="shared" si="0"/>
        <v>1065.900000000001</v>
      </c>
      <c r="N52" s="22">
        <v>3553</v>
      </c>
      <c r="O52" s="23">
        <v>188</v>
      </c>
      <c r="P52" s="23">
        <v>7</v>
      </c>
      <c r="Q52" s="23">
        <v>450</v>
      </c>
      <c r="R52" s="23">
        <v>960</v>
      </c>
      <c r="S52" s="23">
        <v>308</v>
      </c>
      <c r="T52" s="23">
        <v>308</v>
      </c>
      <c r="U52" s="23">
        <v>209</v>
      </c>
      <c r="V52" s="23">
        <v>549</v>
      </c>
      <c r="W52" s="23">
        <v>574</v>
      </c>
      <c r="X52" s="23">
        <v>0</v>
      </c>
    </row>
    <row r="53" spans="1:24">
      <c r="A53" s="19">
        <v>46132</v>
      </c>
      <c r="B53" s="18" t="s">
        <v>707</v>
      </c>
      <c r="C53" s="23">
        <v>248.49879153225996</v>
      </c>
      <c r="D53" s="23">
        <v>243.90990439604806</v>
      </c>
      <c r="E53" s="23">
        <v>185.26367995357066</v>
      </c>
      <c r="F53" s="23">
        <v>465.24077364342179</v>
      </c>
      <c r="G53" s="23">
        <v>265.6921893562515</v>
      </c>
      <c r="H53" s="23">
        <v>215.06158846534368</v>
      </c>
      <c r="I53" s="23">
        <v>236.84325008789156</v>
      </c>
      <c r="J53" s="23">
        <v>133.34090010733084</v>
      </c>
      <c r="K53" s="23">
        <v>262.26545294089101</v>
      </c>
      <c r="L53" s="23">
        <v>89.583469516989751</v>
      </c>
      <c r="M53" s="16">
        <f t="shared" si="0"/>
        <v>1005.3000000000011</v>
      </c>
      <c r="N53" s="22">
        <v>3351</v>
      </c>
      <c r="O53" s="23">
        <v>164</v>
      </c>
      <c r="P53" s="23">
        <v>6</v>
      </c>
      <c r="Q53" s="23">
        <v>391</v>
      </c>
      <c r="R53" s="23">
        <v>960</v>
      </c>
      <c r="S53" s="23">
        <v>268</v>
      </c>
      <c r="T53" s="23">
        <v>268</v>
      </c>
      <c r="U53" s="23">
        <v>182</v>
      </c>
      <c r="V53" s="23">
        <v>477</v>
      </c>
      <c r="W53" s="23">
        <v>571</v>
      </c>
      <c r="X53" s="23">
        <v>64</v>
      </c>
    </row>
    <row r="54" spans="1:24">
      <c r="A54" s="19">
        <v>46133</v>
      </c>
      <c r="B54" s="18" t="s">
        <v>707</v>
      </c>
      <c r="C54" s="23">
        <v>262.88517337566748</v>
      </c>
      <c r="D54" s="23">
        <v>258.03062103371843</v>
      </c>
      <c r="E54" s="23">
        <v>195.98918097147359</v>
      </c>
      <c r="F54" s="23">
        <v>492.17503508383481</v>
      </c>
      <c r="G54" s="23">
        <v>281.07395143775341</v>
      </c>
      <c r="H54" s="23">
        <v>227.51218475369842</v>
      </c>
      <c r="I54" s="23">
        <v>250.55485573308735</v>
      </c>
      <c r="J54" s="23">
        <v>141.06042700104084</v>
      </c>
      <c r="K54" s="23">
        <v>277.44883040150961</v>
      </c>
      <c r="L54" s="23">
        <v>94.769740208215069</v>
      </c>
      <c r="M54" s="16">
        <f t="shared" si="0"/>
        <v>1063.5000000000014</v>
      </c>
      <c r="N54" s="22">
        <v>3545</v>
      </c>
      <c r="O54" s="23">
        <v>164</v>
      </c>
      <c r="P54" s="23">
        <v>7</v>
      </c>
      <c r="Q54" s="23">
        <v>391</v>
      </c>
      <c r="R54" s="23">
        <v>1136</v>
      </c>
      <c r="S54" s="23">
        <v>268</v>
      </c>
      <c r="T54" s="23">
        <v>268</v>
      </c>
      <c r="U54" s="23">
        <v>182</v>
      </c>
      <c r="V54" s="23">
        <v>477</v>
      </c>
      <c r="W54" s="23">
        <v>588</v>
      </c>
      <c r="X54" s="23">
        <v>64</v>
      </c>
    </row>
    <row r="55" spans="1:24">
      <c r="A55" s="19">
        <v>46134</v>
      </c>
      <c r="B55" s="18" t="s">
        <v>707</v>
      </c>
      <c r="C55" s="23">
        <v>265.1098715988748</v>
      </c>
      <c r="D55" s="23">
        <v>260.2142370086159</v>
      </c>
      <c r="E55" s="23">
        <v>197.64776360310805</v>
      </c>
      <c r="F55" s="23">
        <v>496.34012705915643</v>
      </c>
      <c r="G55" s="23">
        <v>283.4525744400475</v>
      </c>
      <c r="H55" s="23">
        <v>229.43753469519658</v>
      </c>
      <c r="I55" s="23">
        <v>252.67520712151966</v>
      </c>
      <c r="J55" s="23">
        <v>142.25416827326404</v>
      </c>
      <c r="K55" s="23">
        <v>279.79677536964653</v>
      </c>
      <c r="L55" s="23">
        <v>95.571740830569496</v>
      </c>
      <c r="M55" s="16">
        <f t="shared" si="0"/>
        <v>1072.5000000000009</v>
      </c>
      <c r="N55" s="22">
        <v>3575</v>
      </c>
      <c r="O55" s="23">
        <v>164</v>
      </c>
      <c r="P55" s="23">
        <v>7</v>
      </c>
      <c r="Q55" s="23">
        <v>391</v>
      </c>
      <c r="R55" s="23">
        <v>1136</v>
      </c>
      <c r="S55" s="23">
        <v>268</v>
      </c>
      <c r="T55" s="23">
        <v>268</v>
      </c>
      <c r="U55" s="23">
        <v>182</v>
      </c>
      <c r="V55" s="23">
        <v>477</v>
      </c>
      <c r="W55" s="23">
        <v>618</v>
      </c>
      <c r="X55" s="23">
        <v>64</v>
      </c>
    </row>
    <row r="56" spans="1:24">
      <c r="A56" s="19">
        <v>46135</v>
      </c>
      <c r="B56" s="18" t="s">
        <v>707</v>
      </c>
      <c r="C56" s="23">
        <v>265.92559428071746</v>
      </c>
      <c r="D56" s="23">
        <v>261.01489619941162</v>
      </c>
      <c r="E56" s="23">
        <v>198.25591056804069</v>
      </c>
      <c r="F56" s="23">
        <v>497.86732745010761</v>
      </c>
      <c r="G56" s="23">
        <v>284.3247362075553</v>
      </c>
      <c r="H56" s="23">
        <v>230.14349634041255</v>
      </c>
      <c r="I56" s="23">
        <v>253.45266929727816</v>
      </c>
      <c r="J56" s="23">
        <v>142.69187340641253</v>
      </c>
      <c r="K56" s="23">
        <v>280.65768852463003</v>
      </c>
      <c r="L56" s="23">
        <v>95.865807725432788</v>
      </c>
      <c r="M56" s="16">
        <f t="shared" si="0"/>
        <v>1075.8000000000015</v>
      </c>
      <c r="N56" s="22">
        <v>3586</v>
      </c>
      <c r="O56" s="23">
        <v>164</v>
      </c>
      <c r="P56" s="23">
        <v>7</v>
      </c>
      <c r="Q56" s="23">
        <v>391</v>
      </c>
      <c r="R56" s="23">
        <v>1136</v>
      </c>
      <c r="S56" s="23">
        <v>268</v>
      </c>
      <c r="T56" s="23">
        <v>268</v>
      </c>
      <c r="U56" s="23">
        <v>182</v>
      </c>
      <c r="V56" s="23">
        <v>477</v>
      </c>
      <c r="W56" s="23">
        <v>629</v>
      </c>
      <c r="X56" s="23">
        <v>64</v>
      </c>
    </row>
    <row r="57" spans="1:24">
      <c r="A57" s="19">
        <v>46136</v>
      </c>
      <c r="B57" s="18" t="s">
        <v>707</v>
      </c>
      <c r="C57" s="23">
        <v>266.6671603551199</v>
      </c>
      <c r="D57" s="23">
        <v>261.74276819104409</v>
      </c>
      <c r="E57" s="23">
        <v>198.80877144525218</v>
      </c>
      <c r="F57" s="23">
        <v>499.25569144188148</v>
      </c>
      <c r="G57" s="23">
        <v>285.11761054165339</v>
      </c>
      <c r="H57" s="23">
        <v>230.78527965424527</v>
      </c>
      <c r="I57" s="23">
        <v>254.15945309342229</v>
      </c>
      <c r="J57" s="23">
        <v>143.08978716382026</v>
      </c>
      <c r="K57" s="23">
        <v>281.44033684734234</v>
      </c>
      <c r="L57" s="23">
        <v>96.133141266217592</v>
      </c>
      <c r="M57" s="16">
        <f t="shared" si="0"/>
        <v>1078.8000000000015</v>
      </c>
      <c r="N57" s="22">
        <v>3596</v>
      </c>
      <c r="O57" s="23">
        <v>164</v>
      </c>
      <c r="P57" s="23">
        <v>7</v>
      </c>
      <c r="Q57" s="23">
        <v>391</v>
      </c>
      <c r="R57" s="23">
        <v>1136</v>
      </c>
      <c r="S57" s="23">
        <v>268</v>
      </c>
      <c r="T57" s="23">
        <v>268</v>
      </c>
      <c r="U57" s="23">
        <v>182</v>
      </c>
      <c r="V57" s="23">
        <v>477</v>
      </c>
      <c r="W57" s="23">
        <v>639</v>
      </c>
      <c r="X57" s="23">
        <v>64</v>
      </c>
    </row>
    <row r="58" spans="1:24">
      <c r="A58" s="19">
        <v>46137</v>
      </c>
      <c r="B58" s="18" t="s">
        <v>707</v>
      </c>
      <c r="C58" s="23">
        <v>287.43101043838845</v>
      </c>
      <c r="D58" s="23">
        <v>282.12318395675391</v>
      </c>
      <c r="E58" s="23">
        <v>214.28887600717394</v>
      </c>
      <c r="F58" s="23">
        <v>538.12988321154967</v>
      </c>
      <c r="G58" s="23">
        <v>307.31809189639836</v>
      </c>
      <c r="H58" s="23">
        <v>248.75521244156135</v>
      </c>
      <c r="I58" s="23">
        <v>273.94939938545741</v>
      </c>
      <c r="J58" s="23">
        <v>154.23137237123674</v>
      </c>
      <c r="K58" s="23">
        <v>303.35448988328665</v>
      </c>
      <c r="L58" s="23">
        <v>103.61848040819227</v>
      </c>
      <c r="M58" s="16">
        <f t="shared" si="0"/>
        <v>1162.8000000000015</v>
      </c>
      <c r="N58" s="22">
        <v>3876</v>
      </c>
      <c r="O58" s="23">
        <v>188</v>
      </c>
      <c r="P58" s="23">
        <v>7</v>
      </c>
      <c r="Q58" s="23">
        <v>450</v>
      </c>
      <c r="R58" s="23">
        <v>1136</v>
      </c>
      <c r="S58" s="23">
        <v>308</v>
      </c>
      <c r="T58" s="23">
        <v>308</v>
      </c>
      <c r="U58" s="23">
        <v>209</v>
      </c>
      <c r="V58" s="23">
        <v>549</v>
      </c>
      <c r="W58" s="23">
        <v>721</v>
      </c>
      <c r="X58" s="23">
        <v>0</v>
      </c>
    </row>
    <row r="59" spans="1:24">
      <c r="A59" s="19">
        <v>46138</v>
      </c>
      <c r="B59" s="18" t="s">
        <v>707</v>
      </c>
      <c r="C59" s="23">
        <v>278.82884397532007</v>
      </c>
      <c r="D59" s="23">
        <v>273.67986885381703</v>
      </c>
      <c r="E59" s="23">
        <v>207.87568983152065</v>
      </c>
      <c r="F59" s="23">
        <v>522.02486090697289</v>
      </c>
      <c r="G59" s="23">
        <v>298.12074962086115</v>
      </c>
      <c r="H59" s="23">
        <v>241.31052600110183</v>
      </c>
      <c r="I59" s="23">
        <v>265.75070735018573</v>
      </c>
      <c r="J59" s="23">
        <v>149.61557278530708</v>
      </c>
      <c r="K59" s="23">
        <v>294.27576933982402</v>
      </c>
      <c r="L59" s="23">
        <v>100.51741133508848</v>
      </c>
      <c r="M59" s="16">
        <f t="shared" si="0"/>
        <v>1128.0000000000009</v>
      </c>
      <c r="N59" s="22">
        <v>3760</v>
      </c>
      <c r="O59" s="23">
        <v>188</v>
      </c>
      <c r="P59" s="23">
        <v>7</v>
      </c>
      <c r="Q59" s="23">
        <v>450</v>
      </c>
      <c r="R59" s="23">
        <v>1136</v>
      </c>
      <c r="S59" s="23">
        <v>308</v>
      </c>
      <c r="T59" s="23">
        <v>308</v>
      </c>
      <c r="U59" s="23">
        <v>209</v>
      </c>
      <c r="V59" s="23">
        <v>549</v>
      </c>
      <c r="W59" s="23">
        <v>605</v>
      </c>
      <c r="X59" s="23">
        <v>0</v>
      </c>
    </row>
    <row r="60" spans="1:24">
      <c r="A60" s="19">
        <v>46139</v>
      </c>
      <c r="B60" s="18" t="s">
        <v>707</v>
      </c>
      <c r="C60" s="23">
        <v>276.38167592979192</v>
      </c>
      <c r="D60" s="23">
        <v>271.27789128142973</v>
      </c>
      <c r="E60" s="23">
        <v>206.05124893672269</v>
      </c>
      <c r="F60" s="23">
        <v>517.44325973411912</v>
      </c>
      <c r="G60" s="23">
        <v>295.50426431833762</v>
      </c>
      <c r="H60" s="23">
        <v>239.19264106545384</v>
      </c>
      <c r="I60" s="23">
        <v>263.41832082291012</v>
      </c>
      <c r="J60" s="23">
        <v>148.30245738586154</v>
      </c>
      <c r="K60" s="23">
        <v>291.69302987487339</v>
      </c>
      <c r="L60" s="23">
        <v>99.635210650498593</v>
      </c>
      <c r="M60" s="16">
        <f t="shared" si="0"/>
        <v>1118.1000000000013</v>
      </c>
      <c r="N60" s="22">
        <v>3727</v>
      </c>
      <c r="O60" s="23">
        <v>164</v>
      </c>
      <c r="P60" s="23">
        <v>6</v>
      </c>
      <c r="Q60" s="23">
        <v>391</v>
      </c>
      <c r="R60" s="23">
        <v>1136</v>
      </c>
      <c r="S60" s="23">
        <v>268</v>
      </c>
      <c r="T60" s="23">
        <v>436</v>
      </c>
      <c r="U60" s="23">
        <v>182</v>
      </c>
      <c r="V60" s="23">
        <v>477</v>
      </c>
      <c r="W60" s="23">
        <v>603</v>
      </c>
      <c r="X60" s="23">
        <v>64</v>
      </c>
    </row>
    <row r="61" spans="1:24">
      <c r="A61" s="19">
        <v>46140</v>
      </c>
      <c r="B61" s="18" t="s">
        <v>707</v>
      </c>
      <c r="C61" s="23">
        <v>264.88740177655404</v>
      </c>
      <c r="D61" s="23">
        <v>259.99587541112612</v>
      </c>
      <c r="E61" s="23">
        <v>197.48190533994457</v>
      </c>
      <c r="F61" s="23">
        <v>495.92361786162417</v>
      </c>
      <c r="G61" s="23">
        <v>283.21471213981806</v>
      </c>
      <c r="H61" s="23">
        <v>229.24499970104671</v>
      </c>
      <c r="I61" s="23">
        <v>252.46317198267641</v>
      </c>
      <c r="J61" s="23">
        <v>142.13479414604168</v>
      </c>
      <c r="K61" s="23">
        <v>279.56198087283281</v>
      </c>
      <c r="L61" s="23">
        <v>95.491540768334048</v>
      </c>
      <c r="M61" s="16">
        <f t="shared" si="0"/>
        <v>1071.6000000000017</v>
      </c>
      <c r="N61" s="22">
        <v>3572</v>
      </c>
      <c r="O61" s="23">
        <v>164</v>
      </c>
      <c r="P61" s="23">
        <v>6</v>
      </c>
      <c r="Q61" s="23">
        <v>391</v>
      </c>
      <c r="R61" s="23">
        <v>1136</v>
      </c>
      <c r="S61" s="23">
        <v>268</v>
      </c>
      <c r="T61" s="23">
        <v>268</v>
      </c>
      <c r="U61" s="23">
        <v>182</v>
      </c>
      <c r="V61" s="23">
        <v>477</v>
      </c>
      <c r="W61" s="23">
        <v>616</v>
      </c>
      <c r="X61" s="23">
        <v>64</v>
      </c>
    </row>
    <row r="62" spans="1:24">
      <c r="A62" s="19">
        <v>46141</v>
      </c>
      <c r="B62" s="18" t="s">
        <v>707</v>
      </c>
      <c r="C62" s="23">
        <v>264.73908856167355</v>
      </c>
      <c r="D62" s="23">
        <v>259.85030101279966</v>
      </c>
      <c r="E62" s="23">
        <v>197.37133316450232</v>
      </c>
      <c r="F62" s="23">
        <v>495.64594506326949</v>
      </c>
      <c r="G62" s="23">
        <v>283.05613727299851</v>
      </c>
      <c r="H62" s="23">
        <v>229.11664303828022</v>
      </c>
      <c r="I62" s="23">
        <v>252.3218152234476</v>
      </c>
      <c r="J62" s="23">
        <v>142.05521139456016</v>
      </c>
      <c r="K62" s="23">
        <v>279.4054512082904</v>
      </c>
      <c r="L62" s="23">
        <v>95.438074060177101</v>
      </c>
      <c r="M62" s="16">
        <f t="shared" si="0"/>
        <v>1071.0000000000009</v>
      </c>
      <c r="N62" s="22">
        <v>3570</v>
      </c>
      <c r="O62" s="23">
        <v>164</v>
      </c>
      <c r="P62" s="23">
        <v>6</v>
      </c>
      <c r="Q62" s="23">
        <v>391</v>
      </c>
      <c r="R62" s="23">
        <v>1136</v>
      </c>
      <c r="S62" s="23">
        <v>268</v>
      </c>
      <c r="T62" s="23">
        <v>268</v>
      </c>
      <c r="U62" s="23">
        <v>182</v>
      </c>
      <c r="V62" s="23">
        <v>477</v>
      </c>
      <c r="W62" s="23">
        <v>614</v>
      </c>
      <c r="X62" s="23">
        <v>64</v>
      </c>
    </row>
    <row r="63" spans="1:24">
      <c r="A63" s="19">
        <v>46142</v>
      </c>
      <c r="B63" s="18" t="s">
        <v>707</v>
      </c>
      <c r="C63" s="23">
        <v>267.70535285928338</v>
      </c>
      <c r="D63" s="23">
        <v>262.76178897932959</v>
      </c>
      <c r="E63" s="23">
        <v>199.58277667334829</v>
      </c>
      <c r="F63" s="23">
        <v>501.19940103036492</v>
      </c>
      <c r="G63" s="23">
        <v>286.22763460939063</v>
      </c>
      <c r="H63" s="23">
        <v>231.68377629361109</v>
      </c>
      <c r="I63" s="23">
        <v>255.14895040802406</v>
      </c>
      <c r="J63" s="23">
        <v>143.6468664241911</v>
      </c>
      <c r="K63" s="23">
        <v>282.53604449913956</v>
      </c>
      <c r="L63" s="23">
        <v>96.507408223316332</v>
      </c>
      <c r="M63" s="16">
        <f t="shared" si="0"/>
        <v>1083.0000000000009</v>
      </c>
      <c r="N63" s="22">
        <v>3610</v>
      </c>
      <c r="O63" s="23">
        <v>164</v>
      </c>
      <c r="P63" s="23">
        <v>6</v>
      </c>
      <c r="Q63" s="23">
        <v>400</v>
      </c>
      <c r="R63" s="23">
        <v>1136</v>
      </c>
      <c r="S63" s="23">
        <v>268</v>
      </c>
      <c r="T63" s="23">
        <v>268</v>
      </c>
      <c r="U63" s="23">
        <v>190</v>
      </c>
      <c r="V63" s="23">
        <v>482</v>
      </c>
      <c r="W63" s="23">
        <v>629</v>
      </c>
      <c r="X63" s="23">
        <v>67</v>
      </c>
    </row>
    <row r="64" spans="1:24">
      <c r="A64" s="19">
        <v>46143</v>
      </c>
      <c r="B64" s="18" t="s">
        <v>707</v>
      </c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16">
        <f t="shared" si="0"/>
        <v>0</v>
      </c>
      <c r="N64" s="22"/>
      <c r="O64" s="23"/>
      <c r="P64" s="23"/>
      <c r="Q64" s="23"/>
      <c r="R64" s="23"/>
      <c r="S64" s="23"/>
      <c r="T64" s="23"/>
      <c r="U64" s="23"/>
      <c r="V64" s="23"/>
      <c r="W64" s="23"/>
      <c r="X64" s="23"/>
    </row>
    <row r="65" spans="1:24">
      <c r="A65" s="19">
        <v>46144</v>
      </c>
      <c r="B65" s="18" t="s">
        <v>707</v>
      </c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16">
        <f t="shared" si="0"/>
        <v>0</v>
      </c>
      <c r="N65" s="22"/>
      <c r="O65" s="23"/>
      <c r="P65" s="23"/>
      <c r="Q65" s="23"/>
      <c r="R65" s="23"/>
      <c r="S65" s="23"/>
      <c r="T65" s="23"/>
      <c r="U65" s="23"/>
      <c r="V65" s="23"/>
      <c r="W65" s="23"/>
      <c r="X65" s="23"/>
    </row>
    <row r="66" spans="1:24">
      <c r="A66" s="19">
        <v>46145</v>
      </c>
      <c r="B66" s="18" t="s">
        <v>707</v>
      </c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16">
        <f t="shared" si="0"/>
        <v>0</v>
      </c>
      <c r="N66" s="22"/>
      <c r="O66" s="23"/>
      <c r="P66" s="23"/>
      <c r="Q66" s="23"/>
      <c r="R66" s="23"/>
      <c r="S66" s="23"/>
      <c r="T66" s="23"/>
      <c r="U66" s="23"/>
      <c r="V66" s="23"/>
      <c r="W66" s="23"/>
      <c r="X66" s="23"/>
    </row>
    <row r="67" spans="1:24">
      <c r="A67" s="19">
        <v>46146</v>
      </c>
      <c r="B67" s="18" t="s">
        <v>707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16">
        <f t="shared" ref="M67:M130" si="1">N67-SUM(C67:L67)</f>
        <v>0</v>
      </c>
      <c r="N67" s="22"/>
      <c r="O67" s="23"/>
      <c r="P67" s="23"/>
      <c r="Q67" s="23"/>
      <c r="R67" s="23"/>
      <c r="S67" s="23"/>
      <c r="T67" s="23"/>
      <c r="U67" s="23"/>
      <c r="V67" s="23"/>
      <c r="W67" s="23"/>
      <c r="X67" s="23"/>
    </row>
    <row r="68" spans="1:24">
      <c r="A68" s="19">
        <v>46147</v>
      </c>
      <c r="B68" s="18" t="s">
        <v>707</v>
      </c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16">
        <f t="shared" si="1"/>
        <v>0</v>
      </c>
      <c r="N68" s="22"/>
      <c r="O68" s="23"/>
      <c r="P68" s="23"/>
      <c r="Q68" s="23"/>
      <c r="R68" s="23"/>
      <c r="S68" s="23"/>
      <c r="T68" s="23"/>
      <c r="U68" s="23"/>
      <c r="V68" s="23"/>
      <c r="W68" s="23"/>
      <c r="X68" s="23"/>
    </row>
    <row r="69" spans="1:24">
      <c r="A69" s="19">
        <v>46148</v>
      </c>
      <c r="B69" s="18" t="s">
        <v>707</v>
      </c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16">
        <f t="shared" si="1"/>
        <v>0</v>
      </c>
      <c r="N69" s="22"/>
      <c r="O69" s="23"/>
      <c r="P69" s="23"/>
      <c r="Q69" s="23"/>
      <c r="R69" s="23"/>
      <c r="S69" s="23"/>
      <c r="T69" s="23"/>
      <c r="U69" s="23"/>
      <c r="V69" s="23"/>
      <c r="W69" s="23"/>
      <c r="X69" s="23"/>
    </row>
    <row r="70" spans="1:24">
      <c r="A70" s="19">
        <v>46149</v>
      </c>
      <c r="B70" s="18" t="s">
        <v>707</v>
      </c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16">
        <f t="shared" si="1"/>
        <v>0</v>
      </c>
      <c r="N70" s="22"/>
      <c r="O70" s="23"/>
      <c r="P70" s="23"/>
      <c r="Q70" s="23"/>
      <c r="R70" s="23"/>
      <c r="S70" s="23"/>
      <c r="T70" s="23"/>
      <c r="U70" s="23"/>
      <c r="V70" s="23"/>
      <c r="W70" s="23"/>
      <c r="X70" s="23"/>
    </row>
    <row r="71" spans="1:24">
      <c r="A71" s="19">
        <v>46150</v>
      </c>
      <c r="B71" s="18" t="s">
        <v>707</v>
      </c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16">
        <f t="shared" si="1"/>
        <v>0</v>
      </c>
      <c r="N71" s="22"/>
      <c r="O71" s="23"/>
      <c r="P71" s="23"/>
      <c r="Q71" s="23"/>
      <c r="R71" s="23"/>
      <c r="S71" s="23"/>
      <c r="T71" s="23"/>
      <c r="U71" s="23"/>
      <c r="V71" s="23"/>
      <c r="W71" s="23"/>
      <c r="X71" s="23"/>
    </row>
    <row r="72" spans="1:24">
      <c r="A72" s="19">
        <v>46151</v>
      </c>
      <c r="B72" s="18" t="s">
        <v>707</v>
      </c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16">
        <f t="shared" si="1"/>
        <v>0</v>
      </c>
      <c r="N72" s="22"/>
      <c r="O72" s="23"/>
      <c r="P72" s="23"/>
      <c r="Q72" s="23"/>
      <c r="R72" s="23"/>
      <c r="S72" s="23"/>
      <c r="T72" s="23"/>
      <c r="U72" s="23"/>
      <c r="V72" s="23"/>
      <c r="W72" s="23"/>
      <c r="X72" s="23"/>
    </row>
    <row r="73" spans="1:24">
      <c r="A73" s="19">
        <v>46152</v>
      </c>
      <c r="B73" s="18" t="s">
        <v>707</v>
      </c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16">
        <f t="shared" si="1"/>
        <v>0</v>
      </c>
      <c r="N73" s="22"/>
      <c r="O73" s="23"/>
      <c r="P73" s="23"/>
      <c r="Q73" s="23"/>
      <c r="R73" s="23"/>
      <c r="S73" s="23"/>
      <c r="T73" s="23"/>
      <c r="U73" s="23"/>
      <c r="V73" s="23"/>
      <c r="W73" s="23"/>
      <c r="X73" s="23"/>
    </row>
    <row r="74" spans="1:24">
      <c r="A74" s="19">
        <v>46153</v>
      </c>
      <c r="B74" s="18" t="s">
        <v>707</v>
      </c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16">
        <f t="shared" si="1"/>
        <v>0</v>
      </c>
      <c r="N74" s="22"/>
      <c r="O74" s="23"/>
      <c r="P74" s="23"/>
      <c r="Q74" s="23"/>
      <c r="R74" s="23"/>
      <c r="S74" s="23"/>
      <c r="T74" s="23"/>
      <c r="U74" s="23"/>
      <c r="V74" s="23"/>
      <c r="W74" s="23"/>
      <c r="X74" s="23"/>
    </row>
    <row r="75" spans="1:24">
      <c r="A75" s="19">
        <v>46154</v>
      </c>
      <c r="B75" s="18" t="s">
        <v>707</v>
      </c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16">
        <f t="shared" si="1"/>
        <v>0</v>
      </c>
      <c r="N75" s="22"/>
      <c r="O75" s="23"/>
      <c r="P75" s="23"/>
      <c r="Q75" s="23"/>
      <c r="R75" s="23"/>
      <c r="S75" s="23"/>
      <c r="T75" s="23"/>
      <c r="U75" s="23"/>
      <c r="V75" s="23"/>
      <c r="W75" s="23"/>
      <c r="X75" s="23"/>
    </row>
    <row r="76" spans="1:24">
      <c r="A76" s="19">
        <v>46155</v>
      </c>
      <c r="B76" s="18" t="s">
        <v>707</v>
      </c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16">
        <f t="shared" si="1"/>
        <v>0</v>
      </c>
      <c r="N76" s="22"/>
      <c r="O76" s="23"/>
      <c r="P76" s="23"/>
      <c r="Q76" s="23"/>
      <c r="R76" s="23"/>
      <c r="S76" s="23"/>
      <c r="T76" s="23"/>
      <c r="U76" s="23"/>
      <c r="V76" s="23"/>
      <c r="W76" s="23"/>
      <c r="X76" s="23"/>
    </row>
    <row r="77" spans="1:24">
      <c r="A77" s="19">
        <v>46156</v>
      </c>
      <c r="B77" s="18" t="s">
        <v>707</v>
      </c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16">
        <f t="shared" si="1"/>
        <v>0</v>
      </c>
      <c r="N77" s="22"/>
      <c r="O77" s="23"/>
      <c r="P77" s="23"/>
      <c r="Q77" s="23"/>
      <c r="R77" s="23"/>
      <c r="S77" s="23"/>
      <c r="T77" s="23"/>
      <c r="U77" s="23"/>
      <c r="V77" s="23"/>
      <c r="W77" s="23"/>
      <c r="X77" s="23"/>
    </row>
    <row r="78" spans="1:24">
      <c r="A78" s="19">
        <v>46157</v>
      </c>
      <c r="B78" s="18" t="s">
        <v>707</v>
      </c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16">
        <f t="shared" si="1"/>
        <v>0</v>
      </c>
      <c r="N78" s="22"/>
      <c r="O78" s="23"/>
      <c r="P78" s="23"/>
      <c r="Q78" s="23"/>
      <c r="R78" s="23"/>
      <c r="S78" s="23"/>
      <c r="T78" s="23"/>
      <c r="U78" s="23"/>
      <c r="V78" s="23"/>
      <c r="W78" s="23"/>
      <c r="X78" s="23"/>
    </row>
    <row r="79" spans="1:24">
      <c r="A79" s="19">
        <v>46158</v>
      </c>
      <c r="B79" s="18" t="s">
        <v>707</v>
      </c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16">
        <f t="shared" si="1"/>
        <v>0</v>
      </c>
      <c r="N79" s="22"/>
      <c r="O79" s="23"/>
      <c r="P79" s="23"/>
      <c r="Q79" s="23"/>
      <c r="R79" s="23"/>
      <c r="S79" s="23"/>
      <c r="T79" s="23"/>
      <c r="U79" s="23"/>
      <c r="V79" s="23"/>
      <c r="W79" s="23"/>
      <c r="X79" s="23"/>
    </row>
    <row r="80" spans="1:24">
      <c r="A80" s="19">
        <v>46159</v>
      </c>
      <c r="B80" s="18" t="s">
        <v>707</v>
      </c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16">
        <f t="shared" si="1"/>
        <v>0</v>
      </c>
      <c r="N80" s="22"/>
      <c r="O80" s="23"/>
      <c r="P80" s="23"/>
      <c r="Q80" s="23"/>
      <c r="R80" s="23"/>
      <c r="S80" s="23"/>
      <c r="T80" s="23"/>
      <c r="U80" s="23"/>
      <c r="V80" s="23"/>
      <c r="W80" s="23"/>
      <c r="X80" s="23"/>
    </row>
    <row r="81" spans="1:24">
      <c r="A81" s="19">
        <v>46160</v>
      </c>
      <c r="B81" s="18" t="s">
        <v>707</v>
      </c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16">
        <f t="shared" si="1"/>
        <v>0</v>
      </c>
      <c r="N81" s="22"/>
      <c r="O81" s="23"/>
      <c r="P81" s="23"/>
      <c r="Q81" s="23"/>
      <c r="R81" s="23"/>
      <c r="S81" s="23"/>
      <c r="T81" s="23"/>
      <c r="U81" s="23"/>
      <c r="V81" s="23"/>
      <c r="W81" s="23"/>
      <c r="X81" s="23"/>
    </row>
    <row r="82" spans="1:24">
      <c r="A82" s="19">
        <v>46161</v>
      </c>
      <c r="B82" s="18" t="s">
        <v>707</v>
      </c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16">
        <f t="shared" si="1"/>
        <v>0</v>
      </c>
      <c r="N82" s="22"/>
      <c r="O82" s="23"/>
      <c r="P82" s="23"/>
      <c r="Q82" s="23"/>
      <c r="R82" s="23"/>
      <c r="S82" s="23"/>
      <c r="T82" s="23"/>
      <c r="U82" s="23"/>
      <c r="V82" s="23"/>
      <c r="W82" s="23"/>
      <c r="X82" s="23"/>
    </row>
    <row r="83" spans="1:24">
      <c r="A83" s="19">
        <v>46162</v>
      </c>
      <c r="B83" s="18" t="s">
        <v>707</v>
      </c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16">
        <f t="shared" si="1"/>
        <v>0</v>
      </c>
      <c r="N83" s="22"/>
      <c r="O83" s="23"/>
      <c r="P83" s="23"/>
      <c r="Q83" s="23"/>
      <c r="R83" s="23"/>
      <c r="S83" s="23"/>
      <c r="T83" s="23"/>
      <c r="U83" s="23"/>
      <c r="V83" s="23"/>
      <c r="W83" s="23"/>
      <c r="X83" s="23"/>
    </row>
    <row r="84" spans="1:24">
      <c r="A84" s="19">
        <v>46163</v>
      </c>
      <c r="B84" s="18" t="s">
        <v>707</v>
      </c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16">
        <f t="shared" si="1"/>
        <v>0</v>
      </c>
      <c r="N84" s="22"/>
      <c r="O84" s="23"/>
      <c r="P84" s="23"/>
      <c r="Q84" s="23"/>
      <c r="R84" s="23"/>
      <c r="S84" s="23"/>
      <c r="T84" s="23"/>
      <c r="U84" s="23"/>
      <c r="V84" s="23"/>
      <c r="W84" s="23"/>
      <c r="X84" s="23"/>
    </row>
    <row r="85" spans="1:24">
      <c r="A85" s="19">
        <v>46164</v>
      </c>
      <c r="B85" s="18" t="s">
        <v>707</v>
      </c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16">
        <f t="shared" si="1"/>
        <v>0</v>
      </c>
      <c r="N85" s="22"/>
      <c r="O85" s="23"/>
      <c r="P85" s="23"/>
      <c r="Q85" s="23"/>
      <c r="R85" s="23"/>
      <c r="S85" s="23"/>
      <c r="T85" s="23"/>
      <c r="U85" s="23"/>
      <c r="V85" s="23"/>
      <c r="W85" s="23"/>
      <c r="X85" s="23"/>
    </row>
    <row r="86" spans="1:24">
      <c r="A86" s="19">
        <v>46165</v>
      </c>
      <c r="B86" s="18" t="s">
        <v>707</v>
      </c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16">
        <f t="shared" si="1"/>
        <v>0</v>
      </c>
      <c r="N86" s="22"/>
      <c r="O86" s="23"/>
      <c r="P86" s="23"/>
      <c r="Q86" s="23"/>
      <c r="R86" s="23"/>
      <c r="S86" s="23"/>
      <c r="T86" s="23"/>
      <c r="U86" s="23"/>
      <c r="V86" s="23"/>
      <c r="W86" s="23"/>
      <c r="X86" s="23"/>
    </row>
    <row r="87" spans="1:24">
      <c r="A87" s="19">
        <v>46166</v>
      </c>
      <c r="B87" s="18" t="s">
        <v>707</v>
      </c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16">
        <f t="shared" si="1"/>
        <v>0</v>
      </c>
      <c r="N87" s="22"/>
      <c r="O87" s="23"/>
      <c r="P87" s="23"/>
      <c r="Q87" s="23"/>
      <c r="R87" s="23"/>
      <c r="S87" s="23"/>
      <c r="T87" s="23"/>
      <c r="U87" s="23"/>
      <c r="V87" s="23"/>
      <c r="W87" s="23"/>
      <c r="X87" s="23"/>
    </row>
    <row r="88" spans="1:24">
      <c r="A88" s="19">
        <v>46167</v>
      </c>
      <c r="B88" s="18" t="s">
        <v>707</v>
      </c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16">
        <f t="shared" si="1"/>
        <v>0</v>
      </c>
      <c r="N88" s="22"/>
      <c r="O88" s="23"/>
      <c r="P88" s="23"/>
      <c r="Q88" s="23"/>
      <c r="R88" s="23"/>
      <c r="S88" s="23"/>
      <c r="T88" s="23"/>
      <c r="U88" s="23"/>
      <c r="V88" s="23"/>
      <c r="W88" s="23"/>
      <c r="X88" s="23"/>
    </row>
    <row r="89" spans="1:24">
      <c r="A89" s="19">
        <v>46168</v>
      </c>
      <c r="B89" s="18" t="s">
        <v>707</v>
      </c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16">
        <f t="shared" si="1"/>
        <v>0</v>
      </c>
      <c r="N89" s="22"/>
      <c r="O89" s="23"/>
      <c r="P89" s="23"/>
      <c r="Q89" s="23"/>
      <c r="R89" s="23"/>
      <c r="S89" s="23"/>
      <c r="T89" s="23"/>
      <c r="U89" s="23"/>
      <c r="V89" s="23"/>
      <c r="W89" s="23"/>
      <c r="X89" s="23"/>
    </row>
    <row r="90" spans="1:24">
      <c r="A90" s="19">
        <v>46169</v>
      </c>
      <c r="B90" s="18" t="s">
        <v>707</v>
      </c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16">
        <f t="shared" si="1"/>
        <v>0</v>
      </c>
      <c r="N90" s="22"/>
      <c r="O90" s="23"/>
      <c r="P90" s="23"/>
      <c r="Q90" s="23"/>
      <c r="R90" s="23"/>
      <c r="S90" s="23"/>
      <c r="T90" s="23"/>
      <c r="U90" s="23"/>
      <c r="V90" s="23"/>
      <c r="W90" s="23"/>
      <c r="X90" s="23"/>
    </row>
    <row r="91" spans="1:24">
      <c r="A91" s="19">
        <v>46170</v>
      </c>
      <c r="B91" s="18" t="s">
        <v>707</v>
      </c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16">
        <f t="shared" si="1"/>
        <v>0</v>
      </c>
      <c r="N91" s="22"/>
      <c r="O91" s="23"/>
      <c r="P91" s="23"/>
      <c r="Q91" s="23"/>
      <c r="R91" s="23"/>
      <c r="S91" s="23"/>
      <c r="T91" s="23"/>
      <c r="U91" s="23"/>
      <c r="V91" s="23"/>
      <c r="W91" s="23"/>
      <c r="X91" s="23"/>
    </row>
    <row r="92" spans="1:24">
      <c r="A92" s="19">
        <v>46171</v>
      </c>
      <c r="B92" s="18" t="s">
        <v>707</v>
      </c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16">
        <f t="shared" si="1"/>
        <v>0</v>
      </c>
      <c r="N92" s="22"/>
      <c r="O92" s="23"/>
      <c r="P92" s="23"/>
      <c r="Q92" s="23"/>
      <c r="R92" s="23"/>
      <c r="S92" s="23"/>
      <c r="T92" s="23"/>
      <c r="U92" s="23"/>
      <c r="V92" s="23"/>
      <c r="W92" s="23"/>
      <c r="X92" s="23"/>
    </row>
    <row r="93" spans="1:24">
      <c r="A93" s="19">
        <v>46172</v>
      </c>
      <c r="B93" s="18" t="s">
        <v>707</v>
      </c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16">
        <f t="shared" si="1"/>
        <v>0</v>
      </c>
      <c r="N93" s="22"/>
      <c r="O93" s="23"/>
      <c r="P93" s="23"/>
      <c r="Q93" s="23"/>
      <c r="R93" s="23"/>
      <c r="S93" s="23"/>
      <c r="T93" s="23"/>
      <c r="U93" s="23"/>
      <c r="V93" s="23"/>
      <c r="W93" s="23"/>
      <c r="X93" s="23"/>
    </row>
    <row r="94" spans="1:24">
      <c r="A94" s="19">
        <v>46173</v>
      </c>
      <c r="B94" s="18" t="s">
        <v>707</v>
      </c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16">
        <f t="shared" si="1"/>
        <v>0</v>
      </c>
      <c r="N94" s="22"/>
      <c r="O94" s="23"/>
      <c r="P94" s="23"/>
      <c r="Q94" s="23"/>
      <c r="R94" s="23"/>
      <c r="S94" s="23"/>
      <c r="T94" s="23"/>
      <c r="U94" s="23"/>
      <c r="V94" s="23"/>
      <c r="W94" s="23"/>
      <c r="X94" s="23"/>
    </row>
    <row r="95" spans="1:24">
      <c r="A95" s="19">
        <v>46174</v>
      </c>
      <c r="B95" s="18" t="s">
        <v>707</v>
      </c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16">
        <f t="shared" si="1"/>
        <v>0</v>
      </c>
      <c r="N95" s="22"/>
      <c r="O95" s="23"/>
      <c r="P95" s="23"/>
      <c r="Q95" s="23"/>
      <c r="R95" s="23"/>
      <c r="S95" s="23"/>
      <c r="T95" s="23"/>
      <c r="U95" s="23"/>
      <c r="V95" s="23"/>
      <c r="W95" s="23"/>
      <c r="X95" s="23"/>
    </row>
    <row r="96" spans="1:24">
      <c r="A96" s="19">
        <v>46175</v>
      </c>
      <c r="B96" s="18" t="s">
        <v>707</v>
      </c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16">
        <f t="shared" si="1"/>
        <v>0</v>
      </c>
      <c r="N96" s="22"/>
      <c r="O96" s="23"/>
      <c r="P96" s="23"/>
      <c r="Q96" s="23"/>
      <c r="R96" s="23"/>
      <c r="S96" s="23"/>
      <c r="T96" s="23"/>
      <c r="U96" s="23"/>
      <c r="V96" s="23"/>
      <c r="W96" s="23"/>
      <c r="X96" s="23"/>
    </row>
    <row r="97" spans="1:24">
      <c r="A97" s="19">
        <v>46176</v>
      </c>
      <c r="B97" s="18" t="s">
        <v>707</v>
      </c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16">
        <f t="shared" si="1"/>
        <v>0</v>
      </c>
      <c r="N97" s="22"/>
      <c r="O97" s="23"/>
      <c r="P97" s="23"/>
      <c r="Q97" s="23"/>
      <c r="R97" s="23"/>
      <c r="S97" s="23"/>
      <c r="T97" s="23"/>
      <c r="U97" s="23"/>
      <c r="V97" s="23"/>
      <c r="W97" s="23"/>
      <c r="X97" s="23"/>
    </row>
    <row r="98" spans="1:24">
      <c r="A98" s="19">
        <v>46177</v>
      </c>
      <c r="B98" s="18" t="s">
        <v>707</v>
      </c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16">
        <f t="shared" si="1"/>
        <v>0</v>
      </c>
      <c r="N98" s="22"/>
      <c r="O98" s="23"/>
      <c r="P98" s="23"/>
      <c r="Q98" s="23"/>
      <c r="R98" s="23"/>
      <c r="S98" s="23"/>
      <c r="T98" s="23"/>
      <c r="U98" s="23"/>
      <c r="V98" s="23"/>
      <c r="W98" s="23"/>
      <c r="X98" s="23"/>
    </row>
    <row r="99" spans="1:24">
      <c r="A99" s="19">
        <v>46178</v>
      </c>
      <c r="B99" s="18" t="s">
        <v>707</v>
      </c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16">
        <f t="shared" si="1"/>
        <v>0</v>
      </c>
      <c r="N99" s="22"/>
      <c r="O99" s="23"/>
      <c r="P99" s="23"/>
      <c r="Q99" s="23"/>
      <c r="R99" s="23"/>
      <c r="S99" s="23"/>
      <c r="T99" s="23"/>
      <c r="U99" s="23"/>
      <c r="V99" s="23"/>
      <c r="W99" s="23"/>
      <c r="X99" s="23"/>
    </row>
    <row r="100" spans="1:24">
      <c r="A100" s="19">
        <v>46179</v>
      </c>
      <c r="B100" s="18" t="s">
        <v>707</v>
      </c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16">
        <f t="shared" si="1"/>
        <v>0</v>
      </c>
      <c r="N100" s="22"/>
      <c r="O100" s="23"/>
      <c r="P100" s="23"/>
      <c r="Q100" s="23"/>
      <c r="R100" s="23"/>
      <c r="S100" s="23"/>
      <c r="T100" s="23"/>
      <c r="U100" s="23"/>
      <c r="V100" s="23"/>
      <c r="W100" s="23"/>
      <c r="X100" s="23"/>
    </row>
    <row r="101" spans="1:24">
      <c r="A101" s="19">
        <v>46180</v>
      </c>
      <c r="B101" s="18" t="s">
        <v>707</v>
      </c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16">
        <f t="shared" si="1"/>
        <v>0</v>
      </c>
      <c r="N101" s="22"/>
      <c r="O101" s="23"/>
      <c r="P101" s="23"/>
      <c r="Q101" s="23"/>
      <c r="R101" s="23"/>
      <c r="S101" s="23"/>
      <c r="T101" s="23"/>
      <c r="U101" s="23"/>
      <c r="V101" s="23"/>
      <c r="W101" s="23"/>
      <c r="X101" s="23"/>
    </row>
    <row r="102" spans="1:24">
      <c r="A102" s="19">
        <v>46181</v>
      </c>
      <c r="B102" s="18" t="s">
        <v>707</v>
      </c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16">
        <f t="shared" si="1"/>
        <v>0</v>
      </c>
      <c r="N102" s="22"/>
      <c r="O102" s="23"/>
      <c r="P102" s="23"/>
      <c r="Q102" s="23"/>
      <c r="R102" s="23"/>
      <c r="S102" s="23"/>
      <c r="T102" s="23"/>
      <c r="U102" s="23"/>
      <c r="V102" s="23"/>
      <c r="W102" s="23"/>
      <c r="X102" s="23"/>
    </row>
    <row r="103" spans="1:24">
      <c r="A103" s="19">
        <v>46182</v>
      </c>
      <c r="B103" s="18" t="s">
        <v>707</v>
      </c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16">
        <f t="shared" si="1"/>
        <v>0</v>
      </c>
      <c r="N103" s="22"/>
      <c r="O103" s="23"/>
      <c r="P103" s="23"/>
      <c r="Q103" s="23"/>
      <c r="R103" s="23"/>
      <c r="S103" s="23"/>
      <c r="T103" s="23"/>
      <c r="U103" s="23"/>
      <c r="V103" s="23"/>
      <c r="W103" s="23"/>
      <c r="X103" s="23"/>
    </row>
    <row r="104" spans="1:24">
      <c r="A104" s="19">
        <v>46183</v>
      </c>
      <c r="B104" s="18" t="s">
        <v>707</v>
      </c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16">
        <f t="shared" si="1"/>
        <v>0</v>
      </c>
      <c r="N104" s="22"/>
      <c r="O104" s="23"/>
      <c r="P104" s="23"/>
      <c r="Q104" s="23"/>
      <c r="R104" s="23"/>
      <c r="S104" s="23"/>
      <c r="T104" s="23"/>
      <c r="U104" s="23"/>
      <c r="V104" s="23"/>
      <c r="W104" s="23"/>
      <c r="X104" s="23"/>
    </row>
    <row r="105" spans="1:24">
      <c r="A105" s="19">
        <v>46184</v>
      </c>
      <c r="B105" s="18" t="s">
        <v>707</v>
      </c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16">
        <f t="shared" si="1"/>
        <v>0</v>
      </c>
      <c r="N105" s="22"/>
      <c r="O105" s="23"/>
      <c r="P105" s="23"/>
      <c r="Q105" s="23"/>
      <c r="R105" s="23"/>
      <c r="S105" s="23"/>
      <c r="T105" s="23"/>
      <c r="U105" s="23"/>
      <c r="V105" s="23"/>
      <c r="W105" s="23"/>
      <c r="X105" s="23"/>
    </row>
    <row r="106" spans="1:24">
      <c r="A106" s="19">
        <v>46185</v>
      </c>
      <c r="B106" s="18" t="s">
        <v>707</v>
      </c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16">
        <f t="shared" si="1"/>
        <v>0</v>
      </c>
      <c r="N106" s="22"/>
      <c r="O106" s="23"/>
      <c r="P106" s="23"/>
      <c r="Q106" s="23"/>
      <c r="R106" s="23"/>
      <c r="S106" s="23"/>
      <c r="T106" s="23"/>
      <c r="U106" s="23"/>
      <c r="V106" s="23"/>
      <c r="W106" s="23"/>
      <c r="X106" s="23"/>
    </row>
    <row r="107" spans="1:24">
      <c r="A107" s="19">
        <v>46186</v>
      </c>
      <c r="B107" s="18" t="s">
        <v>707</v>
      </c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16">
        <f t="shared" si="1"/>
        <v>0</v>
      </c>
      <c r="N107" s="22"/>
      <c r="O107" s="23"/>
      <c r="P107" s="23"/>
      <c r="Q107" s="23"/>
      <c r="R107" s="23"/>
      <c r="S107" s="23"/>
      <c r="T107" s="23"/>
      <c r="U107" s="23"/>
      <c r="V107" s="23"/>
      <c r="W107" s="23"/>
      <c r="X107" s="23"/>
    </row>
    <row r="108" spans="1:24">
      <c r="A108" s="19">
        <v>46187</v>
      </c>
      <c r="B108" s="18" t="s">
        <v>707</v>
      </c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16">
        <f t="shared" si="1"/>
        <v>0</v>
      </c>
      <c r="N108" s="22"/>
      <c r="O108" s="23"/>
      <c r="P108" s="23"/>
      <c r="Q108" s="23"/>
      <c r="R108" s="23"/>
      <c r="S108" s="23"/>
      <c r="T108" s="23"/>
      <c r="U108" s="23"/>
      <c r="V108" s="23"/>
      <c r="W108" s="23"/>
      <c r="X108" s="23"/>
    </row>
    <row r="109" spans="1:24">
      <c r="A109" s="19">
        <v>46188</v>
      </c>
      <c r="B109" s="18" t="s">
        <v>707</v>
      </c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16">
        <f t="shared" si="1"/>
        <v>0</v>
      </c>
      <c r="N109" s="22"/>
      <c r="O109" s="23"/>
      <c r="P109" s="23"/>
      <c r="Q109" s="23"/>
      <c r="R109" s="23"/>
      <c r="S109" s="23"/>
      <c r="T109" s="23"/>
      <c r="U109" s="23"/>
      <c r="V109" s="23"/>
      <c r="W109" s="23"/>
      <c r="X109" s="23"/>
    </row>
    <row r="110" spans="1:24">
      <c r="A110" s="19">
        <v>46189</v>
      </c>
      <c r="B110" s="18" t="s">
        <v>707</v>
      </c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16">
        <f t="shared" si="1"/>
        <v>0</v>
      </c>
      <c r="N110" s="22"/>
      <c r="O110" s="23"/>
      <c r="P110" s="23"/>
      <c r="Q110" s="23"/>
      <c r="R110" s="23"/>
      <c r="S110" s="23"/>
      <c r="T110" s="23"/>
      <c r="U110" s="23"/>
      <c r="V110" s="23"/>
      <c r="W110" s="23"/>
      <c r="X110" s="23"/>
    </row>
    <row r="111" spans="1:24">
      <c r="A111" s="19">
        <v>46190</v>
      </c>
      <c r="B111" s="18" t="s">
        <v>707</v>
      </c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16">
        <f t="shared" si="1"/>
        <v>0</v>
      </c>
      <c r="N111" s="22"/>
      <c r="O111" s="23"/>
      <c r="P111" s="23"/>
      <c r="Q111" s="23"/>
      <c r="R111" s="23"/>
      <c r="S111" s="23"/>
      <c r="T111" s="23"/>
      <c r="U111" s="23"/>
      <c r="V111" s="23"/>
      <c r="W111" s="23"/>
      <c r="X111" s="23"/>
    </row>
    <row r="112" spans="1:24">
      <c r="A112" s="19">
        <v>46191</v>
      </c>
      <c r="B112" s="18" t="s">
        <v>707</v>
      </c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16">
        <f t="shared" si="1"/>
        <v>0</v>
      </c>
      <c r="N112" s="22"/>
      <c r="O112" s="23"/>
      <c r="P112" s="23"/>
      <c r="Q112" s="23"/>
      <c r="R112" s="23"/>
      <c r="S112" s="23"/>
      <c r="T112" s="23"/>
      <c r="U112" s="23"/>
      <c r="V112" s="23"/>
      <c r="W112" s="23"/>
      <c r="X112" s="23"/>
    </row>
    <row r="113" spans="1:24">
      <c r="A113" s="19">
        <v>46192</v>
      </c>
      <c r="B113" s="18" t="s">
        <v>707</v>
      </c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16">
        <f t="shared" si="1"/>
        <v>0</v>
      </c>
      <c r="N113" s="22"/>
      <c r="O113" s="23"/>
      <c r="P113" s="23"/>
      <c r="Q113" s="23"/>
      <c r="R113" s="23"/>
      <c r="S113" s="23"/>
      <c r="T113" s="23"/>
      <c r="U113" s="23"/>
      <c r="V113" s="23"/>
      <c r="W113" s="23"/>
      <c r="X113" s="23"/>
    </row>
    <row r="114" spans="1:24">
      <c r="A114" s="19">
        <v>46193</v>
      </c>
      <c r="B114" s="18" t="s">
        <v>707</v>
      </c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16">
        <f t="shared" si="1"/>
        <v>0</v>
      </c>
      <c r="N114" s="22"/>
      <c r="O114" s="23"/>
      <c r="P114" s="23"/>
      <c r="Q114" s="23"/>
      <c r="R114" s="23"/>
      <c r="S114" s="23"/>
      <c r="T114" s="23"/>
      <c r="U114" s="23"/>
      <c r="V114" s="23"/>
      <c r="W114" s="23"/>
      <c r="X114" s="23"/>
    </row>
    <row r="115" spans="1:24">
      <c r="A115" s="19">
        <v>46194</v>
      </c>
      <c r="B115" s="18" t="s">
        <v>707</v>
      </c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16">
        <f t="shared" si="1"/>
        <v>0</v>
      </c>
      <c r="N115" s="22"/>
      <c r="O115" s="23"/>
      <c r="P115" s="23"/>
      <c r="Q115" s="23"/>
      <c r="R115" s="23"/>
      <c r="S115" s="23"/>
      <c r="T115" s="23"/>
      <c r="U115" s="23"/>
      <c r="V115" s="23"/>
      <c r="W115" s="23"/>
      <c r="X115" s="23"/>
    </row>
    <row r="116" spans="1:24">
      <c r="A116" s="19">
        <v>46195</v>
      </c>
      <c r="B116" s="18" t="s">
        <v>707</v>
      </c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16">
        <f t="shared" si="1"/>
        <v>0</v>
      </c>
      <c r="N116" s="22"/>
      <c r="O116" s="23"/>
      <c r="P116" s="23"/>
      <c r="Q116" s="23"/>
      <c r="R116" s="23"/>
      <c r="S116" s="23"/>
      <c r="T116" s="23"/>
      <c r="U116" s="23"/>
      <c r="V116" s="23"/>
      <c r="W116" s="23"/>
      <c r="X116" s="23"/>
    </row>
    <row r="117" spans="1:24">
      <c r="A117" s="19">
        <v>46196</v>
      </c>
      <c r="B117" s="18" t="s">
        <v>707</v>
      </c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16">
        <f t="shared" si="1"/>
        <v>0</v>
      </c>
      <c r="N117" s="22"/>
      <c r="O117" s="23"/>
      <c r="P117" s="23"/>
      <c r="Q117" s="23"/>
      <c r="R117" s="23"/>
      <c r="S117" s="23"/>
      <c r="T117" s="23"/>
      <c r="U117" s="23"/>
      <c r="V117" s="23"/>
      <c r="W117" s="23"/>
      <c r="X117" s="23"/>
    </row>
    <row r="118" spans="1:24">
      <c r="A118" s="19">
        <v>46197</v>
      </c>
      <c r="B118" s="18" t="s">
        <v>707</v>
      </c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16">
        <f t="shared" si="1"/>
        <v>0</v>
      </c>
      <c r="N118" s="22"/>
      <c r="O118" s="23"/>
      <c r="P118" s="23"/>
      <c r="Q118" s="23"/>
      <c r="R118" s="23"/>
      <c r="S118" s="23"/>
      <c r="T118" s="23"/>
      <c r="U118" s="23"/>
      <c r="V118" s="23"/>
      <c r="W118" s="23"/>
      <c r="X118" s="23"/>
    </row>
    <row r="119" spans="1:24">
      <c r="A119" s="19">
        <v>46198</v>
      </c>
      <c r="B119" s="18" t="s">
        <v>707</v>
      </c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16">
        <f t="shared" si="1"/>
        <v>0</v>
      </c>
      <c r="N119" s="22"/>
      <c r="O119" s="23"/>
      <c r="P119" s="23"/>
      <c r="Q119" s="23"/>
      <c r="R119" s="23"/>
      <c r="S119" s="23"/>
      <c r="T119" s="23"/>
      <c r="U119" s="23"/>
      <c r="V119" s="23"/>
      <c r="W119" s="23"/>
      <c r="X119" s="23"/>
    </row>
    <row r="120" spans="1:24">
      <c r="A120" s="19">
        <v>46199</v>
      </c>
      <c r="B120" s="18" t="s">
        <v>707</v>
      </c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16">
        <f t="shared" si="1"/>
        <v>0</v>
      </c>
      <c r="N120" s="22"/>
      <c r="O120" s="23"/>
      <c r="P120" s="23"/>
      <c r="Q120" s="23"/>
      <c r="R120" s="23"/>
      <c r="S120" s="23"/>
      <c r="T120" s="23"/>
      <c r="U120" s="23"/>
      <c r="V120" s="23"/>
      <c r="W120" s="23"/>
      <c r="X120" s="23"/>
    </row>
    <row r="121" spans="1:24">
      <c r="A121" s="19">
        <v>46200</v>
      </c>
      <c r="B121" s="18" t="s">
        <v>707</v>
      </c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16">
        <f t="shared" si="1"/>
        <v>0</v>
      </c>
      <c r="N121" s="22"/>
      <c r="O121" s="23"/>
      <c r="P121" s="23"/>
      <c r="Q121" s="23"/>
      <c r="R121" s="23"/>
      <c r="S121" s="23"/>
      <c r="T121" s="23"/>
      <c r="U121" s="23"/>
      <c r="V121" s="23"/>
      <c r="W121" s="23"/>
      <c r="X121" s="23"/>
    </row>
    <row r="122" spans="1:24">
      <c r="A122" s="19">
        <v>46201</v>
      </c>
      <c r="B122" s="18" t="s">
        <v>707</v>
      </c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16">
        <f t="shared" si="1"/>
        <v>0</v>
      </c>
      <c r="N122" s="22"/>
      <c r="O122" s="23"/>
      <c r="P122" s="23"/>
      <c r="Q122" s="23"/>
      <c r="R122" s="23"/>
      <c r="S122" s="23"/>
      <c r="T122" s="23"/>
      <c r="U122" s="23"/>
      <c r="V122" s="23"/>
      <c r="W122" s="23"/>
      <c r="X122" s="23"/>
    </row>
    <row r="123" spans="1:24">
      <c r="A123" s="19">
        <v>46202</v>
      </c>
      <c r="B123" s="18" t="s">
        <v>707</v>
      </c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16">
        <f t="shared" si="1"/>
        <v>0</v>
      </c>
      <c r="N123" s="22"/>
      <c r="O123" s="23"/>
      <c r="P123" s="23"/>
      <c r="Q123" s="23"/>
      <c r="R123" s="23"/>
      <c r="S123" s="23"/>
      <c r="T123" s="23"/>
      <c r="U123" s="23"/>
      <c r="V123" s="23"/>
      <c r="W123" s="23"/>
      <c r="X123" s="23"/>
    </row>
    <row r="124" spans="1:24">
      <c r="A124" s="19">
        <v>46203</v>
      </c>
      <c r="B124" s="18" t="s">
        <v>707</v>
      </c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16">
        <f t="shared" si="1"/>
        <v>0</v>
      </c>
      <c r="N124" s="22"/>
      <c r="O124" s="23"/>
      <c r="P124" s="23"/>
      <c r="Q124" s="23"/>
      <c r="R124" s="23"/>
      <c r="S124" s="23"/>
      <c r="T124" s="23"/>
      <c r="U124" s="23"/>
      <c r="V124" s="23"/>
      <c r="W124" s="23"/>
      <c r="X124" s="23"/>
    </row>
    <row r="125" spans="1:24">
      <c r="A125" s="19">
        <v>46204</v>
      </c>
      <c r="B125" s="18" t="s">
        <v>707</v>
      </c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16">
        <f t="shared" si="1"/>
        <v>0</v>
      </c>
      <c r="N125" s="22"/>
      <c r="O125" s="23"/>
      <c r="P125" s="23"/>
      <c r="Q125" s="23"/>
      <c r="R125" s="23"/>
      <c r="S125" s="23"/>
      <c r="T125" s="23"/>
      <c r="U125" s="23"/>
      <c r="V125" s="23"/>
      <c r="W125" s="23"/>
      <c r="X125" s="23"/>
    </row>
    <row r="126" spans="1:24">
      <c r="A126" s="19">
        <v>46205</v>
      </c>
      <c r="B126" s="18" t="s">
        <v>707</v>
      </c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16">
        <f t="shared" si="1"/>
        <v>0</v>
      </c>
      <c r="N126" s="22"/>
      <c r="O126" s="23"/>
      <c r="P126" s="23"/>
      <c r="Q126" s="23"/>
      <c r="R126" s="23"/>
      <c r="S126" s="23"/>
      <c r="T126" s="23"/>
      <c r="U126" s="23"/>
      <c r="V126" s="23"/>
      <c r="W126" s="23"/>
      <c r="X126" s="23"/>
    </row>
    <row r="127" spans="1:24">
      <c r="A127" s="19">
        <v>46206</v>
      </c>
      <c r="B127" s="18" t="s">
        <v>707</v>
      </c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16">
        <f t="shared" si="1"/>
        <v>0</v>
      </c>
      <c r="N127" s="22"/>
      <c r="O127" s="23"/>
      <c r="P127" s="23"/>
      <c r="Q127" s="23"/>
      <c r="R127" s="23"/>
      <c r="S127" s="23"/>
      <c r="T127" s="23"/>
      <c r="U127" s="23"/>
      <c r="V127" s="23"/>
      <c r="W127" s="23"/>
      <c r="X127" s="23"/>
    </row>
    <row r="128" spans="1:24">
      <c r="A128" s="19">
        <v>46207</v>
      </c>
      <c r="B128" s="18" t="s">
        <v>707</v>
      </c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16">
        <f t="shared" si="1"/>
        <v>0</v>
      </c>
      <c r="N128" s="22"/>
      <c r="O128" s="23"/>
      <c r="P128" s="23"/>
      <c r="Q128" s="23"/>
      <c r="R128" s="23"/>
      <c r="S128" s="23"/>
      <c r="T128" s="23"/>
      <c r="U128" s="23"/>
      <c r="V128" s="23"/>
      <c r="W128" s="23"/>
      <c r="X128" s="23"/>
    </row>
    <row r="129" spans="1:24">
      <c r="A129" s="19">
        <v>46208</v>
      </c>
      <c r="B129" s="18" t="s">
        <v>707</v>
      </c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16">
        <f t="shared" si="1"/>
        <v>0</v>
      </c>
      <c r="N129" s="22"/>
      <c r="O129" s="23"/>
      <c r="P129" s="23"/>
      <c r="Q129" s="23"/>
      <c r="R129" s="23"/>
      <c r="S129" s="23"/>
      <c r="T129" s="23"/>
      <c r="U129" s="23"/>
      <c r="V129" s="23"/>
      <c r="W129" s="23"/>
      <c r="X129" s="23"/>
    </row>
    <row r="130" spans="1:24">
      <c r="A130" s="19">
        <v>46209</v>
      </c>
      <c r="B130" s="18" t="s">
        <v>707</v>
      </c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16">
        <f t="shared" si="1"/>
        <v>0</v>
      </c>
      <c r="N130" s="22"/>
      <c r="O130" s="23"/>
      <c r="P130" s="23"/>
      <c r="Q130" s="23"/>
      <c r="R130" s="23"/>
      <c r="S130" s="23"/>
      <c r="T130" s="23"/>
      <c r="U130" s="23"/>
      <c r="V130" s="23"/>
      <c r="W130" s="23"/>
      <c r="X130" s="23"/>
    </row>
    <row r="131" spans="1:24">
      <c r="A131" s="19">
        <v>46210</v>
      </c>
      <c r="B131" s="18" t="s">
        <v>707</v>
      </c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16">
        <f t="shared" ref="M131:M194" si="2">N131-SUM(C131:L131)</f>
        <v>0</v>
      </c>
      <c r="N131" s="22"/>
      <c r="O131" s="23"/>
      <c r="P131" s="23"/>
      <c r="Q131" s="23"/>
      <c r="R131" s="23"/>
      <c r="S131" s="23"/>
      <c r="T131" s="23"/>
      <c r="U131" s="23"/>
      <c r="V131" s="23"/>
      <c r="W131" s="23"/>
      <c r="X131" s="23"/>
    </row>
    <row r="132" spans="1:24">
      <c r="A132" s="19">
        <v>46211</v>
      </c>
      <c r="B132" s="18" t="s">
        <v>707</v>
      </c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16">
        <f t="shared" si="2"/>
        <v>0</v>
      </c>
      <c r="N132" s="22"/>
      <c r="O132" s="23"/>
      <c r="P132" s="23"/>
      <c r="Q132" s="23"/>
      <c r="R132" s="23"/>
      <c r="S132" s="23"/>
      <c r="T132" s="23"/>
      <c r="U132" s="23"/>
      <c r="V132" s="23"/>
      <c r="W132" s="23"/>
      <c r="X132" s="23"/>
    </row>
    <row r="133" spans="1:24">
      <c r="A133" s="19">
        <v>46212</v>
      </c>
      <c r="B133" s="18" t="s">
        <v>707</v>
      </c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16">
        <f t="shared" si="2"/>
        <v>0</v>
      </c>
      <c r="N133" s="22"/>
      <c r="O133" s="23"/>
      <c r="P133" s="23"/>
      <c r="Q133" s="23"/>
      <c r="R133" s="23"/>
      <c r="S133" s="23"/>
      <c r="T133" s="23"/>
      <c r="U133" s="23"/>
      <c r="V133" s="23"/>
      <c r="W133" s="23"/>
      <c r="X133" s="23"/>
    </row>
    <row r="134" spans="1:24">
      <c r="A134" s="19">
        <v>46213</v>
      </c>
      <c r="B134" s="18" t="s">
        <v>707</v>
      </c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16">
        <f t="shared" si="2"/>
        <v>0</v>
      </c>
      <c r="N134" s="22"/>
      <c r="O134" s="23"/>
      <c r="P134" s="23"/>
      <c r="Q134" s="23"/>
      <c r="R134" s="23"/>
      <c r="S134" s="23"/>
      <c r="T134" s="23"/>
      <c r="U134" s="23"/>
      <c r="V134" s="23"/>
      <c r="W134" s="23"/>
      <c r="X134" s="23"/>
    </row>
    <row r="135" spans="1:24">
      <c r="A135" s="19">
        <v>46214</v>
      </c>
      <c r="B135" s="18" t="s">
        <v>707</v>
      </c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16">
        <f t="shared" si="2"/>
        <v>0</v>
      </c>
      <c r="N135" s="22"/>
      <c r="O135" s="23"/>
      <c r="P135" s="23"/>
      <c r="Q135" s="23"/>
      <c r="R135" s="23"/>
      <c r="S135" s="23"/>
      <c r="T135" s="23"/>
      <c r="U135" s="23"/>
      <c r="V135" s="23"/>
      <c r="W135" s="23"/>
      <c r="X135" s="23"/>
    </row>
    <row r="136" spans="1:24">
      <c r="A136" s="19">
        <v>46215</v>
      </c>
      <c r="B136" s="18" t="s">
        <v>707</v>
      </c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16">
        <f t="shared" si="2"/>
        <v>0</v>
      </c>
      <c r="N136" s="22"/>
      <c r="O136" s="23"/>
      <c r="P136" s="23"/>
      <c r="Q136" s="23"/>
      <c r="R136" s="23"/>
      <c r="S136" s="23"/>
      <c r="T136" s="23"/>
      <c r="U136" s="23"/>
      <c r="V136" s="23"/>
      <c r="W136" s="23"/>
      <c r="X136" s="23"/>
    </row>
    <row r="137" spans="1:24">
      <c r="A137" s="19">
        <v>46216</v>
      </c>
      <c r="B137" s="18" t="s">
        <v>707</v>
      </c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16">
        <f t="shared" si="2"/>
        <v>0</v>
      </c>
      <c r="N137" s="22"/>
      <c r="O137" s="23"/>
      <c r="P137" s="23"/>
      <c r="Q137" s="23"/>
      <c r="R137" s="23"/>
      <c r="S137" s="23"/>
      <c r="T137" s="23"/>
      <c r="U137" s="23"/>
      <c r="V137" s="23"/>
      <c r="W137" s="23"/>
      <c r="X137" s="23"/>
    </row>
    <row r="138" spans="1:24">
      <c r="A138" s="19">
        <v>46217</v>
      </c>
      <c r="B138" s="18" t="s">
        <v>707</v>
      </c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16">
        <f t="shared" si="2"/>
        <v>0</v>
      </c>
      <c r="N138" s="22"/>
      <c r="O138" s="23"/>
      <c r="P138" s="23"/>
      <c r="Q138" s="23"/>
      <c r="R138" s="23"/>
      <c r="S138" s="23"/>
      <c r="T138" s="23"/>
      <c r="U138" s="23"/>
      <c r="V138" s="23"/>
      <c r="W138" s="23"/>
      <c r="X138" s="23"/>
    </row>
    <row r="139" spans="1:24">
      <c r="A139" s="19">
        <v>46218</v>
      </c>
      <c r="B139" s="18" t="s">
        <v>707</v>
      </c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16">
        <f t="shared" si="2"/>
        <v>0</v>
      </c>
      <c r="N139" s="22"/>
      <c r="O139" s="23"/>
      <c r="P139" s="23"/>
      <c r="Q139" s="23"/>
      <c r="R139" s="23"/>
      <c r="S139" s="23"/>
      <c r="T139" s="23"/>
      <c r="U139" s="23"/>
      <c r="V139" s="23"/>
      <c r="W139" s="23"/>
      <c r="X139" s="23"/>
    </row>
    <row r="140" spans="1:24">
      <c r="A140" s="19">
        <v>46219</v>
      </c>
      <c r="B140" s="18" t="s">
        <v>707</v>
      </c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16">
        <f t="shared" si="2"/>
        <v>0</v>
      </c>
      <c r="N140" s="22"/>
      <c r="O140" s="23"/>
      <c r="P140" s="23"/>
      <c r="Q140" s="23"/>
      <c r="R140" s="23"/>
      <c r="S140" s="23"/>
      <c r="T140" s="23"/>
      <c r="U140" s="23"/>
      <c r="V140" s="23"/>
      <c r="W140" s="23"/>
      <c r="X140" s="23"/>
    </row>
    <row r="141" spans="1:24">
      <c r="A141" s="19">
        <v>46220</v>
      </c>
      <c r="B141" s="18" t="s">
        <v>707</v>
      </c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16">
        <f t="shared" si="2"/>
        <v>0</v>
      </c>
      <c r="N141" s="22"/>
      <c r="O141" s="23"/>
      <c r="P141" s="23"/>
      <c r="Q141" s="23"/>
      <c r="R141" s="23"/>
      <c r="S141" s="23"/>
      <c r="T141" s="23"/>
      <c r="U141" s="23"/>
      <c r="V141" s="23"/>
      <c r="W141" s="23"/>
      <c r="X141" s="23"/>
    </row>
    <row r="142" spans="1:24">
      <c r="A142" s="19">
        <v>46221</v>
      </c>
      <c r="B142" s="18" t="s">
        <v>707</v>
      </c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16">
        <f t="shared" si="2"/>
        <v>0</v>
      </c>
      <c r="N142" s="22"/>
      <c r="O142" s="23"/>
      <c r="P142" s="23"/>
      <c r="Q142" s="23"/>
      <c r="R142" s="23"/>
      <c r="S142" s="23"/>
      <c r="T142" s="23"/>
      <c r="U142" s="23"/>
      <c r="V142" s="23"/>
      <c r="W142" s="23"/>
      <c r="X142" s="23"/>
    </row>
    <row r="143" spans="1:24">
      <c r="A143" s="19">
        <v>46222</v>
      </c>
      <c r="B143" s="18" t="s">
        <v>707</v>
      </c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16">
        <f t="shared" si="2"/>
        <v>0</v>
      </c>
      <c r="N143" s="22"/>
      <c r="O143" s="23"/>
      <c r="P143" s="23"/>
      <c r="Q143" s="23"/>
      <c r="R143" s="23"/>
      <c r="S143" s="23"/>
      <c r="T143" s="23"/>
      <c r="U143" s="23"/>
      <c r="V143" s="23"/>
      <c r="W143" s="23"/>
      <c r="X143" s="23"/>
    </row>
    <row r="144" spans="1:24">
      <c r="A144" s="19">
        <v>46223</v>
      </c>
      <c r="B144" s="18" t="s">
        <v>707</v>
      </c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16">
        <f t="shared" si="2"/>
        <v>0</v>
      </c>
      <c r="N144" s="22"/>
      <c r="O144" s="23"/>
      <c r="P144" s="23"/>
      <c r="Q144" s="23"/>
      <c r="R144" s="23"/>
      <c r="S144" s="23"/>
      <c r="T144" s="23"/>
      <c r="U144" s="23"/>
      <c r="V144" s="23"/>
      <c r="W144" s="23"/>
      <c r="X144" s="23"/>
    </row>
    <row r="145" spans="1:24">
      <c r="A145" s="19">
        <v>46224</v>
      </c>
      <c r="B145" s="18" t="s">
        <v>707</v>
      </c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16">
        <f t="shared" si="2"/>
        <v>0</v>
      </c>
      <c r="N145" s="22"/>
      <c r="O145" s="23"/>
      <c r="P145" s="23"/>
      <c r="Q145" s="23"/>
      <c r="R145" s="23"/>
      <c r="S145" s="23"/>
      <c r="T145" s="23"/>
      <c r="U145" s="23"/>
      <c r="V145" s="23"/>
      <c r="W145" s="23"/>
      <c r="X145" s="23"/>
    </row>
    <row r="146" spans="1:24">
      <c r="A146" s="19">
        <v>46225</v>
      </c>
      <c r="B146" s="18" t="s">
        <v>707</v>
      </c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16">
        <f t="shared" si="2"/>
        <v>0</v>
      </c>
      <c r="N146" s="22"/>
      <c r="O146" s="23"/>
      <c r="P146" s="23"/>
      <c r="Q146" s="23"/>
      <c r="R146" s="23"/>
      <c r="S146" s="23"/>
      <c r="T146" s="23"/>
      <c r="U146" s="23"/>
      <c r="V146" s="23"/>
      <c r="W146" s="23"/>
      <c r="X146" s="23"/>
    </row>
    <row r="147" spans="1:24">
      <c r="A147" s="19">
        <v>46226</v>
      </c>
      <c r="B147" s="18" t="s">
        <v>707</v>
      </c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16">
        <f t="shared" si="2"/>
        <v>0</v>
      </c>
      <c r="N147" s="22"/>
      <c r="O147" s="23"/>
      <c r="P147" s="23"/>
      <c r="Q147" s="23"/>
      <c r="R147" s="23"/>
      <c r="S147" s="23"/>
      <c r="T147" s="23"/>
      <c r="U147" s="23"/>
      <c r="V147" s="23"/>
      <c r="W147" s="23"/>
      <c r="X147" s="23"/>
    </row>
    <row r="148" spans="1:24">
      <c r="A148" s="19">
        <v>46227</v>
      </c>
      <c r="B148" s="18" t="s">
        <v>707</v>
      </c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16">
        <f t="shared" si="2"/>
        <v>0</v>
      </c>
      <c r="N148" s="22"/>
      <c r="O148" s="23"/>
      <c r="P148" s="23"/>
      <c r="Q148" s="23"/>
      <c r="R148" s="23"/>
      <c r="S148" s="23"/>
      <c r="T148" s="23"/>
      <c r="U148" s="23"/>
      <c r="V148" s="23"/>
      <c r="W148" s="23"/>
      <c r="X148" s="23"/>
    </row>
    <row r="149" spans="1:24">
      <c r="A149" s="19">
        <v>46228</v>
      </c>
      <c r="B149" s="18" t="s">
        <v>707</v>
      </c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16">
        <f t="shared" si="2"/>
        <v>0</v>
      </c>
      <c r="N149" s="22"/>
      <c r="O149" s="23"/>
      <c r="P149" s="23"/>
      <c r="Q149" s="23"/>
      <c r="R149" s="23"/>
      <c r="S149" s="23"/>
      <c r="T149" s="23"/>
      <c r="U149" s="23"/>
      <c r="V149" s="23"/>
      <c r="W149" s="23"/>
      <c r="X149" s="23"/>
    </row>
    <row r="150" spans="1:24">
      <c r="A150" s="19">
        <v>46229</v>
      </c>
      <c r="B150" s="18" t="s">
        <v>707</v>
      </c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16">
        <f t="shared" si="2"/>
        <v>0</v>
      </c>
      <c r="N150" s="22"/>
      <c r="O150" s="23"/>
      <c r="P150" s="23"/>
      <c r="Q150" s="23"/>
      <c r="R150" s="23"/>
      <c r="S150" s="23"/>
      <c r="T150" s="23"/>
      <c r="U150" s="23"/>
      <c r="V150" s="23"/>
      <c r="W150" s="23"/>
      <c r="X150" s="23"/>
    </row>
    <row r="151" spans="1:24">
      <c r="A151" s="19">
        <v>46230</v>
      </c>
      <c r="B151" s="18" t="s">
        <v>707</v>
      </c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16">
        <f t="shared" si="2"/>
        <v>0</v>
      </c>
      <c r="N151" s="22"/>
      <c r="O151" s="23"/>
      <c r="P151" s="23"/>
      <c r="Q151" s="23"/>
      <c r="R151" s="23"/>
      <c r="S151" s="23"/>
      <c r="T151" s="23"/>
      <c r="U151" s="23"/>
      <c r="V151" s="23"/>
      <c r="W151" s="23"/>
      <c r="X151" s="23"/>
    </row>
    <row r="152" spans="1:24">
      <c r="A152" s="19">
        <v>46231</v>
      </c>
      <c r="B152" s="18" t="s">
        <v>707</v>
      </c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16">
        <f t="shared" si="2"/>
        <v>0</v>
      </c>
      <c r="N152" s="22"/>
      <c r="O152" s="23"/>
      <c r="P152" s="23"/>
      <c r="Q152" s="23"/>
      <c r="R152" s="23"/>
      <c r="S152" s="23"/>
      <c r="T152" s="23"/>
      <c r="U152" s="23"/>
      <c r="V152" s="23"/>
      <c r="W152" s="23"/>
      <c r="X152" s="23"/>
    </row>
    <row r="153" spans="1:24">
      <c r="A153" s="19">
        <v>46232</v>
      </c>
      <c r="B153" s="18" t="s">
        <v>707</v>
      </c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16">
        <f t="shared" si="2"/>
        <v>0</v>
      </c>
      <c r="N153" s="22"/>
      <c r="O153" s="23"/>
      <c r="P153" s="23"/>
      <c r="Q153" s="23"/>
      <c r="R153" s="23"/>
      <c r="S153" s="23"/>
      <c r="T153" s="23"/>
      <c r="U153" s="23"/>
      <c r="V153" s="23"/>
      <c r="W153" s="23"/>
      <c r="X153" s="23"/>
    </row>
    <row r="154" spans="1:24">
      <c r="A154" s="19">
        <v>46233</v>
      </c>
      <c r="B154" s="18" t="s">
        <v>707</v>
      </c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16">
        <f t="shared" si="2"/>
        <v>0</v>
      </c>
      <c r="N154" s="22"/>
      <c r="O154" s="23"/>
      <c r="P154" s="23"/>
      <c r="Q154" s="23"/>
      <c r="R154" s="23"/>
      <c r="S154" s="23"/>
      <c r="T154" s="23"/>
      <c r="U154" s="23"/>
      <c r="V154" s="23"/>
      <c r="W154" s="23"/>
      <c r="X154" s="23"/>
    </row>
    <row r="155" spans="1:24">
      <c r="A155" s="19">
        <v>46234</v>
      </c>
      <c r="B155" s="18" t="s">
        <v>707</v>
      </c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16">
        <f t="shared" si="2"/>
        <v>0</v>
      </c>
      <c r="N155" s="22"/>
      <c r="O155" s="23"/>
      <c r="P155" s="23"/>
      <c r="Q155" s="23"/>
      <c r="R155" s="23"/>
      <c r="S155" s="23"/>
      <c r="T155" s="23"/>
      <c r="U155" s="23"/>
      <c r="V155" s="23"/>
      <c r="W155" s="23"/>
      <c r="X155" s="23"/>
    </row>
    <row r="156" spans="1:24">
      <c r="A156" s="19">
        <v>46235</v>
      </c>
      <c r="B156" s="18" t="s">
        <v>707</v>
      </c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16">
        <f t="shared" si="2"/>
        <v>0</v>
      </c>
      <c r="N156" s="22"/>
      <c r="O156" s="23"/>
      <c r="P156" s="23"/>
      <c r="Q156" s="23"/>
      <c r="R156" s="23"/>
      <c r="S156" s="23"/>
      <c r="T156" s="23"/>
      <c r="U156" s="23"/>
      <c r="V156" s="23"/>
      <c r="W156" s="23"/>
      <c r="X156" s="23"/>
    </row>
    <row r="157" spans="1:24">
      <c r="A157" s="19">
        <v>46236</v>
      </c>
      <c r="B157" s="18" t="s">
        <v>707</v>
      </c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16">
        <f t="shared" si="2"/>
        <v>0</v>
      </c>
      <c r="N157" s="22"/>
      <c r="O157" s="23"/>
      <c r="P157" s="23"/>
      <c r="Q157" s="23"/>
      <c r="R157" s="23"/>
      <c r="S157" s="23"/>
      <c r="T157" s="23"/>
      <c r="U157" s="23"/>
      <c r="V157" s="23"/>
      <c r="W157" s="23"/>
      <c r="X157" s="23"/>
    </row>
    <row r="158" spans="1:24">
      <c r="A158" s="19">
        <v>46237</v>
      </c>
      <c r="B158" s="18" t="s">
        <v>707</v>
      </c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16">
        <f t="shared" si="2"/>
        <v>0</v>
      </c>
      <c r="N158" s="22"/>
      <c r="O158" s="23"/>
      <c r="P158" s="23"/>
      <c r="Q158" s="23"/>
      <c r="R158" s="23"/>
      <c r="S158" s="23"/>
      <c r="T158" s="23"/>
      <c r="U158" s="23"/>
      <c r="V158" s="23"/>
      <c r="W158" s="23"/>
      <c r="X158" s="23"/>
    </row>
    <row r="159" spans="1:24">
      <c r="A159" s="19">
        <v>46238</v>
      </c>
      <c r="B159" s="18" t="s">
        <v>707</v>
      </c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16">
        <f t="shared" si="2"/>
        <v>0</v>
      </c>
      <c r="N159" s="22"/>
      <c r="O159" s="23"/>
      <c r="P159" s="23"/>
      <c r="Q159" s="23"/>
      <c r="R159" s="23"/>
      <c r="S159" s="23"/>
      <c r="T159" s="23"/>
      <c r="U159" s="23"/>
      <c r="V159" s="23"/>
      <c r="W159" s="23"/>
      <c r="X159" s="23"/>
    </row>
    <row r="160" spans="1:24">
      <c r="A160" s="19">
        <v>46239</v>
      </c>
      <c r="B160" s="18" t="s">
        <v>707</v>
      </c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16">
        <f t="shared" si="2"/>
        <v>0</v>
      </c>
      <c r="N160" s="22"/>
      <c r="O160" s="23"/>
      <c r="P160" s="23"/>
      <c r="Q160" s="23"/>
      <c r="R160" s="23"/>
      <c r="S160" s="23"/>
      <c r="T160" s="23"/>
      <c r="U160" s="23"/>
      <c r="V160" s="23"/>
      <c r="W160" s="23"/>
      <c r="X160" s="23"/>
    </row>
    <row r="161" spans="1:24">
      <c r="A161" s="19">
        <v>46240</v>
      </c>
      <c r="B161" s="18" t="s">
        <v>707</v>
      </c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16">
        <f t="shared" si="2"/>
        <v>0</v>
      </c>
      <c r="N161" s="22"/>
      <c r="O161" s="23"/>
      <c r="P161" s="23"/>
      <c r="Q161" s="23"/>
      <c r="R161" s="23"/>
      <c r="S161" s="23"/>
      <c r="T161" s="23"/>
      <c r="U161" s="23"/>
      <c r="V161" s="23"/>
      <c r="W161" s="23"/>
      <c r="X161" s="23"/>
    </row>
    <row r="162" spans="1:24">
      <c r="A162" s="19">
        <v>46241</v>
      </c>
      <c r="B162" s="18" t="s">
        <v>707</v>
      </c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16">
        <f t="shared" si="2"/>
        <v>0</v>
      </c>
      <c r="N162" s="22"/>
      <c r="O162" s="23"/>
      <c r="P162" s="23"/>
      <c r="Q162" s="23"/>
      <c r="R162" s="23"/>
      <c r="S162" s="23"/>
      <c r="T162" s="23"/>
      <c r="U162" s="23"/>
      <c r="V162" s="23"/>
      <c r="W162" s="23"/>
      <c r="X162" s="23"/>
    </row>
    <row r="163" spans="1:24">
      <c r="A163" s="19">
        <v>46242</v>
      </c>
      <c r="B163" s="18" t="s">
        <v>707</v>
      </c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16">
        <f t="shared" si="2"/>
        <v>0</v>
      </c>
      <c r="N163" s="22"/>
      <c r="O163" s="23"/>
      <c r="P163" s="23"/>
      <c r="Q163" s="23"/>
      <c r="R163" s="23"/>
      <c r="S163" s="23"/>
      <c r="T163" s="23"/>
      <c r="U163" s="23"/>
      <c r="V163" s="23"/>
      <c r="W163" s="23"/>
      <c r="X163" s="23"/>
    </row>
    <row r="164" spans="1:24">
      <c r="A164" s="19">
        <v>46243</v>
      </c>
      <c r="B164" s="18" t="s">
        <v>707</v>
      </c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16">
        <f t="shared" si="2"/>
        <v>0</v>
      </c>
      <c r="N164" s="22"/>
      <c r="O164" s="23"/>
      <c r="P164" s="23"/>
      <c r="Q164" s="23"/>
      <c r="R164" s="23"/>
      <c r="S164" s="23"/>
      <c r="T164" s="23"/>
      <c r="U164" s="23"/>
      <c r="V164" s="23"/>
      <c r="W164" s="23"/>
      <c r="X164" s="23"/>
    </row>
    <row r="165" spans="1:24">
      <c r="A165" s="19">
        <v>46244</v>
      </c>
      <c r="B165" s="18" t="s">
        <v>707</v>
      </c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16">
        <f t="shared" si="2"/>
        <v>0</v>
      </c>
      <c r="N165" s="22"/>
      <c r="O165" s="23"/>
      <c r="P165" s="23"/>
      <c r="Q165" s="23"/>
      <c r="R165" s="23"/>
      <c r="S165" s="23"/>
      <c r="T165" s="23"/>
      <c r="U165" s="23"/>
      <c r="V165" s="23"/>
      <c r="W165" s="23"/>
      <c r="X165" s="23"/>
    </row>
    <row r="166" spans="1:24">
      <c r="A166" s="19">
        <v>46245</v>
      </c>
      <c r="B166" s="18" t="s">
        <v>707</v>
      </c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16">
        <f t="shared" si="2"/>
        <v>0</v>
      </c>
      <c r="N166" s="22"/>
      <c r="O166" s="23"/>
      <c r="P166" s="23"/>
      <c r="Q166" s="23"/>
      <c r="R166" s="23"/>
      <c r="S166" s="23"/>
      <c r="T166" s="23"/>
      <c r="U166" s="23"/>
      <c r="V166" s="23"/>
      <c r="W166" s="23"/>
      <c r="X166" s="23"/>
    </row>
    <row r="167" spans="1:24">
      <c r="A167" s="19">
        <v>46246</v>
      </c>
      <c r="B167" s="18" t="s">
        <v>707</v>
      </c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16">
        <f t="shared" si="2"/>
        <v>0</v>
      </c>
      <c r="N167" s="22"/>
      <c r="O167" s="23"/>
      <c r="P167" s="23"/>
      <c r="Q167" s="23"/>
      <c r="R167" s="23"/>
      <c r="S167" s="23"/>
      <c r="T167" s="23"/>
      <c r="U167" s="23"/>
      <c r="V167" s="23"/>
      <c r="W167" s="23"/>
      <c r="X167" s="23"/>
    </row>
    <row r="168" spans="1:24">
      <c r="A168" s="19">
        <v>46247</v>
      </c>
      <c r="B168" s="18" t="s">
        <v>707</v>
      </c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16">
        <f t="shared" si="2"/>
        <v>0</v>
      </c>
      <c r="N168" s="22"/>
      <c r="O168" s="23"/>
      <c r="P168" s="23"/>
      <c r="Q168" s="23"/>
      <c r="R168" s="23"/>
      <c r="S168" s="23"/>
      <c r="T168" s="23"/>
      <c r="U168" s="23"/>
      <c r="V168" s="23"/>
      <c r="W168" s="23"/>
      <c r="X168" s="23"/>
    </row>
    <row r="169" spans="1:24">
      <c r="A169" s="19">
        <v>46248</v>
      </c>
      <c r="B169" s="18" t="s">
        <v>707</v>
      </c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16">
        <f t="shared" si="2"/>
        <v>0</v>
      </c>
      <c r="N169" s="22"/>
      <c r="O169" s="23"/>
      <c r="P169" s="23"/>
      <c r="Q169" s="23"/>
      <c r="R169" s="23"/>
      <c r="S169" s="23"/>
      <c r="T169" s="23"/>
      <c r="U169" s="23"/>
      <c r="V169" s="23"/>
      <c r="W169" s="23"/>
      <c r="X169" s="23"/>
    </row>
    <row r="170" spans="1:24">
      <c r="A170" s="19">
        <v>46249</v>
      </c>
      <c r="B170" s="18" t="s">
        <v>707</v>
      </c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16">
        <f t="shared" si="2"/>
        <v>0</v>
      </c>
      <c r="N170" s="22"/>
      <c r="O170" s="23"/>
      <c r="P170" s="23"/>
      <c r="Q170" s="23"/>
      <c r="R170" s="23"/>
      <c r="S170" s="23"/>
      <c r="T170" s="23"/>
      <c r="U170" s="23"/>
      <c r="V170" s="23"/>
      <c r="W170" s="23"/>
      <c r="X170" s="23"/>
    </row>
    <row r="171" spans="1:24">
      <c r="A171" s="19">
        <v>46250</v>
      </c>
      <c r="B171" s="18" t="s">
        <v>707</v>
      </c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16">
        <f t="shared" si="2"/>
        <v>0</v>
      </c>
      <c r="N171" s="22"/>
      <c r="O171" s="23"/>
      <c r="P171" s="23"/>
      <c r="Q171" s="23"/>
      <c r="R171" s="23"/>
      <c r="S171" s="23"/>
      <c r="T171" s="23"/>
      <c r="U171" s="23"/>
      <c r="V171" s="23"/>
      <c r="W171" s="23"/>
      <c r="X171" s="23"/>
    </row>
    <row r="172" spans="1:24">
      <c r="A172" s="19">
        <v>46251</v>
      </c>
      <c r="B172" s="18" t="s">
        <v>707</v>
      </c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16">
        <f t="shared" si="2"/>
        <v>0</v>
      </c>
      <c r="N172" s="22"/>
      <c r="O172" s="23"/>
      <c r="P172" s="23"/>
      <c r="Q172" s="23"/>
      <c r="R172" s="23"/>
      <c r="S172" s="23"/>
      <c r="T172" s="23"/>
      <c r="U172" s="23"/>
      <c r="V172" s="23"/>
      <c r="W172" s="23"/>
      <c r="X172" s="23"/>
    </row>
    <row r="173" spans="1:24">
      <c r="A173" s="19">
        <v>46252</v>
      </c>
      <c r="B173" s="18" t="s">
        <v>707</v>
      </c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16">
        <f t="shared" si="2"/>
        <v>0</v>
      </c>
      <c r="N173" s="22"/>
      <c r="O173" s="23"/>
      <c r="P173" s="23"/>
      <c r="Q173" s="23"/>
      <c r="R173" s="23"/>
      <c r="S173" s="23"/>
      <c r="T173" s="23"/>
      <c r="U173" s="23"/>
      <c r="V173" s="23"/>
      <c r="W173" s="23"/>
      <c r="X173" s="23"/>
    </row>
    <row r="174" spans="1:24">
      <c r="A174" s="19">
        <v>46253</v>
      </c>
      <c r="B174" s="18" t="s">
        <v>707</v>
      </c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16">
        <f t="shared" si="2"/>
        <v>0</v>
      </c>
      <c r="N174" s="22"/>
      <c r="O174" s="23"/>
      <c r="P174" s="23"/>
      <c r="Q174" s="23"/>
      <c r="R174" s="23"/>
      <c r="S174" s="23"/>
      <c r="T174" s="23"/>
      <c r="U174" s="23"/>
      <c r="V174" s="23"/>
      <c r="W174" s="23"/>
      <c r="X174" s="23"/>
    </row>
    <row r="175" spans="1:24">
      <c r="A175" s="19">
        <v>46254</v>
      </c>
      <c r="B175" s="18" t="s">
        <v>707</v>
      </c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16">
        <f t="shared" si="2"/>
        <v>0</v>
      </c>
      <c r="N175" s="22"/>
      <c r="O175" s="23"/>
      <c r="P175" s="23"/>
      <c r="Q175" s="23"/>
      <c r="R175" s="23"/>
      <c r="S175" s="23"/>
      <c r="T175" s="23"/>
      <c r="U175" s="23"/>
      <c r="V175" s="23"/>
      <c r="W175" s="23"/>
      <c r="X175" s="23"/>
    </row>
    <row r="176" spans="1:24">
      <c r="A176" s="19">
        <v>46255</v>
      </c>
      <c r="B176" s="18" t="s">
        <v>707</v>
      </c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16">
        <f t="shared" si="2"/>
        <v>0</v>
      </c>
      <c r="N176" s="22"/>
      <c r="O176" s="23"/>
      <c r="P176" s="23"/>
      <c r="Q176" s="23"/>
      <c r="R176" s="23"/>
      <c r="S176" s="23"/>
      <c r="T176" s="23"/>
      <c r="U176" s="23"/>
      <c r="V176" s="23"/>
      <c r="W176" s="23"/>
      <c r="X176" s="23"/>
    </row>
    <row r="177" spans="1:24">
      <c r="A177" s="19">
        <v>46256</v>
      </c>
      <c r="B177" s="18" t="s">
        <v>707</v>
      </c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16">
        <f t="shared" si="2"/>
        <v>0</v>
      </c>
      <c r="N177" s="22"/>
      <c r="O177" s="23"/>
      <c r="P177" s="23"/>
      <c r="Q177" s="23"/>
      <c r="R177" s="23"/>
      <c r="S177" s="23"/>
      <c r="T177" s="23"/>
      <c r="U177" s="23"/>
      <c r="V177" s="23"/>
      <c r="W177" s="23"/>
      <c r="X177" s="23"/>
    </row>
    <row r="178" spans="1:24">
      <c r="A178" s="19">
        <v>46257</v>
      </c>
      <c r="B178" s="18" t="s">
        <v>707</v>
      </c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16">
        <f t="shared" si="2"/>
        <v>0</v>
      </c>
      <c r="N178" s="22"/>
      <c r="O178" s="23"/>
      <c r="P178" s="23"/>
      <c r="Q178" s="23"/>
      <c r="R178" s="23"/>
      <c r="S178" s="23"/>
      <c r="T178" s="23"/>
      <c r="U178" s="23"/>
      <c r="V178" s="23"/>
      <c r="W178" s="23"/>
      <c r="X178" s="23"/>
    </row>
    <row r="179" spans="1:24">
      <c r="A179" s="19">
        <v>46258</v>
      </c>
      <c r="B179" s="18" t="s">
        <v>707</v>
      </c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16">
        <f t="shared" si="2"/>
        <v>0</v>
      </c>
      <c r="N179" s="22"/>
      <c r="O179" s="23"/>
      <c r="P179" s="23"/>
      <c r="Q179" s="23"/>
      <c r="R179" s="23"/>
      <c r="S179" s="23"/>
      <c r="T179" s="23"/>
      <c r="U179" s="23"/>
      <c r="V179" s="23"/>
      <c r="W179" s="23"/>
      <c r="X179" s="23"/>
    </row>
    <row r="180" spans="1:24">
      <c r="A180" s="19">
        <v>46259</v>
      </c>
      <c r="B180" s="18" t="s">
        <v>707</v>
      </c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16">
        <f t="shared" si="2"/>
        <v>0</v>
      </c>
      <c r="N180" s="22"/>
      <c r="O180" s="23"/>
      <c r="P180" s="23"/>
      <c r="Q180" s="23"/>
      <c r="R180" s="23"/>
      <c r="S180" s="23"/>
      <c r="T180" s="23"/>
      <c r="U180" s="23"/>
      <c r="V180" s="23"/>
      <c r="W180" s="23"/>
      <c r="X180" s="23"/>
    </row>
    <row r="181" spans="1:24">
      <c r="A181" s="19">
        <v>46260</v>
      </c>
      <c r="B181" s="18" t="s">
        <v>707</v>
      </c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16">
        <f t="shared" si="2"/>
        <v>0</v>
      </c>
      <c r="N181" s="22"/>
      <c r="O181" s="23"/>
      <c r="P181" s="23"/>
      <c r="Q181" s="23"/>
      <c r="R181" s="23"/>
      <c r="S181" s="23"/>
      <c r="T181" s="23"/>
      <c r="U181" s="23"/>
      <c r="V181" s="23"/>
      <c r="W181" s="23"/>
      <c r="X181" s="23"/>
    </row>
    <row r="182" spans="1:24">
      <c r="A182" s="19">
        <v>46261</v>
      </c>
      <c r="B182" s="18" t="s">
        <v>707</v>
      </c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16">
        <f t="shared" si="2"/>
        <v>0</v>
      </c>
      <c r="N182" s="22"/>
      <c r="O182" s="23"/>
      <c r="P182" s="23"/>
      <c r="Q182" s="23"/>
      <c r="R182" s="23"/>
      <c r="S182" s="23"/>
      <c r="T182" s="23"/>
      <c r="U182" s="23"/>
      <c r="V182" s="23"/>
      <c r="W182" s="23"/>
      <c r="X182" s="23"/>
    </row>
    <row r="183" spans="1:24">
      <c r="A183" s="19">
        <v>46262</v>
      </c>
      <c r="B183" s="18" t="s">
        <v>707</v>
      </c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16">
        <f t="shared" si="2"/>
        <v>0</v>
      </c>
      <c r="N183" s="22"/>
      <c r="O183" s="23"/>
      <c r="P183" s="23"/>
      <c r="Q183" s="23"/>
      <c r="R183" s="23"/>
      <c r="S183" s="23"/>
      <c r="T183" s="23"/>
      <c r="U183" s="23"/>
      <c r="V183" s="23"/>
      <c r="W183" s="23"/>
      <c r="X183" s="23"/>
    </row>
    <row r="184" spans="1:24">
      <c r="A184" s="19">
        <v>46263</v>
      </c>
      <c r="B184" s="18" t="s">
        <v>707</v>
      </c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16">
        <f t="shared" si="2"/>
        <v>0</v>
      </c>
      <c r="N184" s="22"/>
      <c r="O184" s="23"/>
      <c r="P184" s="23"/>
      <c r="Q184" s="23"/>
      <c r="R184" s="23"/>
      <c r="S184" s="23"/>
      <c r="T184" s="23"/>
      <c r="U184" s="23"/>
      <c r="V184" s="23"/>
      <c r="W184" s="23"/>
      <c r="X184" s="23"/>
    </row>
    <row r="185" spans="1:24">
      <c r="A185" s="19">
        <v>46264</v>
      </c>
      <c r="B185" s="18" t="s">
        <v>707</v>
      </c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16">
        <f t="shared" si="2"/>
        <v>0</v>
      </c>
      <c r="N185" s="22"/>
      <c r="O185" s="23"/>
      <c r="P185" s="23"/>
      <c r="Q185" s="23"/>
      <c r="R185" s="23"/>
      <c r="S185" s="23"/>
      <c r="T185" s="23"/>
      <c r="U185" s="23"/>
      <c r="V185" s="23"/>
      <c r="W185" s="23"/>
      <c r="X185" s="23"/>
    </row>
    <row r="186" spans="1:24">
      <c r="A186" s="19">
        <v>46265</v>
      </c>
      <c r="B186" s="18" t="s">
        <v>707</v>
      </c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16">
        <f t="shared" si="2"/>
        <v>0</v>
      </c>
      <c r="N186" s="22"/>
      <c r="O186" s="23"/>
      <c r="P186" s="23"/>
      <c r="Q186" s="23"/>
      <c r="R186" s="23"/>
      <c r="S186" s="23"/>
      <c r="T186" s="23"/>
      <c r="U186" s="23"/>
      <c r="V186" s="23"/>
      <c r="W186" s="23"/>
      <c r="X186" s="23"/>
    </row>
    <row r="187" spans="1:24">
      <c r="A187" s="19">
        <v>46266</v>
      </c>
      <c r="B187" s="18" t="s">
        <v>707</v>
      </c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16">
        <f t="shared" si="2"/>
        <v>0</v>
      </c>
      <c r="N187" s="22"/>
      <c r="O187" s="23"/>
      <c r="P187" s="23"/>
      <c r="Q187" s="23"/>
      <c r="R187" s="23"/>
      <c r="S187" s="23"/>
      <c r="T187" s="23"/>
      <c r="U187" s="23"/>
      <c r="V187" s="23"/>
      <c r="W187" s="23"/>
      <c r="X187" s="23"/>
    </row>
    <row r="188" spans="1:24">
      <c r="A188" s="19">
        <v>46267</v>
      </c>
      <c r="B188" s="18" t="s">
        <v>707</v>
      </c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16">
        <f t="shared" si="2"/>
        <v>0</v>
      </c>
      <c r="N188" s="22"/>
      <c r="O188" s="23"/>
      <c r="P188" s="23"/>
      <c r="Q188" s="23"/>
      <c r="R188" s="23"/>
      <c r="S188" s="23"/>
      <c r="T188" s="23"/>
      <c r="U188" s="23"/>
      <c r="V188" s="23"/>
      <c r="W188" s="23"/>
      <c r="X188" s="23"/>
    </row>
    <row r="189" spans="1:24">
      <c r="A189" s="19">
        <v>46268</v>
      </c>
      <c r="B189" s="18" t="s">
        <v>707</v>
      </c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16">
        <f t="shared" si="2"/>
        <v>0</v>
      </c>
      <c r="N189" s="22"/>
      <c r="O189" s="23"/>
      <c r="P189" s="23"/>
      <c r="Q189" s="23"/>
      <c r="R189" s="23"/>
      <c r="S189" s="23"/>
      <c r="T189" s="23"/>
      <c r="U189" s="23"/>
      <c r="V189" s="23"/>
      <c r="W189" s="23"/>
      <c r="X189" s="23"/>
    </row>
    <row r="190" spans="1:24">
      <c r="A190" s="19">
        <v>46269</v>
      </c>
      <c r="B190" s="18" t="s">
        <v>707</v>
      </c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16">
        <f t="shared" si="2"/>
        <v>0</v>
      </c>
      <c r="N190" s="22"/>
      <c r="O190" s="23"/>
      <c r="P190" s="23"/>
      <c r="Q190" s="23"/>
      <c r="R190" s="23"/>
      <c r="S190" s="23"/>
      <c r="T190" s="23"/>
      <c r="U190" s="23"/>
      <c r="V190" s="23"/>
      <c r="W190" s="23"/>
      <c r="X190" s="23"/>
    </row>
    <row r="191" spans="1:24">
      <c r="A191" s="19">
        <v>46270</v>
      </c>
      <c r="B191" s="18" t="s">
        <v>707</v>
      </c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16">
        <f t="shared" si="2"/>
        <v>0</v>
      </c>
      <c r="N191" s="22"/>
      <c r="O191" s="23"/>
      <c r="P191" s="23"/>
      <c r="Q191" s="23"/>
      <c r="R191" s="23"/>
      <c r="S191" s="23"/>
      <c r="T191" s="23"/>
      <c r="U191" s="23"/>
      <c r="V191" s="23"/>
      <c r="W191" s="23"/>
      <c r="X191" s="23"/>
    </row>
    <row r="192" spans="1:24">
      <c r="A192" s="19">
        <v>46271</v>
      </c>
      <c r="B192" s="18" t="s">
        <v>707</v>
      </c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16">
        <f t="shared" si="2"/>
        <v>0</v>
      </c>
      <c r="N192" s="22"/>
      <c r="O192" s="23"/>
      <c r="P192" s="23"/>
      <c r="Q192" s="23"/>
      <c r="R192" s="23"/>
      <c r="S192" s="23"/>
      <c r="T192" s="23"/>
      <c r="U192" s="23"/>
      <c r="V192" s="23"/>
      <c r="W192" s="23"/>
      <c r="X192" s="23"/>
    </row>
    <row r="193" spans="1:24">
      <c r="A193" s="19">
        <v>46272</v>
      </c>
      <c r="B193" s="18" t="s">
        <v>707</v>
      </c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16">
        <f t="shared" si="2"/>
        <v>0</v>
      </c>
      <c r="N193" s="22"/>
      <c r="O193" s="23"/>
      <c r="P193" s="23"/>
      <c r="Q193" s="23"/>
      <c r="R193" s="23"/>
      <c r="S193" s="23"/>
      <c r="T193" s="23"/>
      <c r="U193" s="23"/>
      <c r="V193" s="23"/>
      <c r="W193" s="23"/>
      <c r="X193" s="23"/>
    </row>
    <row r="194" spans="1:24">
      <c r="A194" s="19">
        <v>46273</v>
      </c>
      <c r="B194" s="18" t="s">
        <v>707</v>
      </c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16">
        <f t="shared" si="2"/>
        <v>0</v>
      </c>
      <c r="N194" s="22"/>
      <c r="O194" s="23"/>
      <c r="P194" s="23"/>
      <c r="Q194" s="23"/>
      <c r="R194" s="23"/>
      <c r="S194" s="23"/>
      <c r="T194" s="23"/>
      <c r="U194" s="23"/>
      <c r="V194" s="23"/>
      <c r="W194" s="23"/>
      <c r="X194" s="23"/>
    </row>
    <row r="195" spans="1:24">
      <c r="A195" s="19">
        <v>46274</v>
      </c>
      <c r="B195" s="18" t="s">
        <v>707</v>
      </c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16">
        <f t="shared" ref="M195:M258" si="3">N195-SUM(C195:L195)</f>
        <v>0</v>
      </c>
      <c r="N195" s="22"/>
      <c r="O195" s="23"/>
      <c r="P195" s="23"/>
      <c r="Q195" s="23"/>
      <c r="R195" s="23"/>
      <c r="S195" s="23"/>
      <c r="T195" s="23"/>
      <c r="U195" s="23"/>
      <c r="V195" s="23"/>
      <c r="W195" s="23"/>
      <c r="X195" s="23"/>
    </row>
    <row r="196" spans="1:24">
      <c r="A196" s="19">
        <v>46275</v>
      </c>
      <c r="B196" s="18" t="s">
        <v>707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16">
        <f t="shared" si="3"/>
        <v>0</v>
      </c>
      <c r="N196" s="22"/>
      <c r="O196" s="21"/>
      <c r="P196" s="21"/>
      <c r="Q196" s="21"/>
      <c r="R196" s="21"/>
      <c r="S196" s="21"/>
      <c r="T196" s="21"/>
      <c r="U196" s="21"/>
      <c r="V196" s="21"/>
      <c r="W196" s="21"/>
      <c r="X196" s="21"/>
    </row>
    <row r="197" spans="1:24">
      <c r="A197" s="19">
        <v>46276</v>
      </c>
      <c r="B197" s="18" t="s">
        <v>707</v>
      </c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16">
        <f t="shared" si="3"/>
        <v>0</v>
      </c>
      <c r="N197" s="22"/>
      <c r="O197" s="21"/>
      <c r="P197" s="21"/>
      <c r="Q197" s="21"/>
      <c r="R197" s="21"/>
      <c r="S197" s="21"/>
      <c r="T197" s="21"/>
      <c r="U197" s="21"/>
      <c r="V197" s="21"/>
      <c r="W197" s="21"/>
      <c r="X197" s="21"/>
    </row>
    <row r="198" spans="1:24">
      <c r="A198" s="19">
        <v>46277</v>
      </c>
      <c r="B198" s="18" t="s">
        <v>707</v>
      </c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16">
        <f t="shared" si="3"/>
        <v>0</v>
      </c>
      <c r="N198" s="22"/>
      <c r="O198" s="21"/>
      <c r="P198" s="21"/>
      <c r="Q198" s="21"/>
      <c r="R198" s="21"/>
      <c r="S198" s="21"/>
      <c r="T198" s="21"/>
      <c r="U198" s="21"/>
      <c r="V198" s="21"/>
      <c r="W198" s="21"/>
      <c r="X198" s="21"/>
    </row>
    <row r="199" spans="1:24">
      <c r="A199" s="19">
        <v>46278</v>
      </c>
      <c r="B199" s="18" t="s">
        <v>707</v>
      </c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16">
        <f t="shared" si="3"/>
        <v>0</v>
      </c>
      <c r="N199" s="22"/>
      <c r="O199" s="21"/>
      <c r="P199" s="21"/>
      <c r="Q199" s="21"/>
      <c r="R199" s="21"/>
      <c r="S199" s="21"/>
      <c r="T199" s="21"/>
      <c r="U199" s="21"/>
      <c r="V199" s="21"/>
      <c r="W199" s="21"/>
      <c r="X199" s="21"/>
    </row>
    <row r="200" spans="1:24">
      <c r="A200" s="19">
        <v>46279</v>
      </c>
      <c r="B200" s="18" t="s">
        <v>707</v>
      </c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16">
        <f t="shared" si="3"/>
        <v>0</v>
      </c>
      <c r="N200" s="22"/>
      <c r="O200" s="21"/>
      <c r="P200" s="21"/>
      <c r="Q200" s="21"/>
      <c r="R200" s="21"/>
      <c r="S200" s="21"/>
      <c r="T200" s="21"/>
      <c r="U200" s="21"/>
      <c r="V200" s="21"/>
      <c r="W200" s="21"/>
      <c r="X200" s="21"/>
    </row>
    <row r="201" spans="1:24">
      <c r="A201" s="19">
        <v>46280</v>
      </c>
      <c r="B201" s="18" t="s">
        <v>707</v>
      </c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16">
        <f t="shared" si="3"/>
        <v>0</v>
      </c>
      <c r="N201" s="22"/>
      <c r="O201" s="21"/>
      <c r="P201" s="21"/>
      <c r="Q201" s="21"/>
      <c r="R201" s="21"/>
      <c r="S201" s="21"/>
      <c r="T201" s="21"/>
      <c r="U201" s="21"/>
      <c r="V201" s="21"/>
      <c r="W201" s="21"/>
      <c r="X201" s="21"/>
    </row>
    <row r="202" spans="1:24">
      <c r="A202" s="19">
        <v>46281</v>
      </c>
      <c r="B202" s="18" t="s">
        <v>707</v>
      </c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16">
        <f t="shared" si="3"/>
        <v>0</v>
      </c>
      <c r="N202" s="22"/>
      <c r="O202" s="21"/>
      <c r="P202" s="21"/>
      <c r="Q202" s="21"/>
      <c r="R202" s="21"/>
      <c r="S202" s="21"/>
      <c r="T202" s="21"/>
      <c r="U202" s="21"/>
      <c r="V202" s="21"/>
      <c r="W202" s="21"/>
      <c r="X202" s="21"/>
    </row>
    <row r="203" spans="1:24">
      <c r="A203" s="19">
        <v>46282</v>
      </c>
      <c r="B203" s="18" t="s">
        <v>707</v>
      </c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16">
        <f t="shared" si="3"/>
        <v>0</v>
      </c>
      <c r="N203" s="22"/>
      <c r="O203" s="21"/>
      <c r="P203" s="21"/>
      <c r="Q203" s="21"/>
      <c r="R203" s="21"/>
      <c r="S203" s="21"/>
      <c r="T203" s="21"/>
      <c r="U203" s="21"/>
      <c r="V203" s="21"/>
      <c r="W203" s="21"/>
      <c r="X203" s="21"/>
    </row>
    <row r="204" spans="1:24">
      <c r="A204" s="19">
        <v>46283</v>
      </c>
      <c r="B204" s="18" t="s">
        <v>707</v>
      </c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16">
        <f t="shared" si="3"/>
        <v>0</v>
      </c>
      <c r="N204" s="22"/>
      <c r="O204" s="21"/>
      <c r="P204" s="21"/>
      <c r="Q204" s="21"/>
      <c r="R204" s="21"/>
      <c r="S204" s="21"/>
      <c r="T204" s="21"/>
      <c r="U204" s="21"/>
      <c r="V204" s="21"/>
      <c r="W204" s="21"/>
      <c r="X204" s="21"/>
    </row>
    <row r="205" spans="1:24">
      <c r="A205" s="19">
        <v>46284</v>
      </c>
      <c r="B205" s="18" t="s">
        <v>707</v>
      </c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16">
        <f t="shared" si="3"/>
        <v>0</v>
      </c>
      <c r="N205" s="22"/>
      <c r="O205" s="21"/>
      <c r="P205" s="21"/>
      <c r="Q205" s="21"/>
      <c r="R205" s="21"/>
      <c r="S205" s="21"/>
      <c r="T205" s="21"/>
      <c r="U205" s="21"/>
      <c r="V205" s="21"/>
      <c r="W205" s="21"/>
      <c r="X205" s="21"/>
    </row>
    <row r="206" spans="1:24">
      <c r="A206" s="19">
        <v>46285</v>
      </c>
      <c r="B206" s="18" t="s">
        <v>707</v>
      </c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16">
        <f t="shared" si="3"/>
        <v>0</v>
      </c>
      <c r="N206" s="22"/>
      <c r="O206" s="21"/>
      <c r="P206" s="21"/>
      <c r="Q206" s="21"/>
      <c r="R206" s="21"/>
      <c r="S206" s="21"/>
      <c r="T206" s="21"/>
      <c r="U206" s="21"/>
      <c r="V206" s="21"/>
      <c r="W206" s="21"/>
      <c r="X206" s="21"/>
    </row>
    <row r="207" spans="1:24">
      <c r="A207" s="19">
        <v>46286</v>
      </c>
      <c r="B207" s="18" t="s">
        <v>707</v>
      </c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16">
        <f t="shared" si="3"/>
        <v>0</v>
      </c>
      <c r="N207" s="22"/>
      <c r="O207" s="21"/>
      <c r="P207" s="21"/>
      <c r="Q207" s="21"/>
      <c r="R207" s="21"/>
      <c r="S207" s="21"/>
      <c r="T207" s="21"/>
      <c r="U207" s="21"/>
      <c r="V207" s="21"/>
      <c r="W207" s="21"/>
      <c r="X207" s="21"/>
    </row>
    <row r="208" spans="1:24">
      <c r="A208" s="19">
        <v>46287</v>
      </c>
      <c r="B208" s="18" t="s">
        <v>707</v>
      </c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16">
        <f t="shared" si="3"/>
        <v>0</v>
      </c>
      <c r="N208" s="22"/>
      <c r="O208" s="21"/>
      <c r="P208" s="21"/>
      <c r="Q208" s="21"/>
      <c r="R208" s="21"/>
      <c r="S208" s="21"/>
      <c r="T208" s="21"/>
      <c r="U208" s="21"/>
      <c r="V208" s="21"/>
      <c r="W208" s="21"/>
      <c r="X208" s="21"/>
    </row>
    <row r="209" spans="1:24">
      <c r="A209" s="19">
        <v>46288</v>
      </c>
      <c r="B209" s="18" t="s">
        <v>707</v>
      </c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16">
        <f t="shared" si="3"/>
        <v>0</v>
      </c>
      <c r="N209" s="22"/>
      <c r="O209" s="21"/>
      <c r="P209" s="21"/>
      <c r="Q209" s="21"/>
      <c r="R209" s="21"/>
      <c r="S209" s="21"/>
      <c r="T209" s="21"/>
      <c r="U209" s="21"/>
      <c r="V209" s="21"/>
      <c r="W209" s="21"/>
      <c r="X209" s="21"/>
    </row>
    <row r="210" spans="1:24">
      <c r="A210" s="19">
        <v>46289</v>
      </c>
      <c r="B210" s="18" t="s">
        <v>707</v>
      </c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16">
        <f t="shared" si="3"/>
        <v>0</v>
      </c>
      <c r="N210" s="22"/>
      <c r="O210" s="21"/>
      <c r="P210" s="21"/>
      <c r="Q210" s="21"/>
      <c r="R210" s="21"/>
      <c r="S210" s="21"/>
      <c r="T210" s="21"/>
      <c r="U210" s="21"/>
      <c r="V210" s="21"/>
      <c r="W210" s="21"/>
      <c r="X210" s="21"/>
    </row>
    <row r="211" spans="1:24">
      <c r="A211" s="19">
        <v>46290</v>
      </c>
      <c r="B211" s="18" t="s">
        <v>707</v>
      </c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16">
        <f t="shared" si="3"/>
        <v>0</v>
      </c>
      <c r="N211" s="22"/>
      <c r="O211" s="21"/>
      <c r="P211" s="21"/>
      <c r="Q211" s="21"/>
      <c r="R211" s="21"/>
      <c r="S211" s="21"/>
      <c r="T211" s="21"/>
      <c r="U211" s="21"/>
      <c r="V211" s="21"/>
      <c r="W211" s="21"/>
      <c r="X211" s="21"/>
    </row>
    <row r="212" spans="1:24">
      <c r="A212" s="19">
        <v>46291</v>
      </c>
      <c r="B212" s="18" t="s">
        <v>707</v>
      </c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16">
        <f t="shared" si="3"/>
        <v>0</v>
      </c>
      <c r="N212" s="22"/>
      <c r="O212" s="21"/>
      <c r="P212" s="21"/>
      <c r="Q212" s="21"/>
      <c r="R212" s="21"/>
      <c r="S212" s="21"/>
      <c r="T212" s="21"/>
      <c r="U212" s="21"/>
      <c r="V212" s="21"/>
      <c r="W212" s="21"/>
      <c r="X212" s="21"/>
    </row>
    <row r="213" spans="1:24">
      <c r="A213" s="19">
        <v>46292</v>
      </c>
      <c r="B213" s="18" t="s">
        <v>707</v>
      </c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16">
        <f t="shared" si="3"/>
        <v>0</v>
      </c>
      <c r="N213" s="22"/>
      <c r="O213" s="21"/>
      <c r="P213" s="21"/>
      <c r="Q213" s="21"/>
      <c r="R213" s="21"/>
      <c r="S213" s="21"/>
      <c r="T213" s="21"/>
      <c r="U213" s="21"/>
      <c r="V213" s="21"/>
      <c r="W213" s="21"/>
      <c r="X213" s="21"/>
    </row>
    <row r="214" spans="1:24">
      <c r="A214" s="19">
        <v>46293</v>
      </c>
      <c r="B214" s="18" t="s">
        <v>707</v>
      </c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16">
        <f t="shared" si="3"/>
        <v>0</v>
      </c>
      <c r="N214" s="22"/>
      <c r="O214" s="21"/>
      <c r="P214" s="21"/>
      <c r="Q214" s="21"/>
      <c r="R214" s="21"/>
      <c r="S214" s="21"/>
      <c r="T214" s="21"/>
      <c r="U214" s="21"/>
      <c r="V214" s="21"/>
      <c r="W214" s="21"/>
      <c r="X214" s="21"/>
    </row>
    <row r="215" spans="1:24">
      <c r="A215" s="19">
        <v>46294</v>
      </c>
      <c r="B215" s="18" t="s">
        <v>707</v>
      </c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16">
        <f t="shared" si="3"/>
        <v>0</v>
      </c>
      <c r="N215" s="22"/>
      <c r="O215" s="21"/>
      <c r="P215" s="21"/>
      <c r="Q215" s="21"/>
      <c r="R215" s="21"/>
      <c r="S215" s="21"/>
      <c r="T215" s="21"/>
      <c r="U215" s="21"/>
      <c r="V215" s="21"/>
      <c r="W215" s="21"/>
      <c r="X215" s="21"/>
    </row>
    <row r="216" spans="1:24">
      <c r="A216" s="19">
        <v>46295</v>
      </c>
      <c r="B216" s="18" t="s">
        <v>707</v>
      </c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16">
        <f t="shared" si="3"/>
        <v>0</v>
      </c>
      <c r="N216" s="22"/>
      <c r="O216" s="21"/>
      <c r="P216" s="21"/>
      <c r="Q216" s="21"/>
      <c r="R216" s="21"/>
      <c r="S216" s="21"/>
      <c r="T216" s="21"/>
      <c r="U216" s="21"/>
      <c r="V216" s="21"/>
      <c r="W216" s="21"/>
      <c r="X216" s="21"/>
    </row>
    <row r="217" spans="1:24">
      <c r="A217" s="19">
        <v>46296</v>
      </c>
      <c r="B217" s="18" t="s">
        <v>707</v>
      </c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16">
        <f t="shared" si="3"/>
        <v>0</v>
      </c>
      <c r="N217" s="22"/>
      <c r="O217" s="21"/>
      <c r="P217" s="21"/>
      <c r="Q217" s="21"/>
      <c r="R217" s="21"/>
      <c r="S217" s="21"/>
      <c r="T217" s="21"/>
      <c r="U217" s="21"/>
      <c r="V217" s="21"/>
      <c r="W217" s="21"/>
      <c r="X217" s="21"/>
    </row>
    <row r="218" spans="1:24">
      <c r="A218" s="19">
        <v>46297</v>
      </c>
      <c r="B218" s="18" t="s">
        <v>707</v>
      </c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16">
        <f t="shared" si="3"/>
        <v>0</v>
      </c>
      <c r="N218" s="22"/>
      <c r="O218" s="21"/>
      <c r="P218" s="21"/>
      <c r="Q218" s="21"/>
      <c r="R218" s="21"/>
      <c r="S218" s="21"/>
      <c r="T218" s="21"/>
      <c r="U218" s="21"/>
      <c r="V218" s="21"/>
      <c r="W218" s="21"/>
      <c r="X218" s="21"/>
    </row>
    <row r="219" spans="1:24">
      <c r="A219" s="19">
        <v>46298</v>
      </c>
      <c r="B219" s="18" t="s">
        <v>707</v>
      </c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16">
        <f t="shared" si="3"/>
        <v>0</v>
      </c>
      <c r="N219" s="22"/>
      <c r="O219" s="21"/>
      <c r="P219" s="21"/>
      <c r="Q219" s="21"/>
      <c r="R219" s="21"/>
      <c r="S219" s="21"/>
      <c r="T219" s="21"/>
      <c r="U219" s="21"/>
      <c r="V219" s="21"/>
      <c r="W219" s="21"/>
      <c r="X219" s="21"/>
    </row>
    <row r="220" spans="1:24">
      <c r="A220" s="19">
        <v>46299</v>
      </c>
      <c r="B220" s="18" t="s">
        <v>707</v>
      </c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16">
        <f t="shared" si="3"/>
        <v>0</v>
      </c>
      <c r="N220" s="22"/>
      <c r="O220" s="21"/>
      <c r="P220" s="21"/>
      <c r="Q220" s="21"/>
      <c r="R220" s="21"/>
      <c r="S220" s="21"/>
      <c r="T220" s="21"/>
      <c r="U220" s="21"/>
      <c r="V220" s="21"/>
      <c r="W220" s="21"/>
      <c r="X220" s="21"/>
    </row>
    <row r="221" spans="1:24">
      <c r="A221" s="19">
        <v>46300</v>
      </c>
      <c r="B221" s="18" t="s">
        <v>707</v>
      </c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16">
        <f t="shared" si="3"/>
        <v>0</v>
      </c>
      <c r="N221" s="22"/>
      <c r="O221" s="21"/>
      <c r="P221" s="21"/>
      <c r="Q221" s="21"/>
      <c r="R221" s="21"/>
      <c r="S221" s="21"/>
      <c r="T221" s="21"/>
      <c r="U221" s="21"/>
      <c r="V221" s="21"/>
      <c r="W221" s="21"/>
      <c r="X221" s="21"/>
    </row>
    <row r="222" spans="1:24">
      <c r="A222" s="19">
        <v>46301</v>
      </c>
      <c r="B222" s="18" t="s">
        <v>707</v>
      </c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16">
        <f t="shared" si="3"/>
        <v>0</v>
      </c>
      <c r="N222" s="22"/>
      <c r="O222" s="21"/>
      <c r="P222" s="21"/>
      <c r="Q222" s="21"/>
      <c r="R222" s="21"/>
      <c r="S222" s="21"/>
      <c r="T222" s="21"/>
      <c r="U222" s="21"/>
      <c r="V222" s="21"/>
      <c r="W222" s="21"/>
      <c r="X222" s="21"/>
    </row>
    <row r="223" spans="1:24">
      <c r="A223" s="19">
        <v>46302</v>
      </c>
      <c r="B223" s="18" t="s">
        <v>707</v>
      </c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16">
        <f t="shared" si="3"/>
        <v>0</v>
      </c>
      <c r="N223" s="22"/>
      <c r="O223" s="21"/>
      <c r="P223" s="21"/>
      <c r="Q223" s="21"/>
      <c r="R223" s="21"/>
      <c r="S223" s="21"/>
      <c r="T223" s="21"/>
      <c r="U223" s="21"/>
      <c r="V223" s="21"/>
      <c r="W223" s="21"/>
      <c r="X223" s="21"/>
    </row>
    <row r="224" spans="1:24">
      <c r="A224" s="19">
        <v>46303</v>
      </c>
      <c r="B224" s="18" t="s">
        <v>707</v>
      </c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16">
        <f t="shared" si="3"/>
        <v>0</v>
      </c>
      <c r="N224" s="22"/>
      <c r="O224" s="21"/>
      <c r="P224" s="21"/>
      <c r="Q224" s="21"/>
      <c r="R224" s="21"/>
      <c r="S224" s="21"/>
      <c r="T224" s="21"/>
      <c r="U224" s="21"/>
      <c r="V224" s="21"/>
      <c r="W224" s="21"/>
      <c r="X224" s="21"/>
    </row>
    <row r="225" spans="1:24">
      <c r="A225" s="19">
        <v>46304</v>
      </c>
      <c r="B225" s="18" t="s">
        <v>707</v>
      </c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16">
        <f t="shared" si="3"/>
        <v>0</v>
      </c>
      <c r="N225" s="22"/>
      <c r="O225" s="21"/>
      <c r="P225" s="21"/>
      <c r="Q225" s="21"/>
      <c r="R225" s="21"/>
      <c r="S225" s="21"/>
      <c r="T225" s="21"/>
      <c r="U225" s="21"/>
      <c r="V225" s="21"/>
      <c r="W225" s="21"/>
      <c r="X225" s="21"/>
    </row>
    <row r="226" spans="1:24">
      <c r="A226" s="19">
        <v>46305</v>
      </c>
      <c r="B226" s="18" t="s">
        <v>707</v>
      </c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16">
        <f t="shared" si="3"/>
        <v>0</v>
      </c>
      <c r="N226" s="22"/>
      <c r="O226" s="21"/>
      <c r="P226" s="21"/>
      <c r="Q226" s="21"/>
      <c r="R226" s="21"/>
      <c r="S226" s="21"/>
      <c r="T226" s="21"/>
      <c r="U226" s="21"/>
      <c r="V226" s="21"/>
      <c r="W226" s="21"/>
      <c r="X226" s="21"/>
    </row>
    <row r="227" spans="1:24">
      <c r="A227" s="19">
        <v>46306</v>
      </c>
      <c r="B227" s="18" t="s">
        <v>707</v>
      </c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16">
        <f t="shared" si="3"/>
        <v>0</v>
      </c>
      <c r="N227" s="22"/>
      <c r="O227" s="21"/>
      <c r="P227" s="21"/>
      <c r="Q227" s="21"/>
      <c r="R227" s="21"/>
      <c r="S227" s="21"/>
      <c r="T227" s="21"/>
      <c r="U227" s="21"/>
      <c r="V227" s="21"/>
      <c r="W227" s="21"/>
      <c r="X227" s="21"/>
    </row>
    <row r="228" spans="1:24">
      <c r="A228" s="19">
        <v>46307</v>
      </c>
      <c r="B228" s="18" t="s">
        <v>707</v>
      </c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16">
        <f t="shared" si="3"/>
        <v>0</v>
      </c>
      <c r="N228" s="22"/>
      <c r="O228" s="21"/>
      <c r="P228" s="21"/>
      <c r="Q228" s="21"/>
      <c r="R228" s="21"/>
      <c r="S228" s="21"/>
      <c r="T228" s="21"/>
      <c r="U228" s="21"/>
      <c r="V228" s="21"/>
      <c r="W228" s="21"/>
      <c r="X228" s="21"/>
    </row>
    <row r="229" spans="1:24">
      <c r="A229" s="19">
        <v>46308</v>
      </c>
      <c r="B229" s="18" t="s">
        <v>707</v>
      </c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16">
        <f t="shared" si="3"/>
        <v>0</v>
      </c>
      <c r="N229" s="22"/>
      <c r="O229" s="21"/>
      <c r="P229" s="21"/>
      <c r="Q229" s="21"/>
      <c r="R229" s="21"/>
      <c r="S229" s="21"/>
      <c r="T229" s="21"/>
      <c r="U229" s="21"/>
      <c r="V229" s="21"/>
      <c r="W229" s="21"/>
      <c r="X229" s="21"/>
    </row>
    <row r="230" spans="1:24">
      <c r="A230" s="19">
        <v>46309</v>
      </c>
      <c r="B230" s="18" t="s">
        <v>707</v>
      </c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16">
        <f t="shared" si="3"/>
        <v>0</v>
      </c>
      <c r="N230" s="22"/>
      <c r="O230" s="21"/>
      <c r="P230" s="21"/>
      <c r="Q230" s="21"/>
      <c r="R230" s="21"/>
      <c r="S230" s="21"/>
      <c r="T230" s="21"/>
      <c r="U230" s="21"/>
      <c r="V230" s="21"/>
      <c r="W230" s="21"/>
      <c r="X230" s="21"/>
    </row>
    <row r="231" spans="1:24">
      <c r="A231" s="19">
        <v>46310</v>
      </c>
      <c r="B231" s="18" t="s">
        <v>707</v>
      </c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16">
        <f t="shared" si="3"/>
        <v>0</v>
      </c>
      <c r="N231" s="22"/>
      <c r="O231" s="21"/>
      <c r="P231" s="21"/>
      <c r="Q231" s="21"/>
      <c r="R231" s="21"/>
      <c r="S231" s="21"/>
      <c r="T231" s="21"/>
      <c r="U231" s="21"/>
      <c r="V231" s="21"/>
      <c r="W231" s="21"/>
      <c r="X231" s="21"/>
    </row>
    <row r="232" spans="1:24">
      <c r="A232" s="19">
        <v>46311</v>
      </c>
      <c r="B232" s="18" t="s">
        <v>707</v>
      </c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16">
        <f t="shared" si="3"/>
        <v>0</v>
      </c>
      <c r="N232" s="22"/>
      <c r="O232" s="21"/>
      <c r="P232" s="21"/>
      <c r="Q232" s="21"/>
      <c r="R232" s="21"/>
      <c r="S232" s="21"/>
      <c r="T232" s="21"/>
      <c r="U232" s="21"/>
      <c r="V232" s="21"/>
      <c r="W232" s="21"/>
      <c r="X232" s="21"/>
    </row>
    <row r="233" spans="1:24">
      <c r="A233" s="19">
        <v>46312</v>
      </c>
      <c r="B233" s="18" t="s">
        <v>707</v>
      </c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16">
        <f t="shared" si="3"/>
        <v>0</v>
      </c>
      <c r="N233" s="22"/>
      <c r="O233" s="21"/>
      <c r="P233" s="21"/>
      <c r="Q233" s="21"/>
      <c r="R233" s="21"/>
      <c r="S233" s="21"/>
      <c r="T233" s="21"/>
      <c r="U233" s="21"/>
      <c r="V233" s="21"/>
      <c r="W233" s="21"/>
      <c r="X233" s="21"/>
    </row>
    <row r="234" spans="1:24">
      <c r="A234" s="19">
        <v>46313</v>
      </c>
      <c r="B234" s="18" t="s">
        <v>707</v>
      </c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16">
        <f t="shared" si="3"/>
        <v>0</v>
      </c>
      <c r="N234" s="22"/>
      <c r="O234" s="21"/>
      <c r="P234" s="21"/>
      <c r="Q234" s="21"/>
      <c r="R234" s="21"/>
      <c r="S234" s="21"/>
      <c r="T234" s="21"/>
      <c r="U234" s="21"/>
      <c r="V234" s="21"/>
      <c r="W234" s="21"/>
      <c r="X234" s="21"/>
    </row>
    <row r="235" spans="1:24">
      <c r="A235" s="19">
        <v>46314</v>
      </c>
      <c r="B235" s="18" t="s">
        <v>707</v>
      </c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16">
        <f t="shared" si="3"/>
        <v>0</v>
      </c>
      <c r="N235" s="22"/>
      <c r="O235" s="21"/>
      <c r="P235" s="21"/>
      <c r="Q235" s="21"/>
      <c r="R235" s="21"/>
      <c r="S235" s="21"/>
      <c r="T235" s="21"/>
      <c r="U235" s="21"/>
      <c r="V235" s="21"/>
      <c r="W235" s="21"/>
      <c r="X235" s="21"/>
    </row>
    <row r="236" spans="1:24">
      <c r="A236" s="19">
        <v>46315</v>
      </c>
      <c r="B236" s="18" t="s">
        <v>707</v>
      </c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16">
        <f t="shared" si="3"/>
        <v>0</v>
      </c>
      <c r="N236" s="22"/>
      <c r="O236" s="21"/>
      <c r="P236" s="21"/>
      <c r="Q236" s="21"/>
      <c r="R236" s="21"/>
      <c r="S236" s="21"/>
      <c r="T236" s="21"/>
      <c r="U236" s="21"/>
      <c r="V236" s="21"/>
      <c r="W236" s="21"/>
      <c r="X236" s="21"/>
    </row>
    <row r="237" spans="1:24">
      <c r="A237" s="19">
        <v>46316</v>
      </c>
      <c r="B237" s="18" t="s">
        <v>707</v>
      </c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16">
        <f t="shared" si="3"/>
        <v>0</v>
      </c>
      <c r="N237" s="22"/>
      <c r="O237" s="21"/>
      <c r="P237" s="21"/>
      <c r="Q237" s="21"/>
      <c r="R237" s="21"/>
      <c r="S237" s="21"/>
      <c r="T237" s="21"/>
      <c r="U237" s="21"/>
      <c r="V237" s="21"/>
      <c r="W237" s="21"/>
      <c r="X237" s="21"/>
    </row>
    <row r="238" spans="1:24">
      <c r="A238" s="19">
        <v>46317</v>
      </c>
      <c r="B238" s="18" t="s">
        <v>707</v>
      </c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16">
        <f t="shared" si="3"/>
        <v>0</v>
      </c>
      <c r="N238" s="22"/>
      <c r="O238" s="21"/>
      <c r="P238" s="21"/>
      <c r="Q238" s="21"/>
      <c r="R238" s="21"/>
      <c r="S238" s="21"/>
      <c r="T238" s="21"/>
      <c r="U238" s="21"/>
      <c r="V238" s="21"/>
      <c r="W238" s="21"/>
      <c r="X238" s="21"/>
    </row>
    <row r="239" spans="1:24">
      <c r="A239" s="19">
        <v>46318</v>
      </c>
      <c r="B239" s="18" t="s">
        <v>707</v>
      </c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16">
        <f t="shared" si="3"/>
        <v>0</v>
      </c>
      <c r="N239" s="22"/>
      <c r="O239" s="21"/>
      <c r="P239" s="21"/>
      <c r="Q239" s="21"/>
      <c r="R239" s="21"/>
      <c r="S239" s="21"/>
      <c r="T239" s="21"/>
      <c r="U239" s="21"/>
      <c r="V239" s="21"/>
      <c r="W239" s="21"/>
      <c r="X239" s="21"/>
    </row>
    <row r="240" spans="1:24">
      <c r="A240" s="19">
        <v>46319</v>
      </c>
      <c r="B240" s="18" t="s">
        <v>707</v>
      </c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16">
        <f t="shared" si="3"/>
        <v>0</v>
      </c>
      <c r="N240" s="22"/>
      <c r="O240" s="21"/>
      <c r="P240" s="21"/>
      <c r="Q240" s="21"/>
      <c r="R240" s="21"/>
      <c r="S240" s="21"/>
      <c r="T240" s="21"/>
      <c r="U240" s="21"/>
      <c r="V240" s="21"/>
      <c r="W240" s="21"/>
      <c r="X240" s="21"/>
    </row>
    <row r="241" spans="1:24">
      <c r="A241" s="19">
        <v>46320</v>
      </c>
      <c r="B241" s="18" t="s">
        <v>707</v>
      </c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16">
        <f t="shared" si="3"/>
        <v>0</v>
      </c>
      <c r="N241" s="22"/>
      <c r="O241" s="21"/>
      <c r="P241" s="21"/>
      <c r="Q241" s="21"/>
      <c r="R241" s="21"/>
      <c r="S241" s="21"/>
      <c r="T241" s="21"/>
      <c r="U241" s="21"/>
      <c r="V241" s="21"/>
      <c r="W241" s="21"/>
      <c r="X241" s="21"/>
    </row>
    <row r="242" spans="1:24">
      <c r="A242" s="19">
        <v>46321</v>
      </c>
      <c r="B242" s="18" t="s">
        <v>707</v>
      </c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16">
        <f t="shared" si="3"/>
        <v>0</v>
      </c>
      <c r="N242" s="22"/>
      <c r="O242" s="21"/>
      <c r="P242" s="21"/>
      <c r="Q242" s="21"/>
      <c r="R242" s="21"/>
      <c r="S242" s="21"/>
      <c r="T242" s="21"/>
      <c r="U242" s="21"/>
      <c r="V242" s="21"/>
      <c r="W242" s="21"/>
      <c r="X242" s="21"/>
    </row>
    <row r="243" spans="1:24">
      <c r="A243" s="19">
        <v>46322</v>
      </c>
      <c r="B243" s="18" t="s">
        <v>707</v>
      </c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16">
        <f t="shared" si="3"/>
        <v>0</v>
      </c>
      <c r="N243" s="22"/>
      <c r="O243" s="21"/>
      <c r="P243" s="21"/>
      <c r="Q243" s="21"/>
      <c r="R243" s="21"/>
      <c r="S243" s="21"/>
      <c r="T243" s="21"/>
      <c r="U243" s="21"/>
      <c r="V243" s="21"/>
      <c r="W243" s="21"/>
      <c r="X243" s="21"/>
    </row>
    <row r="244" spans="1:24">
      <c r="A244" s="19">
        <v>46323</v>
      </c>
      <c r="B244" s="18" t="s">
        <v>707</v>
      </c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16">
        <f t="shared" si="3"/>
        <v>0</v>
      </c>
      <c r="N244" s="22"/>
      <c r="O244" s="21"/>
      <c r="P244" s="21"/>
      <c r="Q244" s="21"/>
      <c r="R244" s="21"/>
      <c r="S244" s="21"/>
      <c r="T244" s="21"/>
      <c r="U244" s="21"/>
      <c r="V244" s="21"/>
      <c r="W244" s="21"/>
      <c r="X244" s="21"/>
    </row>
    <row r="245" spans="1:24">
      <c r="A245" s="19">
        <v>46324</v>
      </c>
      <c r="B245" s="18" t="s">
        <v>707</v>
      </c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16">
        <f t="shared" si="3"/>
        <v>0</v>
      </c>
      <c r="N245" s="22"/>
      <c r="O245" s="21"/>
      <c r="P245" s="21"/>
      <c r="Q245" s="21"/>
      <c r="R245" s="21"/>
      <c r="S245" s="21"/>
      <c r="T245" s="21"/>
      <c r="U245" s="21"/>
      <c r="V245" s="21"/>
      <c r="W245" s="21"/>
      <c r="X245" s="21"/>
    </row>
    <row r="246" spans="1:24">
      <c r="A246" s="19">
        <v>46325</v>
      </c>
      <c r="B246" s="18" t="s">
        <v>707</v>
      </c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16">
        <f t="shared" si="3"/>
        <v>0</v>
      </c>
      <c r="N246" s="22"/>
      <c r="O246" s="21"/>
      <c r="P246" s="21"/>
      <c r="Q246" s="21"/>
      <c r="R246" s="21"/>
      <c r="S246" s="21"/>
      <c r="T246" s="21"/>
      <c r="U246" s="21"/>
      <c r="V246" s="21"/>
      <c r="W246" s="21"/>
      <c r="X246" s="21"/>
    </row>
    <row r="247" spans="1:24">
      <c r="A247" s="19">
        <v>46326</v>
      </c>
      <c r="B247" s="18" t="s">
        <v>707</v>
      </c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16">
        <f t="shared" si="3"/>
        <v>0</v>
      </c>
      <c r="N247" s="22"/>
      <c r="O247" s="21"/>
      <c r="P247" s="21"/>
      <c r="Q247" s="21"/>
      <c r="R247" s="21"/>
      <c r="S247" s="21"/>
      <c r="T247" s="21"/>
      <c r="U247" s="21"/>
      <c r="V247" s="21"/>
      <c r="W247" s="21"/>
      <c r="X247" s="21"/>
    </row>
    <row r="248" spans="1:24">
      <c r="A248" s="19">
        <v>46327</v>
      </c>
      <c r="B248" s="18" t="s">
        <v>707</v>
      </c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16">
        <f t="shared" si="3"/>
        <v>0</v>
      </c>
      <c r="N248" s="22"/>
      <c r="O248" s="21"/>
      <c r="P248" s="21"/>
      <c r="Q248" s="21"/>
      <c r="R248" s="21"/>
      <c r="S248" s="21"/>
      <c r="T248" s="21"/>
      <c r="U248" s="21"/>
      <c r="V248" s="21"/>
      <c r="W248" s="21"/>
      <c r="X248" s="21"/>
    </row>
    <row r="249" spans="1:24">
      <c r="A249" s="19">
        <v>46328</v>
      </c>
      <c r="B249" s="18" t="s">
        <v>707</v>
      </c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16">
        <f t="shared" si="3"/>
        <v>0</v>
      </c>
      <c r="N249" s="22"/>
      <c r="O249" s="21"/>
      <c r="P249" s="21"/>
      <c r="Q249" s="21"/>
      <c r="R249" s="21"/>
      <c r="S249" s="21"/>
      <c r="T249" s="21"/>
      <c r="U249" s="21"/>
      <c r="V249" s="21"/>
      <c r="W249" s="21"/>
      <c r="X249" s="21"/>
    </row>
    <row r="250" spans="1:24">
      <c r="A250" s="19">
        <v>46329</v>
      </c>
      <c r="B250" s="18" t="s">
        <v>707</v>
      </c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16">
        <f t="shared" si="3"/>
        <v>0</v>
      </c>
      <c r="N250" s="22"/>
      <c r="O250" s="21"/>
      <c r="P250" s="21"/>
      <c r="Q250" s="21"/>
      <c r="R250" s="21"/>
      <c r="S250" s="21"/>
      <c r="T250" s="21"/>
      <c r="U250" s="21"/>
      <c r="V250" s="21"/>
      <c r="W250" s="21"/>
      <c r="X250" s="21"/>
    </row>
    <row r="251" spans="1:24">
      <c r="A251" s="19">
        <v>46330</v>
      </c>
      <c r="B251" s="18" t="s">
        <v>707</v>
      </c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16">
        <f t="shared" si="3"/>
        <v>0</v>
      </c>
      <c r="N251" s="22"/>
      <c r="O251" s="21"/>
      <c r="P251" s="21"/>
      <c r="Q251" s="21"/>
      <c r="R251" s="21"/>
      <c r="S251" s="21"/>
      <c r="T251" s="21"/>
      <c r="U251" s="21"/>
      <c r="V251" s="21"/>
      <c r="W251" s="21"/>
      <c r="X251" s="21"/>
    </row>
    <row r="252" spans="1:24">
      <c r="A252" s="19">
        <v>46331</v>
      </c>
      <c r="B252" s="18" t="s">
        <v>707</v>
      </c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16">
        <f t="shared" si="3"/>
        <v>0</v>
      </c>
      <c r="N252" s="22"/>
      <c r="O252" s="21"/>
      <c r="P252" s="21"/>
      <c r="Q252" s="21"/>
      <c r="R252" s="21"/>
      <c r="S252" s="21"/>
      <c r="T252" s="21"/>
      <c r="U252" s="21"/>
      <c r="V252" s="21"/>
      <c r="W252" s="21"/>
      <c r="X252" s="21"/>
    </row>
    <row r="253" spans="1:24">
      <c r="A253" s="19">
        <v>46332</v>
      </c>
      <c r="B253" s="18" t="s">
        <v>707</v>
      </c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16">
        <f t="shared" si="3"/>
        <v>0</v>
      </c>
      <c r="N253" s="22"/>
      <c r="O253" s="21"/>
      <c r="P253" s="21"/>
      <c r="Q253" s="21"/>
      <c r="R253" s="21"/>
      <c r="S253" s="21"/>
      <c r="T253" s="21"/>
      <c r="U253" s="21"/>
      <c r="V253" s="21"/>
      <c r="W253" s="21"/>
      <c r="X253" s="21"/>
    </row>
    <row r="254" spans="1:24">
      <c r="A254" s="19">
        <v>46333</v>
      </c>
      <c r="B254" s="18" t="s">
        <v>707</v>
      </c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16">
        <f t="shared" si="3"/>
        <v>0</v>
      </c>
      <c r="N254" s="22"/>
      <c r="O254" s="21"/>
      <c r="P254" s="21"/>
      <c r="Q254" s="21"/>
      <c r="R254" s="21"/>
      <c r="S254" s="21"/>
      <c r="T254" s="21"/>
      <c r="U254" s="21"/>
      <c r="V254" s="21"/>
      <c r="W254" s="21"/>
      <c r="X254" s="21"/>
    </row>
    <row r="255" spans="1:24">
      <c r="A255" s="19">
        <v>46334</v>
      </c>
      <c r="B255" s="18" t="s">
        <v>707</v>
      </c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16">
        <f t="shared" si="3"/>
        <v>0</v>
      </c>
      <c r="N255" s="22"/>
      <c r="O255" s="21"/>
      <c r="P255" s="21"/>
      <c r="Q255" s="21"/>
      <c r="R255" s="21"/>
      <c r="S255" s="21"/>
      <c r="T255" s="21"/>
      <c r="U255" s="21"/>
      <c r="V255" s="21"/>
      <c r="W255" s="21"/>
      <c r="X255" s="21"/>
    </row>
    <row r="256" spans="1:24">
      <c r="A256" s="19">
        <v>46335</v>
      </c>
      <c r="B256" s="18" t="s">
        <v>707</v>
      </c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16">
        <f t="shared" si="3"/>
        <v>0</v>
      </c>
      <c r="N256" s="22"/>
      <c r="O256" s="21"/>
      <c r="P256" s="21"/>
      <c r="Q256" s="21"/>
      <c r="R256" s="21"/>
      <c r="S256" s="21"/>
      <c r="T256" s="21"/>
      <c r="U256" s="21"/>
      <c r="V256" s="21"/>
      <c r="W256" s="21"/>
      <c r="X256" s="21"/>
    </row>
    <row r="257" spans="1:24">
      <c r="A257" s="19">
        <v>46336</v>
      </c>
      <c r="B257" s="18" t="s">
        <v>707</v>
      </c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16">
        <f t="shared" si="3"/>
        <v>0</v>
      </c>
      <c r="N257" s="22"/>
      <c r="O257" s="21"/>
      <c r="P257" s="21"/>
      <c r="Q257" s="21"/>
      <c r="R257" s="21"/>
      <c r="S257" s="21"/>
      <c r="T257" s="21"/>
      <c r="U257" s="21"/>
      <c r="V257" s="21"/>
      <c r="W257" s="21"/>
      <c r="X257" s="21"/>
    </row>
    <row r="258" spans="1:24">
      <c r="A258" s="19">
        <v>46337</v>
      </c>
      <c r="B258" s="18" t="s">
        <v>707</v>
      </c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16">
        <f t="shared" si="3"/>
        <v>0</v>
      </c>
      <c r="N258" s="22"/>
      <c r="O258" s="21"/>
      <c r="P258" s="21"/>
      <c r="Q258" s="21"/>
      <c r="R258" s="21"/>
      <c r="S258" s="21"/>
      <c r="T258" s="21"/>
      <c r="U258" s="21"/>
      <c r="V258" s="21"/>
      <c r="W258" s="21"/>
      <c r="X258" s="21"/>
    </row>
    <row r="259" spans="1:24">
      <c r="A259" s="19">
        <v>46338</v>
      </c>
      <c r="B259" s="18" t="s">
        <v>707</v>
      </c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16">
        <f t="shared" ref="M259:M322" si="4">N259-SUM(C259:L259)</f>
        <v>0</v>
      </c>
      <c r="N259" s="22"/>
      <c r="O259" s="21"/>
      <c r="P259" s="21"/>
      <c r="Q259" s="21"/>
      <c r="R259" s="21"/>
      <c r="S259" s="21"/>
      <c r="T259" s="21"/>
      <c r="U259" s="21"/>
      <c r="V259" s="21"/>
      <c r="W259" s="21"/>
      <c r="X259" s="21"/>
    </row>
    <row r="260" spans="1:24">
      <c r="A260" s="19">
        <v>46339</v>
      </c>
      <c r="B260" s="18" t="s">
        <v>707</v>
      </c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16">
        <f t="shared" si="4"/>
        <v>0</v>
      </c>
      <c r="N260" s="22"/>
      <c r="O260" s="21"/>
      <c r="P260" s="21"/>
      <c r="Q260" s="21"/>
      <c r="R260" s="21"/>
      <c r="S260" s="21"/>
      <c r="T260" s="21"/>
      <c r="U260" s="21"/>
      <c r="V260" s="21"/>
      <c r="W260" s="21"/>
      <c r="X260" s="21"/>
    </row>
    <row r="261" spans="1:24">
      <c r="A261" s="19">
        <v>46340</v>
      </c>
      <c r="B261" s="18" t="s">
        <v>707</v>
      </c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16">
        <f t="shared" si="4"/>
        <v>0</v>
      </c>
      <c r="N261" s="22"/>
      <c r="O261" s="21"/>
      <c r="P261" s="21"/>
      <c r="Q261" s="21"/>
      <c r="R261" s="21"/>
      <c r="S261" s="21"/>
      <c r="T261" s="21"/>
      <c r="U261" s="21"/>
      <c r="V261" s="21"/>
      <c r="W261" s="21"/>
      <c r="X261" s="21"/>
    </row>
    <row r="262" spans="1:24">
      <c r="A262" s="19">
        <v>46341</v>
      </c>
      <c r="B262" s="18" t="s">
        <v>707</v>
      </c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16">
        <f t="shared" si="4"/>
        <v>0</v>
      </c>
      <c r="N262" s="22"/>
      <c r="O262" s="21"/>
      <c r="P262" s="21"/>
      <c r="Q262" s="21"/>
      <c r="R262" s="21"/>
      <c r="S262" s="21"/>
      <c r="T262" s="21"/>
      <c r="U262" s="21"/>
      <c r="V262" s="21"/>
      <c r="W262" s="21"/>
      <c r="X262" s="21"/>
    </row>
    <row r="263" spans="1:24">
      <c r="A263" s="19">
        <v>46342</v>
      </c>
      <c r="B263" s="18" t="s">
        <v>707</v>
      </c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16">
        <f t="shared" si="4"/>
        <v>0</v>
      </c>
      <c r="N263" s="22"/>
      <c r="O263" s="21"/>
      <c r="P263" s="21"/>
      <c r="Q263" s="21"/>
      <c r="R263" s="21"/>
      <c r="S263" s="21"/>
      <c r="T263" s="21"/>
      <c r="U263" s="21"/>
      <c r="V263" s="21"/>
      <c r="W263" s="21"/>
      <c r="X263" s="21"/>
    </row>
    <row r="264" spans="1:24">
      <c r="A264" s="19">
        <v>46343</v>
      </c>
      <c r="B264" s="18" t="s">
        <v>707</v>
      </c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16">
        <f t="shared" si="4"/>
        <v>0</v>
      </c>
      <c r="N264" s="22"/>
      <c r="O264" s="21"/>
      <c r="P264" s="21"/>
      <c r="Q264" s="21"/>
      <c r="R264" s="21"/>
      <c r="S264" s="21"/>
      <c r="T264" s="21"/>
      <c r="U264" s="21"/>
      <c r="V264" s="21"/>
      <c r="W264" s="21"/>
      <c r="X264" s="21"/>
    </row>
    <row r="265" spans="1:24">
      <c r="A265" s="19">
        <v>46344</v>
      </c>
      <c r="B265" s="18" t="s">
        <v>707</v>
      </c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16">
        <f t="shared" si="4"/>
        <v>0</v>
      </c>
      <c r="N265" s="22"/>
      <c r="O265" s="21"/>
      <c r="P265" s="21"/>
      <c r="Q265" s="21"/>
      <c r="R265" s="21"/>
      <c r="S265" s="21"/>
      <c r="T265" s="21"/>
      <c r="U265" s="21"/>
      <c r="V265" s="21"/>
      <c r="W265" s="21"/>
      <c r="X265" s="21"/>
    </row>
    <row r="266" spans="1:24">
      <c r="A266" s="19">
        <v>46345</v>
      </c>
      <c r="B266" s="18" t="s">
        <v>707</v>
      </c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16">
        <f t="shared" si="4"/>
        <v>0</v>
      </c>
      <c r="N266" s="22"/>
      <c r="O266" s="21"/>
      <c r="P266" s="21"/>
      <c r="Q266" s="21"/>
      <c r="R266" s="21"/>
      <c r="S266" s="21"/>
      <c r="T266" s="21"/>
      <c r="U266" s="21"/>
      <c r="V266" s="21"/>
      <c r="W266" s="21"/>
      <c r="X266" s="21"/>
    </row>
    <row r="267" spans="1:24">
      <c r="A267" s="19">
        <v>46346</v>
      </c>
      <c r="B267" s="18" t="s">
        <v>707</v>
      </c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16">
        <f t="shared" si="4"/>
        <v>0</v>
      </c>
      <c r="N267" s="22"/>
      <c r="O267" s="21"/>
      <c r="P267" s="21"/>
      <c r="Q267" s="21"/>
      <c r="R267" s="21"/>
      <c r="S267" s="21"/>
      <c r="T267" s="21"/>
      <c r="U267" s="21"/>
      <c r="V267" s="21"/>
      <c r="W267" s="21"/>
      <c r="X267" s="21"/>
    </row>
    <row r="268" spans="1:24">
      <c r="A268" s="19">
        <v>46347</v>
      </c>
      <c r="B268" s="18" t="s">
        <v>707</v>
      </c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16">
        <f t="shared" si="4"/>
        <v>0</v>
      </c>
      <c r="N268" s="22"/>
      <c r="O268" s="21"/>
      <c r="P268" s="21"/>
      <c r="Q268" s="21"/>
      <c r="R268" s="21"/>
      <c r="S268" s="21"/>
      <c r="T268" s="21"/>
      <c r="U268" s="21"/>
      <c r="V268" s="21"/>
      <c r="W268" s="21"/>
      <c r="X268" s="21"/>
    </row>
    <row r="269" spans="1:24">
      <c r="A269" s="19">
        <v>46348</v>
      </c>
      <c r="B269" s="18" t="s">
        <v>707</v>
      </c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16">
        <f t="shared" si="4"/>
        <v>0</v>
      </c>
      <c r="N269" s="22"/>
      <c r="O269" s="21"/>
      <c r="P269" s="21"/>
      <c r="Q269" s="21"/>
      <c r="R269" s="21"/>
      <c r="S269" s="21"/>
      <c r="T269" s="21"/>
      <c r="U269" s="21"/>
      <c r="V269" s="21"/>
      <c r="W269" s="21"/>
      <c r="X269" s="21"/>
    </row>
    <row r="270" spans="1:24">
      <c r="A270" s="19">
        <v>46349</v>
      </c>
      <c r="B270" s="18" t="s">
        <v>707</v>
      </c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16">
        <f t="shared" si="4"/>
        <v>0</v>
      </c>
      <c r="N270" s="22"/>
      <c r="O270" s="21"/>
      <c r="P270" s="21"/>
      <c r="Q270" s="21"/>
      <c r="R270" s="21"/>
      <c r="S270" s="21"/>
      <c r="T270" s="21"/>
      <c r="U270" s="21"/>
      <c r="V270" s="21"/>
      <c r="W270" s="21"/>
      <c r="X270" s="21"/>
    </row>
    <row r="271" spans="1:24">
      <c r="A271" s="19">
        <v>46350</v>
      </c>
      <c r="B271" s="18" t="s">
        <v>707</v>
      </c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16">
        <f t="shared" si="4"/>
        <v>0</v>
      </c>
      <c r="N271" s="22"/>
      <c r="O271" s="21"/>
      <c r="P271" s="21"/>
      <c r="Q271" s="21"/>
      <c r="R271" s="21"/>
      <c r="S271" s="21"/>
      <c r="T271" s="21"/>
      <c r="U271" s="21"/>
      <c r="V271" s="21"/>
      <c r="W271" s="21"/>
      <c r="X271" s="21"/>
    </row>
    <row r="272" spans="1:24">
      <c r="A272" s="19">
        <v>46351</v>
      </c>
      <c r="B272" s="18" t="s">
        <v>707</v>
      </c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16">
        <f t="shared" si="4"/>
        <v>0</v>
      </c>
      <c r="N272" s="22"/>
      <c r="O272" s="21"/>
      <c r="P272" s="21"/>
      <c r="Q272" s="21"/>
      <c r="R272" s="21"/>
      <c r="S272" s="21"/>
      <c r="T272" s="21"/>
      <c r="U272" s="21"/>
      <c r="V272" s="21"/>
      <c r="W272" s="21"/>
      <c r="X272" s="21"/>
    </row>
    <row r="273" spans="1:24">
      <c r="A273" s="19">
        <v>46352</v>
      </c>
      <c r="B273" s="18" t="s">
        <v>707</v>
      </c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16">
        <f t="shared" si="4"/>
        <v>0</v>
      </c>
      <c r="N273" s="22"/>
      <c r="O273" s="21"/>
      <c r="P273" s="21"/>
      <c r="Q273" s="21"/>
      <c r="R273" s="21"/>
      <c r="S273" s="21"/>
      <c r="T273" s="21"/>
      <c r="U273" s="21"/>
      <c r="V273" s="21"/>
      <c r="W273" s="21"/>
      <c r="X273" s="21"/>
    </row>
    <row r="274" spans="1:24">
      <c r="A274" s="19">
        <v>46353</v>
      </c>
      <c r="B274" s="18" t="s">
        <v>707</v>
      </c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16">
        <f t="shared" si="4"/>
        <v>0</v>
      </c>
      <c r="N274" s="22"/>
      <c r="O274" s="21"/>
      <c r="P274" s="21"/>
      <c r="Q274" s="21"/>
      <c r="R274" s="21"/>
      <c r="S274" s="21"/>
      <c r="T274" s="21"/>
      <c r="U274" s="21"/>
      <c r="V274" s="21"/>
      <c r="W274" s="21"/>
      <c r="X274" s="21"/>
    </row>
    <row r="275" spans="1:24">
      <c r="A275" s="19">
        <v>46354</v>
      </c>
      <c r="B275" s="18" t="s">
        <v>707</v>
      </c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16">
        <f t="shared" si="4"/>
        <v>0</v>
      </c>
      <c r="N275" s="22"/>
      <c r="O275" s="21"/>
      <c r="P275" s="21"/>
      <c r="Q275" s="21"/>
      <c r="R275" s="21"/>
      <c r="S275" s="21"/>
      <c r="T275" s="21"/>
      <c r="U275" s="21"/>
      <c r="V275" s="21"/>
      <c r="W275" s="21"/>
      <c r="X275" s="21"/>
    </row>
    <row r="276" spans="1:24">
      <c r="A276" s="19">
        <v>46355</v>
      </c>
      <c r="B276" s="18" t="s">
        <v>707</v>
      </c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16">
        <f t="shared" si="4"/>
        <v>0</v>
      </c>
      <c r="N276" s="22"/>
      <c r="O276" s="21"/>
      <c r="P276" s="21"/>
      <c r="Q276" s="21"/>
      <c r="R276" s="21"/>
      <c r="S276" s="21"/>
      <c r="T276" s="21"/>
      <c r="U276" s="21"/>
      <c r="V276" s="21"/>
      <c r="W276" s="21"/>
      <c r="X276" s="21"/>
    </row>
    <row r="277" spans="1:24">
      <c r="A277" s="19">
        <v>46356</v>
      </c>
      <c r="B277" s="18" t="s">
        <v>707</v>
      </c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16">
        <f t="shared" si="4"/>
        <v>0</v>
      </c>
      <c r="N277" s="22"/>
      <c r="O277" s="21"/>
      <c r="P277" s="21"/>
      <c r="Q277" s="21"/>
      <c r="R277" s="21"/>
      <c r="S277" s="21"/>
      <c r="T277" s="21"/>
      <c r="U277" s="21"/>
      <c r="V277" s="21"/>
      <c r="W277" s="21"/>
      <c r="X277" s="21"/>
    </row>
    <row r="278" spans="1:24">
      <c r="A278" s="19">
        <v>46357</v>
      </c>
      <c r="B278" s="18" t="s">
        <v>707</v>
      </c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16">
        <f t="shared" si="4"/>
        <v>0</v>
      </c>
      <c r="N278" s="22"/>
      <c r="O278" s="21"/>
      <c r="P278" s="21"/>
      <c r="Q278" s="21"/>
      <c r="R278" s="21"/>
      <c r="S278" s="21"/>
      <c r="T278" s="21"/>
      <c r="U278" s="21"/>
      <c r="V278" s="21"/>
      <c r="W278" s="21"/>
      <c r="X278" s="21"/>
    </row>
    <row r="279" spans="1:24">
      <c r="A279" s="19">
        <v>46358</v>
      </c>
      <c r="B279" s="18" t="s">
        <v>707</v>
      </c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16">
        <f t="shared" si="4"/>
        <v>0</v>
      </c>
      <c r="N279" s="22"/>
      <c r="O279" s="21"/>
      <c r="P279" s="21"/>
      <c r="Q279" s="21"/>
      <c r="R279" s="21"/>
      <c r="S279" s="21"/>
      <c r="T279" s="21"/>
      <c r="U279" s="21"/>
      <c r="V279" s="21"/>
      <c r="W279" s="21"/>
      <c r="X279" s="21"/>
    </row>
    <row r="280" spans="1:24">
      <c r="A280" s="19">
        <v>46359</v>
      </c>
      <c r="B280" s="18" t="s">
        <v>707</v>
      </c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16">
        <f t="shared" si="4"/>
        <v>0</v>
      </c>
      <c r="N280" s="22"/>
      <c r="O280" s="21"/>
      <c r="P280" s="21"/>
      <c r="Q280" s="21"/>
      <c r="R280" s="21"/>
      <c r="S280" s="21"/>
      <c r="T280" s="21"/>
      <c r="U280" s="21"/>
      <c r="V280" s="21"/>
      <c r="W280" s="21"/>
      <c r="X280" s="21"/>
    </row>
    <row r="281" spans="1:24">
      <c r="A281" s="19">
        <v>46360</v>
      </c>
      <c r="B281" s="18" t="s">
        <v>707</v>
      </c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16">
        <f t="shared" si="4"/>
        <v>0</v>
      </c>
      <c r="N281" s="22"/>
      <c r="O281" s="21"/>
      <c r="P281" s="21"/>
      <c r="Q281" s="21"/>
      <c r="R281" s="21"/>
      <c r="S281" s="21"/>
      <c r="T281" s="21"/>
      <c r="U281" s="21"/>
      <c r="V281" s="21"/>
      <c r="W281" s="21"/>
      <c r="X281" s="21"/>
    </row>
    <row r="282" spans="1:24">
      <c r="A282" s="19">
        <v>46361</v>
      </c>
      <c r="B282" s="18" t="s">
        <v>707</v>
      </c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16">
        <f t="shared" si="4"/>
        <v>0</v>
      </c>
      <c r="N282" s="22"/>
      <c r="O282" s="21"/>
      <c r="P282" s="21"/>
      <c r="Q282" s="21"/>
      <c r="R282" s="21"/>
      <c r="S282" s="21"/>
      <c r="T282" s="21"/>
      <c r="U282" s="21"/>
      <c r="V282" s="21"/>
      <c r="W282" s="21"/>
      <c r="X282" s="21"/>
    </row>
    <row r="283" spans="1:24">
      <c r="A283" s="19">
        <v>46362</v>
      </c>
      <c r="B283" s="18" t="s">
        <v>707</v>
      </c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16">
        <f t="shared" si="4"/>
        <v>0</v>
      </c>
      <c r="N283" s="22"/>
      <c r="O283" s="21"/>
      <c r="P283" s="21"/>
      <c r="Q283" s="21"/>
      <c r="R283" s="21"/>
      <c r="S283" s="21"/>
      <c r="T283" s="21"/>
      <c r="U283" s="21"/>
      <c r="V283" s="21"/>
      <c r="W283" s="21"/>
      <c r="X283" s="21"/>
    </row>
    <row r="284" spans="1:24">
      <c r="A284" s="19">
        <v>46363</v>
      </c>
      <c r="B284" s="18" t="s">
        <v>707</v>
      </c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16">
        <f t="shared" si="4"/>
        <v>0</v>
      </c>
      <c r="N284" s="22"/>
      <c r="O284" s="21"/>
      <c r="P284" s="21"/>
      <c r="Q284" s="21"/>
      <c r="R284" s="21"/>
      <c r="S284" s="21"/>
      <c r="T284" s="21"/>
      <c r="U284" s="21"/>
      <c r="V284" s="21"/>
      <c r="W284" s="21"/>
      <c r="X284" s="21"/>
    </row>
    <row r="285" spans="1:24">
      <c r="A285" s="19">
        <v>46364</v>
      </c>
      <c r="B285" s="18" t="s">
        <v>707</v>
      </c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16">
        <f t="shared" si="4"/>
        <v>0</v>
      </c>
      <c r="N285" s="22"/>
      <c r="O285" s="21"/>
      <c r="P285" s="21"/>
      <c r="Q285" s="21"/>
      <c r="R285" s="21"/>
      <c r="S285" s="21"/>
      <c r="T285" s="21"/>
      <c r="U285" s="21"/>
      <c r="V285" s="21"/>
      <c r="W285" s="21"/>
      <c r="X285" s="21"/>
    </row>
    <row r="286" spans="1:24">
      <c r="A286" s="19">
        <v>46365</v>
      </c>
      <c r="B286" s="18" t="s">
        <v>707</v>
      </c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16">
        <f t="shared" si="4"/>
        <v>0</v>
      </c>
      <c r="N286" s="22"/>
      <c r="O286" s="21"/>
      <c r="P286" s="21"/>
      <c r="Q286" s="21"/>
      <c r="R286" s="21"/>
      <c r="S286" s="21"/>
      <c r="T286" s="21"/>
      <c r="U286" s="21"/>
      <c r="V286" s="21"/>
      <c r="W286" s="21"/>
      <c r="X286" s="21"/>
    </row>
    <row r="287" spans="1:24">
      <c r="A287" s="19">
        <v>46366</v>
      </c>
      <c r="B287" s="18" t="s">
        <v>707</v>
      </c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16">
        <f t="shared" si="4"/>
        <v>0</v>
      </c>
      <c r="N287" s="22"/>
      <c r="O287" s="21"/>
      <c r="P287" s="21"/>
      <c r="Q287" s="21"/>
      <c r="R287" s="21"/>
      <c r="S287" s="21"/>
      <c r="T287" s="21"/>
      <c r="U287" s="21"/>
      <c r="V287" s="21"/>
      <c r="W287" s="21"/>
      <c r="X287" s="21"/>
    </row>
    <row r="288" spans="1:24">
      <c r="A288" s="19">
        <v>46367</v>
      </c>
      <c r="B288" s="18" t="s">
        <v>707</v>
      </c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16">
        <f t="shared" si="4"/>
        <v>0</v>
      </c>
      <c r="N288" s="22"/>
      <c r="O288" s="21"/>
      <c r="P288" s="21"/>
      <c r="Q288" s="21"/>
      <c r="R288" s="21"/>
      <c r="S288" s="21"/>
      <c r="T288" s="21"/>
      <c r="U288" s="21"/>
      <c r="V288" s="21"/>
      <c r="W288" s="21"/>
      <c r="X288" s="21"/>
    </row>
    <row r="289" spans="1:24">
      <c r="A289" s="19">
        <v>46368</v>
      </c>
      <c r="B289" s="18" t="s">
        <v>707</v>
      </c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16">
        <f t="shared" si="4"/>
        <v>0</v>
      </c>
      <c r="N289" s="22"/>
      <c r="O289" s="21"/>
      <c r="P289" s="21"/>
      <c r="Q289" s="21"/>
      <c r="R289" s="21"/>
      <c r="S289" s="21"/>
      <c r="T289" s="21"/>
      <c r="U289" s="21"/>
      <c r="V289" s="21"/>
      <c r="W289" s="21"/>
      <c r="X289" s="21"/>
    </row>
    <row r="290" spans="1:24">
      <c r="A290" s="19">
        <v>46369</v>
      </c>
      <c r="B290" s="18" t="s">
        <v>707</v>
      </c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16">
        <f t="shared" si="4"/>
        <v>0</v>
      </c>
      <c r="N290" s="22"/>
      <c r="O290" s="21"/>
      <c r="P290" s="21"/>
      <c r="Q290" s="21"/>
      <c r="R290" s="21"/>
      <c r="S290" s="21"/>
      <c r="T290" s="21"/>
      <c r="U290" s="21"/>
      <c r="V290" s="21"/>
      <c r="W290" s="21"/>
      <c r="X290" s="21"/>
    </row>
    <row r="291" spans="1:24">
      <c r="A291" s="19">
        <v>46370</v>
      </c>
      <c r="B291" s="18" t="s">
        <v>707</v>
      </c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16">
        <f t="shared" si="4"/>
        <v>0</v>
      </c>
      <c r="N291" s="22"/>
      <c r="O291" s="21"/>
      <c r="P291" s="21"/>
      <c r="Q291" s="21"/>
      <c r="R291" s="21"/>
      <c r="S291" s="21"/>
      <c r="T291" s="21"/>
      <c r="U291" s="21"/>
      <c r="V291" s="21"/>
      <c r="W291" s="21"/>
      <c r="X291" s="21"/>
    </row>
    <row r="292" spans="1:24">
      <c r="A292" s="19">
        <v>46371</v>
      </c>
      <c r="B292" s="18" t="s">
        <v>707</v>
      </c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16">
        <f t="shared" si="4"/>
        <v>0</v>
      </c>
      <c r="N292" s="22"/>
      <c r="O292" s="21"/>
      <c r="P292" s="21"/>
      <c r="Q292" s="21"/>
      <c r="R292" s="21"/>
      <c r="S292" s="21"/>
      <c r="T292" s="21"/>
      <c r="U292" s="21"/>
      <c r="V292" s="21"/>
      <c r="W292" s="21"/>
      <c r="X292" s="21"/>
    </row>
    <row r="293" spans="1:24">
      <c r="A293" s="19">
        <v>46372</v>
      </c>
      <c r="B293" s="18" t="s">
        <v>707</v>
      </c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16">
        <f t="shared" si="4"/>
        <v>0</v>
      </c>
      <c r="N293" s="22"/>
      <c r="O293" s="21"/>
      <c r="P293" s="21"/>
      <c r="Q293" s="21"/>
      <c r="R293" s="21"/>
      <c r="S293" s="21"/>
      <c r="T293" s="21"/>
      <c r="U293" s="21"/>
      <c r="V293" s="21"/>
      <c r="W293" s="21"/>
      <c r="X293" s="21"/>
    </row>
    <row r="294" spans="1:24">
      <c r="A294" s="19">
        <v>46373</v>
      </c>
      <c r="B294" s="18" t="s">
        <v>707</v>
      </c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16">
        <f t="shared" si="4"/>
        <v>0</v>
      </c>
      <c r="N294" s="22"/>
      <c r="O294" s="21"/>
      <c r="P294" s="21"/>
      <c r="Q294" s="21"/>
      <c r="R294" s="21"/>
      <c r="S294" s="21"/>
      <c r="T294" s="21"/>
      <c r="U294" s="21"/>
      <c r="V294" s="21"/>
      <c r="W294" s="21"/>
      <c r="X294" s="21"/>
    </row>
    <row r="295" spans="1:24">
      <c r="A295" s="19">
        <v>46374</v>
      </c>
      <c r="B295" s="18" t="s">
        <v>707</v>
      </c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16">
        <f t="shared" si="4"/>
        <v>0</v>
      </c>
      <c r="N295" s="22"/>
      <c r="O295" s="21"/>
      <c r="P295" s="21"/>
      <c r="Q295" s="21"/>
      <c r="R295" s="21"/>
      <c r="S295" s="21"/>
      <c r="T295" s="21"/>
      <c r="U295" s="21"/>
      <c r="V295" s="21"/>
      <c r="W295" s="21"/>
      <c r="X295" s="21"/>
    </row>
    <row r="296" spans="1:24">
      <c r="A296" s="19">
        <v>46375</v>
      </c>
      <c r="B296" s="18" t="s">
        <v>707</v>
      </c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16">
        <f t="shared" si="4"/>
        <v>0</v>
      </c>
      <c r="N296" s="22"/>
      <c r="O296" s="21"/>
      <c r="P296" s="21"/>
      <c r="Q296" s="21"/>
      <c r="R296" s="21"/>
      <c r="S296" s="21"/>
      <c r="T296" s="21"/>
      <c r="U296" s="21"/>
      <c r="V296" s="21"/>
      <c r="W296" s="21"/>
      <c r="X296" s="21"/>
    </row>
    <row r="297" spans="1:24">
      <c r="A297" s="19">
        <v>46376</v>
      </c>
      <c r="B297" s="18" t="s">
        <v>707</v>
      </c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16">
        <f t="shared" si="4"/>
        <v>0</v>
      </c>
      <c r="N297" s="22"/>
      <c r="O297" s="21"/>
      <c r="P297" s="21"/>
      <c r="Q297" s="21"/>
      <c r="R297" s="21"/>
      <c r="S297" s="21"/>
      <c r="T297" s="21"/>
      <c r="U297" s="21"/>
      <c r="V297" s="21"/>
      <c r="W297" s="21"/>
      <c r="X297" s="21"/>
    </row>
    <row r="298" spans="1:24">
      <c r="A298" s="19">
        <v>46377</v>
      </c>
      <c r="B298" s="18" t="s">
        <v>707</v>
      </c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16">
        <f t="shared" si="4"/>
        <v>0</v>
      </c>
      <c r="N298" s="22"/>
      <c r="O298" s="21"/>
      <c r="P298" s="21"/>
      <c r="Q298" s="21"/>
      <c r="R298" s="21"/>
      <c r="S298" s="21"/>
      <c r="T298" s="21"/>
      <c r="U298" s="21"/>
      <c r="V298" s="21"/>
      <c r="W298" s="21"/>
      <c r="X298" s="21"/>
    </row>
    <row r="299" spans="1:24">
      <c r="A299" s="19">
        <v>46378</v>
      </c>
      <c r="B299" s="18" t="s">
        <v>707</v>
      </c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16">
        <f t="shared" si="4"/>
        <v>0</v>
      </c>
      <c r="N299" s="22"/>
      <c r="O299" s="21"/>
      <c r="P299" s="21"/>
      <c r="Q299" s="21"/>
      <c r="R299" s="21"/>
      <c r="S299" s="21"/>
      <c r="T299" s="21"/>
      <c r="U299" s="21"/>
      <c r="V299" s="21"/>
      <c r="W299" s="21"/>
      <c r="X299" s="21"/>
    </row>
    <row r="300" spans="1:24">
      <c r="A300" s="19">
        <v>46379</v>
      </c>
      <c r="B300" s="18" t="s">
        <v>707</v>
      </c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16">
        <f t="shared" si="4"/>
        <v>0</v>
      </c>
      <c r="N300" s="22"/>
      <c r="O300" s="21"/>
      <c r="P300" s="21"/>
      <c r="Q300" s="21"/>
      <c r="R300" s="21"/>
      <c r="S300" s="21"/>
      <c r="T300" s="21"/>
      <c r="U300" s="21"/>
      <c r="V300" s="21"/>
      <c r="W300" s="21"/>
      <c r="X300" s="21"/>
    </row>
    <row r="301" spans="1:24">
      <c r="A301" s="19">
        <v>46380</v>
      </c>
      <c r="B301" s="18" t="s">
        <v>707</v>
      </c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16">
        <f t="shared" si="4"/>
        <v>0</v>
      </c>
      <c r="N301" s="22"/>
      <c r="O301" s="21"/>
      <c r="P301" s="21"/>
      <c r="Q301" s="21"/>
      <c r="R301" s="21"/>
      <c r="S301" s="21"/>
      <c r="T301" s="21"/>
      <c r="U301" s="21"/>
      <c r="V301" s="21"/>
      <c r="W301" s="21"/>
      <c r="X301" s="21"/>
    </row>
    <row r="302" spans="1:24">
      <c r="A302" s="19">
        <v>46381</v>
      </c>
      <c r="B302" s="18" t="s">
        <v>707</v>
      </c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16">
        <f t="shared" si="4"/>
        <v>0</v>
      </c>
      <c r="N302" s="22"/>
      <c r="O302" s="21"/>
      <c r="P302" s="21"/>
      <c r="Q302" s="21"/>
      <c r="R302" s="21"/>
      <c r="S302" s="21"/>
      <c r="T302" s="21"/>
      <c r="U302" s="21"/>
      <c r="V302" s="21"/>
      <c r="W302" s="21"/>
      <c r="X302" s="21"/>
    </row>
    <row r="303" spans="1:24">
      <c r="A303" s="19">
        <v>46382</v>
      </c>
      <c r="B303" s="18" t="s">
        <v>707</v>
      </c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16">
        <f t="shared" si="4"/>
        <v>0</v>
      </c>
      <c r="N303" s="22"/>
      <c r="O303" s="21"/>
      <c r="P303" s="21"/>
      <c r="Q303" s="21"/>
      <c r="R303" s="21"/>
      <c r="S303" s="21"/>
      <c r="T303" s="21"/>
      <c r="U303" s="21"/>
      <c r="V303" s="21"/>
      <c r="W303" s="21"/>
      <c r="X303" s="21"/>
    </row>
    <row r="304" spans="1:24">
      <c r="A304" s="19">
        <v>46383</v>
      </c>
      <c r="B304" s="18" t="s">
        <v>707</v>
      </c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16">
        <f t="shared" si="4"/>
        <v>0</v>
      </c>
      <c r="N304" s="22"/>
      <c r="O304" s="21"/>
      <c r="P304" s="21"/>
      <c r="Q304" s="21"/>
      <c r="R304" s="21"/>
      <c r="S304" s="21"/>
      <c r="T304" s="21"/>
      <c r="U304" s="21"/>
      <c r="V304" s="21"/>
      <c r="W304" s="21"/>
      <c r="X304" s="21"/>
    </row>
    <row r="305" spans="1:24">
      <c r="A305" s="19">
        <v>46384</v>
      </c>
      <c r="B305" s="18" t="s">
        <v>707</v>
      </c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16">
        <f t="shared" si="4"/>
        <v>0</v>
      </c>
      <c r="N305" s="22"/>
      <c r="O305" s="21"/>
      <c r="P305" s="21"/>
      <c r="Q305" s="21"/>
      <c r="R305" s="21"/>
      <c r="S305" s="21"/>
      <c r="T305" s="21"/>
      <c r="U305" s="21"/>
      <c r="V305" s="21"/>
      <c r="W305" s="21"/>
      <c r="X305" s="21"/>
    </row>
    <row r="306" spans="1:24">
      <c r="A306" s="19">
        <v>46385</v>
      </c>
      <c r="B306" s="18" t="s">
        <v>707</v>
      </c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16">
        <f t="shared" si="4"/>
        <v>0</v>
      </c>
      <c r="N306" s="22"/>
      <c r="O306" s="21"/>
      <c r="P306" s="21"/>
      <c r="Q306" s="21"/>
      <c r="R306" s="21"/>
      <c r="S306" s="21"/>
      <c r="T306" s="21"/>
      <c r="U306" s="21"/>
      <c r="V306" s="21"/>
      <c r="W306" s="21"/>
      <c r="X306" s="21"/>
    </row>
    <row r="307" spans="1:24">
      <c r="A307" s="19">
        <v>46386</v>
      </c>
      <c r="B307" s="18" t="s">
        <v>707</v>
      </c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16">
        <f t="shared" si="4"/>
        <v>0</v>
      </c>
      <c r="N307" s="22"/>
      <c r="O307" s="21"/>
      <c r="P307" s="21"/>
      <c r="Q307" s="21"/>
      <c r="R307" s="21"/>
      <c r="S307" s="21"/>
      <c r="T307" s="21"/>
      <c r="U307" s="21"/>
      <c r="V307" s="21"/>
      <c r="W307" s="21"/>
      <c r="X307" s="21"/>
    </row>
    <row r="308" spans="1:24">
      <c r="A308" s="19">
        <v>46387</v>
      </c>
      <c r="B308" s="18" t="s">
        <v>707</v>
      </c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16">
        <f t="shared" si="4"/>
        <v>0</v>
      </c>
      <c r="N308" s="22"/>
      <c r="O308" s="21"/>
      <c r="P308" s="21"/>
      <c r="Q308" s="21"/>
      <c r="R308" s="21"/>
      <c r="S308" s="21"/>
      <c r="T308" s="21"/>
      <c r="U308" s="21"/>
      <c r="V308" s="21"/>
      <c r="W308" s="21"/>
      <c r="X308" s="21"/>
    </row>
    <row r="309" spans="1:24">
      <c r="A309" s="19">
        <v>46082</v>
      </c>
      <c r="B309" s="18" t="s">
        <v>708</v>
      </c>
      <c r="C309" s="16">
        <v>111</v>
      </c>
      <c r="D309" s="16">
        <v>142</v>
      </c>
      <c r="E309" s="16">
        <v>126</v>
      </c>
      <c r="F309" s="16">
        <v>253</v>
      </c>
      <c r="G309" s="16">
        <v>174</v>
      </c>
      <c r="H309" s="16">
        <v>190</v>
      </c>
      <c r="I309" s="16">
        <v>142</v>
      </c>
      <c r="J309" s="16">
        <v>126</v>
      </c>
      <c r="K309" s="16">
        <v>205</v>
      </c>
      <c r="L309" s="16">
        <v>142</v>
      </c>
      <c r="M309" s="16">
        <f t="shared" si="4"/>
        <v>596</v>
      </c>
      <c r="N309" s="17">
        <v>2207</v>
      </c>
      <c r="O309" s="16">
        <v>81</v>
      </c>
      <c r="P309" s="16">
        <v>1</v>
      </c>
      <c r="Q309" s="16">
        <v>333</v>
      </c>
      <c r="R309" s="16">
        <v>500</v>
      </c>
      <c r="S309" s="16">
        <v>350</v>
      </c>
      <c r="T309" s="16">
        <v>350</v>
      </c>
      <c r="U309" s="16">
        <v>0</v>
      </c>
      <c r="V309" s="16">
        <v>220</v>
      </c>
      <c r="W309" s="16">
        <v>372</v>
      </c>
      <c r="X309" s="16">
        <v>0</v>
      </c>
    </row>
    <row r="310" spans="1:24">
      <c r="A310" s="19">
        <v>46083</v>
      </c>
      <c r="B310" s="18" t="s">
        <v>708</v>
      </c>
      <c r="C310" s="16">
        <v>109</v>
      </c>
      <c r="D310" s="16">
        <v>140</v>
      </c>
      <c r="E310" s="16">
        <v>124</v>
      </c>
      <c r="F310" s="16">
        <v>249</v>
      </c>
      <c r="G310" s="16">
        <v>171</v>
      </c>
      <c r="H310" s="16">
        <v>187</v>
      </c>
      <c r="I310" s="16">
        <v>140</v>
      </c>
      <c r="J310" s="16">
        <v>124</v>
      </c>
      <c r="K310" s="16">
        <v>202</v>
      </c>
      <c r="L310" s="16">
        <v>140</v>
      </c>
      <c r="M310" s="16">
        <f t="shared" si="4"/>
        <v>588</v>
      </c>
      <c r="N310" s="17">
        <v>2174</v>
      </c>
      <c r="O310" s="16">
        <v>81</v>
      </c>
      <c r="P310" s="16">
        <v>1</v>
      </c>
      <c r="Q310" s="16">
        <v>262</v>
      </c>
      <c r="R310" s="16">
        <v>500</v>
      </c>
      <c r="S310" s="16">
        <v>250</v>
      </c>
      <c r="T310" s="16">
        <v>350</v>
      </c>
      <c r="U310" s="16">
        <v>0</v>
      </c>
      <c r="V310" s="16">
        <v>220</v>
      </c>
      <c r="W310" s="16">
        <v>443</v>
      </c>
      <c r="X310" s="16">
        <v>67</v>
      </c>
    </row>
    <row r="311" spans="1:24">
      <c r="A311" s="19">
        <v>46084</v>
      </c>
      <c r="B311" s="18" t="s">
        <v>708</v>
      </c>
      <c r="C311" s="16">
        <v>110</v>
      </c>
      <c r="D311" s="16">
        <v>141</v>
      </c>
      <c r="E311" s="16">
        <v>126</v>
      </c>
      <c r="F311" s="16">
        <v>251</v>
      </c>
      <c r="G311" s="16">
        <v>173</v>
      </c>
      <c r="H311" s="16">
        <v>188</v>
      </c>
      <c r="I311" s="16">
        <v>141</v>
      </c>
      <c r="J311" s="16">
        <v>126</v>
      </c>
      <c r="K311" s="16">
        <v>204</v>
      </c>
      <c r="L311" s="16">
        <v>141</v>
      </c>
      <c r="M311" s="16">
        <f t="shared" si="4"/>
        <v>593</v>
      </c>
      <c r="N311" s="17">
        <v>2194</v>
      </c>
      <c r="O311" s="16">
        <v>81</v>
      </c>
      <c r="P311" s="16">
        <v>1</v>
      </c>
      <c r="Q311" s="16">
        <v>262</v>
      </c>
      <c r="R311" s="16">
        <v>500</v>
      </c>
      <c r="S311" s="16">
        <v>250</v>
      </c>
      <c r="T311" s="16">
        <v>350</v>
      </c>
      <c r="U311" s="16">
        <v>0</v>
      </c>
      <c r="V311" s="16">
        <v>220</v>
      </c>
      <c r="W311" s="16">
        <v>463</v>
      </c>
      <c r="X311" s="16">
        <v>67</v>
      </c>
    </row>
    <row r="312" spans="1:24">
      <c r="A312" s="19">
        <v>46085</v>
      </c>
      <c r="B312" s="18" t="s">
        <v>708</v>
      </c>
      <c r="C312" s="16">
        <v>109</v>
      </c>
      <c r="D312" s="16">
        <v>141</v>
      </c>
      <c r="E312" s="16">
        <v>125</v>
      </c>
      <c r="F312" s="16">
        <v>250</v>
      </c>
      <c r="G312" s="16">
        <v>172</v>
      </c>
      <c r="H312" s="16">
        <v>188</v>
      </c>
      <c r="I312" s="16">
        <v>141</v>
      </c>
      <c r="J312" s="16">
        <v>125</v>
      </c>
      <c r="K312" s="16">
        <v>203</v>
      </c>
      <c r="L312" s="16">
        <v>141</v>
      </c>
      <c r="M312" s="16">
        <f t="shared" si="4"/>
        <v>590</v>
      </c>
      <c r="N312" s="17">
        <v>2185</v>
      </c>
      <c r="O312" s="16">
        <v>81</v>
      </c>
      <c r="P312" s="16">
        <v>1</v>
      </c>
      <c r="Q312" s="16">
        <v>262</v>
      </c>
      <c r="R312" s="16">
        <v>500</v>
      </c>
      <c r="S312" s="16">
        <v>250</v>
      </c>
      <c r="T312" s="16">
        <v>350</v>
      </c>
      <c r="U312" s="16">
        <v>0</v>
      </c>
      <c r="V312" s="16">
        <v>220</v>
      </c>
      <c r="W312" s="16">
        <v>454</v>
      </c>
      <c r="X312" s="16">
        <v>67</v>
      </c>
    </row>
    <row r="313" spans="1:24">
      <c r="A313" s="19">
        <v>46086</v>
      </c>
      <c r="B313" s="18" t="s">
        <v>708</v>
      </c>
      <c r="C313" s="16">
        <v>112</v>
      </c>
      <c r="D313" s="16">
        <v>144</v>
      </c>
      <c r="E313" s="16">
        <v>128</v>
      </c>
      <c r="F313" s="16">
        <v>256</v>
      </c>
      <c r="G313" s="16">
        <v>176</v>
      </c>
      <c r="H313" s="16">
        <v>192</v>
      </c>
      <c r="I313" s="16">
        <v>144</v>
      </c>
      <c r="J313" s="16">
        <v>128</v>
      </c>
      <c r="K313" s="16">
        <v>208</v>
      </c>
      <c r="L313" s="16">
        <v>144</v>
      </c>
      <c r="M313" s="16">
        <f t="shared" si="4"/>
        <v>603</v>
      </c>
      <c r="N313" s="17">
        <v>2235</v>
      </c>
      <c r="O313" s="16">
        <v>81</v>
      </c>
      <c r="P313" s="16">
        <v>1</v>
      </c>
      <c r="Q313" s="16">
        <v>262</v>
      </c>
      <c r="R313" s="16">
        <v>500</v>
      </c>
      <c r="S313" s="16">
        <v>250</v>
      </c>
      <c r="T313" s="16">
        <v>350</v>
      </c>
      <c r="U313" s="16">
        <v>0</v>
      </c>
      <c r="V313" s="16">
        <v>220</v>
      </c>
      <c r="W313" s="16">
        <v>504</v>
      </c>
      <c r="X313" s="16">
        <v>67</v>
      </c>
    </row>
    <row r="314" spans="1:24">
      <c r="A314" s="19">
        <v>46087</v>
      </c>
      <c r="B314" s="18" t="s">
        <v>708</v>
      </c>
      <c r="C314" s="16">
        <v>128</v>
      </c>
      <c r="D314" s="16">
        <v>164</v>
      </c>
      <c r="E314" s="16">
        <v>146</v>
      </c>
      <c r="F314" s="16">
        <v>292</v>
      </c>
      <c r="G314" s="16">
        <v>201</v>
      </c>
      <c r="H314" s="16">
        <v>219</v>
      </c>
      <c r="I314" s="16">
        <v>164</v>
      </c>
      <c r="J314" s="16">
        <v>146</v>
      </c>
      <c r="K314" s="16">
        <v>237</v>
      </c>
      <c r="L314" s="16">
        <v>164</v>
      </c>
      <c r="M314" s="16">
        <f t="shared" si="4"/>
        <v>691</v>
      </c>
      <c r="N314" s="17">
        <v>2552</v>
      </c>
      <c r="O314" s="16">
        <v>81</v>
      </c>
      <c r="P314" s="16">
        <v>1</v>
      </c>
      <c r="Q314" s="16">
        <v>262</v>
      </c>
      <c r="R314" s="16">
        <v>500</v>
      </c>
      <c r="S314" s="16">
        <v>250</v>
      </c>
      <c r="T314" s="16">
        <v>350</v>
      </c>
      <c r="U314" s="16">
        <v>330</v>
      </c>
      <c r="V314" s="16">
        <v>220</v>
      </c>
      <c r="W314" s="16">
        <v>491</v>
      </c>
      <c r="X314" s="16">
        <v>67</v>
      </c>
    </row>
    <row r="315" spans="1:24">
      <c r="A315" s="19">
        <v>46088</v>
      </c>
      <c r="B315" s="18" t="s">
        <v>708</v>
      </c>
      <c r="C315" s="16">
        <v>138</v>
      </c>
      <c r="D315" s="16">
        <v>177</v>
      </c>
      <c r="E315" s="16">
        <v>158</v>
      </c>
      <c r="F315" s="16">
        <v>315</v>
      </c>
      <c r="G315" s="16">
        <v>217</v>
      </c>
      <c r="H315" s="16">
        <v>237</v>
      </c>
      <c r="I315" s="16">
        <v>177</v>
      </c>
      <c r="J315" s="16">
        <v>158</v>
      </c>
      <c r="K315" s="16">
        <v>256</v>
      </c>
      <c r="L315" s="16">
        <v>177</v>
      </c>
      <c r="M315" s="16">
        <f t="shared" si="4"/>
        <v>745</v>
      </c>
      <c r="N315" s="17">
        <v>2755</v>
      </c>
      <c r="O315" s="16">
        <v>81</v>
      </c>
      <c r="P315" s="16">
        <v>1</v>
      </c>
      <c r="Q315" s="16">
        <v>340</v>
      </c>
      <c r="R315" s="16">
        <v>500</v>
      </c>
      <c r="S315" s="16">
        <v>350</v>
      </c>
      <c r="T315" s="16">
        <v>400</v>
      </c>
      <c r="U315" s="16">
        <v>330</v>
      </c>
      <c r="V315" s="16">
        <v>220</v>
      </c>
      <c r="W315" s="16">
        <v>533</v>
      </c>
      <c r="X315" s="16">
        <v>0</v>
      </c>
    </row>
    <row r="316" spans="1:24">
      <c r="A316" s="19">
        <v>46089</v>
      </c>
      <c r="B316" s="18" t="s">
        <v>708</v>
      </c>
      <c r="C316" s="16">
        <v>155</v>
      </c>
      <c r="D316" s="16">
        <v>199</v>
      </c>
      <c r="E316" s="16">
        <v>177</v>
      </c>
      <c r="F316" s="16">
        <v>354</v>
      </c>
      <c r="G316" s="16">
        <v>244</v>
      </c>
      <c r="H316" s="16">
        <v>266</v>
      </c>
      <c r="I316" s="16">
        <v>199</v>
      </c>
      <c r="J316" s="16">
        <v>177</v>
      </c>
      <c r="K316" s="16">
        <v>288</v>
      </c>
      <c r="L316" s="16">
        <v>199</v>
      </c>
      <c r="M316" s="16">
        <f t="shared" si="4"/>
        <v>837</v>
      </c>
      <c r="N316" s="17">
        <v>3095</v>
      </c>
      <c r="O316" s="16">
        <v>81</v>
      </c>
      <c r="P316" s="16">
        <v>1</v>
      </c>
      <c r="Q316" s="16">
        <v>340</v>
      </c>
      <c r="R316" s="16">
        <v>816</v>
      </c>
      <c r="S316" s="16">
        <v>350</v>
      </c>
      <c r="T316" s="16">
        <v>400</v>
      </c>
      <c r="U316" s="16">
        <v>330</v>
      </c>
      <c r="V316" s="16">
        <v>220</v>
      </c>
      <c r="W316" s="16">
        <v>557</v>
      </c>
      <c r="X316" s="16">
        <v>0</v>
      </c>
    </row>
    <row r="317" spans="1:24">
      <c r="A317" s="19">
        <v>46090</v>
      </c>
      <c r="B317" s="18" t="s">
        <v>708</v>
      </c>
      <c r="C317" s="16">
        <v>199</v>
      </c>
      <c r="D317" s="16">
        <v>256</v>
      </c>
      <c r="E317" s="16">
        <v>227</v>
      </c>
      <c r="F317" s="16">
        <v>455</v>
      </c>
      <c r="G317" s="16">
        <v>313</v>
      </c>
      <c r="H317" s="16">
        <v>341</v>
      </c>
      <c r="I317" s="16">
        <v>256</v>
      </c>
      <c r="J317" s="16">
        <v>227</v>
      </c>
      <c r="K317" s="16">
        <v>369</v>
      </c>
      <c r="L317" s="16">
        <v>256</v>
      </c>
      <c r="M317" s="16">
        <f t="shared" si="4"/>
        <v>1072</v>
      </c>
      <c r="N317" s="17">
        <v>3971</v>
      </c>
      <c r="O317" s="16">
        <v>81</v>
      </c>
      <c r="P317" s="16">
        <v>1</v>
      </c>
      <c r="Q317" s="16">
        <v>262</v>
      </c>
      <c r="R317" s="16">
        <v>1849</v>
      </c>
      <c r="S317" s="16">
        <v>250</v>
      </c>
      <c r="T317" s="16">
        <v>350</v>
      </c>
      <c r="U317" s="16">
        <v>330</v>
      </c>
      <c r="V317" s="16">
        <v>220</v>
      </c>
      <c r="W317" s="16">
        <v>561</v>
      </c>
      <c r="X317" s="16">
        <v>67</v>
      </c>
    </row>
    <row r="318" spans="1:24">
      <c r="A318" s="19">
        <v>46091</v>
      </c>
      <c r="B318" s="18" t="s">
        <v>708</v>
      </c>
      <c r="C318" s="16">
        <v>147</v>
      </c>
      <c r="D318" s="16">
        <v>189</v>
      </c>
      <c r="E318" s="16">
        <v>168</v>
      </c>
      <c r="F318" s="16">
        <v>336</v>
      </c>
      <c r="G318" s="16">
        <v>231</v>
      </c>
      <c r="H318" s="16">
        <v>252</v>
      </c>
      <c r="I318" s="16">
        <v>189</v>
      </c>
      <c r="J318" s="16">
        <v>168</v>
      </c>
      <c r="K318" s="16">
        <v>273</v>
      </c>
      <c r="L318" s="16">
        <v>189</v>
      </c>
      <c r="M318" s="16">
        <f t="shared" si="4"/>
        <v>791</v>
      </c>
      <c r="N318" s="17">
        <v>2933</v>
      </c>
      <c r="O318" s="16">
        <v>81</v>
      </c>
      <c r="P318" s="16">
        <v>1</v>
      </c>
      <c r="Q318" s="16">
        <v>262</v>
      </c>
      <c r="R318" s="16">
        <v>1000</v>
      </c>
      <c r="S318" s="16">
        <v>250</v>
      </c>
      <c r="T318" s="16">
        <v>500</v>
      </c>
      <c r="U318" s="16">
        <v>0</v>
      </c>
      <c r="V318" s="16">
        <v>220</v>
      </c>
      <c r="W318" s="16">
        <v>552</v>
      </c>
      <c r="X318" s="16">
        <v>67</v>
      </c>
    </row>
    <row r="319" spans="1:24">
      <c r="A319" s="19">
        <v>46092</v>
      </c>
      <c r="B319" s="18" t="s">
        <v>708</v>
      </c>
      <c r="C319" s="16">
        <v>178</v>
      </c>
      <c r="D319" s="16">
        <v>229</v>
      </c>
      <c r="E319" s="16">
        <v>203</v>
      </c>
      <c r="F319" s="16">
        <v>406</v>
      </c>
      <c r="G319" s="16">
        <v>279</v>
      </c>
      <c r="H319" s="16">
        <v>305</v>
      </c>
      <c r="I319" s="16">
        <v>229</v>
      </c>
      <c r="J319" s="16">
        <v>203</v>
      </c>
      <c r="K319" s="16">
        <v>330</v>
      </c>
      <c r="L319" s="16">
        <v>229</v>
      </c>
      <c r="M319" s="16">
        <f t="shared" si="4"/>
        <v>958</v>
      </c>
      <c r="N319" s="17">
        <v>3549</v>
      </c>
      <c r="O319" s="16">
        <v>81</v>
      </c>
      <c r="P319" s="16">
        <v>1</v>
      </c>
      <c r="Q319" s="16">
        <v>288</v>
      </c>
      <c r="R319" s="16">
        <v>1000</v>
      </c>
      <c r="S319" s="16">
        <v>250</v>
      </c>
      <c r="T319" s="16">
        <v>500</v>
      </c>
      <c r="U319" s="16">
        <v>633</v>
      </c>
      <c r="V319" s="16">
        <v>220</v>
      </c>
      <c r="W319" s="16">
        <v>509</v>
      </c>
      <c r="X319" s="16">
        <v>67</v>
      </c>
    </row>
    <row r="320" spans="1:24">
      <c r="A320" s="19">
        <v>46093</v>
      </c>
      <c r="B320" s="18" t="s">
        <v>708</v>
      </c>
      <c r="C320" s="16">
        <v>177</v>
      </c>
      <c r="D320" s="16">
        <v>227</v>
      </c>
      <c r="E320" s="16">
        <v>202</v>
      </c>
      <c r="F320" s="16">
        <v>404</v>
      </c>
      <c r="G320" s="16">
        <v>278</v>
      </c>
      <c r="H320" s="16">
        <v>303</v>
      </c>
      <c r="I320" s="16">
        <v>227</v>
      </c>
      <c r="J320" s="16">
        <v>202</v>
      </c>
      <c r="K320" s="16">
        <v>328</v>
      </c>
      <c r="L320" s="16">
        <v>227</v>
      </c>
      <c r="M320" s="16">
        <f t="shared" si="4"/>
        <v>955</v>
      </c>
      <c r="N320" s="17">
        <v>3530</v>
      </c>
      <c r="O320" s="16">
        <v>81</v>
      </c>
      <c r="P320" s="16">
        <v>1</v>
      </c>
      <c r="Q320" s="16">
        <v>288</v>
      </c>
      <c r="R320" s="16">
        <v>1000</v>
      </c>
      <c r="S320" s="16">
        <v>250</v>
      </c>
      <c r="T320" s="16">
        <v>500</v>
      </c>
      <c r="U320" s="16">
        <v>633</v>
      </c>
      <c r="V320" s="16">
        <v>220</v>
      </c>
      <c r="W320" s="16">
        <v>491</v>
      </c>
      <c r="X320" s="16">
        <v>66</v>
      </c>
    </row>
    <row r="321" spans="1:24">
      <c r="A321" s="19">
        <v>46094</v>
      </c>
      <c r="B321" s="18" t="s">
        <v>708</v>
      </c>
      <c r="C321" s="16">
        <v>180</v>
      </c>
      <c r="D321" s="16">
        <v>232</v>
      </c>
      <c r="E321" s="16">
        <v>206</v>
      </c>
      <c r="F321" s="16">
        <v>412</v>
      </c>
      <c r="G321" s="16">
        <v>283</v>
      </c>
      <c r="H321" s="16">
        <v>309</v>
      </c>
      <c r="I321" s="16">
        <v>232</v>
      </c>
      <c r="J321" s="16">
        <v>206</v>
      </c>
      <c r="K321" s="16">
        <v>335</v>
      </c>
      <c r="L321" s="16">
        <v>232</v>
      </c>
      <c r="M321" s="16">
        <f t="shared" si="4"/>
        <v>970</v>
      </c>
      <c r="N321" s="17">
        <v>3597</v>
      </c>
      <c r="O321" s="16">
        <v>81</v>
      </c>
      <c r="P321" s="16">
        <v>1</v>
      </c>
      <c r="Q321" s="16">
        <v>288</v>
      </c>
      <c r="R321" s="16">
        <v>1000</v>
      </c>
      <c r="S321" s="16">
        <v>250</v>
      </c>
      <c r="T321" s="16">
        <v>500</v>
      </c>
      <c r="U321" s="16">
        <v>633</v>
      </c>
      <c r="V321" s="16">
        <v>220</v>
      </c>
      <c r="W321" s="16">
        <v>558</v>
      </c>
      <c r="X321" s="16">
        <v>66</v>
      </c>
    </row>
    <row r="322" spans="1:24">
      <c r="A322" s="19">
        <v>46095</v>
      </c>
      <c r="B322" s="18" t="s">
        <v>708</v>
      </c>
      <c r="C322" s="16">
        <v>188</v>
      </c>
      <c r="D322" s="16">
        <v>241</v>
      </c>
      <c r="E322" s="16">
        <v>214</v>
      </c>
      <c r="F322" s="16">
        <v>429</v>
      </c>
      <c r="G322" s="16">
        <v>295</v>
      </c>
      <c r="H322" s="16">
        <v>322</v>
      </c>
      <c r="I322" s="16">
        <v>241</v>
      </c>
      <c r="J322" s="16">
        <v>214</v>
      </c>
      <c r="K322" s="16">
        <v>349</v>
      </c>
      <c r="L322" s="16">
        <v>241</v>
      </c>
      <c r="M322" s="16">
        <f t="shared" si="4"/>
        <v>1012</v>
      </c>
      <c r="N322" s="17">
        <v>3746</v>
      </c>
      <c r="O322" s="16">
        <v>82</v>
      </c>
      <c r="P322" s="16">
        <v>2</v>
      </c>
      <c r="Q322" s="16">
        <v>374</v>
      </c>
      <c r="R322" s="16">
        <v>1000</v>
      </c>
      <c r="S322" s="16">
        <v>350</v>
      </c>
      <c r="T322" s="16">
        <v>500</v>
      </c>
      <c r="U322" s="16">
        <v>633</v>
      </c>
      <c r="V322" s="16">
        <v>220</v>
      </c>
      <c r="W322" s="16">
        <v>585</v>
      </c>
      <c r="X322" s="16">
        <v>0</v>
      </c>
    </row>
    <row r="323" spans="1:24">
      <c r="A323" s="19">
        <v>46096</v>
      </c>
      <c r="B323" s="18" t="s">
        <v>708</v>
      </c>
      <c r="C323" s="16">
        <v>202</v>
      </c>
      <c r="D323" s="16">
        <v>259</v>
      </c>
      <c r="E323" s="16">
        <v>230</v>
      </c>
      <c r="F323" s="16">
        <v>461</v>
      </c>
      <c r="G323" s="16">
        <v>317</v>
      </c>
      <c r="H323" s="16">
        <v>346</v>
      </c>
      <c r="I323" s="16">
        <v>259</v>
      </c>
      <c r="J323" s="16">
        <v>230</v>
      </c>
      <c r="K323" s="16">
        <v>374</v>
      </c>
      <c r="L323" s="16">
        <v>259</v>
      </c>
      <c r="M323" s="16">
        <f t="shared" ref="M323:M386" si="5">N323-SUM(C323:L323)</f>
        <v>1088</v>
      </c>
      <c r="N323" s="17">
        <v>4025</v>
      </c>
      <c r="O323" s="16">
        <v>82</v>
      </c>
      <c r="P323" s="16">
        <v>2</v>
      </c>
      <c r="Q323" s="16">
        <v>374</v>
      </c>
      <c r="R323" s="16">
        <v>1000</v>
      </c>
      <c r="S323" s="16">
        <v>350</v>
      </c>
      <c r="T323" s="16">
        <v>700</v>
      </c>
      <c r="U323" s="16">
        <v>633</v>
      </c>
      <c r="V323" s="16">
        <v>220</v>
      </c>
      <c r="W323" s="16">
        <v>664</v>
      </c>
      <c r="X323" s="16">
        <v>0</v>
      </c>
    </row>
    <row r="324" spans="1:24">
      <c r="A324" s="19">
        <v>46097</v>
      </c>
      <c r="B324" s="18" t="s">
        <v>708</v>
      </c>
      <c r="C324" s="16">
        <v>197</v>
      </c>
      <c r="D324" s="16">
        <v>253</v>
      </c>
      <c r="E324" s="16">
        <v>225</v>
      </c>
      <c r="F324" s="16">
        <v>450</v>
      </c>
      <c r="G324" s="16">
        <v>309</v>
      </c>
      <c r="H324" s="16">
        <v>337</v>
      </c>
      <c r="I324" s="16">
        <v>253</v>
      </c>
      <c r="J324" s="16">
        <v>225</v>
      </c>
      <c r="K324" s="16">
        <v>366</v>
      </c>
      <c r="L324" s="16">
        <v>253</v>
      </c>
      <c r="M324" s="16">
        <f t="shared" si="5"/>
        <v>1061</v>
      </c>
      <c r="N324" s="17">
        <v>3929</v>
      </c>
      <c r="O324" s="16">
        <v>82</v>
      </c>
      <c r="P324" s="16">
        <v>2</v>
      </c>
      <c r="Q324" s="16">
        <v>288</v>
      </c>
      <c r="R324" s="16">
        <v>1000</v>
      </c>
      <c r="S324" s="16">
        <v>250</v>
      </c>
      <c r="T324" s="16">
        <v>700</v>
      </c>
      <c r="U324" s="16">
        <v>633</v>
      </c>
      <c r="V324" s="16">
        <v>220</v>
      </c>
      <c r="W324" s="16">
        <v>688</v>
      </c>
      <c r="X324" s="16">
        <v>66</v>
      </c>
    </row>
    <row r="325" spans="1:24">
      <c r="A325" s="19">
        <v>46098</v>
      </c>
      <c r="B325" s="18" t="s">
        <v>708</v>
      </c>
      <c r="C325" s="20">
        <v>162</v>
      </c>
      <c r="D325" s="20">
        <v>209</v>
      </c>
      <c r="E325" s="20">
        <v>186</v>
      </c>
      <c r="F325" s="20">
        <v>371</v>
      </c>
      <c r="G325" s="20">
        <v>255</v>
      </c>
      <c r="H325" s="20">
        <v>279</v>
      </c>
      <c r="I325" s="20">
        <v>209</v>
      </c>
      <c r="J325" s="20">
        <v>186</v>
      </c>
      <c r="K325" s="20">
        <v>302</v>
      </c>
      <c r="L325" s="16">
        <v>209</v>
      </c>
      <c r="M325" s="16">
        <f t="shared" si="5"/>
        <v>875</v>
      </c>
      <c r="N325" s="17">
        <v>3243</v>
      </c>
      <c r="O325" s="20">
        <v>82</v>
      </c>
      <c r="P325" s="20">
        <v>2</v>
      </c>
      <c r="Q325" s="20">
        <v>288</v>
      </c>
      <c r="R325" s="20">
        <v>1000</v>
      </c>
      <c r="S325" s="20">
        <v>250</v>
      </c>
      <c r="T325" s="20">
        <v>700</v>
      </c>
      <c r="U325" s="20">
        <v>0</v>
      </c>
      <c r="V325" s="20">
        <v>220</v>
      </c>
      <c r="W325" s="20">
        <v>635</v>
      </c>
      <c r="X325" s="20">
        <v>66</v>
      </c>
    </row>
    <row r="326" spans="1:24">
      <c r="A326" s="19">
        <v>46099</v>
      </c>
      <c r="B326" s="18" t="s">
        <v>708</v>
      </c>
      <c r="C326" s="16">
        <v>162</v>
      </c>
      <c r="D326" s="16">
        <v>209</v>
      </c>
      <c r="E326" s="16">
        <v>186</v>
      </c>
      <c r="F326" s="16">
        <v>371</v>
      </c>
      <c r="G326" s="16">
        <v>255</v>
      </c>
      <c r="H326" s="16">
        <v>278</v>
      </c>
      <c r="I326" s="16">
        <v>209</v>
      </c>
      <c r="J326" s="16">
        <v>186</v>
      </c>
      <c r="K326" s="16">
        <v>302</v>
      </c>
      <c r="L326" s="16">
        <v>209</v>
      </c>
      <c r="M326" s="16">
        <f t="shared" si="5"/>
        <v>875</v>
      </c>
      <c r="N326" s="17">
        <v>3242</v>
      </c>
      <c r="O326" s="16">
        <v>82</v>
      </c>
      <c r="P326" s="16">
        <v>2</v>
      </c>
      <c r="Q326" s="16">
        <v>288</v>
      </c>
      <c r="R326" s="16">
        <v>1000</v>
      </c>
      <c r="S326" s="16">
        <v>250</v>
      </c>
      <c r="T326" s="16">
        <v>700</v>
      </c>
      <c r="U326" s="16">
        <v>0</v>
      </c>
      <c r="V326" s="16">
        <v>220</v>
      </c>
      <c r="W326" s="16">
        <v>634</v>
      </c>
      <c r="X326" s="16">
        <v>66</v>
      </c>
    </row>
    <row r="327" spans="1:24">
      <c r="A327" s="19">
        <v>46100</v>
      </c>
      <c r="B327" s="18" t="s">
        <v>708</v>
      </c>
      <c r="C327" s="16">
        <v>164</v>
      </c>
      <c r="D327" s="16">
        <v>211</v>
      </c>
      <c r="E327" s="16">
        <v>188</v>
      </c>
      <c r="F327" s="16">
        <v>375</v>
      </c>
      <c r="G327" s="16">
        <v>258</v>
      </c>
      <c r="H327" s="16">
        <v>281</v>
      </c>
      <c r="I327" s="16">
        <v>211</v>
      </c>
      <c r="J327" s="16">
        <v>188</v>
      </c>
      <c r="K327" s="16">
        <v>305</v>
      </c>
      <c r="L327" s="16">
        <v>211</v>
      </c>
      <c r="M327" s="16">
        <f t="shared" si="5"/>
        <v>883</v>
      </c>
      <c r="N327" s="17">
        <v>3275</v>
      </c>
      <c r="O327" s="16">
        <v>82</v>
      </c>
      <c r="P327" s="16">
        <v>2</v>
      </c>
      <c r="Q327" s="16">
        <v>288</v>
      </c>
      <c r="R327" s="16">
        <v>1000</v>
      </c>
      <c r="S327" s="16">
        <v>250</v>
      </c>
      <c r="T327" s="16">
        <v>700</v>
      </c>
      <c r="U327" s="16">
        <v>0</v>
      </c>
      <c r="V327" s="16">
        <v>220</v>
      </c>
      <c r="W327" s="16">
        <v>667</v>
      </c>
      <c r="X327" s="16">
        <v>66</v>
      </c>
    </row>
    <row r="328" spans="1:24">
      <c r="A328" s="19">
        <v>46101</v>
      </c>
      <c r="B328" s="18" t="s">
        <v>708</v>
      </c>
      <c r="C328" s="16">
        <v>137</v>
      </c>
      <c r="D328" s="16">
        <v>177</v>
      </c>
      <c r="E328" s="16">
        <v>157</v>
      </c>
      <c r="F328" s="16">
        <v>314</v>
      </c>
      <c r="G328" s="16">
        <v>216</v>
      </c>
      <c r="H328" s="16">
        <v>236</v>
      </c>
      <c r="I328" s="16">
        <v>177</v>
      </c>
      <c r="J328" s="16">
        <v>157</v>
      </c>
      <c r="K328" s="16">
        <v>255</v>
      </c>
      <c r="L328" s="16">
        <v>177</v>
      </c>
      <c r="M328" s="16">
        <f t="shared" si="5"/>
        <v>740</v>
      </c>
      <c r="N328" s="17">
        <v>2743</v>
      </c>
      <c r="O328" s="16">
        <v>82</v>
      </c>
      <c r="P328" s="16">
        <v>2</v>
      </c>
      <c r="Q328" s="16">
        <v>288</v>
      </c>
      <c r="R328" s="16">
        <v>1000</v>
      </c>
      <c r="S328" s="16">
        <v>250</v>
      </c>
      <c r="T328" s="16">
        <v>200</v>
      </c>
      <c r="U328" s="16">
        <v>0</v>
      </c>
      <c r="V328" s="16">
        <v>220</v>
      </c>
      <c r="W328" s="16">
        <v>635</v>
      </c>
      <c r="X328" s="16">
        <v>66</v>
      </c>
    </row>
    <row r="329" spans="1:24">
      <c r="A329" s="19">
        <v>46102</v>
      </c>
      <c r="B329" s="18" t="s">
        <v>708</v>
      </c>
      <c r="C329" s="16">
        <v>150</v>
      </c>
      <c r="D329" s="16">
        <v>193</v>
      </c>
      <c r="E329" s="16">
        <v>172</v>
      </c>
      <c r="F329" s="16">
        <v>344</v>
      </c>
      <c r="G329" s="16">
        <v>236</v>
      </c>
      <c r="H329" s="16">
        <v>258</v>
      </c>
      <c r="I329" s="16">
        <v>193</v>
      </c>
      <c r="J329" s="16">
        <v>172</v>
      </c>
      <c r="K329" s="16">
        <v>279</v>
      </c>
      <c r="L329" s="16">
        <v>193</v>
      </c>
      <c r="M329" s="16">
        <f t="shared" si="5"/>
        <v>812</v>
      </c>
      <c r="N329" s="17">
        <v>3002</v>
      </c>
      <c r="O329" s="16">
        <v>82</v>
      </c>
      <c r="P329" s="16">
        <v>2</v>
      </c>
      <c r="Q329" s="16">
        <v>408</v>
      </c>
      <c r="R329" s="16">
        <v>1000</v>
      </c>
      <c r="S329" s="16">
        <v>350</v>
      </c>
      <c r="T329" s="16">
        <v>300</v>
      </c>
      <c r="U329" s="16">
        <v>0</v>
      </c>
      <c r="V329" s="16">
        <v>220</v>
      </c>
      <c r="W329" s="16">
        <v>640</v>
      </c>
      <c r="X329" s="16">
        <v>0</v>
      </c>
    </row>
    <row r="330" spans="1:24">
      <c r="A330" s="19">
        <v>46103</v>
      </c>
      <c r="B330" s="18" t="s">
        <v>708</v>
      </c>
      <c r="C330" s="16">
        <v>163</v>
      </c>
      <c r="D330" s="16">
        <v>209</v>
      </c>
      <c r="E330" s="16">
        <v>186</v>
      </c>
      <c r="F330" s="16">
        <v>372</v>
      </c>
      <c r="G330" s="16">
        <v>256</v>
      </c>
      <c r="H330" s="16">
        <v>279</v>
      </c>
      <c r="I330" s="16">
        <v>209</v>
      </c>
      <c r="J330" s="16">
        <v>186</v>
      </c>
      <c r="K330" s="16">
        <v>303</v>
      </c>
      <c r="L330" s="16">
        <v>209</v>
      </c>
      <c r="M330" s="16">
        <f t="shared" si="5"/>
        <v>880</v>
      </c>
      <c r="N330" s="17">
        <v>3252</v>
      </c>
      <c r="O330" s="16">
        <v>82</v>
      </c>
      <c r="P330" s="16">
        <v>2</v>
      </c>
      <c r="Q330" s="16">
        <v>408</v>
      </c>
      <c r="R330" s="16">
        <v>1000</v>
      </c>
      <c r="S330" s="16">
        <v>350</v>
      </c>
      <c r="T330" s="16">
        <v>500</v>
      </c>
      <c r="U330" s="16">
        <v>0</v>
      </c>
      <c r="V330" s="16">
        <v>220</v>
      </c>
      <c r="W330" s="16">
        <v>690</v>
      </c>
      <c r="X330" s="16">
        <v>0</v>
      </c>
    </row>
    <row r="331" spans="1:24">
      <c r="A331" s="19">
        <v>46104</v>
      </c>
      <c r="B331" s="18" t="s">
        <v>708</v>
      </c>
      <c r="C331" s="16">
        <v>158</v>
      </c>
      <c r="D331" s="16">
        <v>203</v>
      </c>
      <c r="E331" s="16">
        <v>180</v>
      </c>
      <c r="F331" s="16">
        <v>360</v>
      </c>
      <c r="G331" s="16">
        <v>248</v>
      </c>
      <c r="H331" s="16">
        <v>270</v>
      </c>
      <c r="I331" s="16">
        <v>203</v>
      </c>
      <c r="J331" s="16">
        <v>180</v>
      </c>
      <c r="K331" s="16">
        <v>293</v>
      </c>
      <c r="L331" s="16">
        <v>203</v>
      </c>
      <c r="M331" s="16">
        <f t="shared" si="5"/>
        <v>848</v>
      </c>
      <c r="N331" s="17">
        <v>3146</v>
      </c>
      <c r="O331" s="16">
        <v>82</v>
      </c>
      <c r="P331" s="16">
        <v>2</v>
      </c>
      <c r="Q331" s="16">
        <v>314</v>
      </c>
      <c r="R331" s="16">
        <v>1000</v>
      </c>
      <c r="S331" s="16">
        <v>250</v>
      </c>
      <c r="T331" s="16">
        <v>500</v>
      </c>
      <c r="U331" s="16">
        <v>0</v>
      </c>
      <c r="V331" s="16">
        <v>220</v>
      </c>
      <c r="W331" s="16">
        <v>712</v>
      </c>
      <c r="X331" s="16">
        <v>66</v>
      </c>
    </row>
    <row r="332" spans="1:24">
      <c r="A332" s="19">
        <v>46105</v>
      </c>
      <c r="B332" s="18" t="s">
        <v>708</v>
      </c>
      <c r="C332" s="16">
        <v>154</v>
      </c>
      <c r="D332" s="16">
        <v>199</v>
      </c>
      <c r="E332" s="16">
        <v>177</v>
      </c>
      <c r="F332" s="16">
        <v>353</v>
      </c>
      <c r="G332" s="16">
        <v>243</v>
      </c>
      <c r="H332" s="16">
        <v>265</v>
      </c>
      <c r="I332" s="16">
        <v>199</v>
      </c>
      <c r="J332" s="16">
        <v>177</v>
      </c>
      <c r="K332" s="16">
        <v>287</v>
      </c>
      <c r="L332" s="16">
        <v>199</v>
      </c>
      <c r="M332" s="16">
        <f t="shared" si="5"/>
        <v>830</v>
      </c>
      <c r="N332" s="17">
        <v>3083</v>
      </c>
      <c r="O332" s="16">
        <v>82</v>
      </c>
      <c r="P332" s="16">
        <v>2</v>
      </c>
      <c r="Q332" s="16">
        <v>314</v>
      </c>
      <c r="R332" s="16">
        <v>1000</v>
      </c>
      <c r="S332" s="16">
        <v>250</v>
      </c>
      <c r="T332" s="16">
        <v>500</v>
      </c>
      <c r="U332" s="16">
        <v>0</v>
      </c>
      <c r="V332" s="16">
        <v>220</v>
      </c>
      <c r="W332" s="16">
        <v>649</v>
      </c>
      <c r="X332" s="16">
        <v>66</v>
      </c>
    </row>
    <row r="333" spans="1:24">
      <c r="A333" s="19">
        <v>46106</v>
      </c>
      <c r="B333" s="18" t="s">
        <v>708</v>
      </c>
      <c r="C333" s="16">
        <v>145</v>
      </c>
      <c r="D333" s="16">
        <v>187</v>
      </c>
      <c r="E333" s="16">
        <v>166</v>
      </c>
      <c r="F333" s="16">
        <v>332</v>
      </c>
      <c r="G333" s="16">
        <v>228</v>
      </c>
      <c r="H333" s="16">
        <v>249</v>
      </c>
      <c r="I333" s="16">
        <v>187</v>
      </c>
      <c r="J333" s="16">
        <v>166</v>
      </c>
      <c r="K333" s="16">
        <v>270</v>
      </c>
      <c r="L333" s="16">
        <v>187</v>
      </c>
      <c r="M333" s="16">
        <f t="shared" si="5"/>
        <v>782</v>
      </c>
      <c r="N333" s="17">
        <v>2899</v>
      </c>
      <c r="O333" s="16">
        <v>82</v>
      </c>
      <c r="P333" s="16">
        <v>2</v>
      </c>
      <c r="Q333" s="16">
        <v>314</v>
      </c>
      <c r="R333" s="16">
        <v>816</v>
      </c>
      <c r="S333" s="16">
        <v>250</v>
      </c>
      <c r="T333" s="16">
        <v>500</v>
      </c>
      <c r="U333" s="16">
        <v>0</v>
      </c>
      <c r="V333" s="16">
        <v>220</v>
      </c>
      <c r="W333" s="16">
        <v>649</v>
      </c>
      <c r="X333" s="16">
        <v>66</v>
      </c>
    </row>
    <row r="334" spans="1:24">
      <c r="A334" s="19">
        <v>46107</v>
      </c>
      <c r="B334" s="18" t="s">
        <v>708</v>
      </c>
      <c r="C334" s="16">
        <v>179</v>
      </c>
      <c r="D334" s="16">
        <v>230</v>
      </c>
      <c r="E334" s="16">
        <v>205</v>
      </c>
      <c r="F334" s="16">
        <v>409</v>
      </c>
      <c r="G334" s="16">
        <v>281</v>
      </c>
      <c r="H334" s="16">
        <v>307</v>
      </c>
      <c r="I334" s="16">
        <v>230</v>
      </c>
      <c r="J334" s="16">
        <v>205</v>
      </c>
      <c r="K334" s="16">
        <v>332</v>
      </c>
      <c r="L334" s="16">
        <v>230</v>
      </c>
      <c r="M334" s="16">
        <f t="shared" si="5"/>
        <v>964</v>
      </c>
      <c r="N334" s="17">
        <v>3572</v>
      </c>
      <c r="O334" s="16">
        <v>82</v>
      </c>
      <c r="P334" s="16">
        <v>2</v>
      </c>
      <c r="Q334" s="16">
        <v>314</v>
      </c>
      <c r="R334" s="16">
        <v>816</v>
      </c>
      <c r="S334" s="16">
        <v>250</v>
      </c>
      <c r="T334" s="16">
        <v>500</v>
      </c>
      <c r="U334" s="16">
        <v>673</v>
      </c>
      <c r="V334" s="16">
        <v>220</v>
      </c>
      <c r="W334" s="16">
        <v>649</v>
      </c>
      <c r="X334" s="16">
        <v>66</v>
      </c>
    </row>
    <row r="335" spans="1:24">
      <c r="A335" s="19">
        <v>46108</v>
      </c>
      <c r="B335" s="18" t="s">
        <v>708</v>
      </c>
      <c r="C335" s="16">
        <v>184</v>
      </c>
      <c r="D335" s="16">
        <v>237</v>
      </c>
      <c r="E335" s="16">
        <v>211</v>
      </c>
      <c r="F335" s="16">
        <v>421</v>
      </c>
      <c r="G335" s="16">
        <v>290</v>
      </c>
      <c r="H335" s="16">
        <v>316</v>
      </c>
      <c r="I335" s="16">
        <v>237</v>
      </c>
      <c r="J335" s="16">
        <v>211</v>
      </c>
      <c r="K335" s="16">
        <v>342</v>
      </c>
      <c r="L335" s="16">
        <v>237</v>
      </c>
      <c r="M335" s="16">
        <f t="shared" si="5"/>
        <v>994</v>
      </c>
      <c r="N335" s="17">
        <v>3680</v>
      </c>
      <c r="O335" s="16">
        <v>82</v>
      </c>
      <c r="P335" s="16">
        <v>2</v>
      </c>
      <c r="Q335" s="16">
        <v>314</v>
      </c>
      <c r="R335" s="16">
        <v>500</v>
      </c>
      <c r="S335" s="16">
        <v>250</v>
      </c>
      <c r="T335" s="16">
        <v>600</v>
      </c>
      <c r="U335" s="16">
        <v>989</v>
      </c>
      <c r="V335" s="16">
        <v>220</v>
      </c>
      <c r="W335" s="16">
        <v>657</v>
      </c>
      <c r="X335" s="16">
        <v>66</v>
      </c>
    </row>
    <row r="336" spans="1:24">
      <c r="A336" s="19">
        <v>46109</v>
      </c>
      <c r="B336" s="18" t="s">
        <v>708</v>
      </c>
      <c r="C336" s="16">
        <v>199</v>
      </c>
      <c r="D336" s="16">
        <v>256</v>
      </c>
      <c r="E336" s="16">
        <v>227</v>
      </c>
      <c r="F336" s="16">
        <v>455</v>
      </c>
      <c r="G336" s="16">
        <v>313</v>
      </c>
      <c r="H336" s="16">
        <v>341</v>
      </c>
      <c r="I336" s="16">
        <v>256</v>
      </c>
      <c r="J336" s="16">
        <v>227</v>
      </c>
      <c r="K336" s="16">
        <v>370</v>
      </c>
      <c r="L336" s="16">
        <v>256</v>
      </c>
      <c r="M336" s="16">
        <f t="shared" si="5"/>
        <v>1073</v>
      </c>
      <c r="N336" s="17">
        <v>3973</v>
      </c>
      <c r="O336" s="16">
        <v>82</v>
      </c>
      <c r="P336" s="16">
        <v>2</v>
      </c>
      <c r="Q336" s="16">
        <v>408</v>
      </c>
      <c r="R336" s="16">
        <v>500</v>
      </c>
      <c r="S336" s="16">
        <v>370</v>
      </c>
      <c r="T336" s="16">
        <v>700</v>
      </c>
      <c r="U336" s="16">
        <v>989</v>
      </c>
      <c r="V336" s="16">
        <v>220</v>
      </c>
      <c r="W336" s="16">
        <v>702</v>
      </c>
      <c r="X336" s="16">
        <v>0</v>
      </c>
    </row>
    <row r="337" spans="1:24">
      <c r="A337" s="19">
        <v>46110</v>
      </c>
      <c r="B337" s="18" t="s">
        <v>708</v>
      </c>
      <c r="C337" s="16">
        <v>200</v>
      </c>
      <c r="D337" s="16">
        <v>257</v>
      </c>
      <c r="E337" s="16">
        <v>229</v>
      </c>
      <c r="F337" s="16">
        <v>458</v>
      </c>
      <c r="G337" s="16">
        <v>315</v>
      </c>
      <c r="H337" s="16">
        <v>343</v>
      </c>
      <c r="I337" s="16">
        <v>257</v>
      </c>
      <c r="J337" s="16">
        <v>229</v>
      </c>
      <c r="K337" s="16">
        <v>372</v>
      </c>
      <c r="L337" s="16">
        <v>257</v>
      </c>
      <c r="M337" s="16">
        <f t="shared" si="5"/>
        <v>1080</v>
      </c>
      <c r="N337" s="17">
        <v>3997</v>
      </c>
      <c r="O337" s="16">
        <v>82</v>
      </c>
      <c r="P337" s="16">
        <v>2</v>
      </c>
      <c r="Q337" s="16">
        <v>408</v>
      </c>
      <c r="R337" s="16">
        <v>500</v>
      </c>
      <c r="S337" s="16">
        <v>373</v>
      </c>
      <c r="T337" s="16">
        <v>700</v>
      </c>
      <c r="U337" s="16">
        <v>988</v>
      </c>
      <c r="V337" s="16">
        <v>220</v>
      </c>
      <c r="W337" s="16">
        <v>724</v>
      </c>
      <c r="X337" s="16">
        <v>0</v>
      </c>
    </row>
    <row r="338" spans="1:24">
      <c r="A338" s="19">
        <v>46111</v>
      </c>
      <c r="B338" s="18" t="s">
        <v>708</v>
      </c>
      <c r="C338" s="16">
        <v>141</v>
      </c>
      <c r="D338" s="16">
        <v>182</v>
      </c>
      <c r="E338" s="16">
        <v>162</v>
      </c>
      <c r="F338" s="16">
        <v>323</v>
      </c>
      <c r="G338" s="16">
        <v>222</v>
      </c>
      <c r="H338" s="16">
        <v>242</v>
      </c>
      <c r="I338" s="16">
        <v>182</v>
      </c>
      <c r="J338" s="16">
        <v>162</v>
      </c>
      <c r="K338" s="16">
        <v>263</v>
      </c>
      <c r="L338" s="16">
        <v>182</v>
      </c>
      <c r="M338" s="16">
        <f t="shared" si="5"/>
        <v>761</v>
      </c>
      <c r="N338" s="17">
        <v>2822</v>
      </c>
      <c r="O338" s="16">
        <v>82</v>
      </c>
      <c r="P338" s="16">
        <v>2</v>
      </c>
      <c r="Q338" s="16">
        <v>314</v>
      </c>
      <c r="R338" s="16">
        <v>500</v>
      </c>
      <c r="S338" s="16">
        <v>282</v>
      </c>
      <c r="T338" s="16">
        <v>700</v>
      </c>
      <c r="U338" s="16">
        <v>0</v>
      </c>
      <c r="V338" s="16">
        <v>220</v>
      </c>
      <c r="W338" s="16">
        <v>656</v>
      </c>
      <c r="X338" s="16">
        <v>66</v>
      </c>
    </row>
    <row r="339" spans="1:24">
      <c r="A339" s="19">
        <v>46112</v>
      </c>
      <c r="B339" s="18" t="s">
        <v>708</v>
      </c>
      <c r="C339" s="16">
        <v>135</v>
      </c>
      <c r="D339" s="16">
        <v>173</v>
      </c>
      <c r="E339" s="16">
        <v>154</v>
      </c>
      <c r="F339" s="16">
        <v>308</v>
      </c>
      <c r="G339" s="16">
        <v>212</v>
      </c>
      <c r="H339" s="16">
        <v>231</v>
      </c>
      <c r="I339" s="16">
        <v>173</v>
      </c>
      <c r="J339" s="16">
        <v>154</v>
      </c>
      <c r="K339" s="16">
        <v>250</v>
      </c>
      <c r="L339" s="16">
        <v>173</v>
      </c>
      <c r="M339" s="16">
        <f t="shared" si="5"/>
        <v>728</v>
      </c>
      <c r="N339" s="17">
        <v>2691</v>
      </c>
      <c r="O339" s="16">
        <v>82</v>
      </c>
      <c r="P339" s="16">
        <v>2</v>
      </c>
      <c r="Q339" s="16">
        <v>314</v>
      </c>
      <c r="R339" s="16">
        <v>500</v>
      </c>
      <c r="S339" s="16">
        <v>282</v>
      </c>
      <c r="T339" s="16">
        <v>618</v>
      </c>
      <c r="U339" s="16">
        <v>0</v>
      </c>
      <c r="V339" s="16">
        <v>210</v>
      </c>
      <c r="W339" s="16">
        <v>617</v>
      </c>
      <c r="X339" s="16">
        <v>66</v>
      </c>
    </row>
    <row r="340" spans="1:24">
      <c r="A340" s="19">
        <v>46113</v>
      </c>
      <c r="B340" s="18" t="s">
        <v>708</v>
      </c>
      <c r="C340" s="16">
        <v>145.9308540921397</v>
      </c>
      <c r="D340" s="16">
        <v>188.00621904770591</v>
      </c>
      <c r="E340" s="16">
        <v>194.1983532099182</v>
      </c>
      <c r="F340" s="16">
        <v>409.0908519769128</v>
      </c>
      <c r="G340" s="16">
        <v>247.11340992465864</v>
      </c>
      <c r="H340" s="16">
        <v>274.90403438313598</v>
      </c>
      <c r="I340" s="16">
        <v>190.05015569543261</v>
      </c>
      <c r="J340" s="16">
        <v>235.79682842247567</v>
      </c>
      <c r="K340" s="16">
        <v>372.01634749424539</v>
      </c>
      <c r="L340" s="16">
        <v>206.64294575337507</v>
      </c>
      <c r="M340" s="16">
        <f t="shared" si="5"/>
        <v>911.25</v>
      </c>
      <c r="N340" s="17">
        <v>3375</v>
      </c>
      <c r="O340" s="16">
        <v>135</v>
      </c>
      <c r="P340" s="16">
        <v>0</v>
      </c>
      <c r="Q340" s="16">
        <v>481</v>
      </c>
      <c r="R340" s="16">
        <v>520</v>
      </c>
      <c r="S340" s="16">
        <v>288</v>
      </c>
      <c r="T340" s="16">
        <v>692</v>
      </c>
      <c r="U340" s="16">
        <v>84</v>
      </c>
      <c r="V340" s="16">
        <v>300</v>
      </c>
      <c r="W340" s="16">
        <v>801</v>
      </c>
      <c r="X340" s="16">
        <v>74</v>
      </c>
    </row>
    <row r="341" spans="1:24">
      <c r="A341" s="19">
        <v>46114</v>
      </c>
      <c r="B341" s="18" t="s">
        <v>708</v>
      </c>
      <c r="C341" s="16">
        <v>146.3200030363854</v>
      </c>
      <c r="D341" s="16">
        <v>188.50756896516646</v>
      </c>
      <c r="E341" s="16">
        <v>194.71621548514466</v>
      </c>
      <c r="F341" s="16">
        <v>410.18176091551794</v>
      </c>
      <c r="G341" s="16">
        <v>247.77237901779108</v>
      </c>
      <c r="H341" s="16">
        <v>275.63711180815767</v>
      </c>
      <c r="I341" s="16">
        <v>190.55695611062043</v>
      </c>
      <c r="J341" s="16">
        <v>236.42561996493563</v>
      </c>
      <c r="K341" s="16">
        <v>373.00839108756344</v>
      </c>
      <c r="L341" s="16">
        <v>207.19399360871742</v>
      </c>
      <c r="M341" s="16">
        <f t="shared" si="5"/>
        <v>913.68000000000029</v>
      </c>
      <c r="N341" s="17">
        <v>3384</v>
      </c>
      <c r="O341" s="16">
        <v>135</v>
      </c>
      <c r="P341" s="16">
        <v>0</v>
      </c>
      <c r="Q341" s="16">
        <v>486</v>
      </c>
      <c r="R341" s="16">
        <v>520</v>
      </c>
      <c r="S341" s="16">
        <v>288</v>
      </c>
      <c r="T341" s="16">
        <v>693</v>
      </c>
      <c r="U341" s="16">
        <v>84</v>
      </c>
      <c r="V341" s="16">
        <v>306</v>
      </c>
      <c r="W341" s="16">
        <v>798</v>
      </c>
      <c r="X341" s="16">
        <v>74</v>
      </c>
    </row>
    <row r="342" spans="1:24">
      <c r="A342" s="19">
        <v>46115</v>
      </c>
      <c r="B342" s="18" t="s">
        <v>708</v>
      </c>
      <c r="C342" s="16">
        <v>146.19028672163685</v>
      </c>
      <c r="D342" s="16">
        <v>188.34045232601295</v>
      </c>
      <c r="E342" s="16">
        <v>194.54359472673585</v>
      </c>
      <c r="F342" s="16">
        <v>409.81812460264956</v>
      </c>
      <c r="G342" s="16">
        <v>247.55272265341361</v>
      </c>
      <c r="H342" s="16">
        <v>275.39275266648377</v>
      </c>
      <c r="I342" s="16">
        <v>190.38802263889116</v>
      </c>
      <c r="J342" s="16">
        <v>236.21602278411564</v>
      </c>
      <c r="K342" s="16">
        <v>372.67770988979072</v>
      </c>
      <c r="L342" s="16">
        <v>207.01031099026997</v>
      </c>
      <c r="M342" s="16">
        <f t="shared" si="5"/>
        <v>912.86999999999989</v>
      </c>
      <c r="N342" s="17">
        <v>3381</v>
      </c>
      <c r="O342" s="16">
        <v>135</v>
      </c>
      <c r="P342" s="16">
        <v>0</v>
      </c>
      <c r="Q342" s="16">
        <v>486</v>
      </c>
      <c r="R342" s="16">
        <v>520</v>
      </c>
      <c r="S342" s="16">
        <v>288</v>
      </c>
      <c r="T342" s="16">
        <v>693</v>
      </c>
      <c r="U342" s="16">
        <v>84</v>
      </c>
      <c r="V342" s="16">
        <v>306</v>
      </c>
      <c r="W342" s="16">
        <v>795</v>
      </c>
      <c r="X342" s="16">
        <v>74</v>
      </c>
    </row>
    <row r="343" spans="1:24">
      <c r="A343" s="19">
        <v>46116</v>
      </c>
      <c r="B343" s="18" t="s">
        <v>708</v>
      </c>
      <c r="C343" s="16">
        <v>156.95674084576802</v>
      </c>
      <c r="D343" s="16">
        <v>202.2111333757548</v>
      </c>
      <c r="E343" s="16">
        <v>208.87111767466757</v>
      </c>
      <c r="F343" s="16">
        <v>439.999938570724</v>
      </c>
      <c r="G343" s="16">
        <v>265.78420089674398</v>
      </c>
      <c r="H343" s="16">
        <v>295.67456142541738</v>
      </c>
      <c r="I343" s="16">
        <v>204.40950079242086</v>
      </c>
      <c r="J343" s="16">
        <v>253.61258879217385</v>
      </c>
      <c r="K343" s="16">
        <v>400.12424930492176</v>
      </c>
      <c r="L343" s="16">
        <v>222.25596832140789</v>
      </c>
      <c r="M343" s="16">
        <f t="shared" si="5"/>
        <v>980.09999999999945</v>
      </c>
      <c r="N343" s="17">
        <v>3630</v>
      </c>
      <c r="O343" s="16">
        <v>156</v>
      </c>
      <c r="P343" s="16">
        <v>2</v>
      </c>
      <c r="Q343" s="16">
        <v>558</v>
      </c>
      <c r="R343" s="16">
        <v>520</v>
      </c>
      <c r="S343" s="16">
        <v>331</v>
      </c>
      <c r="T343" s="16">
        <v>797</v>
      </c>
      <c r="U343" s="16">
        <v>97</v>
      </c>
      <c r="V343" s="16">
        <v>351</v>
      </c>
      <c r="W343" s="16">
        <v>818</v>
      </c>
      <c r="X343" s="16">
        <v>0</v>
      </c>
    </row>
    <row r="344" spans="1:24">
      <c r="A344" s="19">
        <v>46117</v>
      </c>
      <c r="B344" s="18" t="s">
        <v>708</v>
      </c>
      <c r="C344" s="16">
        <v>156.87026330260232</v>
      </c>
      <c r="D344" s="16">
        <v>202.09972228298579</v>
      </c>
      <c r="E344" s="16">
        <v>208.7560371690617</v>
      </c>
      <c r="F344" s="16">
        <v>439.75751436214506</v>
      </c>
      <c r="G344" s="16">
        <v>265.63776332049235</v>
      </c>
      <c r="H344" s="16">
        <v>295.5116553309681</v>
      </c>
      <c r="I344" s="16">
        <v>204.29687847793468</v>
      </c>
      <c r="J344" s="16">
        <v>253.47285733829386</v>
      </c>
      <c r="K344" s="16">
        <v>399.90379517307326</v>
      </c>
      <c r="L344" s="16">
        <v>222.13351324244292</v>
      </c>
      <c r="M344" s="16">
        <f t="shared" si="5"/>
        <v>979.5600000000004</v>
      </c>
      <c r="N344" s="17">
        <v>3628</v>
      </c>
      <c r="O344" s="16">
        <v>156</v>
      </c>
      <c r="P344" s="16">
        <v>2</v>
      </c>
      <c r="Q344" s="16">
        <v>558</v>
      </c>
      <c r="R344" s="16">
        <v>520</v>
      </c>
      <c r="S344" s="16">
        <v>331</v>
      </c>
      <c r="T344" s="16">
        <v>797</v>
      </c>
      <c r="U344" s="16">
        <v>97</v>
      </c>
      <c r="V344" s="16">
        <v>351</v>
      </c>
      <c r="W344" s="16">
        <v>816</v>
      </c>
      <c r="X344" s="16">
        <v>0</v>
      </c>
    </row>
    <row r="345" spans="1:24">
      <c r="A345" s="19">
        <v>46118</v>
      </c>
      <c r="B345" s="18" t="s">
        <v>708</v>
      </c>
      <c r="C345" s="16">
        <v>155.22718998245378</v>
      </c>
      <c r="D345" s="16">
        <v>199.98291152037456</v>
      </c>
      <c r="E345" s="16">
        <v>206.56950756255</v>
      </c>
      <c r="F345" s="16">
        <v>435.15145439914573</v>
      </c>
      <c r="G345" s="16">
        <v>262.85544937171096</v>
      </c>
      <c r="H345" s="16">
        <v>292.41643953643205</v>
      </c>
      <c r="I345" s="16">
        <v>202.15705450269718</v>
      </c>
      <c r="J345" s="16">
        <v>250.8179597145741</v>
      </c>
      <c r="K345" s="16">
        <v>395.71516666795287</v>
      </c>
      <c r="L345" s="16">
        <v>219.80686674210858</v>
      </c>
      <c r="M345" s="16">
        <f t="shared" si="5"/>
        <v>969.30000000000018</v>
      </c>
      <c r="N345" s="17">
        <v>3590</v>
      </c>
      <c r="O345" s="16">
        <v>156</v>
      </c>
      <c r="P345" s="16">
        <v>2</v>
      </c>
      <c r="Q345" s="16">
        <v>558</v>
      </c>
      <c r="R345" s="16">
        <v>520</v>
      </c>
      <c r="S345" s="16">
        <v>331</v>
      </c>
      <c r="T345" s="16">
        <v>797</v>
      </c>
      <c r="U345" s="16">
        <v>97</v>
      </c>
      <c r="V345" s="16">
        <v>351</v>
      </c>
      <c r="W345" s="16">
        <v>778</v>
      </c>
      <c r="X345" s="16">
        <v>0</v>
      </c>
    </row>
    <row r="346" spans="1:24">
      <c r="A346" s="19">
        <v>46119</v>
      </c>
      <c r="B346" s="18" t="s">
        <v>708</v>
      </c>
      <c r="C346" s="16">
        <v>144.63369094465401</v>
      </c>
      <c r="D346" s="16">
        <v>186.33505265617075</v>
      </c>
      <c r="E346" s="16">
        <v>192.47214562583002</v>
      </c>
      <c r="F346" s="16">
        <v>405.45448884822912</v>
      </c>
      <c r="G346" s="16">
        <v>244.9168462808839</v>
      </c>
      <c r="H346" s="16">
        <v>272.46044296639701</v>
      </c>
      <c r="I346" s="16">
        <v>188.36082097813986</v>
      </c>
      <c r="J346" s="16">
        <v>233.70085661427589</v>
      </c>
      <c r="K346" s="16">
        <v>368.70953551651877</v>
      </c>
      <c r="L346" s="16">
        <v>204.80611956890064</v>
      </c>
      <c r="M346" s="16">
        <f t="shared" si="5"/>
        <v>903.15000000000009</v>
      </c>
      <c r="N346" s="17">
        <v>3345</v>
      </c>
      <c r="O346" s="16">
        <v>135</v>
      </c>
      <c r="P346" s="16">
        <v>1</v>
      </c>
      <c r="Q346" s="16">
        <v>486</v>
      </c>
      <c r="R346" s="16">
        <v>520</v>
      </c>
      <c r="S346" s="16">
        <v>288</v>
      </c>
      <c r="T346" s="16">
        <v>693</v>
      </c>
      <c r="U346" s="16">
        <v>84</v>
      </c>
      <c r="V346" s="16">
        <v>306</v>
      </c>
      <c r="W346" s="16">
        <v>758</v>
      </c>
      <c r="X346" s="16">
        <v>74</v>
      </c>
    </row>
    <row r="347" spans="1:24">
      <c r="A347" s="19">
        <v>46120</v>
      </c>
      <c r="B347" s="18" t="s">
        <v>708</v>
      </c>
      <c r="C347" s="16">
        <v>116.44201187263175</v>
      </c>
      <c r="D347" s="16">
        <v>150.01503641347318</v>
      </c>
      <c r="E347" s="16">
        <v>154.95590079831396</v>
      </c>
      <c r="F347" s="16">
        <v>326.42419685150401</v>
      </c>
      <c r="G347" s="16">
        <v>197.17819642284613</v>
      </c>
      <c r="H347" s="16">
        <v>219.35305617593633</v>
      </c>
      <c r="I347" s="16">
        <v>151.64594645564443</v>
      </c>
      <c r="J347" s="16">
        <v>188.14840264940059</v>
      </c>
      <c r="K347" s="16">
        <v>296.84148853392674</v>
      </c>
      <c r="L347" s="16">
        <v>164.88576382632269</v>
      </c>
      <c r="M347" s="16">
        <f t="shared" si="5"/>
        <v>727.1099999999999</v>
      </c>
      <c r="N347" s="17">
        <v>2693</v>
      </c>
      <c r="O347" s="16">
        <v>135</v>
      </c>
      <c r="P347" s="16">
        <v>1</v>
      </c>
      <c r="Q347" s="16">
        <v>486</v>
      </c>
      <c r="R347" s="16">
        <v>520</v>
      </c>
      <c r="S347" s="16">
        <v>288</v>
      </c>
      <c r="T347" s="16">
        <v>100</v>
      </c>
      <c r="U347" s="16">
        <v>84</v>
      </c>
      <c r="V347" s="16">
        <v>306</v>
      </c>
      <c r="W347" s="16">
        <v>699</v>
      </c>
      <c r="X347" s="16">
        <v>74</v>
      </c>
    </row>
    <row r="348" spans="1:24">
      <c r="A348" s="19">
        <v>46121</v>
      </c>
      <c r="B348" s="18" t="s">
        <v>708</v>
      </c>
      <c r="C348" s="16">
        <v>143.55272165508259</v>
      </c>
      <c r="D348" s="16">
        <v>184.94241399655809</v>
      </c>
      <c r="E348" s="16">
        <v>191.03363930575657</v>
      </c>
      <c r="F348" s="16">
        <v>402.4241862409927</v>
      </c>
      <c r="G348" s="16">
        <v>243.08637657773829</v>
      </c>
      <c r="H348" s="16">
        <v>270.42411678578117</v>
      </c>
      <c r="I348" s="16">
        <v>186.95304204706258</v>
      </c>
      <c r="J348" s="16">
        <v>231.95421344077607</v>
      </c>
      <c r="K348" s="16">
        <v>365.95385886841325</v>
      </c>
      <c r="L348" s="16">
        <v>203.2754310818386</v>
      </c>
      <c r="M348" s="16">
        <f t="shared" si="5"/>
        <v>896.40000000000009</v>
      </c>
      <c r="N348" s="17">
        <v>3320</v>
      </c>
      <c r="O348" s="16">
        <v>135</v>
      </c>
      <c r="P348" s="16">
        <v>1</v>
      </c>
      <c r="Q348" s="16">
        <v>486</v>
      </c>
      <c r="R348" s="16">
        <v>520</v>
      </c>
      <c r="S348" s="16">
        <v>288</v>
      </c>
      <c r="T348" s="16">
        <v>693</v>
      </c>
      <c r="U348" s="16">
        <v>84</v>
      </c>
      <c r="V348" s="16">
        <v>306</v>
      </c>
      <c r="W348" s="16">
        <v>733</v>
      </c>
      <c r="X348" s="16">
        <v>74</v>
      </c>
    </row>
    <row r="349" spans="1:24">
      <c r="A349" s="19">
        <v>46122</v>
      </c>
      <c r="B349" s="18" t="s">
        <v>708</v>
      </c>
      <c r="C349" s="16">
        <v>143.89863182774545</v>
      </c>
      <c r="D349" s="16">
        <v>185.38805836763416</v>
      </c>
      <c r="E349" s="16">
        <v>191.49396132818006</v>
      </c>
      <c r="F349" s="16">
        <v>403.39388307530839</v>
      </c>
      <c r="G349" s="16">
        <v>243.67212688274489</v>
      </c>
      <c r="H349" s="16">
        <v>271.07574116357824</v>
      </c>
      <c r="I349" s="16">
        <v>187.40353130500733</v>
      </c>
      <c r="J349" s="16">
        <v>232.51313925629603</v>
      </c>
      <c r="K349" s="16">
        <v>366.83567539580702</v>
      </c>
      <c r="L349" s="16">
        <v>203.76525139769845</v>
      </c>
      <c r="M349" s="16">
        <f t="shared" si="5"/>
        <v>898.56</v>
      </c>
      <c r="N349" s="17">
        <v>3328</v>
      </c>
      <c r="O349" s="16">
        <v>135</v>
      </c>
      <c r="P349" s="16">
        <v>1</v>
      </c>
      <c r="Q349" s="16">
        <v>486</v>
      </c>
      <c r="R349" s="16">
        <v>520</v>
      </c>
      <c r="S349" s="16">
        <v>288</v>
      </c>
      <c r="T349" s="16">
        <v>693</v>
      </c>
      <c r="U349" s="16">
        <v>84</v>
      </c>
      <c r="V349" s="16">
        <v>306</v>
      </c>
      <c r="W349" s="16">
        <v>741</v>
      </c>
      <c r="X349" s="16">
        <v>74</v>
      </c>
    </row>
    <row r="350" spans="1:24">
      <c r="A350" s="19">
        <v>46123</v>
      </c>
      <c r="B350" s="18" t="s">
        <v>708</v>
      </c>
      <c r="C350" s="16">
        <v>158.29714276483656</v>
      </c>
      <c r="D350" s="16">
        <v>203.93800531367444</v>
      </c>
      <c r="E350" s="16">
        <v>210.65486551155865</v>
      </c>
      <c r="F350" s="16">
        <v>443.75751380369707</v>
      </c>
      <c r="G350" s="16">
        <v>268.05398332864451</v>
      </c>
      <c r="H350" s="16">
        <v>298.19960588938096</v>
      </c>
      <c r="I350" s="16">
        <v>206.15514666695665</v>
      </c>
      <c r="J350" s="16">
        <v>255.77842632731358</v>
      </c>
      <c r="K350" s="16">
        <v>403.54128834857255</v>
      </c>
      <c r="L350" s="16">
        <v>224.15402204536477</v>
      </c>
      <c r="M350" s="16">
        <f t="shared" si="5"/>
        <v>988.47000000000025</v>
      </c>
      <c r="N350" s="17">
        <v>3661</v>
      </c>
      <c r="O350" s="16">
        <v>156</v>
      </c>
      <c r="P350" s="16">
        <v>2</v>
      </c>
      <c r="Q350" s="16">
        <v>558</v>
      </c>
      <c r="R350" s="16">
        <v>600</v>
      </c>
      <c r="S350" s="16">
        <v>331</v>
      </c>
      <c r="T350" s="16">
        <v>797</v>
      </c>
      <c r="U350" s="16">
        <v>97</v>
      </c>
      <c r="V350" s="16">
        <v>351</v>
      </c>
      <c r="W350" s="16">
        <v>769</v>
      </c>
      <c r="X350" s="16">
        <v>0</v>
      </c>
    </row>
    <row r="351" spans="1:24">
      <c r="A351" s="19">
        <v>46124</v>
      </c>
      <c r="B351" s="18" t="s">
        <v>708</v>
      </c>
      <c r="C351" s="16">
        <v>158.772769252248</v>
      </c>
      <c r="D351" s="16">
        <v>204.55076632390401</v>
      </c>
      <c r="E351" s="16">
        <v>211.28780829239099</v>
      </c>
      <c r="F351" s="16">
        <v>445.09084695088109</v>
      </c>
      <c r="G351" s="16">
        <v>268.85938999802863</v>
      </c>
      <c r="H351" s="16">
        <v>299.09558940885194</v>
      </c>
      <c r="I351" s="16">
        <v>206.77456939663068</v>
      </c>
      <c r="J351" s="16">
        <v>256.54694932365351</v>
      </c>
      <c r="K351" s="16">
        <v>404.75378607373898</v>
      </c>
      <c r="L351" s="16">
        <v>224.82752497967209</v>
      </c>
      <c r="M351" s="16">
        <f t="shared" si="5"/>
        <v>991.44000000000051</v>
      </c>
      <c r="N351" s="17">
        <v>3672</v>
      </c>
      <c r="O351" s="16">
        <v>156</v>
      </c>
      <c r="P351" s="16">
        <v>2</v>
      </c>
      <c r="Q351" s="16">
        <v>558</v>
      </c>
      <c r="R351" s="16">
        <v>600</v>
      </c>
      <c r="S351" s="16">
        <v>331</v>
      </c>
      <c r="T351" s="16">
        <v>797</v>
      </c>
      <c r="U351" s="16">
        <v>97</v>
      </c>
      <c r="V351" s="16">
        <v>351</v>
      </c>
      <c r="W351" s="16">
        <v>780</v>
      </c>
      <c r="X351" s="16">
        <v>0</v>
      </c>
    </row>
    <row r="352" spans="1:24">
      <c r="A352" s="19">
        <v>46125</v>
      </c>
      <c r="B352" s="18" t="s">
        <v>708</v>
      </c>
      <c r="C352" s="16">
        <v>147.57392741228821</v>
      </c>
      <c r="D352" s="16">
        <v>190.12302981031709</v>
      </c>
      <c r="E352" s="16">
        <v>196.38488281642984</v>
      </c>
      <c r="F352" s="16">
        <v>413.69691193991207</v>
      </c>
      <c r="G352" s="16">
        <v>249.89572387343998</v>
      </c>
      <c r="H352" s="16">
        <v>277.99925017767202</v>
      </c>
      <c r="I352" s="16">
        <v>192.18997967067006</v>
      </c>
      <c r="J352" s="16">
        <v>238.45172604619538</v>
      </c>
      <c r="K352" s="16">
        <v>376.20497599936579</v>
      </c>
      <c r="L352" s="16">
        <v>208.96959225370938</v>
      </c>
      <c r="M352" s="16">
        <f t="shared" si="5"/>
        <v>921.51000000000022</v>
      </c>
      <c r="N352" s="17">
        <v>3413</v>
      </c>
      <c r="O352" s="16">
        <v>135</v>
      </c>
      <c r="P352" s="16">
        <v>1</v>
      </c>
      <c r="Q352" s="16">
        <v>486</v>
      </c>
      <c r="R352" s="16">
        <v>600</v>
      </c>
      <c r="S352" s="16">
        <v>288</v>
      </c>
      <c r="T352" s="16">
        <v>693</v>
      </c>
      <c r="U352" s="16">
        <v>84</v>
      </c>
      <c r="V352" s="16">
        <v>306</v>
      </c>
      <c r="W352" s="16">
        <v>746</v>
      </c>
      <c r="X352" s="16">
        <v>74</v>
      </c>
    </row>
    <row r="353" spans="1:24">
      <c r="A353" s="19">
        <v>46126</v>
      </c>
      <c r="B353" s="18" t="s">
        <v>708</v>
      </c>
      <c r="C353" s="16">
        <v>148.26574775761392</v>
      </c>
      <c r="D353" s="16">
        <v>191.01431855246921</v>
      </c>
      <c r="E353" s="16">
        <v>197.30552686127689</v>
      </c>
      <c r="F353" s="16">
        <v>415.63630560854341</v>
      </c>
      <c r="G353" s="16">
        <v>251.0672244834532</v>
      </c>
      <c r="H353" s="16">
        <v>279.30249893326618</v>
      </c>
      <c r="I353" s="16">
        <v>193.09095818655953</v>
      </c>
      <c r="J353" s="16">
        <v>239.56957767723529</v>
      </c>
      <c r="K353" s="16">
        <v>377.96860905415332</v>
      </c>
      <c r="L353" s="16">
        <v>209.9492328854291</v>
      </c>
      <c r="M353" s="16">
        <f t="shared" si="5"/>
        <v>925.82999999999993</v>
      </c>
      <c r="N353" s="17">
        <v>3429</v>
      </c>
      <c r="O353" s="16">
        <v>135</v>
      </c>
      <c r="P353" s="16">
        <v>1</v>
      </c>
      <c r="Q353" s="16">
        <v>486</v>
      </c>
      <c r="R353" s="16">
        <v>600</v>
      </c>
      <c r="S353" s="16">
        <v>288</v>
      </c>
      <c r="T353" s="16">
        <v>693</v>
      </c>
      <c r="U353" s="16">
        <v>84</v>
      </c>
      <c r="V353" s="16">
        <v>306</v>
      </c>
      <c r="W353" s="16">
        <v>762</v>
      </c>
      <c r="X353" s="16">
        <v>74</v>
      </c>
    </row>
    <row r="354" spans="1:24">
      <c r="A354" s="19">
        <v>46127</v>
      </c>
      <c r="B354" s="18" t="s">
        <v>708</v>
      </c>
      <c r="C354" s="16">
        <v>148.43870284394538</v>
      </c>
      <c r="D354" s="16">
        <v>191.23714073800724</v>
      </c>
      <c r="E354" s="16">
        <v>197.53568787248864</v>
      </c>
      <c r="F354" s="16">
        <v>416.12115402570123</v>
      </c>
      <c r="G354" s="16">
        <v>251.36009963595652</v>
      </c>
      <c r="H354" s="16">
        <v>279.62831112216469</v>
      </c>
      <c r="I354" s="16">
        <v>193.31620281553191</v>
      </c>
      <c r="J354" s="16">
        <v>239.84904058499527</v>
      </c>
      <c r="K354" s="16">
        <v>378.40951731785026</v>
      </c>
      <c r="L354" s="16">
        <v>210.19414304335902</v>
      </c>
      <c r="M354" s="16">
        <f t="shared" si="5"/>
        <v>926.90999999999985</v>
      </c>
      <c r="N354" s="17">
        <v>3433</v>
      </c>
      <c r="O354" s="16">
        <v>135</v>
      </c>
      <c r="P354" s="16">
        <v>1</v>
      </c>
      <c r="Q354" s="16">
        <v>486</v>
      </c>
      <c r="R354" s="16">
        <v>600</v>
      </c>
      <c r="S354" s="16">
        <v>288</v>
      </c>
      <c r="T354" s="16">
        <v>693</v>
      </c>
      <c r="U354" s="16">
        <v>84</v>
      </c>
      <c r="V354" s="16">
        <v>306</v>
      </c>
      <c r="W354" s="16">
        <v>766</v>
      </c>
      <c r="X354" s="16">
        <v>74</v>
      </c>
    </row>
    <row r="355" spans="1:24">
      <c r="A355" s="19">
        <v>46128</v>
      </c>
      <c r="B355" s="18" t="s">
        <v>708</v>
      </c>
      <c r="C355" s="16">
        <v>148.3089865291968</v>
      </c>
      <c r="D355" s="16">
        <v>191.07002409885371</v>
      </c>
      <c r="E355" s="16">
        <v>197.36306711407983</v>
      </c>
      <c r="F355" s="16">
        <v>415.75751771283285</v>
      </c>
      <c r="G355" s="16">
        <v>251.14044327157902</v>
      </c>
      <c r="H355" s="16">
        <v>279.38395198049079</v>
      </c>
      <c r="I355" s="16">
        <v>193.14726934380263</v>
      </c>
      <c r="J355" s="16">
        <v>239.6394434041753</v>
      </c>
      <c r="K355" s="16">
        <v>378.07883612007754</v>
      </c>
      <c r="L355" s="16">
        <v>210.01046042491157</v>
      </c>
      <c r="M355" s="16">
        <f t="shared" si="5"/>
        <v>926.09999999999945</v>
      </c>
      <c r="N355" s="17">
        <v>3430</v>
      </c>
      <c r="O355" s="16">
        <v>135</v>
      </c>
      <c r="P355" s="16">
        <v>1</v>
      </c>
      <c r="Q355" s="16">
        <v>486</v>
      </c>
      <c r="R355" s="16">
        <v>600</v>
      </c>
      <c r="S355" s="16">
        <v>288</v>
      </c>
      <c r="T355" s="16">
        <v>693</v>
      </c>
      <c r="U355" s="16">
        <v>84</v>
      </c>
      <c r="V355" s="16">
        <v>306</v>
      </c>
      <c r="W355" s="16">
        <v>763</v>
      </c>
      <c r="X355" s="16">
        <v>74</v>
      </c>
    </row>
    <row r="356" spans="1:24">
      <c r="A356" s="19">
        <v>46129</v>
      </c>
      <c r="B356" s="18" t="s">
        <v>708</v>
      </c>
      <c r="C356" s="16">
        <v>149.34671704718534</v>
      </c>
      <c r="D356" s="16">
        <v>192.40695721208183</v>
      </c>
      <c r="E356" s="16">
        <v>198.74403318135035</v>
      </c>
      <c r="F356" s="16">
        <v>418.66660821577983</v>
      </c>
      <c r="G356" s="16">
        <v>252.89769418659881</v>
      </c>
      <c r="H356" s="16">
        <v>281.33882511388197</v>
      </c>
      <c r="I356" s="16">
        <v>194.49873711763681</v>
      </c>
      <c r="J356" s="16">
        <v>241.31622085073511</v>
      </c>
      <c r="K356" s="16">
        <v>380.72428570225884</v>
      </c>
      <c r="L356" s="16">
        <v>211.47992137249113</v>
      </c>
      <c r="M356" s="16">
        <f t="shared" si="5"/>
        <v>932.57999999999993</v>
      </c>
      <c r="N356" s="17">
        <v>3454</v>
      </c>
      <c r="O356" s="16">
        <v>135</v>
      </c>
      <c r="P356" s="16">
        <v>1</v>
      </c>
      <c r="Q356" s="16">
        <v>486</v>
      </c>
      <c r="R356" s="16">
        <v>600</v>
      </c>
      <c r="S356" s="16">
        <v>288</v>
      </c>
      <c r="T356" s="16">
        <v>693</v>
      </c>
      <c r="U356" s="16">
        <v>84</v>
      </c>
      <c r="V356" s="16">
        <v>306</v>
      </c>
      <c r="W356" s="16">
        <v>787</v>
      </c>
      <c r="X356" s="16">
        <v>74</v>
      </c>
    </row>
    <row r="357" spans="1:24">
      <c r="A357" s="19">
        <v>46130</v>
      </c>
      <c r="B357" s="18" t="s">
        <v>708</v>
      </c>
      <c r="C357" s="16">
        <v>161.06442414613937</v>
      </c>
      <c r="D357" s="16">
        <v>207.50316028228281</v>
      </c>
      <c r="E357" s="16">
        <v>214.33744169094675</v>
      </c>
      <c r="F357" s="16">
        <v>451.51508847822225</v>
      </c>
      <c r="G357" s="16">
        <v>272.73998576869735</v>
      </c>
      <c r="H357" s="16">
        <v>303.41260091175747</v>
      </c>
      <c r="I357" s="16">
        <v>209.75906073051451</v>
      </c>
      <c r="J357" s="16">
        <v>260.24983285147317</v>
      </c>
      <c r="K357" s="16">
        <v>410.59582056772268</v>
      </c>
      <c r="L357" s="16">
        <v>228.07258457224361</v>
      </c>
      <c r="M357" s="16">
        <f t="shared" si="5"/>
        <v>1005.7500000000005</v>
      </c>
      <c r="N357" s="17">
        <v>3725</v>
      </c>
      <c r="O357" s="16">
        <v>156</v>
      </c>
      <c r="P357" s="16">
        <v>2</v>
      </c>
      <c r="Q357" s="16">
        <v>558</v>
      </c>
      <c r="R357" s="16">
        <v>600</v>
      </c>
      <c r="S357" s="16">
        <v>331</v>
      </c>
      <c r="T357" s="16">
        <v>797</v>
      </c>
      <c r="U357" s="16">
        <v>97</v>
      </c>
      <c r="V357" s="16">
        <v>351</v>
      </c>
      <c r="W357" s="16">
        <v>833</v>
      </c>
      <c r="X357" s="16">
        <v>0</v>
      </c>
    </row>
    <row r="358" spans="1:24">
      <c r="A358" s="19">
        <v>46131</v>
      </c>
      <c r="B358" s="18" t="s">
        <v>708</v>
      </c>
      <c r="C358" s="16">
        <v>161.3238567756365</v>
      </c>
      <c r="D358" s="16">
        <v>207.83739356058985</v>
      </c>
      <c r="E358" s="16">
        <v>214.6826832077644</v>
      </c>
      <c r="F358" s="16">
        <v>452.24236110395901</v>
      </c>
      <c r="G358" s="16">
        <v>273.17929849745229</v>
      </c>
      <c r="H358" s="16">
        <v>303.90131919510532</v>
      </c>
      <c r="I358" s="16">
        <v>210.09692767397306</v>
      </c>
      <c r="J358" s="16">
        <v>260.66902721311311</v>
      </c>
      <c r="K358" s="16">
        <v>411.25718296326806</v>
      </c>
      <c r="L358" s="16">
        <v>228.43994980913851</v>
      </c>
      <c r="M358" s="16">
        <f t="shared" si="5"/>
        <v>1007.3700000000003</v>
      </c>
      <c r="N358" s="17">
        <v>3731</v>
      </c>
      <c r="O358" s="16">
        <v>156</v>
      </c>
      <c r="P358" s="16">
        <v>2</v>
      </c>
      <c r="Q358" s="16">
        <v>558</v>
      </c>
      <c r="R358" s="16">
        <v>600</v>
      </c>
      <c r="S358" s="16">
        <v>331</v>
      </c>
      <c r="T358" s="16">
        <v>797</v>
      </c>
      <c r="U358" s="16">
        <v>97</v>
      </c>
      <c r="V358" s="16">
        <v>351</v>
      </c>
      <c r="W358" s="16">
        <v>839</v>
      </c>
      <c r="X358" s="16">
        <v>0</v>
      </c>
    </row>
    <row r="359" spans="1:24">
      <c r="A359" s="19">
        <v>46132</v>
      </c>
      <c r="B359" s="18" t="s">
        <v>708</v>
      </c>
      <c r="C359" s="16">
        <v>151.37893931157959</v>
      </c>
      <c r="D359" s="16">
        <v>195.02511789215359</v>
      </c>
      <c r="E359" s="16">
        <v>201.44842506308848</v>
      </c>
      <c r="F359" s="16">
        <v>424.36357711738424</v>
      </c>
      <c r="G359" s="16">
        <v>256.33897722851259</v>
      </c>
      <c r="H359" s="16">
        <v>285.1671183334397</v>
      </c>
      <c r="I359" s="16">
        <v>197.14536150806208</v>
      </c>
      <c r="J359" s="16">
        <v>244.59991001691478</v>
      </c>
      <c r="K359" s="16">
        <v>385.90495780069722</v>
      </c>
      <c r="L359" s="16">
        <v>214.35761572816776</v>
      </c>
      <c r="M359" s="16">
        <f t="shared" si="5"/>
        <v>945.27</v>
      </c>
      <c r="N359" s="17">
        <v>3501</v>
      </c>
      <c r="O359" s="16">
        <v>135</v>
      </c>
      <c r="P359" s="16">
        <v>1</v>
      </c>
      <c r="Q359" s="16">
        <v>486</v>
      </c>
      <c r="R359" s="16">
        <v>600</v>
      </c>
      <c r="S359" s="16">
        <v>288</v>
      </c>
      <c r="T359" s="16">
        <v>693</v>
      </c>
      <c r="U359" s="16">
        <v>84</v>
      </c>
      <c r="V359" s="16">
        <v>306</v>
      </c>
      <c r="W359" s="16">
        <v>834</v>
      </c>
      <c r="X359" s="16">
        <v>74</v>
      </c>
    </row>
    <row r="360" spans="1:24">
      <c r="A360" s="19">
        <v>46133</v>
      </c>
      <c r="B360" s="18" t="s">
        <v>708</v>
      </c>
      <c r="C360" s="16">
        <v>156.09196541411089</v>
      </c>
      <c r="D360" s="16">
        <v>201.09702244806468</v>
      </c>
      <c r="E360" s="16">
        <v>207.72031261860877</v>
      </c>
      <c r="F360" s="16">
        <v>437.57569648493484</v>
      </c>
      <c r="G360" s="16">
        <v>264.31982513422747</v>
      </c>
      <c r="H360" s="16">
        <v>294.04550048092466</v>
      </c>
      <c r="I360" s="16">
        <v>203.283277647559</v>
      </c>
      <c r="J360" s="16">
        <v>252.21527425337396</v>
      </c>
      <c r="K360" s="16">
        <v>397.91970798643729</v>
      </c>
      <c r="L360" s="16">
        <v>221.03141753175822</v>
      </c>
      <c r="M360" s="16">
        <f t="shared" si="5"/>
        <v>974.70000000000027</v>
      </c>
      <c r="N360" s="17">
        <v>3610</v>
      </c>
      <c r="O360" s="16">
        <v>135</v>
      </c>
      <c r="P360" s="16">
        <v>2</v>
      </c>
      <c r="Q360" s="16">
        <v>486</v>
      </c>
      <c r="R360" s="16">
        <v>683</v>
      </c>
      <c r="S360" s="16">
        <v>288</v>
      </c>
      <c r="T360" s="16">
        <v>693</v>
      </c>
      <c r="U360" s="16">
        <v>84</v>
      </c>
      <c r="V360" s="16">
        <v>306</v>
      </c>
      <c r="W360" s="16">
        <v>859</v>
      </c>
      <c r="X360" s="16">
        <v>74</v>
      </c>
    </row>
    <row r="361" spans="1:24">
      <c r="A361" s="19">
        <v>46134</v>
      </c>
      <c r="B361" s="18" t="s">
        <v>708</v>
      </c>
      <c r="C361" s="16">
        <v>157.95123259217374</v>
      </c>
      <c r="D361" s="16">
        <v>203.49236094259842</v>
      </c>
      <c r="E361" s="16">
        <v>210.19454348913516</v>
      </c>
      <c r="F361" s="16">
        <v>442.78781696938148</v>
      </c>
      <c r="G361" s="16">
        <v>267.46823302363794</v>
      </c>
      <c r="H361" s="16">
        <v>297.54798151158394</v>
      </c>
      <c r="I361" s="16">
        <v>205.70465740901196</v>
      </c>
      <c r="J361" s="16">
        <v>255.21950051179368</v>
      </c>
      <c r="K361" s="16">
        <v>402.65947182117878</v>
      </c>
      <c r="L361" s="16">
        <v>223.66420172950495</v>
      </c>
      <c r="M361" s="16">
        <f t="shared" si="5"/>
        <v>986.31</v>
      </c>
      <c r="N361" s="17">
        <v>3653</v>
      </c>
      <c r="O361" s="16">
        <v>135</v>
      </c>
      <c r="P361" s="16">
        <v>2</v>
      </c>
      <c r="Q361" s="16">
        <v>486</v>
      </c>
      <c r="R361" s="16">
        <v>683</v>
      </c>
      <c r="S361" s="16">
        <v>288</v>
      </c>
      <c r="T361" s="16">
        <v>693</v>
      </c>
      <c r="U361" s="16">
        <v>84</v>
      </c>
      <c r="V361" s="16">
        <v>306</v>
      </c>
      <c r="W361" s="16">
        <v>902</v>
      </c>
      <c r="X361" s="16">
        <v>74</v>
      </c>
    </row>
    <row r="362" spans="1:24">
      <c r="A362" s="19">
        <v>46135</v>
      </c>
      <c r="B362" s="18" t="s">
        <v>708</v>
      </c>
      <c r="C362" s="16">
        <v>158.64305293749942</v>
      </c>
      <c r="D362" s="16">
        <v>204.38364968475051</v>
      </c>
      <c r="E362" s="16">
        <v>211.11518753398218</v>
      </c>
      <c r="F362" s="16">
        <v>444.72721063801276</v>
      </c>
      <c r="G362" s="16">
        <v>268.63973363365113</v>
      </c>
      <c r="H362" s="16">
        <v>298.85123026717804</v>
      </c>
      <c r="I362" s="16">
        <v>206.60563592490141</v>
      </c>
      <c r="J362" s="16">
        <v>256.33735214283354</v>
      </c>
      <c r="K362" s="16">
        <v>404.42310487596632</v>
      </c>
      <c r="L362" s="16">
        <v>224.64384236122464</v>
      </c>
      <c r="M362" s="16">
        <f t="shared" si="5"/>
        <v>990.63000000000011</v>
      </c>
      <c r="N362" s="17">
        <v>3669</v>
      </c>
      <c r="O362" s="16">
        <v>135</v>
      </c>
      <c r="P362" s="16">
        <v>2</v>
      </c>
      <c r="Q362" s="16">
        <v>486</v>
      </c>
      <c r="R362" s="16">
        <v>683</v>
      </c>
      <c r="S362" s="16">
        <v>288</v>
      </c>
      <c r="T362" s="16">
        <v>693</v>
      </c>
      <c r="U362" s="16">
        <v>84</v>
      </c>
      <c r="V362" s="16">
        <v>306</v>
      </c>
      <c r="W362" s="16">
        <v>918</v>
      </c>
      <c r="X362" s="16">
        <v>74</v>
      </c>
    </row>
    <row r="363" spans="1:24">
      <c r="A363" s="19">
        <v>46136</v>
      </c>
      <c r="B363" s="18" t="s">
        <v>708</v>
      </c>
      <c r="C363" s="16">
        <v>159.29163451124225</v>
      </c>
      <c r="D363" s="16">
        <v>205.21923288051806</v>
      </c>
      <c r="E363" s="16">
        <v>211.97829132602624</v>
      </c>
      <c r="F363" s="16">
        <v>446.54539220235455</v>
      </c>
      <c r="G363" s="16">
        <v>269.73801545553846</v>
      </c>
      <c r="H363" s="16">
        <v>300.07302597554752</v>
      </c>
      <c r="I363" s="16">
        <v>207.45030328354775</v>
      </c>
      <c r="J363" s="16">
        <v>257.38533804693344</v>
      </c>
      <c r="K363" s="16">
        <v>406.07651086482963</v>
      </c>
      <c r="L363" s="16">
        <v>225.56225545346186</v>
      </c>
      <c r="M363" s="16">
        <f t="shared" si="5"/>
        <v>994.67999999999984</v>
      </c>
      <c r="N363" s="17">
        <v>3684</v>
      </c>
      <c r="O363" s="16">
        <v>135</v>
      </c>
      <c r="P363" s="16">
        <v>2</v>
      </c>
      <c r="Q363" s="16">
        <v>486</v>
      </c>
      <c r="R363" s="16">
        <v>683</v>
      </c>
      <c r="S363" s="16">
        <v>288</v>
      </c>
      <c r="T363" s="16">
        <v>693</v>
      </c>
      <c r="U363" s="16">
        <v>84</v>
      </c>
      <c r="V363" s="16">
        <v>306</v>
      </c>
      <c r="W363" s="16">
        <v>933</v>
      </c>
      <c r="X363" s="16">
        <v>74</v>
      </c>
    </row>
    <row r="364" spans="1:24">
      <c r="A364" s="19">
        <v>46137</v>
      </c>
      <c r="B364" s="18" t="s">
        <v>708</v>
      </c>
      <c r="C364" s="16">
        <v>174.1657719357448</v>
      </c>
      <c r="D364" s="16">
        <v>224.38194083678798</v>
      </c>
      <c r="E364" s="16">
        <v>231.77213829023719</v>
      </c>
      <c r="F364" s="16">
        <v>488.24235607792735</v>
      </c>
      <c r="G364" s="16">
        <v>294.92527857082223</v>
      </c>
      <c r="H364" s="16">
        <v>328.09287422082127</v>
      </c>
      <c r="I364" s="16">
        <v>226.82134137517113</v>
      </c>
      <c r="J364" s="16">
        <v>281.41914811429098</v>
      </c>
      <c r="K364" s="16">
        <v>443.99462154276165</v>
      </c>
      <c r="L364" s="16">
        <v>246.62452903543553</v>
      </c>
      <c r="M364" s="16">
        <f t="shared" si="5"/>
        <v>1087.56</v>
      </c>
      <c r="N364" s="17">
        <v>4028</v>
      </c>
      <c r="O364" s="16">
        <v>156</v>
      </c>
      <c r="P364" s="16">
        <v>2</v>
      </c>
      <c r="Q364" s="16">
        <v>558</v>
      </c>
      <c r="R364" s="16">
        <v>683</v>
      </c>
      <c r="S364" s="16">
        <v>331</v>
      </c>
      <c r="T364" s="16">
        <v>797</v>
      </c>
      <c r="U364" s="16">
        <v>97</v>
      </c>
      <c r="V364" s="16">
        <v>351</v>
      </c>
      <c r="W364" s="16">
        <v>1053</v>
      </c>
      <c r="X364" s="16">
        <v>0</v>
      </c>
    </row>
    <row r="365" spans="1:24">
      <c r="A365" s="19">
        <v>46138</v>
      </c>
      <c r="B365" s="18" t="s">
        <v>708</v>
      </c>
      <c r="C365" s="16">
        <v>166.81518076665927</v>
      </c>
      <c r="D365" s="16">
        <v>214.91199795142205</v>
      </c>
      <c r="E365" s="16">
        <v>221.99029531373762</v>
      </c>
      <c r="F365" s="16">
        <v>467.63629834871989</v>
      </c>
      <c r="G365" s="16">
        <v>282.47808458943206</v>
      </c>
      <c r="H365" s="16">
        <v>314.24585619263371</v>
      </c>
      <c r="I365" s="16">
        <v>217.24844464384563</v>
      </c>
      <c r="J365" s="16">
        <v>269.54197453449223</v>
      </c>
      <c r="K365" s="16">
        <v>425.25602033564411</v>
      </c>
      <c r="L365" s="16">
        <v>236.21584732341367</v>
      </c>
      <c r="M365" s="16">
        <f t="shared" si="5"/>
        <v>1041.6599999999999</v>
      </c>
      <c r="N365" s="17">
        <v>3858</v>
      </c>
      <c r="O365" s="16">
        <v>156</v>
      </c>
      <c r="P365" s="16">
        <v>2</v>
      </c>
      <c r="Q365" s="16">
        <v>558</v>
      </c>
      <c r="R365" s="16">
        <v>683</v>
      </c>
      <c r="S365" s="16">
        <v>331</v>
      </c>
      <c r="T365" s="16">
        <v>797</v>
      </c>
      <c r="U365" s="16">
        <v>97</v>
      </c>
      <c r="V365" s="16">
        <v>351</v>
      </c>
      <c r="W365" s="16">
        <v>883</v>
      </c>
      <c r="X365" s="16">
        <v>0</v>
      </c>
    </row>
    <row r="366" spans="1:24">
      <c r="A366" s="19">
        <v>46139</v>
      </c>
      <c r="B366" s="18" t="s">
        <v>708</v>
      </c>
      <c r="C366" s="16">
        <v>169.97161109220775</v>
      </c>
      <c r="D366" s="16">
        <v>218.97850283749094</v>
      </c>
      <c r="E366" s="16">
        <v>226.19073376835212</v>
      </c>
      <c r="F366" s="16">
        <v>476.48478196185016</v>
      </c>
      <c r="G366" s="16">
        <v>287.82305612261723</v>
      </c>
      <c r="H366" s="16">
        <v>320.1919286400319</v>
      </c>
      <c r="I366" s="16">
        <v>221.35915912259128</v>
      </c>
      <c r="J366" s="16">
        <v>274.64217260111167</v>
      </c>
      <c r="K366" s="16">
        <v>433.30259614811223</v>
      </c>
      <c r="L366" s="16">
        <v>240.6854577056348</v>
      </c>
      <c r="M366" s="16">
        <f t="shared" si="5"/>
        <v>1061.3700000000003</v>
      </c>
      <c r="N366" s="17">
        <v>3931</v>
      </c>
      <c r="O366" s="16">
        <v>135</v>
      </c>
      <c r="P366" s="16">
        <v>2</v>
      </c>
      <c r="Q366" s="16">
        <v>486</v>
      </c>
      <c r="R366" s="16">
        <v>683</v>
      </c>
      <c r="S366" s="16">
        <v>288</v>
      </c>
      <c r="T366" s="16">
        <v>993</v>
      </c>
      <c r="U366" s="16">
        <v>84</v>
      </c>
      <c r="V366" s="16">
        <v>306</v>
      </c>
      <c r="W366" s="16">
        <v>880</v>
      </c>
      <c r="X366" s="16">
        <v>74</v>
      </c>
    </row>
    <row r="367" spans="1:24">
      <c r="A367" s="19">
        <v>46140</v>
      </c>
      <c r="B367" s="18" t="s">
        <v>708</v>
      </c>
      <c r="C367" s="16">
        <v>170.53371512278488</v>
      </c>
      <c r="D367" s="16">
        <v>219.70267494048949</v>
      </c>
      <c r="E367" s="16">
        <v>226.93875705479033</v>
      </c>
      <c r="F367" s="16">
        <v>478.06053931761306</v>
      </c>
      <c r="G367" s="16">
        <v>288.77490036825293</v>
      </c>
      <c r="H367" s="16">
        <v>321.2508182539521</v>
      </c>
      <c r="I367" s="16">
        <v>222.09120416675145</v>
      </c>
      <c r="J367" s="16">
        <v>275.55042705133155</v>
      </c>
      <c r="K367" s="16">
        <v>434.73554800512704</v>
      </c>
      <c r="L367" s="16">
        <v>241.48141571890704</v>
      </c>
      <c r="M367" s="16">
        <f t="shared" si="5"/>
        <v>1064.8800000000001</v>
      </c>
      <c r="N367" s="17">
        <v>3944</v>
      </c>
      <c r="O367" s="16">
        <v>135</v>
      </c>
      <c r="P367" s="16">
        <v>2</v>
      </c>
      <c r="Q367" s="16">
        <v>486</v>
      </c>
      <c r="R367" s="16">
        <v>683</v>
      </c>
      <c r="S367" s="16">
        <v>288</v>
      </c>
      <c r="T367" s="16">
        <v>986</v>
      </c>
      <c r="U367" s="16">
        <v>84</v>
      </c>
      <c r="V367" s="16">
        <v>306</v>
      </c>
      <c r="W367" s="16">
        <v>900</v>
      </c>
      <c r="X367" s="16">
        <v>74</v>
      </c>
    </row>
    <row r="368" spans="1:24">
      <c r="A368" s="19">
        <v>46141</v>
      </c>
      <c r="B368" s="18" t="s">
        <v>708</v>
      </c>
      <c r="C368" s="16">
        <v>157.73503873425943</v>
      </c>
      <c r="D368" s="16">
        <v>203.21383321067589</v>
      </c>
      <c r="E368" s="16">
        <v>209.90684222512047</v>
      </c>
      <c r="F368" s="16">
        <v>442.18175644793416</v>
      </c>
      <c r="G368" s="16">
        <v>267.10213908300881</v>
      </c>
      <c r="H368" s="16">
        <v>297.14071627546076</v>
      </c>
      <c r="I368" s="16">
        <v>205.42310162279648</v>
      </c>
      <c r="J368" s="16">
        <v>254.8701718770937</v>
      </c>
      <c r="K368" s="16">
        <v>402.10833649155768</v>
      </c>
      <c r="L368" s="16">
        <v>223.35806403209253</v>
      </c>
      <c r="M368" s="16">
        <f t="shared" si="5"/>
        <v>984.96</v>
      </c>
      <c r="N368" s="17">
        <v>3648</v>
      </c>
      <c r="O368" s="16">
        <v>135</v>
      </c>
      <c r="P368" s="16">
        <v>2</v>
      </c>
      <c r="Q368" s="16">
        <v>486</v>
      </c>
      <c r="R368" s="16">
        <v>683</v>
      </c>
      <c r="S368" s="16">
        <v>288</v>
      </c>
      <c r="T368" s="16">
        <v>693</v>
      </c>
      <c r="U368" s="16">
        <v>84</v>
      </c>
      <c r="V368" s="16">
        <v>306</v>
      </c>
      <c r="W368" s="16">
        <v>897</v>
      </c>
      <c r="X368" s="16">
        <v>74</v>
      </c>
    </row>
    <row r="369" spans="1:24">
      <c r="A369" s="19">
        <v>46142</v>
      </c>
      <c r="B369" s="18" t="s">
        <v>708</v>
      </c>
      <c r="C369" s="16">
        <v>160.02669362815081</v>
      </c>
      <c r="D369" s="16">
        <v>206.16622716905468</v>
      </c>
      <c r="E369" s="16">
        <v>212.95647562367623</v>
      </c>
      <c r="F369" s="16">
        <v>448.60599797527533</v>
      </c>
      <c r="G369" s="16">
        <v>270.98273485367753</v>
      </c>
      <c r="H369" s="16">
        <v>301.45772777836629</v>
      </c>
      <c r="I369" s="16">
        <v>208.40759295668033</v>
      </c>
      <c r="J369" s="16">
        <v>258.5730554049133</v>
      </c>
      <c r="K369" s="16">
        <v>407.95037098554138</v>
      </c>
      <c r="L369" s="16">
        <v>226.60312362466405</v>
      </c>
      <c r="M369" s="16">
        <f t="shared" si="5"/>
        <v>999.27000000000044</v>
      </c>
      <c r="N369" s="17">
        <v>3701</v>
      </c>
      <c r="O369" s="16">
        <v>143</v>
      </c>
      <c r="P369" s="16">
        <v>2</v>
      </c>
      <c r="Q369" s="16">
        <v>486</v>
      </c>
      <c r="R369" s="16">
        <v>685</v>
      </c>
      <c r="S369" s="16">
        <v>295</v>
      </c>
      <c r="T369" s="16">
        <v>693</v>
      </c>
      <c r="U369" s="16">
        <v>89</v>
      </c>
      <c r="V369" s="16">
        <v>306</v>
      </c>
      <c r="W369" s="16">
        <v>919</v>
      </c>
      <c r="X369" s="16">
        <v>83</v>
      </c>
    </row>
    <row r="370" spans="1:24">
      <c r="A370" s="19">
        <v>46143</v>
      </c>
      <c r="B370" s="18" t="s">
        <v>708</v>
      </c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>
        <f t="shared" si="5"/>
        <v>0</v>
      </c>
      <c r="N370" s="17"/>
      <c r="O370" s="16"/>
      <c r="P370" s="16"/>
      <c r="Q370" s="16"/>
      <c r="R370" s="16"/>
      <c r="S370" s="16"/>
      <c r="T370" s="16"/>
      <c r="U370" s="16"/>
      <c r="V370" s="16"/>
      <c r="W370" s="16"/>
      <c r="X370" s="16"/>
    </row>
    <row r="371" spans="1:24">
      <c r="A371" s="19">
        <v>46144</v>
      </c>
      <c r="B371" s="18" t="s">
        <v>708</v>
      </c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>
        <f t="shared" si="5"/>
        <v>0</v>
      </c>
      <c r="N371" s="17"/>
      <c r="O371" s="16"/>
      <c r="P371" s="16"/>
      <c r="Q371" s="16"/>
      <c r="R371" s="16"/>
      <c r="S371" s="16"/>
      <c r="T371" s="16"/>
      <c r="U371" s="16"/>
      <c r="V371" s="16"/>
      <c r="W371" s="16"/>
      <c r="X371" s="16"/>
    </row>
    <row r="372" spans="1:24">
      <c r="A372" s="19">
        <v>46145</v>
      </c>
      <c r="B372" s="18" t="s">
        <v>708</v>
      </c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>
        <f t="shared" si="5"/>
        <v>0</v>
      </c>
      <c r="N372" s="17"/>
      <c r="O372" s="16"/>
      <c r="P372" s="16"/>
      <c r="Q372" s="16"/>
      <c r="R372" s="16"/>
      <c r="S372" s="16"/>
      <c r="T372" s="16"/>
      <c r="U372" s="16"/>
      <c r="V372" s="16"/>
      <c r="W372" s="16"/>
      <c r="X372" s="16"/>
    </row>
    <row r="373" spans="1:24">
      <c r="A373" s="19">
        <v>46146</v>
      </c>
      <c r="B373" s="18" t="s">
        <v>708</v>
      </c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>
        <f t="shared" si="5"/>
        <v>0</v>
      </c>
      <c r="N373" s="17"/>
      <c r="O373" s="16"/>
      <c r="P373" s="16"/>
      <c r="Q373" s="16"/>
      <c r="R373" s="16"/>
      <c r="S373" s="16"/>
      <c r="T373" s="16"/>
      <c r="U373" s="16"/>
      <c r="V373" s="16"/>
      <c r="W373" s="16"/>
      <c r="X373" s="16"/>
    </row>
    <row r="374" spans="1:24">
      <c r="A374" s="19">
        <v>46147</v>
      </c>
      <c r="B374" s="18" t="s">
        <v>708</v>
      </c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>
        <f t="shared" si="5"/>
        <v>0</v>
      </c>
      <c r="N374" s="17"/>
      <c r="O374" s="16"/>
      <c r="P374" s="16"/>
      <c r="Q374" s="16"/>
      <c r="R374" s="16"/>
      <c r="S374" s="16"/>
      <c r="T374" s="16"/>
      <c r="U374" s="16"/>
      <c r="V374" s="16"/>
      <c r="W374" s="16"/>
      <c r="X374" s="16"/>
    </row>
    <row r="375" spans="1:24">
      <c r="A375" s="19">
        <v>46148</v>
      </c>
      <c r="B375" s="18" t="s">
        <v>708</v>
      </c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>
        <f t="shared" si="5"/>
        <v>0</v>
      </c>
      <c r="N375" s="17"/>
      <c r="O375" s="16"/>
      <c r="P375" s="16"/>
      <c r="Q375" s="16"/>
      <c r="R375" s="16"/>
      <c r="S375" s="16"/>
      <c r="T375" s="16"/>
      <c r="U375" s="16"/>
      <c r="V375" s="16"/>
      <c r="W375" s="16"/>
      <c r="X375" s="16"/>
    </row>
    <row r="376" spans="1:24">
      <c r="A376" s="19">
        <v>46149</v>
      </c>
      <c r="B376" s="18" t="s">
        <v>708</v>
      </c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>
        <f t="shared" si="5"/>
        <v>0</v>
      </c>
      <c r="N376" s="17"/>
      <c r="O376" s="16"/>
      <c r="P376" s="16"/>
      <c r="Q376" s="16"/>
      <c r="R376" s="16"/>
      <c r="S376" s="16"/>
      <c r="T376" s="16"/>
      <c r="U376" s="16"/>
      <c r="V376" s="16"/>
      <c r="W376" s="16"/>
      <c r="X376" s="16"/>
    </row>
    <row r="377" spans="1:24">
      <c r="A377" s="19">
        <v>46150</v>
      </c>
      <c r="B377" s="18" t="s">
        <v>708</v>
      </c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>
        <f t="shared" si="5"/>
        <v>0</v>
      </c>
      <c r="N377" s="17"/>
      <c r="O377" s="16"/>
      <c r="P377" s="16"/>
      <c r="Q377" s="16"/>
      <c r="R377" s="16"/>
      <c r="S377" s="16"/>
      <c r="T377" s="16"/>
      <c r="U377" s="16"/>
      <c r="V377" s="16"/>
      <c r="W377" s="16"/>
      <c r="X377" s="16"/>
    </row>
    <row r="378" spans="1:24">
      <c r="A378" s="19">
        <v>46151</v>
      </c>
      <c r="B378" s="18" t="s">
        <v>708</v>
      </c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>
        <f t="shared" si="5"/>
        <v>0</v>
      </c>
      <c r="N378" s="17"/>
      <c r="O378" s="16"/>
      <c r="P378" s="16"/>
      <c r="Q378" s="16"/>
      <c r="R378" s="16"/>
      <c r="S378" s="16"/>
      <c r="T378" s="16"/>
      <c r="U378" s="16"/>
      <c r="V378" s="16"/>
      <c r="W378" s="16"/>
      <c r="X378" s="16"/>
    </row>
    <row r="379" spans="1:24">
      <c r="A379" s="19">
        <v>46152</v>
      </c>
      <c r="B379" s="18" t="s">
        <v>708</v>
      </c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>
        <f t="shared" si="5"/>
        <v>0</v>
      </c>
      <c r="N379" s="17"/>
      <c r="O379" s="16"/>
      <c r="P379" s="16"/>
      <c r="Q379" s="16"/>
      <c r="R379" s="16"/>
      <c r="S379" s="16"/>
      <c r="T379" s="16"/>
      <c r="U379" s="16"/>
      <c r="V379" s="16"/>
      <c r="W379" s="16"/>
      <c r="X379" s="16"/>
    </row>
    <row r="380" spans="1:24">
      <c r="A380" s="19">
        <v>46153</v>
      </c>
      <c r="B380" s="18" t="s">
        <v>708</v>
      </c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>
        <f t="shared" si="5"/>
        <v>0</v>
      </c>
      <c r="N380" s="17"/>
      <c r="O380" s="16"/>
      <c r="P380" s="16"/>
      <c r="Q380" s="16"/>
      <c r="R380" s="16"/>
      <c r="S380" s="16"/>
      <c r="T380" s="16"/>
      <c r="U380" s="16"/>
      <c r="V380" s="16"/>
      <c r="W380" s="16"/>
      <c r="X380" s="16"/>
    </row>
    <row r="381" spans="1:24">
      <c r="A381" s="19">
        <v>46154</v>
      </c>
      <c r="B381" s="18" t="s">
        <v>708</v>
      </c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>
        <f t="shared" si="5"/>
        <v>0</v>
      </c>
      <c r="N381" s="17"/>
      <c r="O381" s="16"/>
      <c r="P381" s="16"/>
      <c r="Q381" s="16"/>
      <c r="R381" s="16"/>
      <c r="S381" s="16"/>
      <c r="T381" s="16"/>
      <c r="U381" s="16"/>
      <c r="V381" s="16"/>
      <c r="W381" s="16"/>
      <c r="X381" s="16"/>
    </row>
    <row r="382" spans="1:24">
      <c r="A382" s="19">
        <v>46155</v>
      </c>
      <c r="B382" s="18" t="s">
        <v>708</v>
      </c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>
        <f t="shared" si="5"/>
        <v>0</v>
      </c>
      <c r="N382" s="17"/>
      <c r="O382" s="16"/>
      <c r="P382" s="16"/>
      <c r="Q382" s="16"/>
      <c r="R382" s="16"/>
      <c r="S382" s="16"/>
      <c r="T382" s="16"/>
      <c r="U382" s="16"/>
      <c r="V382" s="16"/>
      <c r="W382" s="16"/>
      <c r="X382" s="16"/>
    </row>
    <row r="383" spans="1:24">
      <c r="A383" s="19">
        <v>46156</v>
      </c>
      <c r="B383" s="18" t="s">
        <v>708</v>
      </c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>
        <f t="shared" si="5"/>
        <v>0</v>
      </c>
      <c r="N383" s="17"/>
      <c r="O383" s="16"/>
      <c r="P383" s="16"/>
      <c r="Q383" s="16"/>
      <c r="R383" s="16"/>
      <c r="S383" s="16"/>
      <c r="T383" s="16"/>
      <c r="U383" s="16"/>
      <c r="V383" s="16"/>
      <c r="W383" s="16"/>
      <c r="X383" s="16"/>
    </row>
    <row r="384" spans="1:24">
      <c r="A384" s="19">
        <v>46157</v>
      </c>
      <c r="B384" s="18" t="s">
        <v>708</v>
      </c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>
        <f t="shared" si="5"/>
        <v>0</v>
      </c>
      <c r="N384" s="17"/>
      <c r="O384" s="16"/>
      <c r="P384" s="16"/>
      <c r="Q384" s="16"/>
      <c r="R384" s="16"/>
      <c r="S384" s="16"/>
      <c r="T384" s="16"/>
      <c r="U384" s="16"/>
      <c r="V384" s="16"/>
      <c r="W384" s="16"/>
      <c r="X384" s="16"/>
    </row>
    <row r="385" spans="1:24">
      <c r="A385" s="19">
        <v>46158</v>
      </c>
      <c r="B385" s="18" t="s">
        <v>708</v>
      </c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>
        <f t="shared" si="5"/>
        <v>0</v>
      </c>
      <c r="N385" s="17"/>
      <c r="O385" s="16"/>
      <c r="P385" s="16"/>
      <c r="Q385" s="16"/>
      <c r="R385" s="16"/>
      <c r="S385" s="16"/>
      <c r="T385" s="16"/>
      <c r="U385" s="16"/>
      <c r="V385" s="16"/>
      <c r="W385" s="16"/>
      <c r="X385" s="16"/>
    </row>
    <row r="386" spans="1:24">
      <c r="A386" s="19">
        <v>46159</v>
      </c>
      <c r="B386" s="18" t="s">
        <v>708</v>
      </c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>
        <f t="shared" si="5"/>
        <v>0</v>
      </c>
      <c r="N386" s="17"/>
      <c r="O386" s="16"/>
      <c r="P386" s="16"/>
      <c r="Q386" s="16"/>
      <c r="R386" s="16"/>
      <c r="S386" s="16"/>
      <c r="T386" s="16"/>
      <c r="U386" s="16"/>
      <c r="V386" s="16"/>
      <c r="W386" s="16"/>
      <c r="X386" s="16"/>
    </row>
    <row r="387" spans="1:24">
      <c r="A387" s="19">
        <v>46160</v>
      </c>
      <c r="B387" s="18" t="s">
        <v>708</v>
      </c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>
        <f t="shared" ref="M387:M450" si="6">N387-SUM(C387:L387)</f>
        <v>0</v>
      </c>
      <c r="N387" s="17"/>
      <c r="O387" s="16"/>
      <c r="P387" s="16"/>
      <c r="Q387" s="16"/>
      <c r="R387" s="16"/>
      <c r="S387" s="16"/>
      <c r="T387" s="16"/>
      <c r="U387" s="16"/>
      <c r="V387" s="16"/>
      <c r="W387" s="16"/>
      <c r="X387" s="16"/>
    </row>
    <row r="388" spans="1:24">
      <c r="A388" s="19">
        <v>46161</v>
      </c>
      <c r="B388" s="18" t="s">
        <v>708</v>
      </c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>
        <f t="shared" si="6"/>
        <v>0</v>
      </c>
      <c r="N388" s="17"/>
      <c r="O388" s="16"/>
      <c r="P388" s="16"/>
      <c r="Q388" s="16"/>
      <c r="R388" s="16"/>
      <c r="S388" s="16"/>
      <c r="T388" s="16"/>
      <c r="U388" s="16"/>
      <c r="V388" s="16"/>
      <c r="W388" s="16"/>
      <c r="X388" s="16"/>
    </row>
    <row r="389" spans="1:24">
      <c r="A389" s="19">
        <v>46162</v>
      </c>
      <c r="B389" s="18" t="s">
        <v>708</v>
      </c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>
        <f t="shared" si="6"/>
        <v>0</v>
      </c>
      <c r="N389" s="17"/>
      <c r="O389" s="16"/>
      <c r="P389" s="16"/>
      <c r="Q389" s="16"/>
      <c r="R389" s="16"/>
      <c r="S389" s="16"/>
      <c r="T389" s="16"/>
      <c r="U389" s="16"/>
      <c r="V389" s="16"/>
      <c r="W389" s="16"/>
      <c r="X389" s="16"/>
    </row>
    <row r="390" spans="1:24">
      <c r="A390" s="19">
        <v>46163</v>
      </c>
      <c r="B390" s="18" t="s">
        <v>708</v>
      </c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>
        <f t="shared" si="6"/>
        <v>0</v>
      </c>
      <c r="N390" s="17"/>
      <c r="O390" s="16"/>
      <c r="P390" s="16"/>
      <c r="Q390" s="16"/>
      <c r="R390" s="16"/>
      <c r="S390" s="16"/>
      <c r="T390" s="16"/>
      <c r="U390" s="16"/>
      <c r="V390" s="16"/>
      <c r="W390" s="16"/>
      <c r="X390" s="16"/>
    </row>
    <row r="391" spans="1:24">
      <c r="A391" s="19">
        <v>46164</v>
      </c>
      <c r="B391" s="18" t="s">
        <v>708</v>
      </c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>
        <f t="shared" si="6"/>
        <v>0</v>
      </c>
      <c r="N391" s="17"/>
      <c r="O391" s="16"/>
      <c r="P391" s="16"/>
      <c r="Q391" s="16"/>
      <c r="R391" s="16"/>
      <c r="S391" s="16"/>
      <c r="T391" s="16"/>
      <c r="U391" s="16"/>
      <c r="V391" s="16"/>
      <c r="W391" s="16"/>
      <c r="X391" s="16"/>
    </row>
    <row r="392" spans="1:24">
      <c r="A392" s="19">
        <v>46165</v>
      </c>
      <c r="B392" s="18" t="s">
        <v>708</v>
      </c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>
        <f t="shared" si="6"/>
        <v>0</v>
      </c>
      <c r="N392" s="17"/>
      <c r="O392" s="16"/>
      <c r="P392" s="16"/>
      <c r="Q392" s="16"/>
      <c r="R392" s="16"/>
      <c r="S392" s="16"/>
      <c r="T392" s="16"/>
      <c r="U392" s="16"/>
      <c r="V392" s="16"/>
      <c r="W392" s="16"/>
      <c r="X392" s="16"/>
    </row>
    <row r="393" spans="1:24">
      <c r="A393" s="19">
        <v>46166</v>
      </c>
      <c r="B393" s="18" t="s">
        <v>708</v>
      </c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>
        <f t="shared" si="6"/>
        <v>0</v>
      </c>
      <c r="N393" s="17"/>
      <c r="O393" s="16"/>
      <c r="P393" s="16"/>
      <c r="Q393" s="16"/>
      <c r="R393" s="16"/>
      <c r="S393" s="16"/>
      <c r="T393" s="16"/>
      <c r="U393" s="16"/>
      <c r="V393" s="16"/>
      <c r="W393" s="16"/>
      <c r="X393" s="16"/>
    </row>
    <row r="394" spans="1:24">
      <c r="A394" s="19">
        <v>46167</v>
      </c>
      <c r="B394" s="18" t="s">
        <v>708</v>
      </c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>
        <f t="shared" si="6"/>
        <v>0</v>
      </c>
      <c r="N394" s="17"/>
      <c r="O394" s="16"/>
      <c r="P394" s="16"/>
      <c r="Q394" s="16"/>
      <c r="R394" s="16"/>
      <c r="S394" s="16"/>
      <c r="T394" s="16"/>
      <c r="U394" s="16"/>
      <c r="V394" s="16"/>
      <c r="W394" s="16"/>
      <c r="X394" s="16"/>
    </row>
    <row r="395" spans="1:24">
      <c r="A395" s="19">
        <v>46168</v>
      </c>
      <c r="B395" s="18" t="s">
        <v>708</v>
      </c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>
        <f t="shared" si="6"/>
        <v>0</v>
      </c>
      <c r="N395" s="17"/>
      <c r="O395" s="16"/>
      <c r="P395" s="16"/>
      <c r="Q395" s="16"/>
      <c r="R395" s="16"/>
      <c r="S395" s="16"/>
      <c r="T395" s="16"/>
      <c r="U395" s="16"/>
      <c r="V395" s="16"/>
      <c r="W395" s="16"/>
      <c r="X395" s="16"/>
    </row>
    <row r="396" spans="1:24">
      <c r="A396" s="19">
        <v>46169</v>
      </c>
      <c r="B396" s="18" t="s">
        <v>708</v>
      </c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>
        <f t="shared" si="6"/>
        <v>0</v>
      </c>
      <c r="N396" s="17"/>
      <c r="O396" s="16"/>
      <c r="P396" s="16"/>
      <c r="Q396" s="16"/>
      <c r="R396" s="16"/>
      <c r="S396" s="16"/>
      <c r="T396" s="16"/>
      <c r="U396" s="16"/>
      <c r="V396" s="16"/>
      <c r="W396" s="16"/>
      <c r="X396" s="16"/>
    </row>
    <row r="397" spans="1:24">
      <c r="A397" s="19">
        <v>46170</v>
      </c>
      <c r="B397" s="18" t="s">
        <v>708</v>
      </c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>
        <f t="shared" si="6"/>
        <v>0</v>
      </c>
      <c r="N397" s="17"/>
      <c r="O397" s="16"/>
      <c r="P397" s="16"/>
      <c r="Q397" s="16"/>
      <c r="R397" s="16"/>
      <c r="S397" s="16"/>
      <c r="T397" s="16"/>
      <c r="U397" s="16"/>
      <c r="V397" s="16"/>
      <c r="W397" s="16"/>
      <c r="X397" s="16"/>
    </row>
    <row r="398" spans="1:24">
      <c r="A398" s="19">
        <v>46171</v>
      </c>
      <c r="B398" s="18" t="s">
        <v>708</v>
      </c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>
        <f t="shared" si="6"/>
        <v>0</v>
      </c>
      <c r="N398" s="17"/>
      <c r="O398" s="16"/>
      <c r="P398" s="16"/>
      <c r="Q398" s="16"/>
      <c r="R398" s="16"/>
      <c r="S398" s="16"/>
      <c r="T398" s="16"/>
      <c r="U398" s="16"/>
      <c r="V398" s="16"/>
      <c r="W398" s="16"/>
      <c r="X398" s="16"/>
    </row>
    <row r="399" spans="1:24">
      <c r="A399" s="19">
        <v>46172</v>
      </c>
      <c r="B399" s="18" t="s">
        <v>708</v>
      </c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>
        <f t="shared" si="6"/>
        <v>0</v>
      </c>
      <c r="N399" s="17"/>
      <c r="O399" s="16"/>
      <c r="P399" s="16"/>
      <c r="Q399" s="16"/>
      <c r="R399" s="16"/>
      <c r="S399" s="16"/>
      <c r="T399" s="16"/>
      <c r="U399" s="16"/>
      <c r="V399" s="16"/>
      <c r="W399" s="16"/>
      <c r="X399" s="16"/>
    </row>
    <row r="400" spans="1:24">
      <c r="A400" s="19">
        <v>46173</v>
      </c>
      <c r="B400" s="18" t="s">
        <v>708</v>
      </c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>
        <f t="shared" si="6"/>
        <v>0</v>
      </c>
      <c r="N400" s="17"/>
      <c r="O400" s="16"/>
      <c r="P400" s="16"/>
      <c r="Q400" s="16"/>
      <c r="R400" s="16"/>
      <c r="S400" s="16"/>
      <c r="T400" s="16"/>
      <c r="U400" s="16"/>
      <c r="V400" s="16"/>
      <c r="W400" s="16"/>
      <c r="X400" s="16"/>
    </row>
    <row r="401" spans="1:24">
      <c r="A401" s="19">
        <v>46174</v>
      </c>
      <c r="B401" s="18" t="s">
        <v>708</v>
      </c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>
        <f t="shared" si="6"/>
        <v>0</v>
      </c>
      <c r="N401" s="17"/>
      <c r="O401" s="16"/>
      <c r="P401" s="16"/>
      <c r="Q401" s="16"/>
      <c r="R401" s="16"/>
      <c r="S401" s="16"/>
      <c r="T401" s="16"/>
      <c r="U401" s="16"/>
      <c r="V401" s="16"/>
      <c r="W401" s="16"/>
      <c r="X401" s="16"/>
    </row>
    <row r="402" spans="1:24">
      <c r="A402" s="19">
        <v>46175</v>
      </c>
      <c r="B402" s="18" t="s">
        <v>708</v>
      </c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>
        <f t="shared" si="6"/>
        <v>0</v>
      </c>
      <c r="N402" s="17"/>
      <c r="O402" s="16"/>
      <c r="P402" s="16"/>
      <c r="Q402" s="16"/>
      <c r="R402" s="16"/>
      <c r="S402" s="16"/>
      <c r="T402" s="16"/>
      <c r="U402" s="16"/>
      <c r="V402" s="16"/>
      <c r="W402" s="16"/>
      <c r="X402" s="16"/>
    </row>
    <row r="403" spans="1:24">
      <c r="A403" s="19">
        <v>46176</v>
      </c>
      <c r="B403" s="18" t="s">
        <v>708</v>
      </c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>
        <f t="shared" si="6"/>
        <v>0</v>
      </c>
      <c r="N403" s="17"/>
      <c r="O403" s="16"/>
      <c r="P403" s="16"/>
      <c r="Q403" s="16"/>
      <c r="R403" s="16"/>
      <c r="S403" s="16"/>
      <c r="T403" s="16"/>
      <c r="U403" s="16"/>
      <c r="V403" s="16"/>
      <c r="W403" s="16"/>
      <c r="X403" s="16"/>
    </row>
    <row r="404" spans="1:24">
      <c r="A404" s="19">
        <v>46177</v>
      </c>
      <c r="B404" s="18" t="s">
        <v>708</v>
      </c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>
        <f t="shared" si="6"/>
        <v>0</v>
      </c>
      <c r="N404" s="17"/>
      <c r="O404" s="16"/>
      <c r="P404" s="16"/>
      <c r="Q404" s="16"/>
      <c r="R404" s="16"/>
      <c r="S404" s="16"/>
      <c r="T404" s="16"/>
      <c r="U404" s="16"/>
      <c r="V404" s="16"/>
      <c r="W404" s="16"/>
      <c r="X404" s="16"/>
    </row>
    <row r="405" spans="1:24">
      <c r="A405" s="19">
        <v>46178</v>
      </c>
      <c r="B405" s="18" t="s">
        <v>708</v>
      </c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>
        <f t="shared" si="6"/>
        <v>0</v>
      </c>
      <c r="N405" s="17"/>
      <c r="O405" s="16"/>
      <c r="P405" s="16"/>
      <c r="Q405" s="16"/>
      <c r="R405" s="16"/>
      <c r="S405" s="16"/>
      <c r="T405" s="16"/>
      <c r="U405" s="16"/>
      <c r="V405" s="16"/>
      <c r="W405" s="16"/>
      <c r="X405" s="16"/>
    </row>
    <row r="406" spans="1:24">
      <c r="A406" s="19">
        <v>46179</v>
      </c>
      <c r="B406" s="18" t="s">
        <v>708</v>
      </c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>
        <f t="shared" si="6"/>
        <v>0</v>
      </c>
      <c r="N406" s="17"/>
      <c r="O406" s="16"/>
      <c r="P406" s="16"/>
      <c r="Q406" s="16"/>
      <c r="R406" s="16"/>
      <c r="S406" s="16"/>
      <c r="T406" s="16"/>
      <c r="U406" s="16"/>
      <c r="V406" s="16"/>
      <c r="W406" s="16"/>
      <c r="X406" s="16"/>
    </row>
    <row r="407" spans="1:24">
      <c r="A407" s="19">
        <v>46180</v>
      </c>
      <c r="B407" s="18" t="s">
        <v>708</v>
      </c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>
        <f t="shared" si="6"/>
        <v>0</v>
      </c>
      <c r="N407" s="17"/>
      <c r="O407" s="16"/>
      <c r="P407" s="16"/>
      <c r="Q407" s="16"/>
      <c r="R407" s="16"/>
      <c r="S407" s="16"/>
      <c r="T407" s="16"/>
      <c r="U407" s="16"/>
      <c r="V407" s="16"/>
      <c r="W407" s="16"/>
      <c r="X407" s="16"/>
    </row>
    <row r="408" spans="1:24">
      <c r="A408" s="19">
        <v>46181</v>
      </c>
      <c r="B408" s="18" t="s">
        <v>708</v>
      </c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>
        <f t="shared" si="6"/>
        <v>0</v>
      </c>
      <c r="N408" s="17"/>
      <c r="O408" s="16"/>
      <c r="P408" s="16"/>
      <c r="Q408" s="16"/>
      <c r="R408" s="16"/>
      <c r="S408" s="16"/>
      <c r="T408" s="16"/>
      <c r="U408" s="16"/>
      <c r="V408" s="16"/>
      <c r="W408" s="16"/>
      <c r="X408" s="16"/>
    </row>
    <row r="409" spans="1:24">
      <c r="A409" s="19">
        <v>46182</v>
      </c>
      <c r="B409" s="18" t="s">
        <v>708</v>
      </c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>
        <f t="shared" si="6"/>
        <v>0</v>
      </c>
      <c r="N409" s="17"/>
      <c r="O409" s="16"/>
      <c r="P409" s="16"/>
      <c r="Q409" s="16"/>
      <c r="R409" s="16"/>
      <c r="S409" s="16"/>
      <c r="T409" s="16"/>
      <c r="U409" s="16"/>
      <c r="V409" s="16"/>
      <c r="W409" s="16"/>
      <c r="X409" s="16"/>
    </row>
    <row r="410" spans="1:24">
      <c r="A410" s="19">
        <v>46183</v>
      </c>
      <c r="B410" s="18" t="s">
        <v>708</v>
      </c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>
        <f t="shared" si="6"/>
        <v>0</v>
      </c>
      <c r="N410" s="17"/>
      <c r="O410" s="16"/>
      <c r="P410" s="16"/>
      <c r="Q410" s="16"/>
      <c r="R410" s="16"/>
      <c r="S410" s="16"/>
      <c r="T410" s="16"/>
      <c r="U410" s="16"/>
      <c r="V410" s="16"/>
      <c r="W410" s="16"/>
      <c r="X410" s="16"/>
    </row>
    <row r="411" spans="1:24">
      <c r="A411" s="19">
        <v>46184</v>
      </c>
      <c r="B411" s="18" t="s">
        <v>708</v>
      </c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>
        <f t="shared" si="6"/>
        <v>0</v>
      </c>
      <c r="N411" s="17"/>
      <c r="O411" s="16"/>
      <c r="P411" s="16"/>
      <c r="Q411" s="16"/>
      <c r="R411" s="16"/>
      <c r="S411" s="16"/>
      <c r="T411" s="16"/>
      <c r="U411" s="16"/>
      <c r="V411" s="16"/>
      <c r="W411" s="16"/>
      <c r="X411" s="16"/>
    </row>
    <row r="412" spans="1:24">
      <c r="A412" s="19">
        <v>46185</v>
      </c>
      <c r="B412" s="18" t="s">
        <v>708</v>
      </c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>
        <f t="shared" si="6"/>
        <v>0</v>
      </c>
      <c r="N412" s="17"/>
      <c r="O412" s="16"/>
      <c r="P412" s="16"/>
      <c r="Q412" s="16"/>
      <c r="R412" s="16"/>
      <c r="S412" s="16"/>
      <c r="T412" s="16"/>
      <c r="U412" s="16"/>
      <c r="V412" s="16"/>
      <c r="W412" s="16"/>
      <c r="X412" s="16"/>
    </row>
    <row r="413" spans="1:24">
      <c r="A413" s="19">
        <v>46186</v>
      </c>
      <c r="B413" s="18" t="s">
        <v>708</v>
      </c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>
        <f t="shared" si="6"/>
        <v>0</v>
      </c>
      <c r="N413" s="17"/>
      <c r="O413" s="16"/>
      <c r="P413" s="16"/>
      <c r="Q413" s="16"/>
      <c r="R413" s="16"/>
      <c r="S413" s="16"/>
      <c r="T413" s="16"/>
      <c r="U413" s="16"/>
      <c r="V413" s="16"/>
      <c r="W413" s="16"/>
      <c r="X413" s="16"/>
    </row>
    <row r="414" spans="1:24">
      <c r="A414" s="19">
        <v>46187</v>
      </c>
      <c r="B414" s="18" t="s">
        <v>708</v>
      </c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>
        <f t="shared" si="6"/>
        <v>0</v>
      </c>
      <c r="N414" s="17"/>
      <c r="O414" s="16"/>
      <c r="P414" s="16"/>
      <c r="Q414" s="16"/>
      <c r="R414" s="16"/>
      <c r="S414" s="16"/>
      <c r="T414" s="16"/>
      <c r="U414" s="16"/>
      <c r="V414" s="16"/>
      <c r="W414" s="16"/>
      <c r="X414" s="16"/>
    </row>
    <row r="415" spans="1:24">
      <c r="A415" s="19">
        <v>46188</v>
      </c>
      <c r="B415" s="18" t="s">
        <v>708</v>
      </c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>
        <f t="shared" si="6"/>
        <v>0</v>
      </c>
      <c r="N415" s="17"/>
      <c r="O415" s="16"/>
      <c r="P415" s="16"/>
      <c r="Q415" s="16"/>
      <c r="R415" s="16"/>
      <c r="S415" s="16"/>
      <c r="T415" s="16"/>
      <c r="U415" s="16"/>
      <c r="V415" s="16"/>
      <c r="W415" s="16"/>
      <c r="X415" s="16"/>
    </row>
    <row r="416" spans="1:24">
      <c r="A416" s="19">
        <v>46189</v>
      </c>
      <c r="B416" s="18" t="s">
        <v>708</v>
      </c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>
        <f t="shared" si="6"/>
        <v>0</v>
      </c>
      <c r="N416" s="17"/>
      <c r="O416" s="16"/>
      <c r="P416" s="16"/>
      <c r="Q416" s="16"/>
      <c r="R416" s="16"/>
      <c r="S416" s="16"/>
      <c r="T416" s="16"/>
      <c r="U416" s="16"/>
      <c r="V416" s="16"/>
      <c r="W416" s="16"/>
      <c r="X416" s="16"/>
    </row>
    <row r="417" spans="1:24">
      <c r="A417" s="19">
        <v>46190</v>
      </c>
      <c r="B417" s="18" t="s">
        <v>708</v>
      </c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>
        <f t="shared" si="6"/>
        <v>0</v>
      </c>
      <c r="N417" s="17"/>
      <c r="O417" s="16"/>
      <c r="P417" s="16"/>
      <c r="Q417" s="16"/>
      <c r="R417" s="16"/>
      <c r="S417" s="16"/>
      <c r="T417" s="16"/>
      <c r="U417" s="16"/>
      <c r="V417" s="16"/>
      <c r="W417" s="16"/>
      <c r="X417" s="16"/>
    </row>
    <row r="418" spans="1:24">
      <c r="A418" s="19">
        <v>46191</v>
      </c>
      <c r="B418" s="18" t="s">
        <v>708</v>
      </c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>
        <f t="shared" si="6"/>
        <v>0</v>
      </c>
      <c r="N418" s="17"/>
      <c r="O418" s="16"/>
      <c r="P418" s="16"/>
      <c r="Q418" s="16"/>
      <c r="R418" s="16"/>
      <c r="S418" s="16"/>
      <c r="T418" s="16"/>
      <c r="U418" s="16"/>
      <c r="V418" s="16"/>
      <c r="W418" s="16"/>
      <c r="X418" s="16"/>
    </row>
    <row r="419" spans="1:24">
      <c r="A419" s="19">
        <v>46192</v>
      </c>
      <c r="B419" s="18" t="s">
        <v>708</v>
      </c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>
        <f t="shared" si="6"/>
        <v>0</v>
      </c>
      <c r="N419" s="17"/>
      <c r="O419" s="16"/>
      <c r="P419" s="16"/>
      <c r="Q419" s="16"/>
      <c r="R419" s="16"/>
      <c r="S419" s="16"/>
      <c r="T419" s="16"/>
      <c r="U419" s="16"/>
      <c r="V419" s="16"/>
      <c r="W419" s="16"/>
      <c r="X419" s="16"/>
    </row>
    <row r="420" spans="1:24">
      <c r="A420" s="19">
        <v>46193</v>
      </c>
      <c r="B420" s="18" t="s">
        <v>708</v>
      </c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>
        <f t="shared" si="6"/>
        <v>0</v>
      </c>
      <c r="N420" s="17"/>
      <c r="O420" s="16"/>
      <c r="P420" s="16"/>
      <c r="Q420" s="16"/>
      <c r="R420" s="16"/>
      <c r="S420" s="16"/>
      <c r="T420" s="16"/>
      <c r="U420" s="16"/>
      <c r="V420" s="16"/>
      <c r="W420" s="16"/>
      <c r="X420" s="16"/>
    </row>
    <row r="421" spans="1:24">
      <c r="A421" s="19">
        <v>46194</v>
      </c>
      <c r="B421" s="18" t="s">
        <v>708</v>
      </c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>
        <f t="shared" si="6"/>
        <v>0</v>
      </c>
      <c r="N421" s="17"/>
      <c r="O421" s="16"/>
      <c r="P421" s="16"/>
      <c r="Q421" s="16"/>
      <c r="R421" s="16"/>
      <c r="S421" s="16"/>
      <c r="T421" s="16"/>
      <c r="U421" s="16"/>
      <c r="V421" s="16"/>
      <c r="W421" s="16"/>
      <c r="X421" s="16"/>
    </row>
    <row r="422" spans="1:24">
      <c r="A422" s="19">
        <v>46195</v>
      </c>
      <c r="B422" s="18" t="s">
        <v>708</v>
      </c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>
        <f t="shared" si="6"/>
        <v>0</v>
      </c>
      <c r="N422" s="17"/>
      <c r="O422" s="16"/>
      <c r="P422" s="16"/>
      <c r="Q422" s="16"/>
      <c r="R422" s="16"/>
      <c r="S422" s="16"/>
      <c r="T422" s="16"/>
      <c r="U422" s="16"/>
      <c r="V422" s="16"/>
      <c r="W422" s="16"/>
      <c r="X422" s="16"/>
    </row>
    <row r="423" spans="1:24">
      <c r="A423" s="19">
        <v>46196</v>
      </c>
      <c r="B423" s="18" t="s">
        <v>708</v>
      </c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>
        <f t="shared" si="6"/>
        <v>0</v>
      </c>
      <c r="N423" s="17"/>
      <c r="O423" s="16"/>
      <c r="P423" s="16"/>
      <c r="Q423" s="16"/>
      <c r="R423" s="16"/>
      <c r="S423" s="16"/>
      <c r="T423" s="16"/>
      <c r="U423" s="16"/>
      <c r="V423" s="16"/>
      <c r="W423" s="16"/>
      <c r="X423" s="16"/>
    </row>
    <row r="424" spans="1:24">
      <c r="A424" s="19">
        <v>46197</v>
      </c>
      <c r="B424" s="18" t="s">
        <v>708</v>
      </c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>
        <f t="shared" si="6"/>
        <v>0</v>
      </c>
      <c r="N424" s="17"/>
      <c r="O424" s="16"/>
      <c r="P424" s="16"/>
      <c r="Q424" s="16"/>
      <c r="R424" s="16"/>
      <c r="S424" s="16"/>
      <c r="T424" s="16"/>
      <c r="U424" s="16"/>
      <c r="V424" s="16"/>
      <c r="W424" s="16"/>
      <c r="X424" s="16"/>
    </row>
    <row r="425" spans="1:24">
      <c r="A425" s="19">
        <v>46198</v>
      </c>
      <c r="B425" s="18" t="s">
        <v>708</v>
      </c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>
        <f t="shared" si="6"/>
        <v>0</v>
      </c>
      <c r="N425" s="17"/>
      <c r="O425" s="16"/>
      <c r="P425" s="16"/>
      <c r="Q425" s="16"/>
      <c r="R425" s="16"/>
      <c r="S425" s="16"/>
      <c r="T425" s="16"/>
      <c r="U425" s="16"/>
      <c r="V425" s="16"/>
      <c r="W425" s="16"/>
      <c r="X425" s="16"/>
    </row>
    <row r="426" spans="1:24">
      <c r="A426" s="19">
        <v>46199</v>
      </c>
      <c r="B426" s="18" t="s">
        <v>708</v>
      </c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>
        <f t="shared" si="6"/>
        <v>0</v>
      </c>
      <c r="N426" s="17"/>
      <c r="O426" s="16"/>
      <c r="P426" s="16"/>
      <c r="Q426" s="16"/>
      <c r="R426" s="16"/>
      <c r="S426" s="16"/>
      <c r="T426" s="16"/>
      <c r="U426" s="16"/>
      <c r="V426" s="16"/>
      <c r="W426" s="16"/>
      <c r="X426" s="16"/>
    </row>
    <row r="427" spans="1:24">
      <c r="A427" s="19">
        <v>46200</v>
      </c>
      <c r="B427" s="18" t="s">
        <v>708</v>
      </c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>
        <f t="shared" si="6"/>
        <v>0</v>
      </c>
      <c r="N427" s="17"/>
      <c r="O427" s="16"/>
      <c r="P427" s="16"/>
      <c r="Q427" s="16"/>
      <c r="R427" s="16"/>
      <c r="S427" s="16"/>
      <c r="T427" s="16"/>
      <c r="U427" s="16"/>
      <c r="V427" s="16"/>
      <c r="W427" s="16"/>
      <c r="X427" s="16"/>
    </row>
    <row r="428" spans="1:24">
      <c r="A428" s="19">
        <v>46201</v>
      </c>
      <c r="B428" s="18" t="s">
        <v>708</v>
      </c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>
        <f t="shared" si="6"/>
        <v>0</v>
      </c>
      <c r="N428" s="17"/>
      <c r="O428" s="16"/>
      <c r="P428" s="16"/>
      <c r="Q428" s="16"/>
      <c r="R428" s="16"/>
      <c r="S428" s="16"/>
      <c r="T428" s="16"/>
      <c r="U428" s="16"/>
      <c r="V428" s="16"/>
      <c r="W428" s="16"/>
      <c r="X428" s="16"/>
    </row>
    <row r="429" spans="1:24">
      <c r="A429" s="19">
        <v>46202</v>
      </c>
      <c r="B429" s="18" t="s">
        <v>708</v>
      </c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>
        <f t="shared" si="6"/>
        <v>0</v>
      </c>
      <c r="N429" s="17"/>
      <c r="O429" s="16"/>
      <c r="P429" s="16"/>
      <c r="Q429" s="16"/>
      <c r="R429" s="16"/>
      <c r="S429" s="16"/>
      <c r="T429" s="16"/>
      <c r="U429" s="16"/>
      <c r="V429" s="16"/>
      <c r="W429" s="16"/>
      <c r="X429" s="16"/>
    </row>
    <row r="430" spans="1:24">
      <c r="A430" s="19">
        <v>46203</v>
      </c>
      <c r="B430" s="18" t="s">
        <v>708</v>
      </c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>
        <f t="shared" si="6"/>
        <v>0</v>
      </c>
      <c r="N430" s="17"/>
      <c r="O430" s="16"/>
      <c r="P430" s="16"/>
      <c r="Q430" s="16"/>
      <c r="R430" s="16"/>
      <c r="S430" s="16"/>
      <c r="T430" s="16"/>
      <c r="U430" s="16"/>
      <c r="V430" s="16"/>
      <c r="W430" s="16"/>
      <c r="X430" s="16"/>
    </row>
    <row r="431" spans="1:24">
      <c r="A431" s="19">
        <v>46204</v>
      </c>
      <c r="B431" s="18" t="s">
        <v>708</v>
      </c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>
        <f t="shared" si="6"/>
        <v>0</v>
      </c>
      <c r="N431" s="17"/>
      <c r="O431" s="16"/>
      <c r="P431" s="16"/>
      <c r="Q431" s="16"/>
      <c r="R431" s="16"/>
      <c r="S431" s="16"/>
      <c r="T431" s="16"/>
      <c r="U431" s="16"/>
      <c r="V431" s="16"/>
      <c r="W431" s="16"/>
      <c r="X431" s="16"/>
    </row>
    <row r="432" spans="1:24">
      <c r="A432" s="19">
        <v>46205</v>
      </c>
      <c r="B432" s="18" t="s">
        <v>708</v>
      </c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>
        <f t="shared" si="6"/>
        <v>0</v>
      </c>
      <c r="N432" s="17"/>
      <c r="O432" s="16"/>
      <c r="P432" s="16"/>
      <c r="Q432" s="16"/>
      <c r="R432" s="16"/>
      <c r="S432" s="16"/>
      <c r="T432" s="16"/>
      <c r="U432" s="16"/>
      <c r="V432" s="16"/>
      <c r="W432" s="16"/>
      <c r="X432" s="16"/>
    </row>
    <row r="433" spans="1:24">
      <c r="A433" s="19">
        <v>46206</v>
      </c>
      <c r="B433" s="18" t="s">
        <v>708</v>
      </c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>
        <f t="shared" si="6"/>
        <v>0</v>
      </c>
      <c r="N433" s="17"/>
      <c r="O433" s="16"/>
      <c r="P433" s="16"/>
      <c r="Q433" s="16"/>
      <c r="R433" s="16"/>
      <c r="S433" s="16"/>
      <c r="T433" s="16"/>
      <c r="U433" s="16"/>
      <c r="V433" s="16"/>
      <c r="W433" s="16"/>
      <c r="X433" s="16"/>
    </row>
    <row r="434" spans="1:24">
      <c r="A434" s="19">
        <v>46207</v>
      </c>
      <c r="B434" s="18" t="s">
        <v>708</v>
      </c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>
        <f t="shared" si="6"/>
        <v>0</v>
      </c>
      <c r="N434" s="17"/>
      <c r="O434" s="16"/>
      <c r="P434" s="16"/>
      <c r="Q434" s="16"/>
      <c r="R434" s="16"/>
      <c r="S434" s="16"/>
      <c r="T434" s="16"/>
      <c r="U434" s="16"/>
      <c r="V434" s="16"/>
      <c r="W434" s="16"/>
      <c r="X434" s="16"/>
    </row>
    <row r="435" spans="1:24">
      <c r="A435" s="19">
        <v>46208</v>
      </c>
      <c r="B435" s="18" t="s">
        <v>708</v>
      </c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>
        <f t="shared" si="6"/>
        <v>0</v>
      </c>
      <c r="N435" s="17"/>
      <c r="O435" s="16"/>
      <c r="P435" s="16"/>
      <c r="Q435" s="16"/>
      <c r="R435" s="16"/>
      <c r="S435" s="16"/>
      <c r="T435" s="16"/>
      <c r="U435" s="16"/>
      <c r="V435" s="16"/>
      <c r="W435" s="16"/>
      <c r="X435" s="16"/>
    </row>
    <row r="436" spans="1:24">
      <c r="A436" s="19">
        <v>46209</v>
      </c>
      <c r="B436" s="18" t="s">
        <v>708</v>
      </c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>
        <f t="shared" si="6"/>
        <v>0</v>
      </c>
      <c r="N436" s="17"/>
      <c r="O436" s="16"/>
      <c r="P436" s="16"/>
      <c r="Q436" s="16"/>
      <c r="R436" s="16"/>
      <c r="S436" s="16"/>
      <c r="T436" s="16"/>
      <c r="U436" s="16"/>
      <c r="V436" s="16"/>
      <c r="W436" s="16"/>
      <c r="X436" s="16"/>
    </row>
    <row r="437" spans="1:24">
      <c r="A437" s="19">
        <v>46210</v>
      </c>
      <c r="B437" s="18" t="s">
        <v>708</v>
      </c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>
        <f t="shared" si="6"/>
        <v>0</v>
      </c>
      <c r="N437" s="17"/>
      <c r="O437" s="16"/>
      <c r="P437" s="16"/>
      <c r="Q437" s="16"/>
      <c r="R437" s="16"/>
      <c r="S437" s="16"/>
      <c r="T437" s="16"/>
      <c r="U437" s="16"/>
      <c r="V437" s="16"/>
      <c r="W437" s="16"/>
      <c r="X437" s="16"/>
    </row>
    <row r="438" spans="1:24">
      <c r="A438" s="19">
        <v>46211</v>
      </c>
      <c r="B438" s="18" t="s">
        <v>708</v>
      </c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>
        <f t="shared" si="6"/>
        <v>0</v>
      </c>
      <c r="N438" s="17"/>
      <c r="O438" s="16"/>
      <c r="P438" s="16"/>
      <c r="Q438" s="16"/>
      <c r="R438" s="16"/>
      <c r="S438" s="16"/>
      <c r="T438" s="16"/>
      <c r="U438" s="16"/>
      <c r="V438" s="16"/>
      <c r="W438" s="16"/>
      <c r="X438" s="16"/>
    </row>
    <row r="439" spans="1:24">
      <c r="A439" s="19">
        <v>46212</v>
      </c>
      <c r="B439" s="18" t="s">
        <v>708</v>
      </c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>
        <f t="shared" si="6"/>
        <v>0</v>
      </c>
      <c r="N439" s="17"/>
      <c r="O439" s="16"/>
      <c r="P439" s="16"/>
      <c r="Q439" s="16"/>
      <c r="R439" s="16"/>
      <c r="S439" s="16"/>
      <c r="T439" s="16"/>
      <c r="U439" s="16"/>
      <c r="V439" s="16"/>
      <c r="W439" s="16"/>
      <c r="X439" s="16"/>
    </row>
    <row r="440" spans="1:24">
      <c r="A440" s="19">
        <v>46213</v>
      </c>
      <c r="B440" s="18" t="s">
        <v>708</v>
      </c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>
        <f t="shared" si="6"/>
        <v>0</v>
      </c>
      <c r="N440" s="17"/>
      <c r="O440" s="16"/>
      <c r="P440" s="16"/>
      <c r="Q440" s="16"/>
      <c r="R440" s="16"/>
      <c r="S440" s="16"/>
      <c r="T440" s="16"/>
      <c r="U440" s="16"/>
      <c r="V440" s="16"/>
      <c r="W440" s="16"/>
      <c r="X440" s="16"/>
    </row>
    <row r="441" spans="1:24">
      <c r="A441" s="19">
        <v>46214</v>
      </c>
      <c r="B441" s="18" t="s">
        <v>708</v>
      </c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>
        <f t="shared" si="6"/>
        <v>0</v>
      </c>
      <c r="N441" s="17"/>
      <c r="O441" s="16"/>
      <c r="P441" s="16"/>
      <c r="Q441" s="16"/>
      <c r="R441" s="16"/>
      <c r="S441" s="16"/>
      <c r="T441" s="16"/>
      <c r="U441" s="16"/>
      <c r="V441" s="16"/>
      <c r="W441" s="16"/>
      <c r="X441" s="16"/>
    </row>
    <row r="442" spans="1:24">
      <c r="A442" s="19">
        <v>46215</v>
      </c>
      <c r="B442" s="18" t="s">
        <v>708</v>
      </c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>
        <f t="shared" si="6"/>
        <v>0</v>
      </c>
      <c r="N442" s="17"/>
      <c r="O442" s="16"/>
      <c r="P442" s="16"/>
      <c r="Q442" s="16"/>
      <c r="R442" s="16"/>
      <c r="S442" s="16"/>
      <c r="T442" s="16"/>
      <c r="U442" s="16"/>
      <c r="V442" s="16"/>
      <c r="W442" s="16"/>
      <c r="X442" s="16"/>
    </row>
    <row r="443" spans="1:24">
      <c r="A443" s="19">
        <v>46216</v>
      </c>
      <c r="B443" s="18" t="s">
        <v>708</v>
      </c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>
        <f t="shared" si="6"/>
        <v>0</v>
      </c>
      <c r="N443" s="17"/>
      <c r="O443" s="16"/>
      <c r="P443" s="16"/>
      <c r="Q443" s="16"/>
      <c r="R443" s="16"/>
      <c r="S443" s="16"/>
      <c r="T443" s="16"/>
      <c r="U443" s="16"/>
      <c r="V443" s="16"/>
      <c r="W443" s="16"/>
      <c r="X443" s="16"/>
    </row>
    <row r="444" spans="1:24">
      <c r="A444" s="19">
        <v>46217</v>
      </c>
      <c r="B444" s="18" t="s">
        <v>708</v>
      </c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>
        <f t="shared" si="6"/>
        <v>0</v>
      </c>
      <c r="N444" s="17"/>
      <c r="O444" s="16"/>
      <c r="P444" s="16"/>
      <c r="Q444" s="16"/>
      <c r="R444" s="16"/>
      <c r="S444" s="16"/>
      <c r="T444" s="16"/>
      <c r="U444" s="16"/>
      <c r="V444" s="16"/>
      <c r="W444" s="16"/>
      <c r="X444" s="16"/>
    </row>
    <row r="445" spans="1:24">
      <c r="A445" s="19">
        <v>46218</v>
      </c>
      <c r="B445" s="18" t="s">
        <v>708</v>
      </c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>
        <f t="shared" si="6"/>
        <v>0</v>
      </c>
      <c r="N445" s="17"/>
      <c r="O445" s="16"/>
      <c r="P445" s="16"/>
      <c r="Q445" s="16"/>
      <c r="R445" s="16"/>
      <c r="S445" s="16"/>
      <c r="T445" s="16"/>
      <c r="U445" s="16"/>
      <c r="V445" s="16"/>
      <c r="W445" s="16"/>
      <c r="X445" s="16"/>
    </row>
    <row r="446" spans="1:24">
      <c r="A446" s="19">
        <v>46219</v>
      </c>
      <c r="B446" s="18" t="s">
        <v>708</v>
      </c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>
        <f t="shared" si="6"/>
        <v>0</v>
      </c>
      <c r="N446" s="17"/>
      <c r="O446" s="16"/>
      <c r="P446" s="16"/>
      <c r="Q446" s="16"/>
      <c r="R446" s="16"/>
      <c r="S446" s="16"/>
      <c r="T446" s="16"/>
      <c r="U446" s="16"/>
      <c r="V446" s="16"/>
      <c r="W446" s="16"/>
      <c r="X446" s="16"/>
    </row>
    <row r="447" spans="1:24">
      <c r="A447" s="19">
        <v>46220</v>
      </c>
      <c r="B447" s="18" t="s">
        <v>708</v>
      </c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>
        <f t="shared" si="6"/>
        <v>0</v>
      </c>
      <c r="N447" s="17"/>
      <c r="O447" s="16"/>
      <c r="P447" s="16"/>
      <c r="Q447" s="16"/>
      <c r="R447" s="16"/>
      <c r="S447" s="16"/>
      <c r="T447" s="16"/>
      <c r="U447" s="16"/>
      <c r="V447" s="16"/>
      <c r="W447" s="16"/>
      <c r="X447" s="16"/>
    </row>
    <row r="448" spans="1:24">
      <c r="A448" s="19">
        <v>46221</v>
      </c>
      <c r="B448" s="18" t="s">
        <v>708</v>
      </c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>
        <f t="shared" si="6"/>
        <v>0</v>
      </c>
      <c r="N448" s="17"/>
      <c r="O448" s="16"/>
      <c r="P448" s="16"/>
      <c r="Q448" s="16"/>
      <c r="R448" s="16"/>
      <c r="S448" s="16"/>
      <c r="T448" s="16"/>
      <c r="U448" s="16"/>
      <c r="V448" s="16"/>
      <c r="W448" s="16"/>
      <c r="X448" s="16"/>
    </row>
    <row r="449" spans="1:24">
      <c r="A449" s="19">
        <v>46222</v>
      </c>
      <c r="B449" s="18" t="s">
        <v>708</v>
      </c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>
        <f t="shared" si="6"/>
        <v>0</v>
      </c>
      <c r="N449" s="17"/>
      <c r="O449" s="16"/>
      <c r="P449" s="16"/>
      <c r="Q449" s="16"/>
      <c r="R449" s="16"/>
      <c r="S449" s="16"/>
      <c r="T449" s="16"/>
      <c r="U449" s="16"/>
      <c r="V449" s="16"/>
      <c r="W449" s="16"/>
      <c r="X449" s="16"/>
    </row>
    <row r="450" spans="1:24">
      <c r="A450" s="19">
        <v>46223</v>
      </c>
      <c r="B450" s="18" t="s">
        <v>708</v>
      </c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>
        <f t="shared" si="6"/>
        <v>0</v>
      </c>
      <c r="N450" s="17"/>
      <c r="O450" s="16"/>
      <c r="P450" s="16"/>
      <c r="Q450" s="16"/>
      <c r="R450" s="16"/>
      <c r="S450" s="16"/>
      <c r="T450" s="16"/>
      <c r="U450" s="16"/>
      <c r="V450" s="16"/>
      <c r="W450" s="16"/>
      <c r="X450" s="16"/>
    </row>
    <row r="451" spans="1:24">
      <c r="A451" s="19">
        <v>46224</v>
      </c>
      <c r="B451" s="18" t="s">
        <v>708</v>
      </c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>
        <f t="shared" ref="M451:M514" si="7">N451-SUM(C451:L451)</f>
        <v>0</v>
      </c>
      <c r="N451" s="17"/>
      <c r="O451" s="16"/>
      <c r="P451" s="16"/>
      <c r="Q451" s="16"/>
      <c r="R451" s="16"/>
      <c r="S451" s="16"/>
      <c r="T451" s="16"/>
      <c r="U451" s="16"/>
      <c r="V451" s="16"/>
      <c r="W451" s="16"/>
      <c r="X451" s="16"/>
    </row>
    <row r="452" spans="1:24">
      <c r="A452" s="19">
        <v>46225</v>
      </c>
      <c r="B452" s="18" t="s">
        <v>708</v>
      </c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>
        <f t="shared" si="7"/>
        <v>0</v>
      </c>
      <c r="N452" s="17"/>
      <c r="O452" s="16"/>
      <c r="P452" s="16"/>
      <c r="Q452" s="16"/>
      <c r="R452" s="16"/>
      <c r="S452" s="16"/>
      <c r="T452" s="16"/>
      <c r="U452" s="16"/>
      <c r="V452" s="16"/>
      <c r="W452" s="16"/>
      <c r="X452" s="16"/>
    </row>
    <row r="453" spans="1:24">
      <c r="A453" s="19">
        <v>46226</v>
      </c>
      <c r="B453" s="18" t="s">
        <v>708</v>
      </c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>
        <f t="shared" si="7"/>
        <v>0</v>
      </c>
      <c r="N453" s="17"/>
      <c r="O453" s="16"/>
      <c r="P453" s="16"/>
      <c r="Q453" s="16"/>
      <c r="R453" s="16"/>
      <c r="S453" s="16"/>
      <c r="T453" s="16"/>
      <c r="U453" s="16"/>
      <c r="V453" s="16"/>
      <c r="W453" s="16"/>
      <c r="X453" s="16"/>
    </row>
    <row r="454" spans="1:24">
      <c r="A454" s="19">
        <v>46227</v>
      </c>
      <c r="B454" s="18" t="s">
        <v>708</v>
      </c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>
        <f t="shared" si="7"/>
        <v>0</v>
      </c>
      <c r="N454" s="17"/>
      <c r="O454" s="16"/>
      <c r="P454" s="16"/>
      <c r="Q454" s="16"/>
      <c r="R454" s="16"/>
      <c r="S454" s="16"/>
      <c r="T454" s="16"/>
      <c r="U454" s="16"/>
      <c r="V454" s="16"/>
      <c r="W454" s="16"/>
      <c r="X454" s="16"/>
    </row>
    <row r="455" spans="1:24">
      <c r="A455" s="19">
        <v>46228</v>
      </c>
      <c r="B455" s="18" t="s">
        <v>708</v>
      </c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>
        <f t="shared" si="7"/>
        <v>0</v>
      </c>
      <c r="N455" s="17"/>
      <c r="O455" s="16"/>
      <c r="P455" s="16"/>
      <c r="Q455" s="16"/>
      <c r="R455" s="16"/>
      <c r="S455" s="16"/>
      <c r="T455" s="16"/>
      <c r="U455" s="16"/>
      <c r="V455" s="16"/>
      <c r="W455" s="16"/>
      <c r="X455" s="16"/>
    </row>
    <row r="456" spans="1:24">
      <c r="A456" s="19">
        <v>46229</v>
      </c>
      <c r="B456" s="18" t="s">
        <v>708</v>
      </c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>
        <f t="shared" si="7"/>
        <v>0</v>
      </c>
      <c r="N456" s="17"/>
      <c r="O456" s="16"/>
      <c r="P456" s="16"/>
      <c r="Q456" s="16"/>
      <c r="R456" s="16"/>
      <c r="S456" s="16"/>
      <c r="T456" s="16"/>
      <c r="U456" s="16"/>
      <c r="V456" s="16"/>
      <c r="W456" s="16"/>
      <c r="X456" s="16"/>
    </row>
    <row r="457" spans="1:24">
      <c r="A457" s="19">
        <v>46230</v>
      </c>
      <c r="B457" s="18" t="s">
        <v>708</v>
      </c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>
        <f t="shared" si="7"/>
        <v>0</v>
      </c>
      <c r="N457" s="17"/>
      <c r="O457" s="16"/>
      <c r="P457" s="16"/>
      <c r="Q457" s="16"/>
      <c r="R457" s="16"/>
      <c r="S457" s="16"/>
      <c r="T457" s="16"/>
      <c r="U457" s="16"/>
      <c r="V457" s="16"/>
      <c r="W457" s="16"/>
      <c r="X457" s="16"/>
    </row>
    <row r="458" spans="1:24">
      <c r="A458" s="19">
        <v>46231</v>
      </c>
      <c r="B458" s="18" t="s">
        <v>708</v>
      </c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>
        <f t="shared" si="7"/>
        <v>0</v>
      </c>
      <c r="N458" s="17"/>
      <c r="O458" s="16"/>
      <c r="P458" s="16"/>
      <c r="Q458" s="16"/>
      <c r="R458" s="16"/>
      <c r="S458" s="16"/>
      <c r="T458" s="16"/>
      <c r="U458" s="16"/>
      <c r="V458" s="16"/>
      <c r="W458" s="16"/>
      <c r="X458" s="16"/>
    </row>
    <row r="459" spans="1:24">
      <c r="A459" s="19">
        <v>46232</v>
      </c>
      <c r="B459" s="18" t="s">
        <v>708</v>
      </c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>
        <f t="shared" si="7"/>
        <v>0</v>
      </c>
      <c r="N459" s="17"/>
      <c r="O459" s="16"/>
      <c r="P459" s="16"/>
      <c r="Q459" s="16"/>
      <c r="R459" s="16"/>
      <c r="S459" s="16"/>
      <c r="T459" s="16"/>
      <c r="U459" s="16"/>
      <c r="V459" s="16"/>
      <c r="W459" s="16"/>
      <c r="X459" s="16"/>
    </row>
    <row r="460" spans="1:24">
      <c r="A460" s="19">
        <v>46233</v>
      </c>
      <c r="B460" s="18" t="s">
        <v>708</v>
      </c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>
        <f t="shared" si="7"/>
        <v>0</v>
      </c>
      <c r="N460" s="17"/>
      <c r="O460" s="16"/>
      <c r="P460" s="16"/>
      <c r="Q460" s="16"/>
      <c r="R460" s="16"/>
      <c r="S460" s="16"/>
      <c r="T460" s="16"/>
      <c r="U460" s="16"/>
      <c r="V460" s="16"/>
      <c r="W460" s="16"/>
      <c r="X460" s="16"/>
    </row>
    <row r="461" spans="1:24">
      <c r="A461" s="19">
        <v>46234</v>
      </c>
      <c r="B461" s="18" t="s">
        <v>708</v>
      </c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>
        <f t="shared" si="7"/>
        <v>0</v>
      </c>
      <c r="N461" s="17"/>
      <c r="O461" s="16"/>
      <c r="P461" s="16"/>
      <c r="Q461" s="16"/>
      <c r="R461" s="16"/>
      <c r="S461" s="16"/>
      <c r="T461" s="16"/>
      <c r="U461" s="16"/>
      <c r="V461" s="16"/>
      <c r="W461" s="16"/>
      <c r="X461" s="16"/>
    </row>
    <row r="462" spans="1:24">
      <c r="A462" s="19">
        <v>46235</v>
      </c>
      <c r="B462" s="18" t="s">
        <v>708</v>
      </c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>
        <f t="shared" si="7"/>
        <v>0</v>
      </c>
      <c r="N462" s="17"/>
      <c r="O462" s="16"/>
      <c r="P462" s="16"/>
      <c r="Q462" s="16"/>
      <c r="R462" s="16"/>
      <c r="S462" s="16"/>
      <c r="T462" s="16"/>
      <c r="U462" s="16"/>
      <c r="V462" s="16"/>
      <c r="W462" s="16"/>
      <c r="X462" s="16"/>
    </row>
    <row r="463" spans="1:24">
      <c r="A463" s="19">
        <v>46236</v>
      </c>
      <c r="B463" s="18" t="s">
        <v>708</v>
      </c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>
        <f t="shared" si="7"/>
        <v>0</v>
      </c>
      <c r="N463" s="17"/>
      <c r="O463" s="16"/>
      <c r="P463" s="16"/>
      <c r="Q463" s="16"/>
      <c r="R463" s="16"/>
      <c r="S463" s="16"/>
      <c r="T463" s="16"/>
      <c r="U463" s="16"/>
      <c r="V463" s="16"/>
      <c r="W463" s="16"/>
      <c r="X463" s="16"/>
    </row>
    <row r="464" spans="1:24">
      <c r="A464" s="19">
        <v>46237</v>
      </c>
      <c r="B464" s="18" t="s">
        <v>708</v>
      </c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>
        <f t="shared" si="7"/>
        <v>0</v>
      </c>
      <c r="N464" s="17"/>
      <c r="O464" s="16"/>
      <c r="P464" s="16"/>
      <c r="Q464" s="16"/>
      <c r="R464" s="16"/>
      <c r="S464" s="16"/>
      <c r="T464" s="16"/>
      <c r="U464" s="16"/>
      <c r="V464" s="16"/>
      <c r="W464" s="16"/>
      <c r="X464" s="16"/>
    </row>
    <row r="465" spans="1:24">
      <c r="A465" s="19">
        <v>46238</v>
      </c>
      <c r="B465" s="18" t="s">
        <v>708</v>
      </c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>
        <f t="shared" si="7"/>
        <v>0</v>
      </c>
      <c r="N465" s="17"/>
      <c r="O465" s="16"/>
      <c r="P465" s="16"/>
      <c r="Q465" s="16"/>
      <c r="R465" s="16"/>
      <c r="S465" s="16"/>
      <c r="T465" s="16"/>
      <c r="U465" s="16"/>
      <c r="V465" s="16"/>
      <c r="W465" s="16"/>
      <c r="X465" s="16"/>
    </row>
    <row r="466" spans="1:24">
      <c r="A466" s="19">
        <v>46239</v>
      </c>
      <c r="B466" s="18" t="s">
        <v>708</v>
      </c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>
        <f t="shared" si="7"/>
        <v>0</v>
      </c>
      <c r="N466" s="17"/>
      <c r="O466" s="16"/>
      <c r="P466" s="16"/>
      <c r="Q466" s="16"/>
      <c r="R466" s="16"/>
      <c r="S466" s="16"/>
      <c r="T466" s="16"/>
      <c r="U466" s="16"/>
      <c r="V466" s="16"/>
      <c r="W466" s="16"/>
      <c r="X466" s="16"/>
    </row>
    <row r="467" spans="1:24">
      <c r="A467" s="19">
        <v>46240</v>
      </c>
      <c r="B467" s="18" t="s">
        <v>708</v>
      </c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>
        <f t="shared" si="7"/>
        <v>0</v>
      </c>
      <c r="N467" s="17"/>
      <c r="O467" s="16"/>
      <c r="P467" s="16"/>
      <c r="Q467" s="16"/>
      <c r="R467" s="16"/>
      <c r="S467" s="16"/>
      <c r="T467" s="16"/>
      <c r="U467" s="16"/>
      <c r="V467" s="16"/>
      <c r="W467" s="16"/>
      <c r="X467" s="16"/>
    </row>
    <row r="468" spans="1:24">
      <c r="A468" s="19">
        <v>46241</v>
      </c>
      <c r="B468" s="18" t="s">
        <v>708</v>
      </c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>
        <f t="shared" si="7"/>
        <v>0</v>
      </c>
      <c r="N468" s="17"/>
      <c r="O468" s="16"/>
      <c r="P468" s="16"/>
      <c r="Q468" s="16"/>
      <c r="R468" s="16"/>
      <c r="S468" s="16"/>
      <c r="T468" s="16"/>
      <c r="U468" s="16"/>
      <c r="V468" s="16"/>
      <c r="W468" s="16"/>
      <c r="X468" s="16"/>
    </row>
    <row r="469" spans="1:24">
      <c r="A469" s="19">
        <v>46242</v>
      </c>
      <c r="B469" s="18" t="s">
        <v>708</v>
      </c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>
        <f t="shared" si="7"/>
        <v>0</v>
      </c>
      <c r="N469" s="17"/>
      <c r="O469" s="16"/>
      <c r="P469" s="16"/>
      <c r="Q469" s="16"/>
      <c r="R469" s="16"/>
      <c r="S469" s="16"/>
      <c r="T469" s="16"/>
      <c r="U469" s="16"/>
      <c r="V469" s="16"/>
      <c r="W469" s="16"/>
      <c r="X469" s="16"/>
    </row>
    <row r="470" spans="1:24">
      <c r="A470" s="19">
        <v>46243</v>
      </c>
      <c r="B470" s="18" t="s">
        <v>708</v>
      </c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>
        <f t="shared" si="7"/>
        <v>0</v>
      </c>
      <c r="N470" s="17"/>
      <c r="O470" s="16"/>
      <c r="P470" s="16"/>
      <c r="Q470" s="16"/>
      <c r="R470" s="16"/>
      <c r="S470" s="16"/>
      <c r="T470" s="16"/>
      <c r="U470" s="16"/>
      <c r="V470" s="16"/>
      <c r="W470" s="16"/>
      <c r="X470" s="16"/>
    </row>
    <row r="471" spans="1:24">
      <c r="A471" s="19">
        <v>46244</v>
      </c>
      <c r="B471" s="18" t="s">
        <v>708</v>
      </c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>
        <f t="shared" si="7"/>
        <v>0</v>
      </c>
      <c r="N471" s="17"/>
      <c r="O471" s="16"/>
      <c r="P471" s="16"/>
      <c r="Q471" s="16"/>
      <c r="R471" s="16"/>
      <c r="S471" s="16"/>
      <c r="T471" s="16"/>
      <c r="U471" s="16"/>
      <c r="V471" s="16"/>
      <c r="W471" s="16"/>
      <c r="X471" s="16"/>
    </row>
    <row r="472" spans="1:24">
      <c r="A472" s="19">
        <v>46245</v>
      </c>
      <c r="B472" s="18" t="s">
        <v>708</v>
      </c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>
        <f t="shared" si="7"/>
        <v>0</v>
      </c>
      <c r="N472" s="17"/>
      <c r="O472" s="16"/>
      <c r="P472" s="16"/>
      <c r="Q472" s="16"/>
      <c r="R472" s="16"/>
      <c r="S472" s="16"/>
      <c r="T472" s="16"/>
      <c r="U472" s="16"/>
      <c r="V472" s="16"/>
      <c r="W472" s="16"/>
      <c r="X472" s="16"/>
    </row>
    <row r="473" spans="1:24">
      <c r="A473" s="19">
        <v>46246</v>
      </c>
      <c r="B473" s="18" t="s">
        <v>708</v>
      </c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>
        <f t="shared" si="7"/>
        <v>0</v>
      </c>
      <c r="N473" s="17"/>
      <c r="O473" s="16"/>
      <c r="P473" s="16"/>
      <c r="Q473" s="16"/>
      <c r="R473" s="16"/>
      <c r="S473" s="16"/>
      <c r="T473" s="16"/>
      <c r="U473" s="16"/>
      <c r="V473" s="16"/>
      <c r="W473" s="16"/>
      <c r="X473" s="16"/>
    </row>
    <row r="474" spans="1:24">
      <c r="A474" s="19">
        <v>46247</v>
      </c>
      <c r="B474" s="18" t="s">
        <v>708</v>
      </c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>
        <f t="shared" si="7"/>
        <v>0</v>
      </c>
      <c r="N474" s="17"/>
      <c r="O474" s="16"/>
      <c r="P474" s="16"/>
      <c r="Q474" s="16"/>
      <c r="R474" s="16"/>
      <c r="S474" s="16"/>
      <c r="T474" s="16"/>
      <c r="U474" s="16"/>
      <c r="V474" s="16"/>
      <c r="W474" s="16"/>
      <c r="X474" s="16"/>
    </row>
    <row r="475" spans="1:24">
      <c r="A475" s="19">
        <v>46248</v>
      </c>
      <c r="B475" s="18" t="s">
        <v>708</v>
      </c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>
        <f t="shared" si="7"/>
        <v>0</v>
      </c>
      <c r="N475" s="17"/>
      <c r="O475" s="16"/>
      <c r="P475" s="16"/>
      <c r="Q475" s="16"/>
      <c r="R475" s="16"/>
      <c r="S475" s="16"/>
      <c r="T475" s="16"/>
      <c r="U475" s="16"/>
      <c r="V475" s="16"/>
      <c r="W475" s="16"/>
      <c r="X475" s="16"/>
    </row>
    <row r="476" spans="1:24">
      <c r="A476" s="19">
        <v>46249</v>
      </c>
      <c r="B476" s="18" t="s">
        <v>708</v>
      </c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>
        <f t="shared" si="7"/>
        <v>0</v>
      </c>
      <c r="N476" s="17"/>
      <c r="O476" s="16"/>
      <c r="P476" s="16"/>
      <c r="Q476" s="16"/>
      <c r="R476" s="16"/>
      <c r="S476" s="16"/>
      <c r="T476" s="16"/>
      <c r="U476" s="16"/>
      <c r="V476" s="16"/>
      <c r="W476" s="16"/>
      <c r="X476" s="16"/>
    </row>
    <row r="477" spans="1:24">
      <c r="A477" s="19">
        <v>46250</v>
      </c>
      <c r="B477" s="18" t="s">
        <v>708</v>
      </c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>
        <f t="shared" si="7"/>
        <v>0</v>
      </c>
      <c r="N477" s="17"/>
      <c r="O477" s="16"/>
      <c r="P477" s="16"/>
      <c r="Q477" s="16"/>
      <c r="R477" s="16"/>
      <c r="S477" s="16"/>
      <c r="T477" s="16"/>
      <c r="U477" s="16"/>
      <c r="V477" s="16"/>
      <c r="W477" s="16"/>
      <c r="X477" s="16"/>
    </row>
    <row r="478" spans="1:24">
      <c r="A478" s="19">
        <v>46251</v>
      </c>
      <c r="B478" s="18" t="s">
        <v>708</v>
      </c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>
        <f t="shared" si="7"/>
        <v>0</v>
      </c>
      <c r="N478" s="17"/>
      <c r="O478" s="16"/>
      <c r="P478" s="16"/>
      <c r="Q478" s="16"/>
      <c r="R478" s="16"/>
      <c r="S478" s="16"/>
      <c r="T478" s="16"/>
      <c r="U478" s="16"/>
      <c r="V478" s="16"/>
      <c r="W478" s="16"/>
      <c r="X478" s="16"/>
    </row>
    <row r="479" spans="1:24">
      <c r="A479" s="19">
        <v>46252</v>
      </c>
      <c r="B479" s="18" t="s">
        <v>708</v>
      </c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>
        <f t="shared" si="7"/>
        <v>0</v>
      </c>
      <c r="N479" s="17"/>
      <c r="O479" s="16"/>
      <c r="P479" s="16"/>
      <c r="Q479" s="16"/>
      <c r="R479" s="16"/>
      <c r="S479" s="16"/>
      <c r="T479" s="16"/>
      <c r="U479" s="16"/>
      <c r="V479" s="16"/>
      <c r="W479" s="16"/>
      <c r="X479" s="16"/>
    </row>
    <row r="480" spans="1:24">
      <c r="A480" s="19">
        <v>46253</v>
      </c>
      <c r="B480" s="18" t="s">
        <v>708</v>
      </c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>
        <f t="shared" si="7"/>
        <v>0</v>
      </c>
      <c r="N480" s="17"/>
      <c r="O480" s="16"/>
      <c r="P480" s="16"/>
      <c r="Q480" s="16"/>
      <c r="R480" s="16"/>
      <c r="S480" s="16"/>
      <c r="T480" s="16"/>
      <c r="U480" s="16"/>
      <c r="V480" s="16"/>
      <c r="W480" s="16"/>
      <c r="X480" s="16"/>
    </row>
    <row r="481" spans="1:24">
      <c r="A481" s="19">
        <v>46254</v>
      </c>
      <c r="B481" s="18" t="s">
        <v>708</v>
      </c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>
        <f t="shared" si="7"/>
        <v>0</v>
      </c>
      <c r="N481" s="17"/>
      <c r="O481" s="16"/>
      <c r="P481" s="16"/>
      <c r="Q481" s="16"/>
      <c r="R481" s="16"/>
      <c r="S481" s="16"/>
      <c r="T481" s="16"/>
      <c r="U481" s="16"/>
      <c r="V481" s="16"/>
      <c r="W481" s="16"/>
      <c r="X481" s="16"/>
    </row>
    <row r="482" spans="1:24">
      <c r="A482" s="19">
        <v>46255</v>
      </c>
      <c r="B482" s="18" t="s">
        <v>708</v>
      </c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>
        <f t="shared" si="7"/>
        <v>0</v>
      </c>
      <c r="N482" s="17"/>
      <c r="O482" s="16"/>
      <c r="P482" s="16"/>
      <c r="Q482" s="16"/>
      <c r="R482" s="16"/>
      <c r="S482" s="16"/>
      <c r="T482" s="16"/>
      <c r="U482" s="16"/>
      <c r="V482" s="16"/>
      <c r="W482" s="16"/>
      <c r="X482" s="16"/>
    </row>
    <row r="483" spans="1:24">
      <c r="A483" s="19">
        <v>46256</v>
      </c>
      <c r="B483" s="18" t="s">
        <v>708</v>
      </c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>
        <f t="shared" si="7"/>
        <v>0</v>
      </c>
      <c r="N483" s="17"/>
      <c r="O483" s="16"/>
      <c r="P483" s="16"/>
      <c r="Q483" s="16"/>
      <c r="R483" s="16"/>
      <c r="S483" s="16"/>
      <c r="T483" s="16"/>
      <c r="U483" s="16"/>
      <c r="V483" s="16"/>
      <c r="W483" s="16"/>
      <c r="X483" s="16"/>
    </row>
    <row r="484" spans="1:24">
      <c r="A484" s="19">
        <v>46257</v>
      </c>
      <c r="B484" s="18" t="s">
        <v>708</v>
      </c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>
        <f t="shared" si="7"/>
        <v>0</v>
      </c>
      <c r="N484" s="17"/>
      <c r="O484" s="16"/>
      <c r="P484" s="16"/>
      <c r="Q484" s="16"/>
      <c r="R484" s="16"/>
      <c r="S484" s="16"/>
      <c r="T484" s="16"/>
      <c r="U484" s="16"/>
      <c r="V484" s="16"/>
      <c r="W484" s="16"/>
      <c r="X484" s="16"/>
    </row>
    <row r="485" spans="1:24">
      <c r="A485" s="19">
        <v>46258</v>
      </c>
      <c r="B485" s="18" t="s">
        <v>708</v>
      </c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>
        <f t="shared" si="7"/>
        <v>0</v>
      </c>
      <c r="N485" s="17"/>
      <c r="O485" s="16"/>
      <c r="P485" s="16"/>
      <c r="Q485" s="16"/>
      <c r="R485" s="16"/>
      <c r="S485" s="16"/>
      <c r="T485" s="16"/>
      <c r="U485" s="16"/>
      <c r="V485" s="16"/>
      <c r="W485" s="16"/>
      <c r="X485" s="16"/>
    </row>
    <row r="486" spans="1:24">
      <c r="A486" s="19">
        <v>46259</v>
      </c>
      <c r="B486" s="18" t="s">
        <v>708</v>
      </c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>
        <f t="shared" si="7"/>
        <v>0</v>
      </c>
      <c r="N486" s="17"/>
      <c r="O486" s="16"/>
      <c r="P486" s="16"/>
      <c r="Q486" s="16"/>
      <c r="R486" s="16"/>
      <c r="S486" s="16"/>
      <c r="T486" s="16"/>
      <c r="U486" s="16"/>
      <c r="V486" s="16"/>
      <c r="W486" s="16"/>
      <c r="X486" s="16"/>
    </row>
    <row r="487" spans="1:24">
      <c r="A487" s="19">
        <v>46260</v>
      </c>
      <c r="B487" s="18" t="s">
        <v>708</v>
      </c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>
        <f t="shared" si="7"/>
        <v>0</v>
      </c>
      <c r="N487" s="17"/>
      <c r="O487" s="16"/>
      <c r="P487" s="16"/>
      <c r="Q487" s="16"/>
      <c r="R487" s="16"/>
      <c r="S487" s="16"/>
      <c r="T487" s="16"/>
      <c r="U487" s="16"/>
      <c r="V487" s="16"/>
      <c r="W487" s="16"/>
      <c r="X487" s="16"/>
    </row>
    <row r="488" spans="1:24">
      <c r="A488" s="19">
        <v>46261</v>
      </c>
      <c r="B488" s="18" t="s">
        <v>708</v>
      </c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>
        <f t="shared" si="7"/>
        <v>0</v>
      </c>
      <c r="N488" s="17"/>
      <c r="O488" s="16"/>
      <c r="P488" s="16"/>
      <c r="Q488" s="16"/>
      <c r="R488" s="16"/>
      <c r="S488" s="16"/>
      <c r="T488" s="16"/>
      <c r="U488" s="16"/>
      <c r="V488" s="16"/>
      <c r="W488" s="16"/>
      <c r="X488" s="16"/>
    </row>
    <row r="489" spans="1:24">
      <c r="A489" s="19">
        <v>46262</v>
      </c>
      <c r="B489" s="18" t="s">
        <v>708</v>
      </c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>
        <f t="shared" si="7"/>
        <v>0</v>
      </c>
      <c r="N489" s="17"/>
      <c r="O489" s="16"/>
      <c r="P489" s="16"/>
      <c r="Q489" s="16"/>
      <c r="R489" s="16"/>
      <c r="S489" s="16"/>
      <c r="T489" s="16"/>
      <c r="U489" s="16"/>
      <c r="V489" s="16"/>
      <c r="W489" s="16"/>
      <c r="X489" s="16"/>
    </row>
    <row r="490" spans="1:24">
      <c r="A490" s="19">
        <v>46263</v>
      </c>
      <c r="B490" s="18" t="s">
        <v>708</v>
      </c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>
        <f t="shared" si="7"/>
        <v>0</v>
      </c>
      <c r="N490" s="17"/>
      <c r="O490" s="16"/>
      <c r="P490" s="16"/>
      <c r="Q490" s="16"/>
      <c r="R490" s="16"/>
      <c r="S490" s="16"/>
      <c r="T490" s="16"/>
      <c r="U490" s="16"/>
      <c r="V490" s="16"/>
      <c r="W490" s="16"/>
      <c r="X490" s="16"/>
    </row>
    <row r="491" spans="1:24">
      <c r="A491" s="19">
        <v>46264</v>
      </c>
      <c r="B491" s="18" t="s">
        <v>708</v>
      </c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>
        <f t="shared" si="7"/>
        <v>0</v>
      </c>
      <c r="N491" s="17"/>
      <c r="O491" s="16"/>
      <c r="P491" s="16"/>
      <c r="Q491" s="16"/>
      <c r="R491" s="16"/>
      <c r="S491" s="16"/>
      <c r="T491" s="16"/>
      <c r="U491" s="16"/>
      <c r="V491" s="16"/>
      <c r="W491" s="16"/>
      <c r="X491" s="16"/>
    </row>
    <row r="492" spans="1:24">
      <c r="A492" s="19">
        <v>46265</v>
      </c>
      <c r="B492" s="18" t="s">
        <v>708</v>
      </c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>
        <f t="shared" si="7"/>
        <v>0</v>
      </c>
      <c r="N492" s="17"/>
      <c r="O492" s="16"/>
      <c r="P492" s="16"/>
      <c r="Q492" s="16"/>
      <c r="R492" s="16"/>
      <c r="S492" s="16"/>
      <c r="T492" s="16"/>
      <c r="U492" s="16"/>
      <c r="V492" s="16"/>
      <c r="W492" s="16"/>
      <c r="X492" s="16"/>
    </row>
    <row r="493" spans="1:24">
      <c r="A493" s="19">
        <v>46266</v>
      </c>
      <c r="B493" s="18" t="s">
        <v>708</v>
      </c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>
        <f t="shared" si="7"/>
        <v>0</v>
      </c>
      <c r="N493" s="17"/>
      <c r="O493" s="16"/>
      <c r="P493" s="16"/>
      <c r="Q493" s="16"/>
      <c r="R493" s="16"/>
      <c r="S493" s="16"/>
      <c r="T493" s="16"/>
      <c r="U493" s="16"/>
      <c r="V493" s="16"/>
      <c r="W493" s="16"/>
      <c r="X493" s="16"/>
    </row>
    <row r="494" spans="1:24">
      <c r="A494" s="19">
        <v>46267</v>
      </c>
      <c r="B494" s="18" t="s">
        <v>708</v>
      </c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>
        <f t="shared" si="7"/>
        <v>0</v>
      </c>
      <c r="N494" s="17"/>
      <c r="O494" s="16"/>
      <c r="P494" s="16"/>
      <c r="Q494" s="16"/>
      <c r="R494" s="16"/>
      <c r="S494" s="16"/>
      <c r="T494" s="16"/>
      <c r="U494" s="16"/>
      <c r="V494" s="16"/>
      <c r="W494" s="16"/>
      <c r="X494" s="16"/>
    </row>
    <row r="495" spans="1:24">
      <c r="A495" s="19">
        <v>46268</v>
      </c>
      <c r="B495" s="18" t="s">
        <v>708</v>
      </c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>
        <f t="shared" si="7"/>
        <v>0</v>
      </c>
      <c r="N495" s="17"/>
      <c r="O495" s="16"/>
      <c r="P495" s="16"/>
      <c r="Q495" s="16"/>
      <c r="R495" s="16"/>
      <c r="S495" s="16"/>
      <c r="T495" s="16"/>
      <c r="U495" s="16"/>
      <c r="V495" s="16"/>
      <c r="W495" s="16"/>
      <c r="X495" s="16"/>
    </row>
    <row r="496" spans="1:24">
      <c r="A496" s="19">
        <v>46269</v>
      </c>
      <c r="B496" s="18" t="s">
        <v>708</v>
      </c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>
        <f t="shared" si="7"/>
        <v>0</v>
      </c>
      <c r="N496" s="17"/>
      <c r="O496" s="16"/>
      <c r="P496" s="16"/>
      <c r="Q496" s="16"/>
      <c r="R496" s="16"/>
      <c r="S496" s="16"/>
      <c r="T496" s="16"/>
      <c r="U496" s="16"/>
      <c r="V496" s="16"/>
      <c r="W496" s="16"/>
      <c r="X496" s="16"/>
    </row>
    <row r="497" spans="1:24">
      <c r="A497" s="19">
        <v>46270</v>
      </c>
      <c r="B497" s="18" t="s">
        <v>708</v>
      </c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>
        <f t="shared" si="7"/>
        <v>0</v>
      </c>
      <c r="N497" s="17"/>
      <c r="O497" s="16"/>
      <c r="P497" s="16"/>
      <c r="Q497" s="16"/>
      <c r="R497" s="16"/>
      <c r="S497" s="16"/>
      <c r="T497" s="16"/>
      <c r="U497" s="16"/>
      <c r="V497" s="16"/>
      <c r="W497" s="16"/>
      <c r="X497" s="16"/>
    </row>
    <row r="498" spans="1:24">
      <c r="A498" s="19">
        <v>46271</v>
      </c>
      <c r="B498" s="18" t="s">
        <v>708</v>
      </c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>
        <f t="shared" si="7"/>
        <v>0</v>
      </c>
      <c r="N498" s="17"/>
      <c r="O498" s="16"/>
      <c r="P498" s="16"/>
      <c r="Q498" s="16"/>
      <c r="R498" s="16"/>
      <c r="S498" s="16"/>
      <c r="T498" s="16"/>
      <c r="U498" s="16"/>
      <c r="V498" s="16"/>
      <c r="W498" s="16"/>
      <c r="X498" s="16"/>
    </row>
    <row r="499" spans="1:24">
      <c r="A499" s="19">
        <v>46272</v>
      </c>
      <c r="B499" s="18" t="s">
        <v>708</v>
      </c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>
        <f t="shared" si="7"/>
        <v>0</v>
      </c>
      <c r="N499" s="17"/>
      <c r="O499" s="16"/>
      <c r="P499" s="16"/>
      <c r="Q499" s="16"/>
      <c r="R499" s="16"/>
      <c r="S499" s="16"/>
      <c r="T499" s="16"/>
      <c r="U499" s="16"/>
      <c r="V499" s="16"/>
      <c r="W499" s="16"/>
      <c r="X499" s="16"/>
    </row>
    <row r="500" spans="1:24">
      <c r="A500" s="19">
        <v>46273</v>
      </c>
      <c r="B500" s="18" t="s">
        <v>708</v>
      </c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>
        <f t="shared" si="7"/>
        <v>0</v>
      </c>
      <c r="N500" s="17"/>
      <c r="O500" s="16"/>
      <c r="P500" s="16"/>
      <c r="Q500" s="16"/>
      <c r="R500" s="16"/>
      <c r="S500" s="16"/>
      <c r="T500" s="16"/>
      <c r="U500" s="16"/>
      <c r="V500" s="16"/>
      <c r="W500" s="16"/>
      <c r="X500" s="16"/>
    </row>
    <row r="501" spans="1:24">
      <c r="A501" s="19">
        <v>46274</v>
      </c>
      <c r="B501" s="18" t="s">
        <v>708</v>
      </c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>
        <f t="shared" si="7"/>
        <v>0</v>
      </c>
      <c r="N501" s="17"/>
      <c r="O501" s="16"/>
      <c r="P501" s="16"/>
      <c r="Q501" s="16"/>
      <c r="R501" s="16"/>
      <c r="S501" s="16"/>
      <c r="T501" s="16"/>
      <c r="U501" s="16"/>
      <c r="V501" s="16"/>
      <c r="W501" s="16"/>
      <c r="X501" s="16"/>
    </row>
    <row r="502" spans="1:24">
      <c r="A502" s="19">
        <v>46275</v>
      </c>
      <c r="B502" s="18" t="s">
        <v>708</v>
      </c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>
        <f t="shared" si="7"/>
        <v>0</v>
      </c>
      <c r="N502" s="17"/>
      <c r="O502" s="16"/>
      <c r="P502" s="16"/>
      <c r="Q502" s="16"/>
      <c r="R502" s="16"/>
      <c r="S502" s="16"/>
      <c r="T502" s="16"/>
      <c r="U502" s="16"/>
      <c r="V502" s="16"/>
      <c r="W502" s="16"/>
      <c r="X502" s="16"/>
    </row>
    <row r="503" spans="1:24">
      <c r="A503" s="19">
        <v>46276</v>
      </c>
      <c r="B503" s="18" t="s">
        <v>708</v>
      </c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>
        <f t="shared" si="7"/>
        <v>0</v>
      </c>
      <c r="N503" s="17"/>
      <c r="O503" s="16"/>
      <c r="P503" s="16"/>
      <c r="Q503" s="16"/>
      <c r="R503" s="16"/>
      <c r="S503" s="16"/>
      <c r="T503" s="16"/>
      <c r="U503" s="16"/>
      <c r="V503" s="16"/>
      <c r="W503" s="16"/>
      <c r="X503" s="16"/>
    </row>
    <row r="504" spans="1:24">
      <c r="A504" s="19">
        <v>46277</v>
      </c>
      <c r="B504" s="18" t="s">
        <v>708</v>
      </c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>
        <f t="shared" si="7"/>
        <v>0</v>
      </c>
      <c r="N504" s="17"/>
      <c r="O504" s="16"/>
      <c r="P504" s="16"/>
      <c r="Q504" s="16"/>
      <c r="R504" s="16"/>
      <c r="S504" s="16"/>
      <c r="T504" s="16"/>
      <c r="U504" s="16"/>
      <c r="V504" s="16"/>
      <c r="W504" s="16"/>
      <c r="X504" s="16"/>
    </row>
    <row r="505" spans="1:24">
      <c r="A505" s="19">
        <v>46278</v>
      </c>
      <c r="B505" s="18" t="s">
        <v>708</v>
      </c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>
        <f t="shared" si="7"/>
        <v>0</v>
      </c>
      <c r="N505" s="17"/>
      <c r="O505" s="16"/>
      <c r="P505" s="16"/>
      <c r="Q505" s="16"/>
      <c r="R505" s="16"/>
      <c r="S505" s="16"/>
      <c r="T505" s="16"/>
      <c r="U505" s="16"/>
      <c r="V505" s="16"/>
      <c r="W505" s="16"/>
      <c r="X505" s="16"/>
    </row>
    <row r="506" spans="1:24">
      <c r="A506" s="19">
        <v>46279</v>
      </c>
      <c r="B506" s="18" t="s">
        <v>708</v>
      </c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>
        <f t="shared" si="7"/>
        <v>0</v>
      </c>
      <c r="N506" s="17"/>
      <c r="O506" s="16"/>
      <c r="P506" s="16"/>
      <c r="Q506" s="16"/>
      <c r="R506" s="16"/>
      <c r="S506" s="16"/>
      <c r="T506" s="16"/>
      <c r="U506" s="16"/>
      <c r="V506" s="16"/>
      <c r="W506" s="16"/>
      <c r="X506" s="16"/>
    </row>
    <row r="507" spans="1:24">
      <c r="A507" s="19">
        <v>46280</v>
      </c>
      <c r="B507" s="18" t="s">
        <v>708</v>
      </c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>
        <f t="shared" si="7"/>
        <v>0</v>
      </c>
      <c r="N507" s="17"/>
      <c r="O507" s="16"/>
      <c r="P507" s="16"/>
      <c r="Q507" s="16"/>
      <c r="R507" s="16"/>
      <c r="S507" s="16"/>
      <c r="T507" s="16"/>
      <c r="U507" s="16"/>
      <c r="V507" s="16"/>
      <c r="W507" s="16"/>
      <c r="X507" s="16"/>
    </row>
    <row r="508" spans="1:24">
      <c r="A508" s="19">
        <v>46281</v>
      </c>
      <c r="B508" s="18" t="s">
        <v>708</v>
      </c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>
        <f t="shared" si="7"/>
        <v>0</v>
      </c>
      <c r="N508" s="17"/>
      <c r="O508" s="16"/>
      <c r="P508" s="16"/>
      <c r="Q508" s="16"/>
      <c r="R508" s="16"/>
      <c r="S508" s="16"/>
      <c r="T508" s="16"/>
      <c r="U508" s="16"/>
      <c r="V508" s="16"/>
      <c r="W508" s="16"/>
      <c r="X508" s="16"/>
    </row>
    <row r="509" spans="1:24">
      <c r="A509" s="19">
        <v>46282</v>
      </c>
      <c r="B509" s="18" t="s">
        <v>708</v>
      </c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>
        <f t="shared" si="7"/>
        <v>0</v>
      </c>
      <c r="N509" s="17"/>
      <c r="O509" s="16"/>
      <c r="P509" s="16"/>
      <c r="Q509" s="16"/>
      <c r="R509" s="16"/>
      <c r="S509" s="16"/>
      <c r="T509" s="16"/>
      <c r="U509" s="16"/>
      <c r="V509" s="16"/>
      <c r="W509" s="16"/>
      <c r="X509" s="16"/>
    </row>
    <row r="510" spans="1:24">
      <c r="A510" s="19">
        <v>46283</v>
      </c>
      <c r="B510" s="18" t="s">
        <v>708</v>
      </c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>
        <f t="shared" si="7"/>
        <v>0</v>
      </c>
      <c r="N510" s="17"/>
      <c r="O510" s="16"/>
      <c r="P510" s="16"/>
      <c r="Q510" s="16"/>
      <c r="R510" s="16"/>
      <c r="S510" s="16"/>
      <c r="T510" s="16"/>
      <c r="U510" s="16"/>
      <c r="V510" s="16"/>
      <c r="W510" s="16"/>
      <c r="X510" s="16"/>
    </row>
    <row r="511" spans="1:24">
      <c r="A511" s="19">
        <v>46284</v>
      </c>
      <c r="B511" s="18" t="s">
        <v>708</v>
      </c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>
        <f t="shared" si="7"/>
        <v>0</v>
      </c>
      <c r="N511" s="17"/>
      <c r="O511" s="16"/>
      <c r="P511" s="16"/>
      <c r="Q511" s="16"/>
      <c r="R511" s="16"/>
      <c r="S511" s="16"/>
      <c r="T511" s="16"/>
      <c r="U511" s="16"/>
      <c r="V511" s="16"/>
      <c r="W511" s="16"/>
      <c r="X511" s="16"/>
    </row>
    <row r="512" spans="1:24">
      <c r="A512" s="19">
        <v>46285</v>
      </c>
      <c r="B512" s="18" t="s">
        <v>708</v>
      </c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>
        <f t="shared" si="7"/>
        <v>0</v>
      </c>
      <c r="N512" s="17"/>
      <c r="O512" s="16"/>
      <c r="P512" s="16"/>
      <c r="Q512" s="16"/>
      <c r="R512" s="16"/>
      <c r="S512" s="16"/>
      <c r="T512" s="16"/>
      <c r="U512" s="16"/>
      <c r="V512" s="16"/>
      <c r="W512" s="16"/>
      <c r="X512" s="16"/>
    </row>
    <row r="513" spans="1:24">
      <c r="A513" s="19">
        <v>46286</v>
      </c>
      <c r="B513" s="18" t="s">
        <v>708</v>
      </c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>
        <f t="shared" si="7"/>
        <v>0</v>
      </c>
      <c r="N513" s="17"/>
      <c r="O513" s="16"/>
      <c r="P513" s="16"/>
      <c r="Q513" s="16"/>
      <c r="R513" s="16"/>
      <c r="S513" s="16"/>
      <c r="T513" s="16"/>
      <c r="U513" s="16"/>
      <c r="V513" s="16"/>
      <c r="W513" s="16"/>
      <c r="X513" s="16"/>
    </row>
    <row r="514" spans="1:24">
      <c r="A514" s="19">
        <v>46287</v>
      </c>
      <c r="B514" s="18" t="s">
        <v>708</v>
      </c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>
        <f t="shared" si="7"/>
        <v>0</v>
      </c>
      <c r="N514" s="17"/>
      <c r="O514" s="16"/>
      <c r="P514" s="16"/>
      <c r="Q514" s="16"/>
      <c r="R514" s="16"/>
      <c r="S514" s="16"/>
      <c r="T514" s="16"/>
      <c r="U514" s="16"/>
      <c r="V514" s="16"/>
      <c r="W514" s="16"/>
      <c r="X514" s="16"/>
    </row>
    <row r="515" spans="1:24">
      <c r="A515" s="19">
        <v>46288</v>
      </c>
      <c r="B515" s="18" t="s">
        <v>708</v>
      </c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>
        <f t="shared" ref="M515:M578" si="8">N515-SUM(C515:L515)</f>
        <v>0</v>
      </c>
      <c r="N515" s="17"/>
      <c r="O515" s="16"/>
      <c r="P515" s="16"/>
      <c r="Q515" s="16"/>
      <c r="R515" s="16"/>
      <c r="S515" s="16"/>
      <c r="T515" s="16"/>
      <c r="U515" s="16"/>
      <c r="V515" s="16"/>
      <c r="W515" s="16"/>
      <c r="X515" s="16"/>
    </row>
    <row r="516" spans="1:24">
      <c r="A516" s="19">
        <v>46289</v>
      </c>
      <c r="B516" s="18" t="s">
        <v>708</v>
      </c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>
        <f t="shared" si="8"/>
        <v>0</v>
      </c>
      <c r="N516" s="17"/>
      <c r="O516" s="16"/>
      <c r="P516" s="16"/>
      <c r="Q516" s="16"/>
      <c r="R516" s="16"/>
      <c r="S516" s="16"/>
      <c r="T516" s="16"/>
      <c r="U516" s="16"/>
      <c r="V516" s="16"/>
      <c r="W516" s="16"/>
      <c r="X516" s="16"/>
    </row>
    <row r="517" spans="1:24">
      <c r="A517" s="19">
        <v>46290</v>
      </c>
      <c r="B517" s="18" t="s">
        <v>708</v>
      </c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>
        <f t="shared" si="8"/>
        <v>0</v>
      </c>
      <c r="N517" s="17"/>
      <c r="O517" s="16"/>
      <c r="P517" s="16"/>
      <c r="Q517" s="16"/>
      <c r="R517" s="16"/>
      <c r="S517" s="16"/>
      <c r="T517" s="16"/>
      <c r="U517" s="16"/>
      <c r="V517" s="16"/>
      <c r="W517" s="16"/>
      <c r="X517" s="16"/>
    </row>
    <row r="518" spans="1:24">
      <c r="A518" s="19">
        <v>46291</v>
      </c>
      <c r="B518" s="18" t="s">
        <v>708</v>
      </c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>
        <f t="shared" si="8"/>
        <v>0</v>
      </c>
      <c r="N518" s="17"/>
      <c r="O518" s="16"/>
      <c r="P518" s="16"/>
      <c r="Q518" s="16"/>
      <c r="R518" s="16"/>
      <c r="S518" s="16"/>
      <c r="T518" s="16"/>
      <c r="U518" s="16"/>
      <c r="V518" s="16"/>
      <c r="W518" s="16"/>
      <c r="X518" s="16"/>
    </row>
    <row r="519" spans="1:24">
      <c r="A519" s="19">
        <v>46292</v>
      </c>
      <c r="B519" s="18" t="s">
        <v>708</v>
      </c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>
        <f t="shared" si="8"/>
        <v>0</v>
      </c>
      <c r="N519" s="17"/>
      <c r="O519" s="16"/>
      <c r="P519" s="16"/>
      <c r="Q519" s="16"/>
      <c r="R519" s="16"/>
      <c r="S519" s="16"/>
      <c r="T519" s="16"/>
      <c r="U519" s="16"/>
      <c r="V519" s="16"/>
      <c r="W519" s="16"/>
      <c r="X519" s="16"/>
    </row>
    <row r="520" spans="1:24">
      <c r="A520" s="19">
        <v>46293</v>
      </c>
      <c r="B520" s="18" t="s">
        <v>708</v>
      </c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>
        <f t="shared" si="8"/>
        <v>0</v>
      </c>
      <c r="N520" s="17"/>
      <c r="O520" s="16"/>
      <c r="P520" s="16"/>
      <c r="Q520" s="16"/>
      <c r="R520" s="16"/>
      <c r="S520" s="16"/>
      <c r="T520" s="16"/>
      <c r="U520" s="16"/>
      <c r="V520" s="16"/>
      <c r="W520" s="16"/>
      <c r="X520" s="16"/>
    </row>
    <row r="521" spans="1:24">
      <c r="A521" s="19">
        <v>46294</v>
      </c>
      <c r="B521" s="18" t="s">
        <v>708</v>
      </c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>
        <f t="shared" si="8"/>
        <v>0</v>
      </c>
      <c r="N521" s="17"/>
      <c r="O521" s="16"/>
      <c r="P521" s="16"/>
      <c r="Q521" s="16"/>
      <c r="R521" s="16"/>
      <c r="S521" s="16"/>
      <c r="T521" s="16"/>
      <c r="U521" s="16"/>
      <c r="V521" s="16"/>
      <c r="W521" s="16"/>
      <c r="X521" s="16"/>
    </row>
    <row r="522" spans="1:24">
      <c r="A522" s="19">
        <v>46295</v>
      </c>
      <c r="B522" s="18" t="s">
        <v>708</v>
      </c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>
        <f t="shared" si="8"/>
        <v>0</v>
      </c>
      <c r="N522" s="17"/>
      <c r="O522" s="16"/>
      <c r="P522" s="16"/>
      <c r="Q522" s="16"/>
      <c r="R522" s="16"/>
      <c r="S522" s="16"/>
      <c r="T522" s="16"/>
      <c r="U522" s="16"/>
      <c r="V522" s="16"/>
      <c r="W522" s="16"/>
      <c r="X522" s="16"/>
    </row>
    <row r="523" spans="1:24">
      <c r="A523" s="19">
        <v>46296</v>
      </c>
      <c r="B523" s="18" t="s">
        <v>708</v>
      </c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>
        <f t="shared" si="8"/>
        <v>0</v>
      </c>
      <c r="N523" s="17"/>
      <c r="O523" s="16"/>
      <c r="P523" s="16"/>
      <c r="Q523" s="16"/>
      <c r="R523" s="16"/>
      <c r="S523" s="16"/>
      <c r="T523" s="16"/>
      <c r="U523" s="16"/>
      <c r="V523" s="16"/>
      <c r="W523" s="16"/>
      <c r="X523" s="16"/>
    </row>
    <row r="524" spans="1:24">
      <c r="A524" s="19">
        <v>46297</v>
      </c>
      <c r="B524" s="18" t="s">
        <v>708</v>
      </c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>
        <f t="shared" si="8"/>
        <v>0</v>
      </c>
      <c r="N524" s="17"/>
      <c r="O524" s="16"/>
      <c r="P524" s="16"/>
      <c r="Q524" s="16"/>
      <c r="R524" s="16"/>
      <c r="S524" s="16"/>
      <c r="T524" s="16"/>
      <c r="U524" s="16"/>
      <c r="V524" s="16"/>
      <c r="W524" s="16"/>
      <c r="X524" s="16"/>
    </row>
    <row r="525" spans="1:24">
      <c r="A525" s="19">
        <v>46298</v>
      </c>
      <c r="B525" s="18" t="s">
        <v>708</v>
      </c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>
        <f t="shared" si="8"/>
        <v>0</v>
      </c>
      <c r="N525" s="17"/>
      <c r="O525" s="16"/>
      <c r="P525" s="16"/>
      <c r="Q525" s="16"/>
      <c r="R525" s="16"/>
      <c r="S525" s="16"/>
      <c r="T525" s="16"/>
      <c r="U525" s="16"/>
      <c r="V525" s="16"/>
      <c r="W525" s="16"/>
      <c r="X525" s="16"/>
    </row>
    <row r="526" spans="1:24">
      <c r="A526" s="19">
        <v>46299</v>
      </c>
      <c r="B526" s="18" t="s">
        <v>708</v>
      </c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>
        <f t="shared" si="8"/>
        <v>0</v>
      </c>
      <c r="N526" s="17"/>
      <c r="O526" s="16"/>
      <c r="P526" s="16"/>
      <c r="Q526" s="16"/>
      <c r="R526" s="16"/>
      <c r="S526" s="16"/>
      <c r="T526" s="16"/>
      <c r="U526" s="16"/>
      <c r="V526" s="16"/>
      <c r="W526" s="16"/>
      <c r="X526" s="16"/>
    </row>
    <row r="527" spans="1:24">
      <c r="A527" s="19">
        <v>46300</v>
      </c>
      <c r="B527" s="18" t="s">
        <v>708</v>
      </c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>
        <f t="shared" si="8"/>
        <v>0</v>
      </c>
      <c r="N527" s="17"/>
      <c r="O527" s="16"/>
      <c r="P527" s="16"/>
      <c r="Q527" s="16"/>
      <c r="R527" s="16"/>
      <c r="S527" s="16"/>
      <c r="T527" s="16"/>
      <c r="U527" s="16"/>
      <c r="V527" s="16"/>
      <c r="W527" s="16"/>
      <c r="X527" s="16"/>
    </row>
    <row r="528" spans="1:24">
      <c r="A528" s="19">
        <v>46301</v>
      </c>
      <c r="B528" s="18" t="s">
        <v>708</v>
      </c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>
        <f t="shared" si="8"/>
        <v>0</v>
      </c>
      <c r="N528" s="17"/>
      <c r="O528" s="16"/>
      <c r="P528" s="16"/>
      <c r="Q528" s="16"/>
      <c r="R528" s="16"/>
      <c r="S528" s="16"/>
      <c r="T528" s="16"/>
      <c r="U528" s="16"/>
      <c r="V528" s="16"/>
      <c r="W528" s="16"/>
      <c r="X528" s="16"/>
    </row>
    <row r="529" spans="1:24">
      <c r="A529" s="19">
        <v>46302</v>
      </c>
      <c r="B529" s="18" t="s">
        <v>708</v>
      </c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>
        <f t="shared" si="8"/>
        <v>0</v>
      </c>
      <c r="N529" s="17"/>
      <c r="O529" s="16"/>
      <c r="P529" s="16"/>
      <c r="Q529" s="16"/>
      <c r="R529" s="16"/>
      <c r="S529" s="16"/>
      <c r="T529" s="16"/>
      <c r="U529" s="16"/>
      <c r="V529" s="16"/>
      <c r="W529" s="16"/>
      <c r="X529" s="16"/>
    </row>
    <row r="530" spans="1:24">
      <c r="A530" s="19">
        <v>46303</v>
      </c>
      <c r="B530" s="18" t="s">
        <v>708</v>
      </c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>
        <f t="shared" si="8"/>
        <v>0</v>
      </c>
      <c r="N530" s="17"/>
      <c r="O530" s="16"/>
      <c r="P530" s="16"/>
      <c r="Q530" s="16"/>
      <c r="R530" s="16"/>
      <c r="S530" s="16"/>
      <c r="T530" s="16"/>
      <c r="U530" s="16"/>
      <c r="V530" s="16"/>
      <c r="W530" s="16"/>
      <c r="X530" s="16"/>
    </row>
    <row r="531" spans="1:24">
      <c r="A531" s="19">
        <v>46304</v>
      </c>
      <c r="B531" s="18" t="s">
        <v>708</v>
      </c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>
        <f t="shared" si="8"/>
        <v>0</v>
      </c>
      <c r="N531" s="17"/>
      <c r="O531" s="16"/>
      <c r="P531" s="16"/>
      <c r="Q531" s="16"/>
      <c r="R531" s="16"/>
      <c r="S531" s="16"/>
      <c r="T531" s="16"/>
      <c r="U531" s="16"/>
      <c r="V531" s="16"/>
      <c r="W531" s="16"/>
      <c r="X531" s="16"/>
    </row>
    <row r="532" spans="1:24">
      <c r="A532" s="19">
        <v>46305</v>
      </c>
      <c r="B532" s="18" t="s">
        <v>708</v>
      </c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>
        <f t="shared" si="8"/>
        <v>0</v>
      </c>
      <c r="N532" s="17"/>
      <c r="O532" s="16"/>
      <c r="P532" s="16"/>
      <c r="Q532" s="16"/>
      <c r="R532" s="16"/>
      <c r="S532" s="16"/>
      <c r="T532" s="16"/>
      <c r="U532" s="16"/>
      <c r="V532" s="16"/>
      <c r="W532" s="16"/>
      <c r="X532" s="16"/>
    </row>
    <row r="533" spans="1:24">
      <c r="A533" s="19">
        <v>46306</v>
      </c>
      <c r="B533" s="18" t="s">
        <v>708</v>
      </c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>
        <f t="shared" si="8"/>
        <v>0</v>
      </c>
      <c r="N533" s="17"/>
      <c r="O533" s="16"/>
      <c r="P533" s="16"/>
      <c r="Q533" s="16"/>
      <c r="R533" s="16"/>
      <c r="S533" s="16"/>
      <c r="T533" s="16"/>
      <c r="U533" s="16"/>
      <c r="V533" s="16"/>
      <c r="W533" s="16"/>
      <c r="X533" s="16"/>
    </row>
    <row r="534" spans="1:24">
      <c r="A534" s="19">
        <v>46307</v>
      </c>
      <c r="B534" s="18" t="s">
        <v>708</v>
      </c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>
        <f t="shared" si="8"/>
        <v>0</v>
      </c>
      <c r="N534" s="17"/>
      <c r="O534" s="16"/>
      <c r="P534" s="16"/>
      <c r="Q534" s="16"/>
      <c r="R534" s="16"/>
      <c r="S534" s="16"/>
      <c r="T534" s="16"/>
      <c r="U534" s="16"/>
      <c r="V534" s="16"/>
      <c r="W534" s="16"/>
      <c r="X534" s="16"/>
    </row>
    <row r="535" spans="1:24">
      <c r="A535" s="19">
        <v>46308</v>
      </c>
      <c r="B535" s="18" t="s">
        <v>708</v>
      </c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>
        <f t="shared" si="8"/>
        <v>0</v>
      </c>
      <c r="N535" s="17"/>
      <c r="O535" s="16"/>
      <c r="P535" s="16"/>
      <c r="Q535" s="16"/>
      <c r="R535" s="16"/>
      <c r="S535" s="16"/>
      <c r="T535" s="16"/>
      <c r="U535" s="16"/>
      <c r="V535" s="16"/>
      <c r="W535" s="16"/>
      <c r="X535" s="16"/>
    </row>
    <row r="536" spans="1:24">
      <c r="A536" s="19">
        <v>46309</v>
      </c>
      <c r="B536" s="18" t="s">
        <v>708</v>
      </c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>
        <f t="shared" si="8"/>
        <v>0</v>
      </c>
      <c r="N536" s="17"/>
      <c r="O536" s="16"/>
      <c r="P536" s="16"/>
      <c r="Q536" s="16"/>
      <c r="R536" s="16"/>
      <c r="S536" s="16"/>
      <c r="T536" s="16"/>
      <c r="U536" s="16"/>
      <c r="V536" s="16"/>
      <c r="W536" s="16"/>
      <c r="X536" s="16"/>
    </row>
    <row r="537" spans="1:24">
      <c r="A537" s="19">
        <v>46310</v>
      </c>
      <c r="B537" s="18" t="s">
        <v>708</v>
      </c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>
        <f t="shared" si="8"/>
        <v>0</v>
      </c>
      <c r="N537" s="17"/>
      <c r="O537" s="16"/>
      <c r="P537" s="16"/>
      <c r="Q537" s="16"/>
      <c r="R537" s="16"/>
      <c r="S537" s="16"/>
      <c r="T537" s="16"/>
      <c r="U537" s="16"/>
      <c r="V537" s="16"/>
      <c r="W537" s="16"/>
      <c r="X537" s="16"/>
    </row>
    <row r="538" spans="1:24">
      <c r="A538" s="19">
        <v>46311</v>
      </c>
      <c r="B538" s="18" t="s">
        <v>708</v>
      </c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>
        <f t="shared" si="8"/>
        <v>0</v>
      </c>
      <c r="N538" s="17"/>
      <c r="O538" s="16"/>
      <c r="P538" s="16"/>
      <c r="Q538" s="16"/>
      <c r="R538" s="16"/>
      <c r="S538" s="16"/>
      <c r="T538" s="16"/>
      <c r="U538" s="16"/>
      <c r="V538" s="16"/>
      <c r="W538" s="16"/>
      <c r="X538" s="16"/>
    </row>
    <row r="539" spans="1:24">
      <c r="A539" s="19">
        <v>46312</v>
      </c>
      <c r="B539" s="18" t="s">
        <v>708</v>
      </c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>
        <f t="shared" si="8"/>
        <v>0</v>
      </c>
      <c r="N539" s="17"/>
      <c r="O539" s="16"/>
      <c r="P539" s="16"/>
      <c r="Q539" s="16"/>
      <c r="R539" s="16"/>
      <c r="S539" s="16"/>
      <c r="T539" s="16"/>
      <c r="U539" s="16"/>
      <c r="V539" s="16"/>
      <c r="W539" s="16"/>
      <c r="X539" s="16"/>
    </row>
    <row r="540" spans="1:24">
      <c r="A540" s="19">
        <v>46313</v>
      </c>
      <c r="B540" s="18" t="s">
        <v>708</v>
      </c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>
        <f t="shared" si="8"/>
        <v>0</v>
      </c>
      <c r="N540" s="17"/>
      <c r="O540" s="16"/>
      <c r="P540" s="16"/>
      <c r="Q540" s="16"/>
      <c r="R540" s="16"/>
      <c r="S540" s="16"/>
      <c r="T540" s="16"/>
      <c r="U540" s="16"/>
      <c r="V540" s="16"/>
      <c r="W540" s="16"/>
      <c r="X540" s="16"/>
    </row>
    <row r="541" spans="1:24">
      <c r="A541" s="19">
        <v>46314</v>
      </c>
      <c r="B541" s="18" t="s">
        <v>708</v>
      </c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>
        <f t="shared" si="8"/>
        <v>0</v>
      </c>
      <c r="N541" s="17"/>
      <c r="O541" s="16"/>
      <c r="P541" s="16"/>
      <c r="Q541" s="16"/>
      <c r="R541" s="16"/>
      <c r="S541" s="16"/>
      <c r="T541" s="16"/>
      <c r="U541" s="16"/>
      <c r="V541" s="16"/>
      <c r="W541" s="16"/>
      <c r="X541" s="16"/>
    </row>
    <row r="542" spans="1:24">
      <c r="A542" s="19">
        <v>46315</v>
      </c>
      <c r="B542" s="18" t="s">
        <v>708</v>
      </c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>
        <f t="shared" si="8"/>
        <v>0</v>
      </c>
      <c r="N542" s="17"/>
      <c r="O542" s="16"/>
      <c r="P542" s="16"/>
      <c r="Q542" s="16"/>
      <c r="R542" s="16"/>
      <c r="S542" s="16"/>
      <c r="T542" s="16"/>
      <c r="U542" s="16"/>
      <c r="V542" s="16"/>
      <c r="W542" s="16"/>
      <c r="X542" s="16"/>
    </row>
    <row r="543" spans="1:24">
      <c r="A543" s="19">
        <v>46316</v>
      </c>
      <c r="B543" s="18" t="s">
        <v>708</v>
      </c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>
        <f t="shared" si="8"/>
        <v>0</v>
      </c>
      <c r="N543" s="17"/>
      <c r="O543" s="16"/>
      <c r="P543" s="16"/>
      <c r="Q543" s="16"/>
      <c r="R543" s="16"/>
      <c r="S543" s="16"/>
      <c r="T543" s="16"/>
      <c r="U543" s="16"/>
      <c r="V543" s="16"/>
      <c r="W543" s="16"/>
      <c r="X543" s="16"/>
    </row>
    <row r="544" spans="1:24">
      <c r="A544" s="19">
        <v>46317</v>
      </c>
      <c r="B544" s="18" t="s">
        <v>708</v>
      </c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>
        <f t="shared" si="8"/>
        <v>0</v>
      </c>
      <c r="N544" s="17"/>
      <c r="O544" s="16"/>
      <c r="P544" s="16"/>
      <c r="Q544" s="16"/>
      <c r="R544" s="16"/>
      <c r="S544" s="16"/>
      <c r="T544" s="16"/>
      <c r="U544" s="16"/>
      <c r="V544" s="16"/>
      <c r="W544" s="16"/>
      <c r="X544" s="16"/>
    </row>
    <row r="545" spans="1:24">
      <c r="A545" s="19">
        <v>46318</v>
      </c>
      <c r="B545" s="18" t="s">
        <v>708</v>
      </c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>
        <f t="shared" si="8"/>
        <v>0</v>
      </c>
      <c r="N545" s="17"/>
      <c r="O545" s="16"/>
      <c r="P545" s="16"/>
      <c r="Q545" s="16"/>
      <c r="R545" s="16"/>
      <c r="S545" s="16"/>
      <c r="T545" s="16"/>
      <c r="U545" s="16"/>
      <c r="V545" s="16"/>
      <c r="W545" s="16"/>
      <c r="X545" s="16"/>
    </row>
    <row r="546" spans="1:24">
      <c r="A546" s="19">
        <v>46319</v>
      </c>
      <c r="B546" s="18" t="s">
        <v>708</v>
      </c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>
        <f t="shared" si="8"/>
        <v>0</v>
      </c>
      <c r="N546" s="17"/>
      <c r="O546" s="16"/>
      <c r="P546" s="16"/>
      <c r="Q546" s="16"/>
      <c r="R546" s="16"/>
      <c r="S546" s="16"/>
      <c r="T546" s="16"/>
      <c r="U546" s="16"/>
      <c r="V546" s="16"/>
      <c r="W546" s="16"/>
      <c r="X546" s="16"/>
    </row>
    <row r="547" spans="1:24">
      <c r="A547" s="19">
        <v>46320</v>
      </c>
      <c r="B547" s="18" t="s">
        <v>708</v>
      </c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>
        <f t="shared" si="8"/>
        <v>0</v>
      </c>
      <c r="N547" s="17"/>
      <c r="O547" s="16"/>
      <c r="P547" s="16"/>
      <c r="Q547" s="16"/>
      <c r="R547" s="16"/>
      <c r="S547" s="16"/>
      <c r="T547" s="16"/>
      <c r="U547" s="16"/>
      <c r="V547" s="16"/>
      <c r="W547" s="16"/>
      <c r="X547" s="16"/>
    </row>
    <row r="548" spans="1:24">
      <c r="A548" s="19">
        <v>46321</v>
      </c>
      <c r="B548" s="18" t="s">
        <v>708</v>
      </c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>
        <f t="shared" si="8"/>
        <v>0</v>
      </c>
      <c r="N548" s="17"/>
      <c r="O548" s="16"/>
      <c r="P548" s="16"/>
      <c r="Q548" s="16"/>
      <c r="R548" s="16"/>
      <c r="S548" s="16"/>
      <c r="T548" s="16"/>
      <c r="U548" s="16"/>
      <c r="V548" s="16"/>
      <c r="W548" s="16"/>
      <c r="X548" s="16"/>
    </row>
    <row r="549" spans="1:24">
      <c r="A549" s="19">
        <v>46322</v>
      </c>
      <c r="B549" s="18" t="s">
        <v>708</v>
      </c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>
        <f t="shared" si="8"/>
        <v>0</v>
      </c>
      <c r="N549" s="17"/>
      <c r="O549" s="16"/>
      <c r="P549" s="16"/>
      <c r="Q549" s="16"/>
      <c r="R549" s="16"/>
      <c r="S549" s="16"/>
      <c r="T549" s="16"/>
      <c r="U549" s="16"/>
      <c r="V549" s="16"/>
      <c r="W549" s="16"/>
      <c r="X549" s="16"/>
    </row>
    <row r="550" spans="1:24">
      <c r="A550" s="19">
        <v>46323</v>
      </c>
      <c r="B550" s="18" t="s">
        <v>708</v>
      </c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>
        <f t="shared" si="8"/>
        <v>0</v>
      </c>
      <c r="N550" s="17"/>
      <c r="O550" s="16"/>
      <c r="P550" s="16"/>
      <c r="Q550" s="16"/>
      <c r="R550" s="16"/>
      <c r="S550" s="16"/>
      <c r="T550" s="16"/>
      <c r="U550" s="16"/>
      <c r="V550" s="16"/>
      <c r="W550" s="16"/>
      <c r="X550" s="16"/>
    </row>
    <row r="551" spans="1:24">
      <c r="A551" s="19">
        <v>46324</v>
      </c>
      <c r="B551" s="18" t="s">
        <v>708</v>
      </c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>
        <f t="shared" si="8"/>
        <v>0</v>
      </c>
      <c r="N551" s="17"/>
      <c r="O551" s="16"/>
      <c r="P551" s="16"/>
      <c r="Q551" s="16"/>
      <c r="R551" s="16"/>
      <c r="S551" s="16"/>
      <c r="T551" s="16"/>
      <c r="U551" s="16"/>
      <c r="V551" s="16"/>
      <c r="W551" s="16"/>
      <c r="X551" s="16"/>
    </row>
    <row r="552" spans="1:24">
      <c r="A552" s="19">
        <v>46325</v>
      </c>
      <c r="B552" s="18" t="s">
        <v>708</v>
      </c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>
        <f t="shared" si="8"/>
        <v>0</v>
      </c>
      <c r="N552" s="17"/>
      <c r="O552" s="16"/>
      <c r="P552" s="16"/>
      <c r="Q552" s="16"/>
      <c r="R552" s="16"/>
      <c r="S552" s="16"/>
      <c r="T552" s="16"/>
      <c r="U552" s="16"/>
      <c r="V552" s="16"/>
      <c r="W552" s="16"/>
      <c r="X552" s="16"/>
    </row>
    <row r="553" spans="1:24">
      <c r="A553" s="19">
        <v>46326</v>
      </c>
      <c r="B553" s="18" t="s">
        <v>708</v>
      </c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>
        <f t="shared" si="8"/>
        <v>0</v>
      </c>
      <c r="N553" s="17"/>
      <c r="O553" s="16"/>
      <c r="P553" s="16"/>
      <c r="Q553" s="16"/>
      <c r="R553" s="16"/>
      <c r="S553" s="16"/>
      <c r="T553" s="16"/>
      <c r="U553" s="16"/>
      <c r="V553" s="16"/>
      <c r="W553" s="16"/>
      <c r="X553" s="16"/>
    </row>
    <row r="554" spans="1:24">
      <c r="A554" s="19">
        <v>46327</v>
      </c>
      <c r="B554" s="18" t="s">
        <v>708</v>
      </c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>
        <f t="shared" si="8"/>
        <v>0</v>
      </c>
      <c r="N554" s="17"/>
      <c r="O554" s="16"/>
      <c r="P554" s="16"/>
      <c r="Q554" s="16"/>
      <c r="R554" s="16"/>
      <c r="S554" s="16"/>
      <c r="T554" s="16"/>
      <c r="U554" s="16"/>
      <c r="V554" s="16"/>
      <c r="W554" s="16"/>
      <c r="X554" s="16"/>
    </row>
    <row r="555" spans="1:24">
      <c r="A555" s="19">
        <v>46328</v>
      </c>
      <c r="B555" s="18" t="s">
        <v>708</v>
      </c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>
        <f t="shared" si="8"/>
        <v>0</v>
      </c>
      <c r="N555" s="17"/>
      <c r="O555" s="16"/>
      <c r="P555" s="16"/>
      <c r="Q555" s="16"/>
      <c r="R555" s="16"/>
      <c r="S555" s="16"/>
      <c r="T555" s="16"/>
      <c r="U555" s="16"/>
      <c r="V555" s="16"/>
      <c r="W555" s="16"/>
      <c r="X555" s="16"/>
    </row>
    <row r="556" spans="1:24">
      <c r="A556" s="19">
        <v>46329</v>
      </c>
      <c r="B556" s="18" t="s">
        <v>708</v>
      </c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>
        <f t="shared" si="8"/>
        <v>0</v>
      </c>
      <c r="N556" s="17"/>
      <c r="O556" s="16"/>
      <c r="P556" s="16"/>
      <c r="Q556" s="16"/>
      <c r="R556" s="16"/>
      <c r="S556" s="16"/>
      <c r="T556" s="16"/>
      <c r="U556" s="16"/>
      <c r="V556" s="16"/>
      <c r="W556" s="16"/>
      <c r="X556" s="16"/>
    </row>
    <row r="557" spans="1:24">
      <c r="A557" s="19">
        <v>46330</v>
      </c>
      <c r="B557" s="18" t="s">
        <v>708</v>
      </c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>
        <f t="shared" si="8"/>
        <v>0</v>
      </c>
      <c r="N557" s="17"/>
      <c r="O557" s="16"/>
      <c r="P557" s="16"/>
      <c r="Q557" s="16"/>
      <c r="R557" s="16"/>
      <c r="S557" s="16"/>
      <c r="T557" s="16"/>
      <c r="U557" s="16"/>
      <c r="V557" s="16"/>
      <c r="W557" s="16"/>
      <c r="X557" s="16"/>
    </row>
    <row r="558" spans="1:24">
      <c r="A558" s="19">
        <v>46331</v>
      </c>
      <c r="B558" s="18" t="s">
        <v>708</v>
      </c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>
        <f t="shared" si="8"/>
        <v>0</v>
      </c>
      <c r="N558" s="17"/>
      <c r="O558" s="16"/>
      <c r="P558" s="16"/>
      <c r="Q558" s="16"/>
      <c r="R558" s="16"/>
      <c r="S558" s="16"/>
      <c r="T558" s="16"/>
      <c r="U558" s="16"/>
      <c r="V558" s="16"/>
      <c r="W558" s="16"/>
      <c r="X558" s="16"/>
    </row>
    <row r="559" spans="1:24">
      <c r="A559" s="19">
        <v>46332</v>
      </c>
      <c r="B559" s="18" t="s">
        <v>708</v>
      </c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>
        <f t="shared" si="8"/>
        <v>0</v>
      </c>
      <c r="N559" s="17"/>
      <c r="O559" s="16"/>
      <c r="P559" s="16"/>
      <c r="Q559" s="16"/>
      <c r="R559" s="16"/>
      <c r="S559" s="16"/>
      <c r="T559" s="16"/>
      <c r="U559" s="16"/>
      <c r="V559" s="16"/>
      <c r="W559" s="16"/>
      <c r="X559" s="16"/>
    </row>
    <row r="560" spans="1:24">
      <c r="A560" s="19">
        <v>46333</v>
      </c>
      <c r="B560" s="18" t="s">
        <v>708</v>
      </c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>
        <f t="shared" si="8"/>
        <v>0</v>
      </c>
      <c r="N560" s="17"/>
      <c r="O560" s="16"/>
      <c r="P560" s="16"/>
      <c r="Q560" s="16"/>
      <c r="R560" s="16"/>
      <c r="S560" s="16"/>
      <c r="T560" s="16"/>
      <c r="U560" s="16"/>
      <c r="V560" s="16"/>
      <c r="W560" s="16"/>
      <c r="X560" s="16"/>
    </row>
    <row r="561" spans="1:24">
      <c r="A561" s="19">
        <v>46334</v>
      </c>
      <c r="B561" s="18" t="s">
        <v>708</v>
      </c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>
        <f t="shared" si="8"/>
        <v>0</v>
      </c>
      <c r="N561" s="17"/>
      <c r="O561" s="16"/>
      <c r="P561" s="16"/>
      <c r="Q561" s="16"/>
      <c r="R561" s="16"/>
      <c r="S561" s="16"/>
      <c r="T561" s="16"/>
      <c r="U561" s="16"/>
      <c r="V561" s="16"/>
      <c r="W561" s="16"/>
      <c r="X561" s="16"/>
    </row>
    <row r="562" spans="1:24">
      <c r="A562" s="19">
        <v>46335</v>
      </c>
      <c r="B562" s="18" t="s">
        <v>708</v>
      </c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>
        <f t="shared" si="8"/>
        <v>0</v>
      </c>
      <c r="N562" s="17"/>
      <c r="O562" s="16"/>
      <c r="P562" s="16"/>
      <c r="Q562" s="16"/>
      <c r="R562" s="16"/>
      <c r="S562" s="16"/>
      <c r="T562" s="16"/>
      <c r="U562" s="16"/>
      <c r="V562" s="16"/>
      <c r="W562" s="16"/>
      <c r="X562" s="16"/>
    </row>
    <row r="563" spans="1:24">
      <c r="A563" s="19">
        <v>46336</v>
      </c>
      <c r="B563" s="18" t="s">
        <v>708</v>
      </c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>
        <f t="shared" si="8"/>
        <v>0</v>
      </c>
      <c r="N563" s="17"/>
      <c r="O563" s="16"/>
      <c r="P563" s="16"/>
      <c r="Q563" s="16"/>
      <c r="R563" s="16"/>
      <c r="S563" s="16"/>
      <c r="T563" s="16"/>
      <c r="U563" s="16"/>
      <c r="V563" s="16"/>
      <c r="W563" s="16"/>
      <c r="X563" s="16"/>
    </row>
    <row r="564" spans="1:24">
      <c r="A564" s="19">
        <v>46337</v>
      </c>
      <c r="B564" s="18" t="s">
        <v>708</v>
      </c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>
        <f t="shared" si="8"/>
        <v>0</v>
      </c>
      <c r="N564" s="17"/>
      <c r="O564" s="16"/>
      <c r="P564" s="16"/>
      <c r="Q564" s="16"/>
      <c r="R564" s="16"/>
      <c r="S564" s="16"/>
      <c r="T564" s="16"/>
      <c r="U564" s="16"/>
      <c r="V564" s="16"/>
      <c r="W564" s="16"/>
      <c r="X564" s="16"/>
    </row>
    <row r="565" spans="1:24">
      <c r="A565" s="19">
        <v>46338</v>
      </c>
      <c r="B565" s="18" t="s">
        <v>708</v>
      </c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>
        <f t="shared" si="8"/>
        <v>0</v>
      </c>
      <c r="N565" s="17"/>
      <c r="O565" s="16"/>
      <c r="P565" s="16"/>
      <c r="Q565" s="16"/>
      <c r="R565" s="16"/>
      <c r="S565" s="16"/>
      <c r="T565" s="16"/>
      <c r="U565" s="16"/>
      <c r="V565" s="16"/>
      <c r="W565" s="16"/>
      <c r="X565" s="16"/>
    </row>
    <row r="566" spans="1:24">
      <c r="A566" s="19">
        <v>46339</v>
      </c>
      <c r="B566" s="18" t="s">
        <v>708</v>
      </c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>
        <f t="shared" si="8"/>
        <v>0</v>
      </c>
      <c r="N566" s="17"/>
      <c r="O566" s="16"/>
      <c r="P566" s="16"/>
      <c r="Q566" s="16"/>
      <c r="R566" s="16"/>
      <c r="S566" s="16"/>
      <c r="T566" s="16"/>
      <c r="U566" s="16"/>
      <c r="V566" s="16"/>
      <c r="W566" s="16"/>
      <c r="X566" s="16"/>
    </row>
    <row r="567" spans="1:24">
      <c r="A567" s="19">
        <v>46340</v>
      </c>
      <c r="B567" s="18" t="s">
        <v>708</v>
      </c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>
        <f t="shared" si="8"/>
        <v>0</v>
      </c>
      <c r="N567" s="17"/>
      <c r="O567" s="16"/>
      <c r="P567" s="16"/>
      <c r="Q567" s="16"/>
      <c r="R567" s="16"/>
      <c r="S567" s="16"/>
      <c r="T567" s="16"/>
      <c r="U567" s="16"/>
      <c r="V567" s="16"/>
      <c r="W567" s="16"/>
      <c r="X567" s="16"/>
    </row>
    <row r="568" spans="1:24">
      <c r="A568" s="19">
        <v>46341</v>
      </c>
      <c r="B568" s="18" t="s">
        <v>708</v>
      </c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>
        <f t="shared" si="8"/>
        <v>0</v>
      </c>
      <c r="N568" s="17"/>
      <c r="O568" s="16"/>
      <c r="P568" s="16"/>
      <c r="Q568" s="16"/>
      <c r="R568" s="16"/>
      <c r="S568" s="16"/>
      <c r="T568" s="16"/>
      <c r="U568" s="16"/>
      <c r="V568" s="16"/>
      <c r="W568" s="16"/>
      <c r="X568" s="16"/>
    </row>
    <row r="569" spans="1:24">
      <c r="A569" s="19">
        <v>46342</v>
      </c>
      <c r="B569" s="18" t="s">
        <v>708</v>
      </c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>
        <f t="shared" si="8"/>
        <v>0</v>
      </c>
      <c r="N569" s="17"/>
      <c r="O569" s="16"/>
      <c r="P569" s="16"/>
      <c r="Q569" s="16"/>
      <c r="R569" s="16"/>
      <c r="S569" s="16"/>
      <c r="T569" s="16"/>
      <c r="U569" s="16"/>
      <c r="V569" s="16"/>
      <c r="W569" s="16"/>
      <c r="X569" s="16"/>
    </row>
    <row r="570" spans="1:24">
      <c r="A570" s="19">
        <v>46343</v>
      </c>
      <c r="B570" s="18" t="s">
        <v>708</v>
      </c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>
        <f t="shared" si="8"/>
        <v>0</v>
      </c>
      <c r="N570" s="17"/>
      <c r="O570" s="16"/>
      <c r="P570" s="16"/>
      <c r="Q570" s="16"/>
      <c r="R570" s="16"/>
      <c r="S570" s="16"/>
      <c r="T570" s="16"/>
      <c r="U570" s="16"/>
      <c r="V570" s="16"/>
      <c r="W570" s="16"/>
      <c r="X570" s="16"/>
    </row>
    <row r="571" spans="1:24">
      <c r="A571" s="19">
        <v>46344</v>
      </c>
      <c r="B571" s="18" t="s">
        <v>708</v>
      </c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>
        <f t="shared" si="8"/>
        <v>0</v>
      </c>
      <c r="N571" s="17"/>
      <c r="O571" s="16"/>
      <c r="P571" s="16"/>
      <c r="Q571" s="16"/>
      <c r="R571" s="16"/>
      <c r="S571" s="16"/>
      <c r="T571" s="16"/>
      <c r="U571" s="16"/>
      <c r="V571" s="16"/>
      <c r="W571" s="16"/>
      <c r="X571" s="16"/>
    </row>
    <row r="572" spans="1:24">
      <c r="A572" s="19">
        <v>46345</v>
      </c>
      <c r="B572" s="18" t="s">
        <v>708</v>
      </c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>
        <f t="shared" si="8"/>
        <v>0</v>
      </c>
      <c r="N572" s="17"/>
      <c r="O572" s="16"/>
      <c r="P572" s="16"/>
      <c r="Q572" s="16"/>
      <c r="R572" s="16"/>
      <c r="S572" s="16"/>
      <c r="T572" s="16"/>
      <c r="U572" s="16"/>
      <c r="V572" s="16"/>
      <c r="W572" s="16"/>
      <c r="X572" s="16"/>
    </row>
    <row r="573" spans="1:24">
      <c r="A573" s="19">
        <v>46346</v>
      </c>
      <c r="B573" s="18" t="s">
        <v>708</v>
      </c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>
        <f t="shared" si="8"/>
        <v>0</v>
      </c>
      <c r="N573" s="17"/>
      <c r="O573" s="16"/>
      <c r="P573" s="16"/>
      <c r="Q573" s="16"/>
      <c r="R573" s="16"/>
      <c r="S573" s="16"/>
      <c r="T573" s="16"/>
      <c r="U573" s="16"/>
      <c r="V573" s="16"/>
      <c r="W573" s="16"/>
      <c r="X573" s="16"/>
    </row>
    <row r="574" spans="1:24">
      <c r="A574" s="19">
        <v>46347</v>
      </c>
      <c r="B574" s="18" t="s">
        <v>708</v>
      </c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>
        <f t="shared" si="8"/>
        <v>0</v>
      </c>
      <c r="N574" s="17"/>
      <c r="O574" s="16"/>
      <c r="P574" s="16"/>
      <c r="Q574" s="16"/>
      <c r="R574" s="16"/>
      <c r="S574" s="16"/>
      <c r="T574" s="16"/>
      <c r="U574" s="16"/>
      <c r="V574" s="16"/>
      <c r="W574" s="16"/>
      <c r="X574" s="16"/>
    </row>
    <row r="575" spans="1:24">
      <c r="A575" s="19">
        <v>46348</v>
      </c>
      <c r="B575" s="18" t="s">
        <v>708</v>
      </c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>
        <f t="shared" si="8"/>
        <v>0</v>
      </c>
      <c r="N575" s="17"/>
      <c r="O575" s="16"/>
      <c r="P575" s="16"/>
      <c r="Q575" s="16"/>
      <c r="R575" s="16"/>
      <c r="S575" s="16"/>
      <c r="T575" s="16"/>
      <c r="U575" s="16"/>
      <c r="V575" s="16"/>
      <c r="W575" s="16"/>
      <c r="X575" s="16"/>
    </row>
    <row r="576" spans="1:24">
      <c r="A576" s="19">
        <v>46349</v>
      </c>
      <c r="B576" s="18" t="s">
        <v>708</v>
      </c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>
        <f t="shared" si="8"/>
        <v>0</v>
      </c>
      <c r="N576" s="17"/>
      <c r="O576" s="16"/>
      <c r="P576" s="16"/>
      <c r="Q576" s="16"/>
      <c r="R576" s="16"/>
      <c r="S576" s="16"/>
      <c r="T576" s="16"/>
      <c r="U576" s="16"/>
      <c r="V576" s="16"/>
      <c r="W576" s="16"/>
      <c r="X576" s="16"/>
    </row>
    <row r="577" spans="1:24">
      <c r="A577" s="19">
        <v>46350</v>
      </c>
      <c r="B577" s="18" t="s">
        <v>708</v>
      </c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>
        <f t="shared" si="8"/>
        <v>0</v>
      </c>
      <c r="N577" s="17"/>
      <c r="O577" s="16"/>
      <c r="P577" s="16"/>
      <c r="Q577" s="16"/>
      <c r="R577" s="16"/>
      <c r="S577" s="16"/>
      <c r="T577" s="16"/>
      <c r="U577" s="16"/>
      <c r="V577" s="16"/>
      <c r="W577" s="16"/>
      <c r="X577" s="16"/>
    </row>
    <row r="578" spans="1:24">
      <c r="A578" s="19">
        <v>46351</v>
      </c>
      <c r="B578" s="18" t="s">
        <v>708</v>
      </c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>
        <f t="shared" si="8"/>
        <v>0</v>
      </c>
      <c r="N578" s="17"/>
      <c r="O578" s="16"/>
      <c r="P578" s="16"/>
      <c r="Q578" s="16"/>
      <c r="R578" s="16"/>
      <c r="S578" s="16"/>
      <c r="T578" s="16"/>
      <c r="U578" s="16"/>
      <c r="V578" s="16"/>
      <c r="W578" s="16"/>
      <c r="X578" s="16"/>
    </row>
    <row r="579" spans="1:24">
      <c r="A579" s="19">
        <v>46352</v>
      </c>
      <c r="B579" s="18" t="s">
        <v>708</v>
      </c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>
        <f t="shared" ref="M579:M642" si="9">N579-SUM(C579:L579)</f>
        <v>0</v>
      </c>
      <c r="N579" s="17"/>
      <c r="O579" s="16"/>
      <c r="P579" s="16"/>
      <c r="Q579" s="16"/>
      <c r="R579" s="16"/>
      <c r="S579" s="16"/>
      <c r="T579" s="16"/>
      <c r="U579" s="16"/>
      <c r="V579" s="16"/>
      <c r="W579" s="16"/>
      <c r="X579" s="16"/>
    </row>
    <row r="580" spans="1:24">
      <c r="A580" s="19">
        <v>46353</v>
      </c>
      <c r="B580" s="18" t="s">
        <v>708</v>
      </c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>
        <f t="shared" si="9"/>
        <v>0</v>
      </c>
      <c r="N580" s="17"/>
      <c r="O580" s="16"/>
      <c r="P580" s="16"/>
      <c r="Q580" s="16"/>
      <c r="R580" s="16"/>
      <c r="S580" s="16"/>
      <c r="T580" s="16"/>
      <c r="U580" s="16"/>
      <c r="V580" s="16"/>
      <c r="W580" s="16"/>
      <c r="X580" s="16"/>
    </row>
    <row r="581" spans="1:24">
      <c r="A581" s="19">
        <v>46354</v>
      </c>
      <c r="B581" s="18" t="s">
        <v>708</v>
      </c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>
        <f t="shared" si="9"/>
        <v>0</v>
      </c>
      <c r="N581" s="17"/>
      <c r="O581" s="16"/>
      <c r="P581" s="16"/>
      <c r="Q581" s="16"/>
      <c r="R581" s="16"/>
      <c r="S581" s="16"/>
      <c r="T581" s="16"/>
      <c r="U581" s="16"/>
      <c r="V581" s="16"/>
      <c r="W581" s="16"/>
      <c r="X581" s="16"/>
    </row>
    <row r="582" spans="1:24">
      <c r="A582" s="19">
        <v>46355</v>
      </c>
      <c r="B582" s="18" t="s">
        <v>708</v>
      </c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>
        <f t="shared" si="9"/>
        <v>0</v>
      </c>
      <c r="N582" s="17"/>
      <c r="O582" s="16"/>
      <c r="P582" s="16"/>
      <c r="Q582" s="16"/>
      <c r="R582" s="16"/>
      <c r="S582" s="16"/>
      <c r="T582" s="16"/>
      <c r="U582" s="16"/>
      <c r="V582" s="16"/>
      <c r="W582" s="16"/>
      <c r="X582" s="16"/>
    </row>
    <row r="583" spans="1:24">
      <c r="A583" s="19">
        <v>46356</v>
      </c>
      <c r="B583" s="18" t="s">
        <v>708</v>
      </c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>
        <f t="shared" si="9"/>
        <v>0</v>
      </c>
      <c r="N583" s="17"/>
      <c r="O583" s="16"/>
      <c r="P583" s="16"/>
      <c r="Q583" s="16"/>
      <c r="R583" s="16"/>
      <c r="S583" s="16"/>
      <c r="T583" s="16"/>
      <c r="U583" s="16"/>
      <c r="V583" s="16"/>
      <c r="W583" s="16"/>
      <c r="X583" s="16"/>
    </row>
    <row r="584" spans="1:24">
      <c r="A584" s="19">
        <v>46357</v>
      </c>
      <c r="B584" s="18" t="s">
        <v>708</v>
      </c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>
        <f t="shared" si="9"/>
        <v>0</v>
      </c>
      <c r="N584" s="17"/>
      <c r="O584" s="16"/>
      <c r="P584" s="16"/>
      <c r="Q584" s="16"/>
      <c r="R584" s="16"/>
      <c r="S584" s="16"/>
      <c r="T584" s="16"/>
      <c r="U584" s="16"/>
      <c r="V584" s="16"/>
      <c r="W584" s="16"/>
      <c r="X584" s="16"/>
    </row>
    <row r="585" spans="1:24">
      <c r="A585" s="19">
        <v>46358</v>
      </c>
      <c r="B585" s="18" t="s">
        <v>708</v>
      </c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>
        <f t="shared" si="9"/>
        <v>0</v>
      </c>
      <c r="N585" s="17"/>
      <c r="O585" s="16"/>
      <c r="P585" s="16"/>
      <c r="Q585" s="16"/>
      <c r="R585" s="16"/>
      <c r="S585" s="16"/>
      <c r="T585" s="16"/>
      <c r="U585" s="16"/>
      <c r="V585" s="16"/>
      <c r="W585" s="16"/>
      <c r="X585" s="16"/>
    </row>
    <row r="586" spans="1:24">
      <c r="A586" s="19">
        <v>46359</v>
      </c>
      <c r="B586" s="18" t="s">
        <v>708</v>
      </c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>
        <f t="shared" si="9"/>
        <v>0</v>
      </c>
      <c r="N586" s="17"/>
      <c r="O586" s="16"/>
      <c r="P586" s="16"/>
      <c r="Q586" s="16"/>
      <c r="R586" s="16"/>
      <c r="S586" s="16"/>
      <c r="T586" s="16"/>
      <c r="U586" s="16"/>
      <c r="V586" s="16"/>
      <c r="W586" s="16"/>
      <c r="X586" s="16"/>
    </row>
    <row r="587" spans="1:24">
      <c r="A587" s="19">
        <v>46360</v>
      </c>
      <c r="B587" s="18" t="s">
        <v>708</v>
      </c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>
        <f t="shared" si="9"/>
        <v>0</v>
      </c>
      <c r="N587" s="17"/>
      <c r="O587" s="16"/>
      <c r="P587" s="16"/>
      <c r="Q587" s="16"/>
      <c r="R587" s="16"/>
      <c r="S587" s="16"/>
      <c r="T587" s="16"/>
      <c r="U587" s="16"/>
      <c r="V587" s="16"/>
      <c r="W587" s="16"/>
      <c r="X587" s="16"/>
    </row>
    <row r="588" spans="1:24">
      <c r="A588" s="19">
        <v>46361</v>
      </c>
      <c r="B588" s="18" t="s">
        <v>708</v>
      </c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>
        <f t="shared" si="9"/>
        <v>0</v>
      </c>
      <c r="N588" s="17"/>
      <c r="O588" s="16"/>
      <c r="P588" s="16"/>
      <c r="Q588" s="16"/>
      <c r="R588" s="16"/>
      <c r="S588" s="16"/>
      <c r="T588" s="16"/>
      <c r="U588" s="16"/>
      <c r="V588" s="16"/>
      <c r="W588" s="16"/>
      <c r="X588" s="16"/>
    </row>
    <row r="589" spans="1:24">
      <c r="A589" s="19">
        <v>46362</v>
      </c>
      <c r="B589" s="18" t="s">
        <v>708</v>
      </c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>
        <f t="shared" si="9"/>
        <v>0</v>
      </c>
      <c r="N589" s="17"/>
      <c r="O589" s="16"/>
      <c r="P589" s="16"/>
      <c r="Q589" s="16"/>
      <c r="R589" s="16"/>
      <c r="S589" s="16"/>
      <c r="T589" s="16"/>
      <c r="U589" s="16"/>
      <c r="V589" s="16"/>
      <c r="W589" s="16"/>
      <c r="X589" s="16"/>
    </row>
    <row r="590" spans="1:24">
      <c r="A590" s="19">
        <v>46363</v>
      </c>
      <c r="B590" s="18" t="s">
        <v>708</v>
      </c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>
        <f t="shared" si="9"/>
        <v>0</v>
      </c>
      <c r="N590" s="17"/>
      <c r="O590" s="16"/>
      <c r="P590" s="16"/>
      <c r="Q590" s="16"/>
      <c r="R590" s="16"/>
      <c r="S590" s="16"/>
      <c r="T590" s="16"/>
      <c r="U590" s="16"/>
      <c r="V590" s="16"/>
      <c r="W590" s="16"/>
      <c r="X590" s="16"/>
    </row>
    <row r="591" spans="1:24">
      <c r="A591" s="19">
        <v>46364</v>
      </c>
      <c r="B591" s="18" t="s">
        <v>708</v>
      </c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>
        <f t="shared" si="9"/>
        <v>0</v>
      </c>
      <c r="N591" s="17"/>
      <c r="O591" s="16"/>
      <c r="P591" s="16"/>
      <c r="Q591" s="16"/>
      <c r="R591" s="16"/>
      <c r="S591" s="16"/>
      <c r="T591" s="16"/>
      <c r="U591" s="16"/>
      <c r="V591" s="16"/>
      <c r="W591" s="16"/>
      <c r="X591" s="16"/>
    </row>
    <row r="592" spans="1:24">
      <c r="A592" s="19">
        <v>46365</v>
      </c>
      <c r="B592" s="18" t="s">
        <v>708</v>
      </c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>
        <f t="shared" si="9"/>
        <v>0</v>
      </c>
      <c r="N592" s="17"/>
      <c r="O592" s="16"/>
      <c r="P592" s="16"/>
      <c r="Q592" s="16"/>
      <c r="R592" s="16"/>
      <c r="S592" s="16"/>
      <c r="T592" s="16"/>
      <c r="U592" s="16"/>
      <c r="V592" s="16"/>
      <c r="W592" s="16"/>
      <c r="X592" s="16"/>
    </row>
    <row r="593" spans="1:24">
      <c r="A593" s="19">
        <v>46366</v>
      </c>
      <c r="B593" s="18" t="s">
        <v>708</v>
      </c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>
        <f t="shared" si="9"/>
        <v>0</v>
      </c>
      <c r="N593" s="17"/>
      <c r="O593" s="16"/>
      <c r="P593" s="16"/>
      <c r="Q593" s="16"/>
      <c r="R593" s="16"/>
      <c r="S593" s="16"/>
      <c r="T593" s="16"/>
      <c r="U593" s="16"/>
      <c r="V593" s="16"/>
      <c r="W593" s="16"/>
      <c r="X593" s="16"/>
    </row>
    <row r="594" spans="1:24">
      <c r="A594" s="19">
        <v>46367</v>
      </c>
      <c r="B594" s="18" t="s">
        <v>708</v>
      </c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>
        <f t="shared" si="9"/>
        <v>0</v>
      </c>
      <c r="N594" s="17"/>
      <c r="O594" s="16"/>
      <c r="P594" s="16"/>
      <c r="Q594" s="16"/>
      <c r="R594" s="16"/>
      <c r="S594" s="16"/>
      <c r="T594" s="16"/>
      <c r="U594" s="16"/>
      <c r="V594" s="16"/>
      <c r="W594" s="16"/>
      <c r="X594" s="16"/>
    </row>
    <row r="595" spans="1:24">
      <c r="A595" s="19">
        <v>46368</v>
      </c>
      <c r="B595" s="18" t="s">
        <v>708</v>
      </c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>
        <f t="shared" si="9"/>
        <v>0</v>
      </c>
      <c r="N595" s="17"/>
      <c r="O595" s="16"/>
      <c r="P595" s="16"/>
      <c r="Q595" s="16"/>
      <c r="R595" s="16"/>
      <c r="S595" s="16"/>
      <c r="T595" s="16"/>
      <c r="U595" s="16"/>
      <c r="V595" s="16"/>
      <c r="W595" s="16"/>
      <c r="X595" s="16"/>
    </row>
    <row r="596" spans="1:24">
      <c r="A596" s="19">
        <v>46369</v>
      </c>
      <c r="B596" s="18" t="s">
        <v>708</v>
      </c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>
        <f t="shared" si="9"/>
        <v>0</v>
      </c>
      <c r="N596" s="17"/>
      <c r="O596" s="16"/>
      <c r="P596" s="16"/>
      <c r="Q596" s="16"/>
      <c r="R596" s="16"/>
      <c r="S596" s="16"/>
      <c r="T596" s="16"/>
      <c r="U596" s="16"/>
      <c r="V596" s="16"/>
      <c r="W596" s="16"/>
      <c r="X596" s="16"/>
    </row>
    <row r="597" spans="1:24">
      <c r="A597" s="19">
        <v>46370</v>
      </c>
      <c r="B597" s="18" t="s">
        <v>708</v>
      </c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>
        <f t="shared" si="9"/>
        <v>0</v>
      </c>
      <c r="N597" s="17"/>
      <c r="O597" s="16"/>
      <c r="P597" s="16"/>
      <c r="Q597" s="16"/>
      <c r="R597" s="16"/>
      <c r="S597" s="16"/>
      <c r="T597" s="16"/>
      <c r="U597" s="16"/>
      <c r="V597" s="16"/>
      <c r="W597" s="16"/>
      <c r="X597" s="16"/>
    </row>
    <row r="598" spans="1:24">
      <c r="A598" s="19">
        <v>46371</v>
      </c>
      <c r="B598" s="18" t="s">
        <v>708</v>
      </c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>
        <f t="shared" si="9"/>
        <v>0</v>
      </c>
      <c r="N598" s="17"/>
      <c r="O598" s="16"/>
      <c r="P598" s="16"/>
      <c r="Q598" s="16"/>
      <c r="R598" s="16"/>
      <c r="S598" s="16"/>
      <c r="T598" s="16"/>
      <c r="U598" s="16"/>
      <c r="V598" s="16"/>
      <c r="W598" s="16"/>
      <c r="X598" s="16"/>
    </row>
    <row r="599" spans="1:24">
      <c r="A599" s="19">
        <v>46372</v>
      </c>
      <c r="B599" s="18" t="s">
        <v>708</v>
      </c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>
        <f t="shared" si="9"/>
        <v>0</v>
      </c>
      <c r="N599" s="17"/>
      <c r="O599" s="16"/>
      <c r="P599" s="16"/>
      <c r="Q599" s="16"/>
      <c r="R599" s="16"/>
      <c r="S599" s="16"/>
      <c r="T599" s="16"/>
      <c r="U599" s="16"/>
      <c r="V599" s="16"/>
      <c r="W599" s="16"/>
      <c r="X599" s="16"/>
    </row>
    <row r="600" spans="1:24">
      <c r="A600" s="19">
        <v>46373</v>
      </c>
      <c r="B600" s="18" t="s">
        <v>708</v>
      </c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>
        <f t="shared" si="9"/>
        <v>0</v>
      </c>
      <c r="N600" s="17"/>
      <c r="O600" s="16"/>
      <c r="P600" s="16"/>
      <c r="Q600" s="16"/>
      <c r="R600" s="16"/>
      <c r="S600" s="16"/>
      <c r="T600" s="16"/>
      <c r="U600" s="16"/>
      <c r="V600" s="16"/>
      <c r="W600" s="16"/>
      <c r="X600" s="16"/>
    </row>
    <row r="601" spans="1:24">
      <c r="A601" s="19">
        <v>46374</v>
      </c>
      <c r="B601" s="18" t="s">
        <v>708</v>
      </c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>
        <f t="shared" si="9"/>
        <v>0</v>
      </c>
      <c r="N601" s="17"/>
      <c r="O601" s="16"/>
      <c r="P601" s="16"/>
      <c r="Q601" s="16"/>
      <c r="R601" s="16"/>
      <c r="S601" s="16"/>
      <c r="T601" s="16"/>
      <c r="U601" s="16"/>
      <c r="V601" s="16"/>
      <c r="W601" s="16"/>
      <c r="X601" s="16"/>
    </row>
    <row r="602" spans="1:24">
      <c r="A602" s="19">
        <v>46375</v>
      </c>
      <c r="B602" s="18" t="s">
        <v>708</v>
      </c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>
        <f t="shared" si="9"/>
        <v>0</v>
      </c>
      <c r="N602" s="17"/>
      <c r="O602" s="16"/>
      <c r="P602" s="16"/>
      <c r="Q602" s="16"/>
      <c r="R602" s="16"/>
      <c r="S602" s="16"/>
      <c r="T602" s="16"/>
      <c r="U602" s="16"/>
      <c r="V602" s="16"/>
      <c r="W602" s="16"/>
      <c r="X602" s="16"/>
    </row>
    <row r="603" spans="1:24">
      <c r="A603" s="19">
        <v>46376</v>
      </c>
      <c r="B603" s="18" t="s">
        <v>708</v>
      </c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>
        <f t="shared" si="9"/>
        <v>0</v>
      </c>
      <c r="N603" s="17"/>
      <c r="O603" s="16"/>
      <c r="P603" s="16"/>
      <c r="Q603" s="16"/>
      <c r="R603" s="16"/>
      <c r="S603" s="16"/>
      <c r="T603" s="16"/>
      <c r="U603" s="16"/>
      <c r="V603" s="16"/>
      <c r="W603" s="16"/>
      <c r="X603" s="16"/>
    </row>
    <row r="604" spans="1:24">
      <c r="A604" s="19">
        <v>46377</v>
      </c>
      <c r="B604" s="18" t="s">
        <v>708</v>
      </c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>
        <f t="shared" si="9"/>
        <v>0</v>
      </c>
      <c r="N604" s="17"/>
      <c r="O604" s="16"/>
      <c r="P604" s="16"/>
      <c r="Q604" s="16"/>
      <c r="R604" s="16"/>
      <c r="S604" s="16"/>
      <c r="T604" s="16"/>
      <c r="U604" s="16"/>
      <c r="V604" s="16"/>
      <c r="W604" s="16"/>
      <c r="X604" s="16"/>
    </row>
    <row r="605" spans="1:24">
      <c r="A605" s="19">
        <v>46378</v>
      </c>
      <c r="B605" s="18" t="s">
        <v>708</v>
      </c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>
        <f t="shared" si="9"/>
        <v>0</v>
      </c>
      <c r="N605" s="17"/>
      <c r="O605" s="16"/>
      <c r="P605" s="16"/>
      <c r="Q605" s="16"/>
      <c r="R605" s="16"/>
      <c r="S605" s="16"/>
      <c r="T605" s="16"/>
      <c r="U605" s="16"/>
      <c r="V605" s="16"/>
      <c r="W605" s="16"/>
      <c r="X605" s="16"/>
    </row>
    <row r="606" spans="1:24">
      <c r="A606" s="19">
        <v>46379</v>
      </c>
      <c r="B606" s="18" t="s">
        <v>708</v>
      </c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>
        <f t="shared" si="9"/>
        <v>0</v>
      </c>
      <c r="N606" s="17"/>
      <c r="O606" s="16"/>
      <c r="P606" s="16"/>
      <c r="Q606" s="16"/>
      <c r="R606" s="16"/>
      <c r="S606" s="16"/>
      <c r="T606" s="16"/>
      <c r="U606" s="16"/>
      <c r="V606" s="16"/>
      <c r="W606" s="16"/>
      <c r="X606" s="16"/>
    </row>
    <row r="607" spans="1:24">
      <c r="A607" s="19">
        <v>46380</v>
      </c>
      <c r="B607" s="18" t="s">
        <v>708</v>
      </c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>
        <f t="shared" si="9"/>
        <v>0</v>
      </c>
      <c r="N607" s="17"/>
      <c r="O607" s="16"/>
      <c r="P607" s="16"/>
      <c r="Q607" s="16"/>
      <c r="R607" s="16"/>
      <c r="S607" s="16"/>
      <c r="T607" s="16"/>
      <c r="U607" s="16"/>
      <c r="V607" s="16"/>
      <c r="W607" s="16"/>
      <c r="X607" s="16"/>
    </row>
    <row r="608" spans="1:24">
      <c r="A608" s="19">
        <v>46381</v>
      </c>
      <c r="B608" s="18" t="s">
        <v>708</v>
      </c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>
        <f t="shared" si="9"/>
        <v>0</v>
      </c>
      <c r="N608" s="17"/>
      <c r="O608" s="16"/>
      <c r="P608" s="16"/>
      <c r="Q608" s="16"/>
      <c r="R608" s="16"/>
      <c r="S608" s="16"/>
      <c r="T608" s="16"/>
      <c r="U608" s="16"/>
      <c r="V608" s="16"/>
      <c r="W608" s="16"/>
      <c r="X608" s="16"/>
    </row>
    <row r="609" spans="1:24">
      <c r="A609" s="19">
        <v>46382</v>
      </c>
      <c r="B609" s="18" t="s">
        <v>708</v>
      </c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>
        <f t="shared" si="9"/>
        <v>0</v>
      </c>
      <c r="N609" s="17"/>
      <c r="O609" s="16"/>
      <c r="P609" s="16"/>
      <c r="Q609" s="16"/>
      <c r="R609" s="16"/>
      <c r="S609" s="16"/>
      <c r="T609" s="16"/>
      <c r="U609" s="16"/>
      <c r="V609" s="16"/>
      <c r="W609" s="16"/>
      <c r="X609" s="16"/>
    </row>
    <row r="610" spans="1:24">
      <c r="A610" s="19">
        <v>46383</v>
      </c>
      <c r="B610" s="18" t="s">
        <v>708</v>
      </c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>
        <f t="shared" si="9"/>
        <v>0</v>
      </c>
      <c r="N610" s="17"/>
      <c r="O610" s="16"/>
      <c r="P610" s="16"/>
      <c r="Q610" s="16"/>
      <c r="R610" s="16"/>
      <c r="S610" s="16"/>
      <c r="T610" s="16"/>
      <c r="U610" s="16"/>
      <c r="V610" s="16"/>
      <c r="W610" s="16"/>
      <c r="X610" s="16"/>
    </row>
    <row r="611" spans="1:24">
      <c r="A611" s="19">
        <v>46384</v>
      </c>
      <c r="B611" s="18" t="s">
        <v>708</v>
      </c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>
        <f t="shared" si="9"/>
        <v>0</v>
      </c>
      <c r="N611" s="17"/>
      <c r="O611" s="16"/>
      <c r="P611" s="16"/>
      <c r="Q611" s="16"/>
      <c r="R611" s="16"/>
      <c r="S611" s="16"/>
      <c r="T611" s="16"/>
      <c r="U611" s="16"/>
      <c r="V611" s="16"/>
      <c r="W611" s="16"/>
      <c r="X611" s="16"/>
    </row>
    <row r="612" spans="1:24">
      <c r="A612" s="19">
        <v>46385</v>
      </c>
      <c r="B612" s="18" t="s">
        <v>708</v>
      </c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>
        <f t="shared" si="9"/>
        <v>0</v>
      </c>
      <c r="N612" s="17"/>
      <c r="O612" s="16"/>
      <c r="P612" s="16"/>
      <c r="Q612" s="16"/>
      <c r="R612" s="16"/>
      <c r="S612" s="16"/>
      <c r="T612" s="16"/>
      <c r="U612" s="16"/>
      <c r="V612" s="16"/>
      <c r="W612" s="16"/>
      <c r="X612" s="16"/>
    </row>
    <row r="613" spans="1:24">
      <c r="A613" s="19">
        <v>46386</v>
      </c>
      <c r="B613" s="18" t="s">
        <v>708</v>
      </c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>
        <f t="shared" si="9"/>
        <v>0</v>
      </c>
      <c r="N613" s="17"/>
      <c r="O613" s="16"/>
      <c r="P613" s="16"/>
      <c r="Q613" s="16"/>
      <c r="R613" s="16"/>
      <c r="S613" s="16"/>
      <c r="T613" s="16"/>
      <c r="U613" s="16"/>
      <c r="V613" s="16"/>
      <c r="W613" s="16"/>
      <c r="X613" s="16"/>
    </row>
    <row r="614" spans="1:24">
      <c r="A614" s="19">
        <v>46387</v>
      </c>
      <c r="B614" s="18" t="s">
        <v>708</v>
      </c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>
        <f t="shared" si="9"/>
        <v>0</v>
      </c>
      <c r="N614" s="17"/>
      <c r="O614" s="16"/>
      <c r="P614" s="16"/>
      <c r="Q614" s="16"/>
      <c r="R614" s="16"/>
      <c r="S614" s="16"/>
      <c r="T614" s="16"/>
      <c r="U614" s="16"/>
      <c r="V614" s="16"/>
      <c r="W614" s="16"/>
      <c r="X614" s="16"/>
    </row>
    <row r="615" spans="1:24">
      <c r="A615" s="19">
        <v>46082</v>
      </c>
      <c r="B615" s="18" t="s">
        <v>709</v>
      </c>
      <c r="C615" s="16">
        <v>361.3005</v>
      </c>
      <c r="D615" s="16">
        <v>361.3005</v>
      </c>
      <c r="E615" s="16">
        <v>295.60950000000003</v>
      </c>
      <c r="F615" s="16">
        <v>624.06450000000007</v>
      </c>
      <c r="G615" s="16">
        <v>361.3005</v>
      </c>
      <c r="H615" s="16">
        <v>426.99150000000003</v>
      </c>
      <c r="I615" s="16">
        <v>262.76400000000001</v>
      </c>
      <c r="J615" s="16">
        <v>131.38200000000001</v>
      </c>
      <c r="K615" s="16">
        <v>328.45500000000004</v>
      </c>
      <c r="L615" s="16">
        <v>131.38200000000001</v>
      </c>
      <c r="M615" s="16">
        <f t="shared" si="9"/>
        <v>770.44999999999982</v>
      </c>
      <c r="N615" s="17">
        <v>4055</v>
      </c>
      <c r="O615" s="16">
        <v>130</v>
      </c>
      <c r="P615" s="16">
        <v>2</v>
      </c>
      <c r="Q615" s="16">
        <v>955</v>
      </c>
      <c r="R615" s="16">
        <v>900</v>
      </c>
      <c r="S615" s="16">
        <v>500</v>
      </c>
      <c r="T615" s="16">
        <v>500</v>
      </c>
      <c r="U615" s="16">
        <v>0</v>
      </c>
      <c r="V615" s="16">
        <v>424</v>
      </c>
      <c r="W615" s="16">
        <v>644</v>
      </c>
      <c r="X615" s="16">
        <v>0</v>
      </c>
    </row>
    <row r="616" spans="1:24">
      <c r="A616" s="19">
        <v>46083</v>
      </c>
      <c r="B616" s="18" t="s">
        <v>287</v>
      </c>
      <c r="C616" s="16">
        <v>357.46920000000006</v>
      </c>
      <c r="D616" s="16">
        <v>357.46920000000006</v>
      </c>
      <c r="E616" s="16">
        <v>292.47480000000002</v>
      </c>
      <c r="F616" s="16">
        <v>617.44680000000005</v>
      </c>
      <c r="G616" s="16">
        <v>357.46920000000006</v>
      </c>
      <c r="H616" s="16">
        <v>422.46360000000004</v>
      </c>
      <c r="I616" s="16">
        <v>259.97760000000005</v>
      </c>
      <c r="J616" s="16">
        <v>129.98880000000003</v>
      </c>
      <c r="K616" s="16">
        <v>324.97200000000004</v>
      </c>
      <c r="L616" s="16">
        <v>129.98880000000003</v>
      </c>
      <c r="M616" s="16">
        <f t="shared" si="9"/>
        <v>762.27999999999929</v>
      </c>
      <c r="N616" s="17">
        <v>4012</v>
      </c>
      <c r="O616" s="16">
        <v>130</v>
      </c>
      <c r="P616" s="16">
        <v>2</v>
      </c>
      <c r="Q616" s="16">
        <v>738</v>
      </c>
      <c r="R616" s="16">
        <v>900</v>
      </c>
      <c r="S616" s="16">
        <v>450</v>
      </c>
      <c r="T616" s="16">
        <v>500</v>
      </c>
      <c r="U616" s="16">
        <v>0</v>
      </c>
      <c r="V616" s="16">
        <v>424</v>
      </c>
      <c r="W616" s="16">
        <v>768</v>
      </c>
      <c r="X616" s="16">
        <v>100</v>
      </c>
    </row>
    <row r="617" spans="1:24">
      <c r="A617" s="19">
        <v>46084</v>
      </c>
      <c r="B617" s="18" t="s">
        <v>287</v>
      </c>
      <c r="C617" s="16">
        <v>360.49860000000001</v>
      </c>
      <c r="D617" s="16">
        <v>360.49860000000001</v>
      </c>
      <c r="E617" s="16">
        <v>294.95339999999999</v>
      </c>
      <c r="F617" s="16">
        <v>622.6794000000001</v>
      </c>
      <c r="G617" s="16">
        <v>360.49860000000001</v>
      </c>
      <c r="H617" s="16">
        <v>426.04380000000003</v>
      </c>
      <c r="I617" s="16">
        <v>262.18080000000003</v>
      </c>
      <c r="J617" s="16">
        <v>131.09040000000002</v>
      </c>
      <c r="K617" s="16">
        <v>327.72600000000006</v>
      </c>
      <c r="L617" s="16">
        <v>131.09040000000002</v>
      </c>
      <c r="M617" s="16">
        <f t="shared" si="9"/>
        <v>768.73999999999978</v>
      </c>
      <c r="N617" s="17">
        <v>4046</v>
      </c>
      <c r="O617" s="16">
        <v>130</v>
      </c>
      <c r="P617" s="16">
        <v>2</v>
      </c>
      <c r="Q617" s="16">
        <v>738</v>
      </c>
      <c r="R617" s="16">
        <v>900</v>
      </c>
      <c r="S617" s="16">
        <v>450</v>
      </c>
      <c r="T617" s="16">
        <v>500</v>
      </c>
      <c r="U617" s="16">
        <v>0</v>
      </c>
      <c r="V617" s="16">
        <v>424</v>
      </c>
      <c r="W617" s="16">
        <v>802</v>
      </c>
      <c r="X617" s="16">
        <v>100</v>
      </c>
    </row>
    <row r="618" spans="1:24">
      <c r="A618" s="19">
        <v>46085</v>
      </c>
      <c r="B618" s="18" t="s">
        <v>287</v>
      </c>
      <c r="C618" s="16">
        <v>359.16210000000001</v>
      </c>
      <c r="D618" s="16">
        <v>359.16210000000001</v>
      </c>
      <c r="E618" s="16">
        <v>293.85989999999998</v>
      </c>
      <c r="F618" s="16">
        <v>620.37090000000001</v>
      </c>
      <c r="G618" s="16">
        <v>359.16210000000001</v>
      </c>
      <c r="H618" s="16">
        <v>424.46430000000004</v>
      </c>
      <c r="I618" s="16">
        <v>261.2088</v>
      </c>
      <c r="J618" s="16">
        <v>130.6044</v>
      </c>
      <c r="K618" s="16">
        <v>326.51100000000002</v>
      </c>
      <c r="L618" s="16">
        <v>130.6044</v>
      </c>
      <c r="M618" s="16">
        <f t="shared" si="9"/>
        <v>765.88999999999987</v>
      </c>
      <c r="N618" s="17">
        <v>4031</v>
      </c>
      <c r="O618" s="16">
        <v>130</v>
      </c>
      <c r="P618" s="16">
        <v>2</v>
      </c>
      <c r="Q618" s="16">
        <v>738</v>
      </c>
      <c r="R618" s="16">
        <v>900</v>
      </c>
      <c r="S618" s="16">
        <v>450</v>
      </c>
      <c r="T618" s="16">
        <v>500</v>
      </c>
      <c r="U618" s="16">
        <v>0</v>
      </c>
      <c r="V618" s="16">
        <v>424</v>
      </c>
      <c r="W618" s="16">
        <v>787</v>
      </c>
      <c r="X618" s="16">
        <v>100</v>
      </c>
    </row>
    <row r="619" spans="1:24">
      <c r="A619" s="19">
        <v>46086</v>
      </c>
      <c r="B619" s="18" t="s">
        <v>287</v>
      </c>
      <c r="C619" s="16">
        <v>366.91380000000004</v>
      </c>
      <c r="D619" s="16">
        <v>366.91380000000004</v>
      </c>
      <c r="E619" s="16">
        <v>300.2022</v>
      </c>
      <c r="F619" s="16">
        <v>633.76020000000005</v>
      </c>
      <c r="G619" s="16">
        <v>366.91380000000004</v>
      </c>
      <c r="H619" s="16">
        <v>433.62540000000007</v>
      </c>
      <c r="I619" s="16">
        <v>266.84640000000002</v>
      </c>
      <c r="J619" s="16">
        <v>133.42320000000001</v>
      </c>
      <c r="K619" s="16">
        <v>333.55800000000005</v>
      </c>
      <c r="L619" s="16">
        <v>133.42320000000001</v>
      </c>
      <c r="M619" s="16">
        <f t="shared" si="9"/>
        <v>782.41999999999962</v>
      </c>
      <c r="N619" s="17">
        <v>4118</v>
      </c>
      <c r="O619" s="16">
        <v>130</v>
      </c>
      <c r="P619" s="16">
        <v>2</v>
      </c>
      <c r="Q619" s="16">
        <v>738</v>
      </c>
      <c r="R619" s="16">
        <v>900</v>
      </c>
      <c r="S619" s="16">
        <v>450</v>
      </c>
      <c r="T619" s="16">
        <v>500</v>
      </c>
      <c r="U619" s="16">
        <v>0</v>
      </c>
      <c r="V619" s="16">
        <v>424</v>
      </c>
      <c r="W619" s="16">
        <v>874</v>
      </c>
      <c r="X619" s="16">
        <v>100</v>
      </c>
    </row>
    <row r="620" spans="1:24">
      <c r="A620" s="19">
        <v>46087</v>
      </c>
      <c r="B620" s="18" t="s">
        <v>287</v>
      </c>
      <c r="C620" s="16">
        <v>386.87220000000008</v>
      </c>
      <c r="D620" s="16">
        <v>386.87220000000008</v>
      </c>
      <c r="E620" s="16">
        <v>316.53180000000003</v>
      </c>
      <c r="F620" s="16">
        <v>668.23380000000009</v>
      </c>
      <c r="G620" s="16">
        <v>386.87220000000008</v>
      </c>
      <c r="H620" s="16">
        <v>457.21260000000007</v>
      </c>
      <c r="I620" s="16">
        <v>281.36160000000007</v>
      </c>
      <c r="J620" s="16">
        <v>140.68080000000003</v>
      </c>
      <c r="K620" s="16">
        <v>351.70200000000006</v>
      </c>
      <c r="L620" s="16">
        <v>140.68080000000003</v>
      </c>
      <c r="M620" s="16">
        <f t="shared" si="9"/>
        <v>824.97999999999865</v>
      </c>
      <c r="N620" s="17">
        <v>4342</v>
      </c>
      <c r="O620" s="16">
        <v>130</v>
      </c>
      <c r="P620" s="16">
        <v>2</v>
      </c>
      <c r="Q620" s="16">
        <v>738</v>
      </c>
      <c r="R620" s="16">
        <v>900</v>
      </c>
      <c r="S620" s="16">
        <v>450</v>
      </c>
      <c r="T620" s="16">
        <v>500</v>
      </c>
      <c r="U620" s="16">
        <v>245</v>
      </c>
      <c r="V620" s="16">
        <v>424</v>
      </c>
      <c r="W620" s="16">
        <v>851</v>
      </c>
      <c r="X620" s="16">
        <v>102</v>
      </c>
    </row>
    <row r="621" spans="1:24">
      <c r="A621" s="19">
        <v>46088</v>
      </c>
      <c r="B621" s="18" t="s">
        <v>287</v>
      </c>
      <c r="C621" s="16">
        <v>417.34440000000006</v>
      </c>
      <c r="D621" s="16">
        <v>417.34440000000006</v>
      </c>
      <c r="E621" s="16">
        <v>341.46360000000004</v>
      </c>
      <c r="F621" s="16">
        <v>720.86760000000004</v>
      </c>
      <c r="G621" s="16">
        <v>417.34440000000006</v>
      </c>
      <c r="H621" s="16">
        <v>493.22520000000009</v>
      </c>
      <c r="I621" s="16">
        <v>303.52320000000003</v>
      </c>
      <c r="J621" s="16">
        <v>151.76160000000002</v>
      </c>
      <c r="K621" s="16">
        <v>379.40400000000005</v>
      </c>
      <c r="L621" s="16">
        <v>151.76160000000002</v>
      </c>
      <c r="M621" s="16">
        <f t="shared" si="9"/>
        <v>889.96</v>
      </c>
      <c r="N621" s="17">
        <v>4684</v>
      </c>
      <c r="O621" s="16">
        <v>130</v>
      </c>
      <c r="P621" s="16">
        <v>2</v>
      </c>
      <c r="Q621" s="16">
        <v>959</v>
      </c>
      <c r="R621" s="16">
        <v>900</v>
      </c>
      <c r="S621" s="16">
        <v>500</v>
      </c>
      <c r="T621" s="16">
        <v>600</v>
      </c>
      <c r="U621" s="16">
        <v>245</v>
      </c>
      <c r="V621" s="16">
        <v>424</v>
      </c>
      <c r="W621" s="16">
        <v>924</v>
      </c>
      <c r="X621" s="16">
        <v>0</v>
      </c>
    </row>
    <row r="622" spans="1:24">
      <c r="A622" s="19">
        <v>46089</v>
      </c>
      <c r="B622" s="18" t="s">
        <v>287</v>
      </c>
      <c r="C622" s="16">
        <v>432.13500000000005</v>
      </c>
      <c r="D622" s="16">
        <v>432.13500000000005</v>
      </c>
      <c r="E622" s="16">
        <v>353.56500000000005</v>
      </c>
      <c r="F622" s="16">
        <v>746.41500000000008</v>
      </c>
      <c r="G622" s="16">
        <v>432.13500000000005</v>
      </c>
      <c r="H622" s="16">
        <v>510.7050000000001</v>
      </c>
      <c r="I622" s="16">
        <v>314.28000000000003</v>
      </c>
      <c r="J622" s="16">
        <v>157.14000000000001</v>
      </c>
      <c r="K622" s="16">
        <v>392.85000000000008</v>
      </c>
      <c r="L622" s="16">
        <v>157.14000000000001</v>
      </c>
      <c r="M622" s="16">
        <f t="shared" si="9"/>
        <v>921.5</v>
      </c>
      <c r="N622" s="17">
        <v>4850</v>
      </c>
      <c r="O622" s="16">
        <v>130</v>
      </c>
      <c r="P622" s="16">
        <v>2</v>
      </c>
      <c r="Q622" s="16">
        <v>959</v>
      </c>
      <c r="R622" s="16">
        <v>1025</v>
      </c>
      <c r="S622" s="16">
        <v>500</v>
      </c>
      <c r="T622" s="16">
        <v>600</v>
      </c>
      <c r="U622" s="16">
        <v>245</v>
      </c>
      <c r="V622" s="16">
        <v>424</v>
      </c>
      <c r="W622" s="16">
        <v>965</v>
      </c>
      <c r="X622" s="16">
        <v>0</v>
      </c>
    </row>
    <row r="623" spans="1:24">
      <c r="A623" s="19">
        <v>46090</v>
      </c>
      <c r="B623" s="18" t="s">
        <v>287</v>
      </c>
      <c r="C623" s="16">
        <v>408.79080000000005</v>
      </c>
      <c r="D623" s="16">
        <v>408.79080000000005</v>
      </c>
      <c r="E623" s="16">
        <v>334.46519999999998</v>
      </c>
      <c r="F623" s="16">
        <v>706.09320000000002</v>
      </c>
      <c r="G623" s="16">
        <v>408.79080000000005</v>
      </c>
      <c r="H623" s="16">
        <v>483.11640000000006</v>
      </c>
      <c r="I623" s="16">
        <v>297.30240000000003</v>
      </c>
      <c r="J623" s="16">
        <v>148.65120000000002</v>
      </c>
      <c r="K623" s="16">
        <v>371.62800000000004</v>
      </c>
      <c r="L623" s="16">
        <v>148.65120000000002</v>
      </c>
      <c r="M623" s="16">
        <f t="shared" si="9"/>
        <v>871.72000000000025</v>
      </c>
      <c r="N623" s="17">
        <v>4588</v>
      </c>
      <c r="O623" s="16">
        <v>130</v>
      </c>
      <c r="P623" s="16">
        <v>2</v>
      </c>
      <c r="Q623" s="16">
        <v>738</v>
      </c>
      <c r="R623" s="16">
        <v>1025</v>
      </c>
      <c r="S623" s="16">
        <v>450</v>
      </c>
      <c r="T623" s="16">
        <v>500</v>
      </c>
      <c r="U623" s="16">
        <v>245</v>
      </c>
      <c r="V623" s="16">
        <v>424</v>
      </c>
      <c r="W623" s="16">
        <v>972</v>
      </c>
      <c r="X623" s="16">
        <v>102</v>
      </c>
    </row>
    <row r="624" spans="1:24">
      <c r="A624" s="19">
        <v>46091</v>
      </c>
      <c r="B624" s="18" t="s">
        <v>287</v>
      </c>
      <c r="C624" s="16">
        <v>385.53570000000002</v>
      </c>
      <c r="D624" s="16">
        <v>385.53570000000002</v>
      </c>
      <c r="E624" s="16">
        <v>315.43830000000003</v>
      </c>
      <c r="F624" s="16">
        <v>665.92530000000011</v>
      </c>
      <c r="G624" s="16">
        <v>385.53570000000002</v>
      </c>
      <c r="H624" s="16">
        <v>455.63310000000007</v>
      </c>
      <c r="I624" s="16">
        <v>280.38960000000003</v>
      </c>
      <c r="J624" s="16">
        <v>140.19480000000001</v>
      </c>
      <c r="K624" s="16">
        <v>350.48700000000008</v>
      </c>
      <c r="L624" s="16">
        <v>140.19480000000001</v>
      </c>
      <c r="M624" s="16">
        <f t="shared" si="9"/>
        <v>822.1299999999992</v>
      </c>
      <c r="N624" s="17">
        <v>4327</v>
      </c>
      <c r="O624" s="16">
        <v>130</v>
      </c>
      <c r="P624" s="16">
        <v>2</v>
      </c>
      <c r="Q624" s="16">
        <v>738</v>
      </c>
      <c r="R624" s="16">
        <v>1025</v>
      </c>
      <c r="S624" s="16">
        <v>450</v>
      </c>
      <c r="T624" s="16">
        <v>500</v>
      </c>
      <c r="U624" s="16">
        <v>0</v>
      </c>
      <c r="V624" s="16">
        <v>424</v>
      </c>
      <c r="W624" s="16">
        <v>956</v>
      </c>
      <c r="X624" s="16">
        <v>102</v>
      </c>
    </row>
    <row r="625" spans="1:24">
      <c r="A625" s="19">
        <v>46092</v>
      </c>
      <c r="B625" s="18" t="s">
        <v>287</v>
      </c>
      <c r="C625" s="16">
        <v>427.41270000000003</v>
      </c>
      <c r="D625" s="16">
        <v>427.41270000000003</v>
      </c>
      <c r="E625" s="16">
        <v>349.7013</v>
      </c>
      <c r="F625" s="16">
        <v>738.25830000000008</v>
      </c>
      <c r="G625" s="16">
        <v>427.41270000000003</v>
      </c>
      <c r="H625" s="16">
        <v>505.12410000000006</v>
      </c>
      <c r="I625" s="16">
        <v>310.84560000000005</v>
      </c>
      <c r="J625" s="16">
        <v>155.42280000000002</v>
      </c>
      <c r="K625" s="16">
        <v>388.55700000000002</v>
      </c>
      <c r="L625" s="16">
        <v>155.42280000000002</v>
      </c>
      <c r="M625" s="16">
        <f t="shared" si="9"/>
        <v>911.42999999999984</v>
      </c>
      <c r="N625" s="17">
        <v>4797</v>
      </c>
      <c r="O625" s="16">
        <v>130</v>
      </c>
      <c r="P625" s="16">
        <v>2</v>
      </c>
      <c r="Q625" s="16">
        <v>812</v>
      </c>
      <c r="R625" s="16">
        <v>1025</v>
      </c>
      <c r="S625" s="16">
        <v>450</v>
      </c>
      <c r="T625" s="16">
        <v>500</v>
      </c>
      <c r="U625" s="16">
        <v>470</v>
      </c>
      <c r="V625" s="16">
        <v>424</v>
      </c>
      <c r="W625" s="16">
        <v>882</v>
      </c>
      <c r="X625" s="16">
        <v>102</v>
      </c>
    </row>
    <row r="626" spans="1:24">
      <c r="A626" s="19">
        <v>46093</v>
      </c>
      <c r="B626" s="18" t="s">
        <v>287</v>
      </c>
      <c r="C626" s="16">
        <v>424.6506</v>
      </c>
      <c r="D626" s="16">
        <v>424.6506</v>
      </c>
      <c r="E626" s="16">
        <v>347.44139999999999</v>
      </c>
      <c r="F626" s="16">
        <v>733.48739999999998</v>
      </c>
      <c r="G626" s="16">
        <v>424.6506</v>
      </c>
      <c r="H626" s="16">
        <v>501.85980000000001</v>
      </c>
      <c r="I626" s="16">
        <v>308.83679999999998</v>
      </c>
      <c r="J626" s="16">
        <v>154.41839999999999</v>
      </c>
      <c r="K626" s="16">
        <v>386.04600000000005</v>
      </c>
      <c r="L626" s="16">
        <v>154.41839999999999</v>
      </c>
      <c r="M626" s="16">
        <f t="shared" si="9"/>
        <v>905.53999999999951</v>
      </c>
      <c r="N626" s="17">
        <v>4766</v>
      </c>
      <c r="O626" s="16">
        <v>130</v>
      </c>
      <c r="P626" s="16">
        <v>2</v>
      </c>
      <c r="Q626" s="16">
        <v>812</v>
      </c>
      <c r="R626" s="16">
        <v>1025</v>
      </c>
      <c r="S626" s="16">
        <v>450</v>
      </c>
      <c r="T626" s="16">
        <v>500</v>
      </c>
      <c r="U626" s="16">
        <v>470</v>
      </c>
      <c r="V626" s="16">
        <v>424</v>
      </c>
      <c r="W626" s="16">
        <v>851</v>
      </c>
      <c r="X626" s="16">
        <v>102</v>
      </c>
    </row>
    <row r="627" spans="1:24">
      <c r="A627" s="19">
        <v>46094</v>
      </c>
      <c r="B627" s="18" t="s">
        <v>287</v>
      </c>
      <c r="C627" s="16">
        <v>434.89710000000002</v>
      </c>
      <c r="D627" s="16">
        <v>434.89710000000002</v>
      </c>
      <c r="E627" s="16">
        <v>355.82490000000001</v>
      </c>
      <c r="F627" s="16">
        <v>751.18590000000006</v>
      </c>
      <c r="G627" s="16">
        <v>434.89710000000002</v>
      </c>
      <c r="H627" s="16">
        <v>513.96930000000009</v>
      </c>
      <c r="I627" s="16">
        <v>316.28880000000004</v>
      </c>
      <c r="J627" s="16">
        <v>158.14440000000002</v>
      </c>
      <c r="K627" s="16">
        <v>395.36100000000005</v>
      </c>
      <c r="L627" s="16">
        <v>158.14440000000002</v>
      </c>
      <c r="M627" s="16">
        <f t="shared" si="9"/>
        <v>927.38999999999942</v>
      </c>
      <c r="N627" s="17">
        <v>4881</v>
      </c>
      <c r="O627" s="16">
        <v>130</v>
      </c>
      <c r="P627" s="16">
        <v>2</v>
      </c>
      <c r="Q627" s="16">
        <v>812</v>
      </c>
      <c r="R627" s="16">
        <v>1025</v>
      </c>
      <c r="S627" s="16">
        <v>450</v>
      </c>
      <c r="T627" s="16">
        <v>500</v>
      </c>
      <c r="U627" s="16">
        <v>470</v>
      </c>
      <c r="V627" s="16">
        <v>424</v>
      </c>
      <c r="W627" s="16">
        <v>966</v>
      </c>
      <c r="X627" s="16">
        <v>102</v>
      </c>
    </row>
    <row r="628" spans="1:24">
      <c r="A628" s="19">
        <v>46095</v>
      </c>
      <c r="B628" s="18" t="s">
        <v>287</v>
      </c>
      <c r="C628" s="16">
        <v>543.06450000000007</v>
      </c>
      <c r="D628" s="16">
        <v>543.06450000000007</v>
      </c>
      <c r="E628" s="16">
        <v>444.32550000000003</v>
      </c>
      <c r="F628" s="16">
        <v>938.0205000000002</v>
      </c>
      <c r="G628" s="16">
        <v>543.06450000000007</v>
      </c>
      <c r="H628" s="16">
        <v>641.8035000000001</v>
      </c>
      <c r="I628" s="16">
        <v>394.95600000000007</v>
      </c>
      <c r="J628" s="16">
        <v>197.47800000000004</v>
      </c>
      <c r="K628" s="16">
        <v>493.69500000000011</v>
      </c>
      <c r="L628" s="16">
        <v>197.47800000000004</v>
      </c>
      <c r="M628" s="16">
        <f t="shared" si="9"/>
        <v>1158.0500000000002</v>
      </c>
      <c r="N628" s="17">
        <v>6095</v>
      </c>
      <c r="O628" s="16">
        <v>130</v>
      </c>
      <c r="P628" s="16">
        <v>2</v>
      </c>
      <c r="Q628" s="16">
        <v>1055</v>
      </c>
      <c r="R628" s="16">
        <v>1901</v>
      </c>
      <c r="S628" s="16">
        <v>500</v>
      </c>
      <c r="T628" s="16">
        <v>600</v>
      </c>
      <c r="U628" s="16">
        <v>470</v>
      </c>
      <c r="V628" s="16">
        <v>424</v>
      </c>
      <c r="W628" s="16">
        <v>1013</v>
      </c>
      <c r="X628" s="16">
        <v>0</v>
      </c>
    </row>
    <row r="629" spans="1:24">
      <c r="A629" s="19">
        <v>46096</v>
      </c>
      <c r="B629" s="18" t="s">
        <v>287</v>
      </c>
      <c r="C629" s="16">
        <v>459.48869999999999</v>
      </c>
      <c r="D629" s="16">
        <v>459.48869999999999</v>
      </c>
      <c r="E629" s="16">
        <v>375.94529999999997</v>
      </c>
      <c r="F629" s="16">
        <v>793.66230000000007</v>
      </c>
      <c r="G629" s="16">
        <v>459.48869999999999</v>
      </c>
      <c r="H629" s="16">
        <v>543.03210000000001</v>
      </c>
      <c r="I629" s="16">
        <v>334.17360000000002</v>
      </c>
      <c r="J629" s="16">
        <v>167.08680000000001</v>
      </c>
      <c r="K629" s="16">
        <v>417.71700000000004</v>
      </c>
      <c r="L629" s="16">
        <v>167.08680000000001</v>
      </c>
      <c r="M629" s="16">
        <f t="shared" si="9"/>
        <v>979.82999999999993</v>
      </c>
      <c r="N629" s="17">
        <v>5157</v>
      </c>
      <c r="O629" s="16">
        <v>130</v>
      </c>
      <c r="P629" s="16">
        <v>2</v>
      </c>
      <c r="Q629" s="16">
        <v>1055</v>
      </c>
      <c r="R629" s="16">
        <v>1025</v>
      </c>
      <c r="S629" s="16">
        <v>500</v>
      </c>
      <c r="T629" s="16">
        <v>400</v>
      </c>
      <c r="U629" s="16">
        <v>470</v>
      </c>
      <c r="V629" s="16">
        <v>424</v>
      </c>
      <c r="W629" s="16">
        <v>1151</v>
      </c>
      <c r="X629" s="16">
        <v>0</v>
      </c>
    </row>
    <row r="630" spans="1:24">
      <c r="A630" s="19">
        <v>46097</v>
      </c>
      <c r="B630" s="18" t="s">
        <v>287</v>
      </c>
      <c r="C630" s="16">
        <v>446.21280000000007</v>
      </c>
      <c r="D630" s="16">
        <v>446.21280000000007</v>
      </c>
      <c r="E630" s="16">
        <v>365.08320000000003</v>
      </c>
      <c r="F630" s="16">
        <v>770.73120000000006</v>
      </c>
      <c r="G630" s="16">
        <v>446.21280000000007</v>
      </c>
      <c r="H630" s="16">
        <v>527.34240000000011</v>
      </c>
      <c r="I630" s="16">
        <v>324.51840000000004</v>
      </c>
      <c r="J630" s="16">
        <v>162.25920000000002</v>
      </c>
      <c r="K630" s="16">
        <v>405.64800000000008</v>
      </c>
      <c r="L630" s="16">
        <v>162.25920000000002</v>
      </c>
      <c r="M630" s="16">
        <f t="shared" si="9"/>
        <v>951.51999999999953</v>
      </c>
      <c r="N630" s="17">
        <v>5008</v>
      </c>
      <c r="O630" s="16">
        <v>130</v>
      </c>
      <c r="P630" s="16">
        <v>2</v>
      </c>
      <c r="Q630" s="16">
        <v>812</v>
      </c>
      <c r="R630" s="16">
        <v>1025</v>
      </c>
      <c r="S630" s="16">
        <v>450</v>
      </c>
      <c r="T630" s="16">
        <v>400</v>
      </c>
      <c r="U630" s="16">
        <v>470</v>
      </c>
      <c r="V630" s="16">
        <v>424</v>
      </c>
      <c r="W630" s="16">
        <v>1193</v>
      </c>
      <c r="X630" s="16">
        <v>102</v>
      </c>
    </row>
    <row r="631" spans="1:24">
      <c r="A631" s="19">
        <v>46098</v>
      </c>
      <c r="B631" s="18" t="s">
        <v>287</v>
      </c>
      <c r="C631" s="16">
        <v>396.04950000000002</v>
      </c>
      <c r="D631" s="16">
        <v>396.04950000000002</v>
      </c>
      <c r="E631" s="16">
        <v>324.04050000000001</v>
      </c>
      <c r="F631" s="16">
        <v>684.08550000000002</v>
      </c>
      <c r="G631" s="16">
        <v>396.04950000000002</v>
      </c>
      <c r="H631" s="16">
        <v>468.05850000000004</v>
      </c>
      <c r="I631" s="16">
        <v>288.036</v>
      </c>
      <c r="J631" s="16">
        <v>144.018</v>
      </c>
      <c r="K631" s="16">
        <v>360.04500000000007</v>
      </c>
      <c r="L631" s="16">
        <v>144.018</v>
      </c>
      <c r="M631" s="16">
        <f t="shared" si="9"/>
        <v>844.54999999999973</v>
      </c>
      <c r="N631" s="17">
        <v>4445</v>
      </c>
      <c r="O631" s="16">
        <v>130</v>
      </c>
      <c r="P631" s="16">
        <v>2</v>
      </c>
      <c r="Q631" s="16">
        <v>812</v>
      </c>
      <c r="R631" s="16">
        <v>1025</v>
      </c>
      <c r="S631" s="16">
        <v>450</v>
      </c>
      <c r="T631" s="16">
        <v>400</v>
      </c>
      <c r="U631" s="16">
        <v>0</v>
      </c>
      <c r="V631" s="16">
        <v>424</v>
      </c>
      <c r="W631" s="16">
        <v>1100</v>
      </c>
      <c r="X631" s="16">
        <v>102</v>
      </c>
    </row>
    <row r="632" spans="1:24">
      <c r="A632" s="19">
        <v>46099</v>
      </c>
      <c r="B632" s="18" t="s">
        <v>287</v>
      </c>
      <c r="C632" s="16">
        <v>395.96040000000005</v>
      </c>
      <c r="D632" s="16">
        <v>395.96040000000005</v>
      </c>
      <c r="E632" s="16">
        <v>323.9676</v>
      </c>
      <c r="F632" s="16">
        <v>683.93160000000012</v>
      </c>
      <c r="G632" s="16">
        <v>395.96040000000005</v>
      </c>
      <c r="H632" s="16">
        <v>467.95320000000004</v>
      </c>
      <c r="I632" s="16">
        <v>287.97120000000001</v>
      </c>
      <c r="J632" s="16">
        <v>143.98560000000001</v>
      </c>
      <c r="K632" s="16">
        <v>359.96400000000006</v>
      </c>
      <c r="L632" s="16">
        <v>143.98560000000001</v>
      </c>
      <c r="M632" s="16">
        <f t="shared" si="9"/>
        <v>844.36000000000013</v>
      </c>
      <c r="N632" s="17">
        <v>4444</v>
      </c>
      <c r="O632" s="16">
        <v>131</v>
      </c>
      <c r="P632" s="16">
        <v>2</v>
      </c>
      <c r="Q632" s="16">
        <v>812</v>
      </c>
      <c r="R632" s="16">
        <v>1025</v>
      </c>
      <c r="S632" s="16">
        <v>450</v>
      </c>
      <c r="T632" s="16">
        <v>400</v>
      </c>
      <c r="U632" s="16">
        <v>0</v>
      </c>
      <c r="V632" s="16">
        <v>424</v>
      </c>
      <c r="W632" s="16">
        <v>1098</v>
      </c>
      <c r="X632" s="16">
        <v>102</v>
      </c>
    </row>
    <row r="633" spans="1:24">
      <c r="A633" s="19">
        <v>46100</v>
      </c>
      <c r="B633" s="18" t="s">
        <v>287</v>
      </c>
      <c r="C633" s="16">
        <v>401.12820000000005</v>
      </c>
      <c r="D633" s="16">
        <v>401.12820000000005</v>
      </c>
      <c r="E633" s="16">
        <v>328.19580000000002</v>
      </c>
      <c r="F633" s="16">
        <v>692.85780000000011</v>
      </c>
      <c r="G633" s="16">
        <v>401.12820000000005</v>
      </c>
      <c r="H633" s="16">
        <v>474.06060000000008</v>
      </c>
      <c r="I633" s="16">
        <v>291.72960000000006</v>
      </c>
      <c r="J633" s="16">
        <v>145.86480000000003</v>
      </c>
      <c r="K633" s="16">
        <v>364.66200000000003</v>
      </c>
      <c r="L633" s="16">
        <v>145.86480000000003</v>
      </c>
      <c r="M633" s="16">
        <f t="shared" si="9"/>
        <v>855.37999999999965</v>
      </c>
      <c r="N633" s="17">
        <v>4502</v>
      </c>
      <c r="O633" s="16">
        <v>131</v>
      </c>
      <c r="P633" s="16">
        <v>2</v>
      </c>
      <c r="Q633" s="16">
        <v>812</v>
      </c>
      <c r="R633" s="16">
        <v>1025</v>
      </c>
      <c r="S633" s="16">
        <v>450</v>
      </c>
      <c r="T633" s="16">
        <v>400</v>
      </c>
      <c r="U633" s="16">
        <v>0</v>
      </c>
      <c r="V633" s="16">
        <v>424</v>
      </c>
      <c r="W633" s="16">
        <v>1156</v>
      </c>
      <c r="X633" s="16">
        <v>102</v>
      </c>
    </row>
    <row r="634" spans="1:24">
      <c r="A634" s="19">
        <v>46101</v>
      </c>
      <c r="B634" s="18" t="s">
        <v>287</v>
      </c>
      <c r="C634" s="16">
        <v>378.3186</v>
      </c>
      <c r="D634" s="16">
        <v>378.3186</v>
      </c>
      <c r="E634" s="16">
        <v>309.53340000000003</v>
      </c>
      <c r="F634" s="16">
        <v>653.45940000000007</v>
      </c>
      <c r="G634" s="16">
        <v>378.3186</v>
      </c>
      <c r="H634" s="16">
        <v>447.10380000000004</v>
      </c>
      <c r="I634" s="16">
        <v>275.14080000000001</v>
      </c>
      <c r="J634" s="16">
        <v>137.57040000000001</v>
      </c>
      <c r="K634" s="16">
        <v>343.92600000000004</v>
      </c>
      <c r="L634" s="16">
        <v>137.57040000000001</v>
      </c>
      <c r="M634" s="16">
        <f t="shared" si="9"/>
        <v>806.73999999999978</v>
      </c>
      <c r="N634" s="17">
        <v>4246</v>
      </c>
      <c r="O634" s="16">
        <v>131</v>
      </c>
      <c r="P634" s="16">
        <v>2</v>
      </c>
      <c r="Q634" s="16">
        <v>812</v>
      </c>
      <c r="R634" s="16">
        <v>1025</v>
      </c>
      <c r="S634" s="16">
        <v>450</v>
      </c>
      <c r="T634" s="16">
        <v>200</v>
      </c>
      <c r="U634" s="16">
        <v>0</v>
      </c>
      <c r="V634" s="16">
        <v>424</v>
      </c>
      <c r="W634" s="16">
        <v>1100</v>
      </c>
      <c r="X634" s="16">
        <v>102</v>
      </c>
    </row>
    <row r="635" spans="1:24">
      <c r="A635" s="19">
        <v>46102</v>
      </c>
      <c r="B635" s="18" t="s">
        <v>287</v>
      </c>
      <c r="C635" s="16">
        <v>404.78130000000004</v>
      </c>
      <c r="D635" s="16">
        <v>404.78130000000004</v>
      </c>
      <c r="E635" s="16">
        <v>331.18470000000002</v>
      </c>
      <c r="F635" s="16">
        <v>699.16770000000008</v>
      </c>
      <c r="G635" s="16">
        <v>404.78130000000004</v>
      </c>
      <c r="H635" s="16">
        <v>478.37790000000007</v>
      </c>
      <c r="I635" s="16">
        <v>294.38640000000004</v>
      </c>
      <c r="J635" s="16">
        <v>147.19320000000002</v>
      </c>
      <c r="K635" s="16">
        <v>367.98300000000006</v>
      </c>
      <c r="L635" s="16">
        <v>147.19320000000002</v>
      </c>
      <c r="M635" s="16">
        <f t="shared" si="9"/>
        <v>863.16999999999962</v>
      </c>
      <c r="N635" s="17">
        <v>4543</v>
      </c>
      <c r="O635" s="16">
        <v>131</v>
      </c>
      <c r="P635" s="16">
        <v>2</v>
      </c>
      <c r="Q635" s="16">
        <v>1151</v>
      </c>
      <c r="R635" s="16">
        <v>1025</v>
      </c>
      <c r="S635" s="16">
        <v>500</v>
      </c>
      <c r="T635" s="16">
        <v>200</v>
      </c>
      <c r="U635" s="16">
        <v>0</v>
      </c>
      <c r="V635" s="16">
        <v>424</v>
      </c>
      <c r="W635" s="16">
        <v>1110</v>
      </c>
      <c r="X635" s="16">
        <v>0</v>
      </c>
    </row>
    <row r="636" spans="1:24">
      <c r="A636" s="19">
        <v>46103</v>
      </c>
      <c r="B636" s="18" t="s">
        <v>287</v>
      </c>
      <c r="C636" s="16">
        <v>412.53300000000002</v>
      </c>
      <c r="D636" s="16">
        <v>412.53300000000002</v>
      </c>
      <c r="E636" s="16">
        <v>337.52699999999999</v>
      </c>
      <c r="F636" s="16">
        <v>712.55700000000002</v>
      </c>
      <c r="G636" s="16">
        <v>412.53300000000002</v>
      </c>
      <c r="H636" s="16">
        <v>487.53900000000004</v>
      </c>
      <c r="I636" s="16">
        <v>300.024</v>
      </c>
      <c r="J636" s="16">
        <v>150.012</v>
      </c>
      <c r="K636" s="16">
        <v>375.03000000000003</v>
      </c>
      <c r="L636" s="16">
        <v>150.012</v>
      </c>
      <c r="M636" s="16">
        <f t="shared" si="9"/>
        <v>879.69999999999936</v>
      </c>
      <c r="N636" s="17">
        <v>4630</v>
      </c>
      <c r="O636" s="16">
        <v>131</v>
      </c>
      <c r="P636" s="16">
        <v>3</v>
      </c>
      <c r="Q636" s="16">
        <v>1151</v>
      </c>
      <c r="R636" s="16">
        <v>1025</v>
      </c>
      <c r="S636" s="16">
        <v>500</v>
      </c>
      <c r="T636" s="16">
        <v>200</v>
      </c>
      <c r="U636" s="16">
        <v>0</v>
      </c>
      <c r="V636" s="16">
        <v>424</v>
      </c>
      <c r="W636" s="16">
        <v>1196</v>
      </c>
      <c r="X636" s="16">
        <v>0</v>
      </c>
    </row>
    <row r="637" spans="1:24">
      <c r="A637" s="19">
        <v>46104</v>
      </c>
      <c r="B637" s="18" t="s">
        <v>287</v>
      </c>
      <c r="C637" s="16">
        <v>414.67140000000001</v>
      </c>
      <c r="D637" s="16">
        <v>414.67140000000001</v>
      </c>
      <c r="E637" s="16">
        <v>339.27660000000003</v>
      </c>
      <c r="F637" s="16">
        <v>716.25060000000008</v>
      </c>
      <c r="G637" s="16">
        <v>414.67140000000001</v>
      </c>
      <c r="H637" s="16">
        <v>490.06620000000004</v>
      </c>
      <c r="I637" s="16">
        <v>301.57920000000001</v>
      </c>
      <c r="J637" s="16">
        <v>150.78960000000001</v>
      </c>
      <c r="K637" s="16">
        <v>376.97400000000005</v>
      </c>
      <c r="L637" s="16">
        <v>150.78960000000001</v>
      </c>
      <c r="M637" s="16">
        <f t="shared" si="9"/>
        <v>884.25999999999931</v>
      </c>
      <c r="N637" s="17">
        <v>4654</v>
      </c>
      <c r="O637" s="16">
        <v>131</v>
      </c>
      <c r="P637" s="16">
        <v>3</v>
      </c>
      <c r="Q637" s="16">
        <v>885</v>
      </c>
      <c r="R637" s="16">
        <v>1025</v>
      </c>
      <c r="S637" s="16">
        <v>450</v>
      </c>
      <c r="T637" s="16">
        <v>400</v>
      </c>
      <c r="U637" s="16">
        <v>0</v>
      </c>
      <c r="V637" s="16">
        <v>424</v>
      </c>
      <c r="W637" s="16">
        <v>1234</v>
      </c>
      <c r="X637" s="16">
        <v>102</v>
      </c>
    </row>
    <row r="638" spans="1:24">
      <c r="A638" s="19">
        <v>46105</v>
      </c>
      <c r="B638" s="18" t="s">
        <v>287</v>
      </c>
      <c r="C638" s="16">
        <v>404.87040000000002</v>
      </c>
      <c r="D638" s="16">
        <v>404.87040000000002</v>
      </c>
      <c r="E638" s="16">
        <v>331.25760000000002</v>
      </c>
      <c r="F638" s="16">
        <v>699.3216000000001</v>
      </c>
      <c r="G638" s="16">
        <v>404.87040000000002</v>
      </c>
      <c r="H638" s="16">
        <v>478.48320000000007</v>
      </c>
      <c r="I638" s="16">
        <v>294.45120000000003</v>
      </c>
      <c r="J638" s="16">
        <v>147.22560000000001</v>
      </c>
      <c r="K638" s="16">
        <v>368.06400000000008</v>
      </c>
      <c r="L638" s="16">
        <v>147.22560000000001</v>
      </c>
      <c r="M638" s="16">
        <f t="shared" si="9"/>
        <v>863.35999999999922</v>
      </c>
      <c r="N638" s="17">
        <v>4544</v>
      </c>
      <c r="O638" s="16">
        <v>131</v>
      </c>
      <c r="P638" s="16">
        <v>3</v>
      </c>
      <c r="Q638" s="16">
        <v>885</v>
      </c>
      <c r="R638" s="16">
        <v>1025</v>
      </c>
      <c r="S638" s="16">
        <v>450</v>
      </c>
      <c r="T638" s="16">
        <v>400</v>
      </c>
      <c r="U638" s="16">
        <v>0</v>
      </c>
      <c r="V638" s="16">
        <v>424</v>
      </c>
      <c r="W638" s="16">
        <v>1124</v>
      </c>
      <c r="X638" s="16">
        <v>102</v>
      </c>
    </row>
    <row r="639" spans="1:24">
      <c r="A639" s="19">
        <v>46106</v>
      </c>
      <c r="B639" s="18" t="s">
        <v>287</v>
      </c>
      <c r="C639" s="16">
        <v>404.87040000000002</v>
      </c>
      <c r="D639" s="16">
        <v>404.87040000000002</v>
      </c>
      <c r="E639" s="16">
        <v>331.25760000000002</v>
      </c>
      <c r="F639" s="16">
        <v>699.3216000000001</v>
      </c>
      <c r="G639" s="16">
        <v>404.87040000000002</v>
      </c>
      <c r="H639" s="16">
        <v>478.48320000000007</v>
      </c>
      <c r="I639" s="16">
        <v>294.45120000000003</v>
      </c>
      <c r="J639" s="16">
        <v>147.22560000000001</v>
      </c>
      <c r="K639" s="16">
        <v>368.06400000000008</v>
      </c>
      <c r="L639" s="16">
        <v>147.22560000000001</v>
      </c>
      <c r="M639" s="16">
        <f t="shared" si="9"/>
        <v>863.35999999999922</v>
      </c>
      <c r="N639" s="17">
        <v>4544</v>
      </c>
      <c r="O639" s="16">
        <v>131</v>
      </c>
      <c r="P639" s="16">
        <v>3</v>
      </c>
      <c r="Q639" s="16">
        <v>885</v>
      </c>
      <c r="R639" s="16">
        <v>1025</v>
      </c>
      <c r="S639" s="16">
        <v>450</v>
      </c>
      <c r="T639" s="16">
        <v>400</v>
      </c>
      <c r="U639" s="16">
        <v>0</v>
      </c>
      <c r="V639" s="16">
        <v>424</v>
      </c>
      <c r="W639" s="16">
        <v>1124</v>
      </c>
      <c r="X639" s="16">
        <v>102</v>
      </c>
    </row>
    <row r="640" spans="1:24">
      <c r="A640" s="19">
        <v>46107</v>
      </c>
      <c r="B640" s="18" t="s">
        <v>287</v>
      </c>
      <c r="C640" s="16">
        <v>449.33130000000006</v>
      </c>
      <c r="D640" s="16">
        <v>449.33130000000006</v>
      </c>
      <c r="E640" s="16">
        <v>367.63470000000001</v>
      </c>
      <c r="F640" s="16">
        <v>776.11770000000013</v>
      </c>
      <c r="G640" s="16">
        <v>449.33130000000006</v>
      </c>
      <c r="H640" s="16">
        <v>531.02790000000005</v>
      </c>
      <c r="I640" s="16">
        <v>326.78640000000001</v>
      </c>
      <c r="J640" s="16">
        <v>163.39320000000001</v>
      </c>
      <c r="K640" s="16">
        <v>408.48300000000006</v>
      </c>
      <c r="L640" s="16">
        <v>163.39320000000001</v>
      </c>
      <c r="M640" s="16">
        <f t="shared" si="9"/>
        <v>958.16999999999916</v>
      </c>
      <c r="N640" s="17">
        <v>5043</v>
      </c>
      <c r="O640" s="16">
        <v>131</v>
      </c>
      <c r="P640" s="16">
        <v>3</v>
      </c>
      <c r="Q640" s="16">
        <v>885</v>
      </c>
      <c r="R640" s="16">
        <v>1025</v>
      </c>
      <c r="S640" s="16">
        <v>450</v>
      </c>
      <c r="T640" s="16">
        <v>400</v>
      </c>
      <c r="U640" s="16">
        <v>499</v>
      </c>
      <c r="V640" s="16">
        <v>424</v>
      </c>
      <c r="W640" s="16">
        <v>1124</v>
      </c>
      <c r="X640" s="16">
        <v>102</v>
      </c>
    </row>
    <row r="641" spans="1:24">
      <c r="A641" s="19">
        <v>46108</v>
      </c>
      <c r="B641" s="18" t="s">
        <v>287</v>
      </c>
      <c r="C641" s="16">
        <v>462.60720000000003</v>
      </c>
      <c r="D641" s="16">
        <v>462.60720000000003</v>
      </c>
      <c r="E641" s="16">
        <v>378.49680000000001</v>
      </c>
      <c r="F641" s="16">
        <v>799.04880000000014</v>
      </c>
      <c r="G641" s="16">
        <v>462.60720000000003</v>
      </c>
      <c r="H641" s="16">
        <v>546.71760000000006</v>
      </c>
      <c r="I641" s="16">
        <v>336.44160000000005</v>
      </c>
      <c r="J641" s="16">
        <v>168.22080000000003</v>
      </c>
      <c r="K641" s="16">
        <v>420.55200000000008</v>
      </c>
      <c r="L641" s="16">
        <v>168.22080000000003</v>
      </c>
      <c r="M641" s="16">
        <f t="shared" si="9"/>
        <v>986.47999999999956</v>
      </c>
      <c r="N641" s="17">
        <v>5192</v>
      </c>
      <c r="O641" s="16">
        <v>131</v>
      </c>
      <c r="P641" s="16">
        <v>3</v>
      </c>
      <c r="Q641" s="16">
        <v>885</v>
      </c>
      <c r="R641" s="16">
        <v>1025</v>
      </c>
      <c r="S641" s="16">
        <v>450</v>
      </c>
      <c r="T641" s="16">
        <v>300</v>
      </c>
      <c r="U641" s="16">
        <v>734</v>
      </c>
      <c r="V641" s="16">
        <v>424</v>
      </c>
      <c r="W641" s="16">
        <v>1138</v>
      </c>
      <c r="X641" s="16">
        <v>102</v>
      </c>
    </row>
    <row r="642" spans="1:24">
      <c r="A642" s="19">
        <v>46109</v>
      </c>
      <c r="B642" s="18" t="s">
        <v>287</v>
      </c>
      <c r="C642" s="16">
        <v>490.58460000000008</v>
      </c>
      <c r="D642" s="16">
        <v>490.58460000000008</v>
      </c>
      <c r="E642" s="16">
        <v>401.38740000000001</v>
      </c>
      <c r="F642" s="16">
        <v>847.37340000000017</v>
      </c>
      <c r="G642" s="16">
        <v>490.58460000000008</v>
      </c>
      <c r="H642" s="16">
        <v>579.78180000000009</v>
      </c>
      <c r="I642" s="16">
        <v>356.78880000000004</v>
      </c>
      <c r="J642" s="16">
        <v>178.39440000000002</v>
      </c>
      <c r="K642" s="16">
        <v>445.9860000000001</v>
      </c>
      <c r="L642" s="16">
        <v>178.39440000000002</v>
      </c>
      <c r="M642" s="16">
        <f t="shared" si="9"/>
        <v>1046.1399999999994</v>
      </c>
      <c r="N642" s="17">
        <v>5506</v>
      </c>
      <c r="O642" s="16">
        <v>131</v>
      </c>
      <c r="P642" s="16">
        <v>3</v>
      </c>
      <c r="Q642" s="16">
        <v>1151</v>
      </c>
      <c r="R642" s="16">
        <v>1025</v>
      </c>
      <c r="S642" s="16">
        <v>522</v>
      </c>
      <c r="T642" s="16">
        <v>300</v>
      </c>
      <c r="U642" s="16">
        <v>734</v>
      </c>
      <c r="V642" s="16">
        <v>424</v>
      </c>
      <c r="W642" s="16">
        <v>1216</v>
      </c>
      <c r="X642" s="16">
        <v>0</v>
      </c>
    </row>
    <row r="643" spans="1:24">
      <c r="A643" s="19">
        <v>46110</v>
      </c>
      <c r="B643" s="18" t="s">
        <v>287</v>
      </c>
      <c r="C643" s="16">
        <v>493.88130000000001</v>
      </c>
      <c r="D643" s="16">
        <v>493.88130000000001</v>
      </c>
      <c r="E643" s="16">
        <v>404.0847</v>
      </c>
      <c r="F643" s="16">
        <v>853.06769999999995</v>
      </c>
      <c r="G643" s="16">
        <v>493.88130000000001</v>
      </c>
      <c r="H643" s="16">
        <v>583.67790000000002</v>
      </c>
      <c r="I643" s="16">
        <v>359.18639999999999</v>
      </c>
      <c r="J643" s="16">
        <v>179.5932</v>
      </c>
      <c r="K643" s="16">
        <v>448.983</v>
      </c>
      <c r="L643" s="16">
        <v>179.5932</v>
      </c>
      <c r="M643" s="16">
        <f t="shared" ref="M643:M706" si="10">N643-SUM(C643:L643)</f>
        <v>1053.17</v>
      </c>
      <c r="N643" s="17">
        <v>5543</v>
      </c>
      <c r="O643" s="16">
        <v>131</v>
      </c>
      <c r="P643" s="16">
        <v>3</v>
      </c>
      <c r="Q643" s="16">
        <v>1151</v>
      </c>
      <c r="R643" s="16">
        <v>1025</v>
      </c>
      <c r="S643" s="16">
        <v>522</v>
      </c>
      <c r="T643" s="16">
        <v>300</v>
      </c>
      <c r="U643" s="16">
        <v>733</v>
      </c>
      <c r="V643" s="16">
        <v>424</v>
      </c>
      <c r="W643" s="16">
        <v>1254</v>
      </c>
      <c r="X643" s="16">
        <v>0</v>
      </c>
    </row>
    <row r="644" spans="1:24">
      <c r="A644" s="19">
        <v>46111</v>
      </c>
      <c r="B644" s="18" t="s">
        <v>287</v>
      </c>
      <c r="C644" s="16">
        <v>397.11869999999999</v>
      </c>
      <c r="D644" s="16">
        <v>397.11869999999999</v>
      </c>
      <c r="E644" s="16">
        <v>324.9153</v>
      </c>
      <c r="F644" s="16">
        <v>685.93230000000005</v>
      </c>
      <c r="G644" s="16">
        <v>397.11869999999999</v>
      </c>
      <c r="H644" s="16">
        <v>469.32210000000003</v>
      </c>
      <c r="I644" s="16">
        <v>288.81360000000001</v>
      </c>
      <c r="J644" s="16">
        <v>144.4068</v>
      </c>
      <c r="K644" s="16">
        <v>361.01700000000005</v>
      </c>
      <c r="L644" s="16">
        <v>144.4068</v>
      </c>
      <c r="M644" s="16">
        <f t="shared" si="10"/>
        <v>846.82999999999947</v>
      </c>
      <c r="N644" s="17">
        <v>4457</v>
      </c>
      <c r="O644" s="16">
        <v>131</v>
      </c>
      <c r="P644" s="16">
        <v>3</v>
      </c>
      <c r="Q644" s="16">
        <v>885</v>
      </c>
      <c r="R644" s="16">
        <v>1025</v>
      </c>
      <c r="S644" s="16">
        <v>450</v>
      </c>
      <c r="T644" s="16">
        <v>300</v>
      </c>
      <c r="U644" s="16">
        <v>0</v>
      </c>
      <c r="V644" s="16">
        <v>424</v>
      </c>
      <c r="W644" s="16">
        <v>1137</v>
      </c>
      <c r="X644" s="16">
        <v>102</v>
      </c>
    </row>
    <row r="645" spans="1:24">
      <c r="A645" s="19">
        <v>46112</v>
      </c>
      <c r="B645" s="18" t="s">
        <v>287</v>
      </c>
      <c r="C645" s="16">
        <v>391.50540000000007</v>
      </c>
      <c r="D645" s="16">
        <v>391.50540000000007</v>
      </c>
      <c r="E645" s="16">
        <v>320.32260000000002</v>
      </c>
      <c r="F645" s="16">
        <v>676.23660000000007</v>
      </c>
      <c r="G645" s="16">
        <v>391.50540000000007</v>
      </c>
      <c r="H645" s="16">
        <v>462.68820000000005</v>
      </c>
      <c r="I645" s="16">
        <v>284.73120000000006</v>
      </c>
      <c r="J645" s="16">
        <v>142.36560000000003</v>
      </c>
      <c r="K645" s="16">
        <v>355.91400000000004</v>
      </c>
      <c r="L645" s="16">
        <v>142.36560000000003</v>
      </c>
      <c r="M645" s="16">
        <f t="shared" si="10"/>
        <v>834.85999999999922</v>
      </c>
      <c r="N645" s="17">
        <v>4394</v>
      </c>
      <c r="O645" s="16">
        <v>131</v>
      </c>
      <c r="P645" s="16">
        <v>3</v>
      </c>
      <c r="Q645" s="16">
        <v>885</v>
      </c>
      <c r="R645" s="16">
        <v>1027</v>
      </c>
      <c r="S645" s="16">
        <v>450</v>
      </c>
      <c r="T645" s="16">
        <v>300</v>
      </c>
      <c r="U645" s="16">
        <v>0</v>
      </c>
      <c r="V645" s="16">
        <v>424</v>
      </c>
      <c r="W645" s="16">
        <v>1068</v>
      </c>
      <c r="X645" s="16">
        <v>106</v>
      </c>
    </row>
    <row r="646" spans="1:24">
      <c r="A646" s="19">
        <v>46113</v>
      </c>
      <c r="B646" s="18" t="s">
        <v>287</v>
      </c>
      <c r="C646" s="16">
        <v>311.56488000000002</v>
      </c>
      <c r="D646" s="16">
        <v>311.56487999999996</v>
      </c>
      <c r="E646" s="16">
        <v>283.24080000000004</v>
      </c>
      <c r="F646" s="16">
        <v>481.50936000000007</v>
      </c>
      <c r="G646" s="16">
        <v>311.56488000000002</v>
      </c>
      <c r="H646" s="16">
        <v>368.21304000000003</v>
      </c>
      <c r="I646" s="16">
        <v>254.91672000000003</v>
      </c>
      <c r="J646" s="16">
        <v>84.972239999999999</v>
      </c>
      <c r="K646" s="16">
        <v>311.56488000000002</v>
      </c>
      <c r="L646" s="16">
        <v>113.29632000000002</v>
      </c>
      <c r="M646" s="16">
        <f t="shared" si="10"/>
        <v>662.59199999999964</v>
      </c>
      <c r="N646" s="17">
        <v>3495</v>
      </c>
      <c r="O646" s="16">
        <v>108</v>
      </c>
      <c r="P646" s="16">
        <v>0</v>
      </c>
      <c r="Q646" s="16">
        <v>770</v>
      </c>
      <c r="R646" s="16">
        <v>509</v>
      </c>
      <c r="S646" s="16">
        <v>310</v>
      </c>
      <c r="T646" s="16">
        <v>309</v>
      </c>
      <c r="U646" s="16">
        <v>112</v>
      </c>
      <c r="V646" s="16">
        <v>333</v>
      </c>
      <c r="W646" s="16">
        <v>937</v>
      </c>
      <c r="X646" s="16">
        <v>107</v>
      </c>
    </row>
    <row r="647" spans="1:24">
      <c r="A647" s="19">
        <v>46114</v>
      </c>
      <c r="B647" s="18" t="s">
        <v>287</v>
      </c>
      <c r="C647" s="16">
        <v>312.66971999999998</v>
      </c>
      <c r="D647" s="16">
        <v>312.66971999999998</v>
      </c>
      <c r="E647" s="16">
        <v>284.24520000000001</v>
      </c>
      <c r="F647" s="16">
        <v>483.2168400000001</v>
      </c>
      <c r="G647" s="16">
        <v>312.66971999999998</v>
      </c>
      <c r="H647" s="16">
        <v>369.51876000000004</v>
      </c>
      <c r="I647" s="16">
        <v>255.82067999999998</v>
      </c>
      <c r="J647" s="16">
        <v>85.273560000000003</v>
      </c>
      <c r="K647" s="16">
        <v>312.66971999999998</v>
      </c>
      <c r="L647" s="16">
        <v>113.69808</v>
      </c>
      <c r="M647" s="16">
        <f t="shared" si="10"/>
        <v>665.54800000000023</v>
      </c>
      <c r="N647" s="17">
        <v>3508</v>
      </c>
      <c r="O647" s="16">
        <v>109</v>
      </c>
      <c r="P647" s="16">
        <v>0</v>
      </c>
      <c r="Q647" s="16">
        <v>770</v>
      </c>
      <c r="R647" s="16">
        <v>513</v>
      </c>
      <c r="S647" s="16">
        <v>313</v>
      </c>
      <c r="T647" s="16">
        <v>316</v>
      </c>
      <c r="U647" s="16">
        <v>112</v>
      </c>
      <c r="V647" s="16">
        <v>333</v>
      </c>
      <c r="W647" s="16">
        <v>935</v>
      </c>
      <c r="X647" s="16">
        <v>107</v>
      </c>
    </row>
    <row r="648" spans="1:24">
      <c r="A648" s="19">
        <v>46115</v>
      </c>
      <c r="B648" s="18" t="s">
        <v>287</v>
      </c>
      <c r="C648" s="16">
        <v>312.66971999999998</v>
      </c>
      <c r="D648" s="16">
        <v>312.66971999999998</v>
      </c>
      <c r="E648" s="16">
        <v>284.24520000000001</v>
      </c>
      <c r="F648" s="16">
        <v>483.2168400000001</v>
      </c>
      <c r="G648" s="16">
        <v>312.66971999999998</v>
      </c>
      <c r="H648" s="16">
        <v>369.51876000000004</v>
      </c>
      <c r="I648" s="16">
        <v>255.82067999999998</v>
      </c>
      <c r="J648" s="16">
        <v>85.273560000000003</v>
      </c>
      <c r="K648" s="16">
        <v>312.66971999999998</v>
      </c>
      <c r="L648" s="16">
        <v>113.69808</v>
      </c>
      <c r="M648" s="16">
        <f t="shared" si="10"/>
        <v>665.54800000000023</v>
      </c>
      <c r="N648" s="17">
        <v>3508</v>
      </c>
      <c r="O648" s="16">
        <v>109</v>
      </c>
      <c r="P648" s="16">
        <v>0</v>
      </c>
      <c r="Q648" s="16">
        <v>770</v>
      </c>
      <c r="R648" s="16">
        <v>513</v>
      </c>
      <c r="S648" s="16">
        <v>313</v>
      </c>
      <c r="T648" s="16">
        <v>316</v>
      </c>
      <c r="U648" s="16">
        <v>112</v>
      </c>
      <c r="V648" s="16">
        <v>333</v>
      </c>
      <c r="W648" s="16">
        <v>935</v>
      </c>
      <c r="X648" s="16">
        <v>107</v>
      </c>
    </row>
    <row r="649" spans="1:24">
      <c r="A649" s="19">
        <v>46116</v>
      </c>
      <c r="B649" s="18" t="s">
        <v>287</v>
      </c>
      <c r="C649" s="16">
        <v>348.63839999999999</v>
      </c>
      <c r="D649" s="16">
        <v>348.63839999999999</v>
      </c>
      <c r="E649" s="16">
        <v>316.94400000000002</v>
      </c>
      <c r="F649" s="16">
        <v>538.8048</v>
      </c>
      <c r="G649" s="16">
        <v>348.63839999999999</v>
      </c>
      <c r="H649" s="16">
        <v>412.02720000000005</v>
      </c>
      <c r="I649" s="16">
        <v>285.24959999999999</v>
      </c>
      <c r="J649" s="16">
        <v>95.083200000000005</v>
      </c>
      <c r="K649" s="16">
        <v>348.63839999999999</v>
      </c>
      <c r="L649" s="16">
        <v>126.77760000000001</v>
      </c>
      <c r="M649" s="16">
        <f t="shared" si="10"/>
        <v>744.56</v>
      </c>
      <c r="N649" s="17">
        <v>3914</v>
      </c>
      <c r="O649" s="16">
        <v>125</v>
      </c>
      <c r="P649" s="16">
        <v>0</v>
      </c>
      <c r="Q649" s="16">
        <v>886</v>
      </c>
      <c r="R649" s="16">
        <v>590</v>
      </c>
      <c r="S649" s="16">
        <v>360</v>
      </c>
      <c r="T649" s="16">
        <v>364</v>
      </c>
      <c r="U649" s="16">
        <v>130</v>
      </c>
      <c r="V649" s="16">
        <v>384</v>
      </c>
      <c r="W649" s="16">
        <v>1075</v>
      </c>
      <c r="X649" s="16">
        <v>0</v>
      </c>
    </row>
    <row r="650" spans="1:24">
      <c r="A650" s="19">
        <v>46117</v>
      </c>
      <c r="B650" s="18" t="s">
        <v>287</v>
      </c>
      <c r="C650" s="16">
        <v>348.63839999999999</v>
      </c>
      <c r="D650" s="16">
        <v>348.63839999999999</v>
      </c>
      <c r="E650" s="16">
        <v>316.94400000000002</v>
      </c>
      <c r="F650" s="16">
        <v>538.8048</v>
      </c>
      <c r="G650" s="16">
        <v>348.63839999999999</v>
      </c>
      <c r="H650" s="16">
        <v>412.02720000000005</v>
      </c>
      <c r="I650" s="16">
        <v>285.24959999999999</v>
      </c>
      <c r="J650" s="16">
        <v>95.083200000000005</v>
      </c>
      <c r="K650" s="16">
        <v>348.63839999999999</v>
      </c>
      <c r="L650" s="16">
        <v>126.77760000000001</v>
      </c>
      <c r="M650" s="16">
        <f t="shared" si="10"/>
        <v>744.56</v>
      </c>
      <c r="N650" s="17">
        <v>3914</v>
      </c>
      <c r="O650" s="16">
        <v>125</v>
      </c>
      <c r="P650" s="16">
        <v>0</v>
      </c>
      <c r="Q650" s="16">
        <v>886</v>
      </c>
      <c r="R650" s="16">
        <v>590</v>
      </c>
      <c r="S650" s="16">
        <v>360</v>
      </c>
      <c r="T650" s="16">
        <v>364</v>
      </c>
      <c r="U650" s="16">
        <v>130</v>
      </c>
      <c r="V650" s="16">
        <v>384</v>
      </c>
      <c r="W650" s="16">
        <v>1075</v>
      </c>
      <c r="X650" s="16">
        <v>0</v>
      </c>
    </row>
    <row r="651" spans="1:24">
      <c r="A651" s="19">
        <v>46118</v>
      </c>
      <c r="B651" s="18" t="s">
        <v>287</v>
      </c>
      <c r="C651" s="16">
        <v>348.63839999999999</v>
      </c>
      <c r="D651" s="16">
        <v>348.63839999999999</v>
      </c>
      <c r="E651" s="16">
        <v>316.94400000000002</v>
      </c>
      <c r="F651" s="16">
        <v>538.8048</v>
      </c>
      <c r="G651" s="16">
        <v>348.63839999999999</v>
      </c>
      <c r="H651" s="16">
        <v>412.02720000000005</v>
      </c>
      <c r="I651" s="16">
        <v>285.24959999999999</v>
      </c>
      <c r="J651" s="16">
        <v>95.083200000000005</v>
      </c>
      <c r="K651" s="16">
        <v>348.63839999999999</v>
      </c>
      <c r="L651" s="16">
        <v>126.77760000000001</v>
      </c>
      <c r="M651" s="16">
        <f t="shared" si="10"/>
        <v>744.56</v>
      </c>
      <c r="N651" s="17">
        <v>3914</v>
      </c>
      <c r="O651" s="16">
        <v>125</v>
      </c>
      <c r="P651" s="16">
        <v>0</v>
      </c>
      <c r="Q651" s="16">
        <v>886</v>
      </c>
      <c r="R651" s="16">
        <v>590</v>
      </c>
      <c r="S651" s="16">
        <v>360</v>
      </c>
      <c r="T651" s="16">
        <v>364</v>
      </c>
      <c r="U651" s="16">
        <v>130</v>
      </c>
      <c r="V651" s="16">
        <v>384</v>
      </c>
      <c r="W651" s="16">
        <v>1075</v>
      </c>
      <c r="X651" s="16">
        <v>0</v>
      </c>
    </row>
    <row r="652" spans="1:24">
      <c r="A652" s="19">
        <v>46119</v>
      </c>
      <c r="B652" s="18" t="s">
        <v>287</v>
      </c>
      <c r="C652" s="16">
        <v>312.66971999999998</v>
      </c>
      <c r="D652" s="16">
        <v>312.66971999999998</v>
      </c>
      <c r="E652" s="16">
        <v>284.24520000000001</v>
      </c>
      <c r="F652" s="16">
        <v>483.2168400000001</v>
      </c>
      <c r="G652" s="16">
        <v>312.66971999999998</v>
      </c>
      <c r="H652" s="16">
        <v>369.51876000000004</v>
      </c>
      <c r="I652" s="16">
        <v>255.82067999999998</v>
      </c>
      <c r="J652" s="16">
        <v>85.273560000000003</v>
      </c>
      <c r="K652" s="16">
        <v>312.66971999999998</v>
      </c>
      <c r="L652" s="16">
        <v>113.69808</v>
      </c>
      <c r="M652" s="16">
        <f t="shared" si="10"/>
        <v>665.54800000000023</v>
      </c>
      <c r="N652" s="17">
        <v>3508</v>
      </c>
      <c r="O652" s="16">
        <v>109</v>
      </c>
      <c r="P652" s="16">
        <v>0</v>
      </c>
      <c r="Q652" s="16">
        <v>770</v>
      </c>
      <c r="R652" s="16">
        <v>513</v>
      </c>
      <c r="S652" s="16">
        <v>313</v>
      </c>
      <c r="T652" s="16">
        <v>316</v>
      </c>
      <c r="U652" s="16">
        <v>112</v>
      </c>
      <c r="V652" s="16">
        <v>333</v>
      </c>
      <c r="W652" s="16">
        <v>935</v>
      </c>
      <c r="X652" s="16">
        <v>107</v>
      </c>
    </row>
    <row r="653" spans="1:24">
      <c r="A653" s="19">
        <v>46120</v>
      </c>
      <c r="B653" s="18" t="s">
        <v>287</v>
      </c>
      <c r="C653" s="16">
        <v>312.66971999999998</v>
      </c>
      <c r="D653" s="16">
        <v>312.66971999999998</v>
      </c>
      <c r="E653" s="16">
        <v>284.24520000000001</v>
      </c>
      <c r="F653" s="16">
        <v>483.2168400000001</v>
      </c>
      <c r="G653" s="16">
        <v>312.66971999999998</v>
      </c>
      <c r="H653" s="16">
        <v>369.51876000000004</v>
      </c>
      <c r="I653" s="16">
        <v>255.82067999999998</v>
      </c>
      <c r="J653" s="16">
        <v>85.273560000000003</v>
      </c>
      <c r="K653" s="16">
        <v>312.66971999999998</v>
      </c>
      <c r="L653" s="16">
        <v>113.69808</v>
      </c>
      <c r="M653" s="16">
        <f t="shared" si="10"/>
        <v>665.54800000000023</v>
      </c>
      <c r="N653" s="17">
        <v>3508</v>
      </c>
      <c r="O653" s="16">
        <v>109</v>
      </c>
      <c r="P653" s="16">
        <v>0</v>
      </c>
      <c r="Q653" s="16">
        <v>770</v>
      </c>
      <c r="R653" s="16">
        <v>513</v>
      </c>
      <c r="S653" s="16">
        <v>313</v>
      </c>
      <c r="T653" s="16">
        <v>316</v>
      </c>
      <c r="U653" s="16">
        <v>112</v>
      </c>
      <c r="V653" s="16">
        <v>333</v>
      </c>
      <c r="W653" s="16">
        <v>935</v>
      </c>
      <c r="X653" s="16">
        <v>107</v>
      </c>
    </row>
    <row r="654" spans="1:24">
      <c r="A654" s="19">
        <v>46121</v>
      </c>
      <c r="B654" s="18" t="s">
        <v>287</v>
      </c>
      <c r="C654" s="16">
        <v>312.66971999999998</v>
      </c>
      <c r="D654" s="16">
        <v>312.66971999999998</v>
      </c>
      <c r="E654" s="16">
        <v>284.24520000000001</v>
      </c>
      <c r="F654" s="16">
        <v>483.2168400000001</v>
      </c>
      <c r="G654" s="16">
        <v>312.66971999999998</v>
      </c>
      <c r="H654" s="16">
        <v>369.51876000000004</v>
      </c>
      <c r="I654" s="16">
        <v>255.82067999999998</v>
      </c>
      <c r="J654" s="16">
        <v>85.273560000000003</v>
      </c>
      <c r="K654" s="16">
        <v>312.66971999999998</v>
      </c>
      <c r="L654" s="16">
        <v>113.69808</v>
      </c>
      <c r="M654" s="16">
        <f t="shared" si="10"/>
        <v>665.54800000000023</v>
      </c>
      <c r="N654" s="17">
        <v>3508</v>
      </c>
      <c r="O654" s="16">
        <v>109</v>
      </c>
      <c r="P654" s="16">
        <v>0</v>
      </c>
      <c r="Q654" s="16">
        <v>770</v>
      </c>
      <c r="R654" s="16">
        <v>513</v>
      </c>
      <c r="S654" s="16">
        <v>313</v>
      </c>
      <c r="T654" s="16">
        <v>316</v>
      </c>
      <c r="U654" s="16">
        <v>112</v>
      </c>
      <c r="V654" s="16">
        <v>333</v>
      </c>
      <c r="W654" s="16">
        <v>935</v>
      </c>
      <c r="X654" s="16">
        <v>107</v>
      </c>
    </row>
    <row r="655" spans="1:24">
      <c r="A655" s="19">
        <v>46122</v>
      </c>
      <c r="B655" s="18" t="s">
        <v>287</v>
      </c>
      <c r="C655" s="16">
        <v>312.66971999999998</v>
      </c>
      <c r="D655" s="16">
        <v>312.66971999999998</v>
      </c>
      <c r="E655" s="16">
        <v>284.24520000000001</v>
      </c>
      <c r="F655" s="16">
        <v>483.2168400000001</v>
      </c>
      <c r="G655" s="16">
        <v>312.66971999999998</v>
      </c>
      <c r="H655" s="16">
        <v>369.51876000000004</v>
      </c>
      <c r="I655" s="16">
        <v>255.82067999999998</v>
      </c>
      <c r="J655" s="16">
        <v>85.273560000000003</v>
      </c>
      <c r="K655" s="16">
        <v>312.66971999999998</v>
      </c>
      <c r="L655" s="16">
        <v>113.69808</v>
      </c>
      <c r="M655" s="16">
        <f t="shared" si="10"/>
        <v>665.54800000000023</v>
      </c>
      <c r="N655" s="17">
        <v>3508</v>
      </c>
      <c r="O655" s="16">
        <v>109</v>
      </c>
      <c r="P655" s="16">
        <v>0</v>
      </c>
      <c r="Q655" s="16">
        <v>770</v>
      </c>
      <c r="R655" s="16">
        <v>513</v>
      </c>
      <c r="S655" s="16">
        <v>313</v>
      </c>
      <c r="T655" s="16">
        <v>316</v>
      </c>
      <c r="U655" s="16">
        <v>112</v>
      </c>
      <c r="V655" s="16">
        <v>333</v>
      </c>
      <c r="W655" s="16">
        <v>935</v>
      </c>
      <c r="X655" s="16">
        <v>107</v>
      </c>
    </row>
    <row r="656" spans="1:24">
      <c r="A656" s="19">
        <v>46123</v>
      </c>
      <c r="B656" s="18" t="s">
        <v>287</v>
      </c>
      <c r="C656" s="16">
        <v>348.63839999999999</v>
      </c>
      <c r="D656" s="16">
        <v>348.63839999999999</v>
      </c>
      <c r="E656" s="16">
        <v>316.94400000000002</v>
      </c>
      <c r="F656" s="16">
        <v>538.8048</v>
      </c>
      <c r="G656" s="16">
        <v>348.63839999999999</v>
      </c>
      <c r="H656" s="16">
        <v>412.02720000000005</v>
      </c>
      <c r="I656" s="16">
        <v>285.24959999999999</v>
      </c>
      <c r="J656" s="16">
        <v>95.083200000000005</v>
      </c>
      <c r="K656" s="16">
        <v>348.63839999999999</v>
      </c>
      <c r="L656" s="16">
        <v>126.77760000000001</v>
      </c>
      <c r="M656" s="16">
        <f t="shared" si="10"/>
        <v>744.56</v>
      </c>
      <c r="N656" s="17">
        <v>3914</v>
      </c>
      <c r="O656" s="16">
        <v>125</v>
      </c>
      <c r="P656" s="16">
        <v>0</v>
      </c>
      <c r="Q656" s="16">
        <v>886</v>
      </c>
      <c r="R656" s="16">
        <v>590</v>
      </c>
      <c r="S656" s="16">
        <v>360</v>
      </c>
      <c r="T656" s="16">
        <v>364</v>
      </c>
      <c r="U656" s="16">
        <v>130</v>
      </c>
      <c r="V656" s="16">
        <v>384</v>
      </c>
      <c r="W656" s="16">
        <v>1075</v>
      </c>
      <c r="X656" s="16">
        <v>0</v>
      </c>
    </row>
    <row r="657" spans="1:24">
      <c r="A657" s="19">
        <v>46124</v>
      </c>
      <c r="B657" s="18" t="s">
        <v>287</v>
      </c>
      <c r="C657" s="16">
        <v>348.63839999999999</v>
      </c>
      <c r="D657" s="16">
        <v>348.63839999999999</v>
      </c>
      <c r="E657" s="16">
        <v>316.94400000000002</v>
      </c>
      <c r="F657" s="16">
        <v>538.8048</v>
      </c>
      <c r="G657" s="16">
        <v>348.63839999999999</v>
      </c>
      <c r="H657" s="16">
        <v>412.02720000000005</v>
      </c>
      <c r="I657" s="16">
        <v>285.24959999999999</v>
      </c>
      <c r="J657" s="16">
        <v>95.083200000000005</v>
      </c>
      <c r="K657" s="16">
        <v>348.63839999999999</v>
      </c>
      <c r="L657" s="16">
        <v>126.77760000000001</v>
      </c>
      <c r="M657" s="16">
        <f t="shared" si="10"/>
        <v>744.56</v>
      </c>
      <c r="N657" s="17">
        <v>3914</v>
      </c>
      <c r="O657" s="16">
        <v>125</v>
      </c>
      <c r="P657" s="16">
        <v>0</v>
      </c>
      <c r="Q657" s="16">
        <v>886</v>
      </c>
      <c r="R657" s="16">
        <v>590</v>
      </c>
      <c r="S657" s="16">
        <v>360</v>
      </c>
      <c r="T657" s="16">
        <v>364</v>
      </c>
      <c r="U657" s="16">
        <v>130</v>
      </c>
      <c r="V657" s="16">
        <v>384</v>
      </c>
      <c r="W657" s="16">
        <v>1075</v>
      </c>
      <c r="X657" s="16">
        <v>0</v>
      </c>
    </row>
    <row r="658" spans="1:24">
      <c r="A658" s="19">
        <v>46125</v>
      </c>
      <c r="B658" s="18" t="s">
        <v>287</v>
      </c>
      <c r="C658" s="16">
        <v>312.66971999999998</v>
      </c>
      <c r="D658" s="16">
        <v>312.66971999999998</v>
      </c>
      <c r="E658" s="16">
        <v>284.24520000000001</v>
      </c>
      <c r="F658" s="16">
        <v>483.2168400000001</v>
      </c>
      <c r="G658" s="16">
        <v>312.66971999999998</v>
      </c>
      <c r="H658" s="16">
        <v>369.51876000000004</v>
      </c>
      <c r="I658" s="16">
        <v>255.82067999999998</v>
      </c>
      <c r="J658" s="16">
        <v>85.273560000000003</v>
      </c>
      <c r="K658" s="16">
        <v>312.66971999999998</v>
      </c>
      <c r="L658" s="16">
        <v>113.69808</v>
      </c>
      <c r="M658" s="16">
        <f t="shared" si="10"/>
        <v>665.54800000000023</v>
      </c>
      <c r="N658" s="17">
        <v>3508</v>
      </c>
      <c r="O658" s="16">
        <v>109</v>
      </c>
      <c r="P658" s="16">
        <v>0</v>
      </c>
      <c r="Q658" s="16">
        <v>770</v>
      </c>
      <c r="R658" s="16">
        <v>513</v>
      </c>
      <c r="S658" s="16">
        <v>313</v>
      </c>
      <c r="T658" s="16">
        <v>316</v>
      </c>
      <c r="U658" s="16">
        <v>112</v>
      </c>
      <c r="V658" s="16">
        <v>333</v>
      </c>
      <c r="W658" s="16">
        <v>935</v>
      </c>
      <c r="X658" s="16">
        <v>107</v>
      </c>
    </row>
    <row r="659" spans="1:24">
      <c r="A659" s="19">
        <v>46126</v>
      </c>
      <c r="B659" s="18" t="s">
        <v>287</v>
      </c>
      <c r="C659" s="16">
        <v>312.66971999999998</v>
      </c>
      <c r="D659" s="16">
        <v>312.66971999999998</v>
      </c>
      <c r="E659" s="16">
        <v>284.24520000000001</v>
      </c>
      <c r="F659" s="16">
        <v>483.2168400000001</v>
      </c>
      <c r="G659" s="16">
        <v>312.66971999999998</v>
      </c>
      <c r="H659" s="16">
        <v>369.51876000000004</v>
      </c>
      <c r="I659" s="16">
        <v>255.82067999999998</v>
      </c>
      <c r="J659" s="16">
        <v>85.273560000000003</v>
      </c>
      <c r="K659" s="16">
        <v>312.66971999999998</v>
      </c>
      <c r="L659" s="16">
        <v>113.69808</v>
      </c>
      <c r="M659" s="16">
        <f t="shared" si="10"/>
        <v>665.54800000000023</v>
      </c>
      <c r="N659" s="17">
        <v>3508</v>
      </c>
      <c r="O659" s="16">
        <v>109</v>
      </c>
      <c r="P659" s="16">
        <v>0</v>
      </c>
      <c r="Q659" s="16">
        <v>770</v>
      </c>
      <c r="R659" s="16">
        <v>513</v>
      </c>
      <c r="S659" s="16">
        <v>313</v>
      </c>
      <c r="T659" s="16">
        <v>316</v>
      </c>
      <c r="U659" s="16">
        <v>112</v>
      </c>
      <c r="V659" s="16">
        <v>333</v>
      </c>
      <c r="W659" s="16">
        <v>935</v>
      </c>
      <c r="X659" s="16">
        <v>107</v>
      </c>
    </row>
    <row r="660" spans="1:24">
      <c r="A660" s="19">
        <v>46127</v>
      </c>
      <c r="B660" s="18" t="s">
        <v>287</v>
      </c>
      <c r="C660" s="16">
        <v>312.66971999999998</v>
      </c>
      <c r="D660" s="16">
        <v>312.66971999999998</v>
      </c>
      <c r="E660" s="16">
        <v>284.24520000000001</v>
      </c>
      <c r="F660" s="16">
        <v>483.2168400000001</v>
      </c>
      <c r="G660" s="16">
        <v>312.66971999999998</v>
      </c>
      <c r="H660" s="16">
        <v>369.51876000000004</v>
      </c>
      <c r="I660" s="16">
        <v>255.82067999999998</v>
      </c>
      <c r="J660" s="16">
        <v>85.273560000000003</v>
      </c>
      <c r="K660" s="16">
        <v>312.66971999999998</v>
      </c>
      <c r="L660" s="16">
        <v>113.69808</v>
      </c>
      <c r="M660" s="16">
        <f t="shared" si="10"/>
        <v>665.54800000000023</v>
      </c>
      <c r="N660" s="17">
        <v>3508</v>
      </c>
      <c r="O660" s="16">
        <v>109</v>
      </c>
      <c r="P660" s="16">
        <v>0</v>
      </c>
      <c r="Q660" s="16">
        <v>770</v>
      </c>
      <c r="R660" s="16">
        <v>513</v>
      </c>
      <c r="S660" s="16">
        <v>313</v>
      </c>
      <c r="T660" s="16">
        <v>316</v>
      </c>
      <c r="U660" s="16">
        <v>112</v>
      </c>
      <c r="V660" s="16">
        <v>333</v>
      </c>
      <c r="W660" s="16">
        <v>935</v>
      </c>
      <c r="X660" s="16">
        <v>107</v>
      </c>
    </row>
    <row r="661" spans="1:24">
      <c r="A661" s="19">
        <v>46128</v>
      </c>
      <c r="B661" s="18" t="s">
        <v>287</v>
      </c>
      <c r="C661" s="16">
        <v>312.66971999999998</v>
      </c>
      <c r="D661" s="16">
        <v>312.66971999999998</v>
      </c>
      <c r="E661" s="16">
        <v>284.24520000000001</v>
      </c>
      <c r="F661" s="16">
        <v>483.2168400000001</v>
      </c>
      <c r="G661" s="16">
        <v>312.66971999999998</v>
      </c>
      <c r="H661" s="16">
        <v>369.51876000000004</v>
      </c>
      <c r="I661" s="16">
        <v>255.82067999999998</v>
      </c>
      <c r="J661" s="16">
        <v>85.273560000000003</v>
      </c>
      <c r="K661" s="16">
        <v>312.66971999999998</v>
      </c>
      <c r="L661" s="16">
        <v>113.69808</v>
      </c>
      <c r="M661" s="16">
        <f t="shared" si="10"/>
        <v>665.54800000000023</v>
      </c>
      <c r="N661" s="17">
        <v>3508</v>
      </c>
      <c r="O661" s="16">
        <v>109</v>
      </c>
      <c r="P661" s="16">
        <v>0</v>
      </c>
      <c r="Q661" s="16">
        <v>770</v>
      </c>
      <c r="R661" s="16">
        <v>513</v>
      </c>
      <c r="S661" s="16">
        <v>313</v>
      </c>
      <c r="T661" s="16">
        <v>316</v>
      </c>
      <c r="U661" s="16">
        <v>112</v>
      </c>
      <c r="V661" s="16">
        <v>333</v>
      </c>
      <c r="W661" s="16">
        <v>935</v>
      </c>
      <c r="X661" s="16">
        <v>107</v>
      </c>
    </row>
    <row r="662" spans="1:24">
      <c r="A662" s="19">
        <v>46129</v>
      </c>
      <c r="B662" s="18" t="s">
        <v>287</v>
      </c>
      <c r="C662" s="16">
        <v>312.66971999999998</v>
      </c>
      <c r="D662" s="16">
        <v>312.66971999999998</v>
      </c>
      <c r="E662" s="16">
        <v>284.24520000000001</v>
      </c>
      <c r="F662" s="16">
        <v>483.2168400000001</v>
      </c>
      <c r="G662" s="16">
        <v>312.66971999999998</v>
      </c>
      <c r="H662" s="16">
        <v>369.51876000000004</v>
      </c>
      <c r="I662" s="16">
        <v>255.82067999999998</v>
      </c>
      <c r="J662" s="16">
        <v>85.273560000000003</v>
      </c>
      <c r="K662" s="16">
        <v>312.66971999999998</v>
      </c>
      <c r="L662" s="16">
        <v>113.69808</v>
      </c>
      <c r="M662" s="16">
        <f t="shared" si="10"/>
        <v>665.54800000000023</v>
      </c>
      <c r="N662" s="17">
        <v>3508</v>
      </c>
      <c r="O662" s="16">
        <v>109</v>
      </c>
      <c r="P662" s="16">
        <v>0</v>
      </c>
      <c r="Q662" s="16">
        <v>770</v>
      </c>
      <c r="R662" s="16">
        <v>513</v>
      </c>
      <c r="S662" s="16">
        <v>313</v>
      </c>
      <c r="T662" s="16">
        <v>316</v>
      </c>
      <c r="U662" s="16">
        <v>112</v>
      </c>
      <c r="V662" s="16">
        <v>333</v>
      </c>
      <c r="W662" s="16">
        <v>935</v>
      </c>
      <c r="X662" s="16">
        <v>107</v>
      </c>
    </row>
    <row r="663" spans="1:24">
      <c r="A663" s="19">
        <v>46130</v>
      </c>
      <c r="B663" s="18" t="s">
        <v>287</v>
      </c>
      <c r="C663" s="16">
        <v>348.63839999999999</v>
      </c>
      <c r="D663" s="16">
        <v>348.63839999999999</v>
      </c>
      <c r="E663" s="16">
        <v>316.94400000000002</v>
      </c>
      <c r="F663" s="16">
        <v>538.8048</v>
      </c>
      <c r="G663" s="16">
        <v>348.63839999999999</v>
      </c>
      <c r="H663" s="16">
        <v>412.02720000000005</v>
      </c>
      <c r="I663" s="16">
        <v>285.24959999999999</v>
      </c>
      <c r="J663" s="16">
        <v>95.083200000000005</v>
      </c>
      <c r="K663" s="16">
        <v>348.63839999999999</v>
      </c>
      <c r="L663" s="16">
        <v>126.77760000000001</v>
      </c>
      <c r="M663" s="16">
        <f t="shared" si="10"/>
        <v>744.56</v>
      </c>
      <c r="N663" s="17">
        <v>3914</v>
      </c>
      <c r="O663" s="16">
        <v>125</v>
      </c>
      <c r="P663" s="16">
        <v>0</v>
      </c>
      <c r="Q663" s="16">
        <v>886</v>
      </c>
      <c r="R663" s="16">
        <v>590</v>
      </c>
      <c r="S663" s="16">
        <v>360</v>
      </c>
      <c r="T663" s="16">
        <v>364</v>
      </c>
      <c r="U663" s="16">
        <v>130</v>
      </c>
      <c r="V663" s="16">
        <v>384</v>
      </c>
      <c r="W663" s="16">
        <v>1075</v>
      </c>
      <c r="X663" s="16">
        <v>0</v>
      </c>
    </row>
    <row r="664" spans="1:24">
      <c r="A664" s="19">
        <v>46131</v>
      </c>
      <c r="B664" s="18" t="s">
        <v>287</v>
      </c>
      <c r="C664" s="16">
        <v>348.63839999999999</v>
      </c>
      <c r="D664" s="16">
        <v>348.63839999999999</v>
      </c>
      <c r="E664" s="16">
        <v>316.94400000000002</v>
      </c>
      <c r="F664" s="16">
        <v>538.8048</v>
      </c>
      <c r="G664" s="16">
        <v>348.63839999999999</v>
      </c>
      <c r="H664" s="16">
        <v>412.02720000000005</v>
      </c>
      <c r="I664" s="16">
        <v>285.24959999999999</v>
      </c>
      <c r="J664" s="16">
        <v>95.083200000000005</v>
      </c>
      <c r="K664" s="16">
        <v>348.63839999999999</v>
      </c>
      <c r="L664" s="16">
        <v>126.77760000000001</v>
      </c>
      <c r="M664" s="16">
        <f t="shared" si="10"/>
        <v>744.56</v>
      </c>
      <c r="N664" s="17">
        <v>3914</v>
      </c>
      <c r="O664" s="16">
        <v>125</v>
      </c>
      <c r="P664" s="16">
        <v>0</v>
      </c>
      <c r="Q664" s="16">
        <v>886</v>
      </c>
      <c r="R664" s="16">
        <v>590</v>
      </c>
      <c r="S664" s="16">
        <v>360</v>
      </c>
      <c r="T664" s="16">
        <v>364</v>
      </c>
      <c r="U664" s="16">
        <v>130</v>
      </c>
      <c r="V664" s="16">
        <v>384</v>
      </c>
      <c r="W664" s="16">
        <v>1075</v>
      </c>
      <c r="X664" s="16">
        <v>0</v>
      </c>
    </row>
    <row r="665" spans="1:24">
      <c r="A665" s="19">
        <v>46132</v>
      </c>
      <c r="B665" s="18" t="s">
        <v>287</v>
      </c>
      <c r="C665" s="16">
        <v>312.66971999999998</v>
      </c>
      <c r="D665" s="16">
        <v>312.66971999999998</v>
      </c>
      <c r="E665" s="16">
        <v>284.24520000000001</v>
      </c>
      <c r="F665" s="16">
        <v>483.2168400000001</v>
      </c>
      <c r="G665" s="16">
        <v>312.66971999999998</v>
      </c>
      <c r="H665" s="16">
        <v>369.51876000000004</v>
      </c>
      <c r="I665" s="16">
        <v>255.82067999999998</v>
      </c>
      <c r="J665" s="16">
        <v>85.273560000000003</v>
      </c>
      <c r="K665" s="16">
        <v>312.66971999999998</v>
      </c>
      <c r="L665" s="16">
        <v>113.69808</v>
      </c>
      <c r="M665" s="16">
        <f t="shared" si="10"/>
        <v>665.54800000000023</v>
      </c>
      <c r="N665" s="17">
        <v>3508</v>
      </c>
      <c r="O665" s="16">
        <v>109</v>
      </c>
      <c r="P665" s="16">
        <v>0</v>
      </c>
      <c r="Q665" s="16">
        <v>770</v>
      </c>
      <c r="R665" s="16">
        <v>513</v>
      </c>
      <c r="S665" s="16">
        <v>313</v>
      </c>
      <c r="T665" s="16">
        <v>316</v>
      </c>
      <c r="U665" s="16">
        <v>112</v>
      </c>
      <c r="V665" s="16">
        <v>333</v>
      </c>
      <c r="W665" s="16">
        <v>935</v>
      </c>
      <c r="X665" s="16">
        <v>107</v>
      </c>
    </row>
    <row r="666" spans="1:24">
      <c r="A666" s="19">
        <v>46133</v>
      </c>
      <c r="B666" s="18" t="s">
        <v>287</v>
      </c>
      <c r="C666" s="16">
        <v>312.66971999999998</v>
      </c>
      <c r="D666" s="16">
        <v>312.66971999999998</v>
      </c>
      <c r="E666" s="16">
        <v>284.24520000000001</v>
      </c>
      <c r="F666" s="16">
        <v>483.2168400000001</v>
      </c>
      <c r="G666" s="16">
        <v>312.66971999999998</v>
      </c>
      <c r="H666" s="16">
        <v>369.51876000000004</v>
      </c>
      <c r="I666" s="16">
        <v>255.82067999999998</v>
      </c>
      <c r="J666" s="16">
        <v>85.273560000000003</v>
      </c>
      <c r="K666" s="16">
        <v>312.66971999999998</v>
      </c>
      <c r="L666" s="16">
        <v>113.69808</v>
      </c>
      <c r="M666" s="16">
        <f t="shared" si="10"/>
        <v>665.54800000000023</v>
      </c>
      <c r="N666" s="17">
        <v>3508</v>
      </c>
      <c r="O666" s="16">
        <v>109</v>
      </c>
      <c r="P666" s="16">
        <v>0</v>
      </c>
      <c r="Q666" s="16">
        <v>770</v>
      </c>
      <c r="R666" s="16">
        <v>513</v>
      </c>
      <c r="S666" s="16">
        <v>313</v>
      </c>
      <c r="T666" s="16">
        <v>316</v>
      </c>
      <c r="U666" s="16">
        <v>112</v>
      </c>
      <c r="V666" s="16">
        <v>333</v>
      </c>
      <c r="W666" s="16">
        <v>935</v>
      </c>
      <c r="X666" s="16">
        <v>107</v>
      </c>
    </row>
    <row r="667" spans="1:24">
      <c r="A667" s="19">
        <v>46134</v>
      </c>
      <c r="B667" s="18" t="s">
        <v>287</v>
      </c>
      <c r="C667" s="16">
        <v>312.66971999999998</v>
      </c>
      <c r="D667" s="16">
        <v>312.66971999999998</v>
      </c>
      <c r="E667" s="16">
        <v>284.24520000000001</v>
      </c>
      <c r="F667" s="16">
        <v>483.2168400000001</v>
      </c>
      <c r="G667" s="16">
        <v>312.66971999999998</v>
      </c>
      <c r="H667" s="16">
        <v>369.51876000000004</v>
      </c>
      <c r="I667" s="16">
        <v>255.82067999999998</v>
      </c>
      <c r="J667" s="16">
        <v>85.273560000000003</v>
      </c>
      <c r="K667" s="16">
        <v>312.66971999999998</v>
      </c>
      <c r="L667" s="16">
        <v>113.69808</v>
      </c>
      <c r="M667" s="16">
        <f t="shared" si="10"/>
        <v>665.54800000000023</v>
      </c>
      <c r="N667" s="17">
        <v>3508</v>
      </c>
      <c r="O667" s="16">
        <v>109</v>
      </c>
      <c r="P667" s="16">
        <v>0</v>
      </c>
      <c r="Q667" s="16">
        <v>770</v>
      </c>
      <c r="R667" s="16">
        <v>513</v>
      </c>
      <c r="S667" s="16">
        <v>313</v>
      </c>
      <c r="T667" s="16">
        <v>316</v>
      </c>
      <c r="U667" s="16">
        <v>112</v>
      </c>
      <c r="V667" s="16">
        <v>333</v>
      </c>
      <c r="W667" s="16">
        <v>935</v>
      </c>
      <c r="X667" s="16">
        <v>107</v>
      </c>
    </row>
    <row r="668" spans="1:24">
      <c r="A668" s="19">
        <v>46135</v>
      </c>
      <c r="B668" s="18" t="s">
        <v>287</v>
      </c>
      <c r="C668" s="16">
        <v>312.66971999999998</v>
      </c>
      <c r="D668" s="16">
        <v>312.66971999999998</v>
      </c>
      <c r="E668" s="16">
        <v>284.24520000000001</v>
      </c>
      <c r="F668" s="16">
        <v>483.2168400000001</v>
      </c>
      <c r="G668" s="16">
        <v>312.66971999999998</v>
      </c>
      <c r="H668" s="16">
        <v>369.51876000000004</v>
      </c>
      <c r="I668" s="16">
        <v>255.82067999999998</v>
      </c>
      <c r="J668" s="16">
        <v>85.273560000000003</v>
      </c>
      <c r="K668" s="16">
        <v>312.66971999999998</v>
      </c>
      <c r="L668" s="16">
        <v>113.69808</v>
      </c>
      <c r="M668" s="16">
        <f t="shared" si="10"/>
        <v>665.54800000000023</v>
      </c>
      <c r="N668" s="17">
        <v>3508</v>
      </c>
      <c r="O668" s="16">
        <v>109</v>
      </c>
      <c r="P668" s="16">
        <v>0</v>
      </c>
      <c r="Q668" s="16">
        <v>770</v>
      </c>
      <c r="R668" s="16">
        <v>513</v>
      </c>
      <c r="S668" s="16">
        <v>313</v>
      </c>
      <c r="T668" s="16">
        <v>316</v>
      </c>
      <c r="U668" s="16">
        <v>112</v>
      </c>
      <c r="V668" s="16">
        <v>333</v>
      </c>
      <c r="W668" s="16">
        <v>935</v>
      </c>
      <c r="X668" s="16">
        <v>107</v>
      </c>
    </row>
    <row r="669" spans="1:24">
      <c r="A669" s="19">
        <v>46136</v>
      </c>
      <c r="B669" s="18" t="s">
        <v>287</v>
      </c>
      <c r="C669" s="16">
        <v>312.66971999999998</v>
      </c>
      <c r="D669" s="16">
        <v>312.66971999999998</v>
      </c>
      <c r="E669" s="16">
        <v>284.24520000000001</v>
      </c>
      <c r="F669" s="16">
        <v>483.2168400000001</v>
      </c>
      <c r="G669" s="16">
        <v>312.66971999999998</v>
      </c>
      <c r="H669" s="16">
        <v>369.51876000000004</v>
      </c>
      <c r="I669" s="16">
        <v>255.82067999999998</v>
      </c>
      <c r="J669" s="16">
        <v>85.273560000000003</v>
      </c>
      <c r="K669" s="16">
        <v>312.66971999999998</v>
      </c>
      <c r="L669" s="16">
        <v>113.69808</v>
      </c>
      <c r="M669" s="16">
        <f t="shared" si="10"/>
        <v>665.54800000000023</v>
      </c>
      <c r="N669" s="17">
        <v>3508</v>
      </c>
      <c r="O669" s="16">
        <v>109</v>
      </c>
      <c r="P669" s="16">
        <v>0</v>
      </c>
      <c r="Q669" s="16">
        <v>770</v>
      </c>
      <c r="R669" s="16">
        <v>513</v>
      </c>
      <c r="S669" s="16">
        <v>313</v>
      </c>
      <c r="T669" s="16">
        <v>316</v>
      </c>
      <c r="U669" s="16">
        <v>112</v>
      </c>
      <c r="V669" s="16">
        <v>333</v>
      </c>
      <c r="W669" s="16">
        <v>935</v>
      </c>
      <c r="X669" s="16">
        <v>107</v>
      </c>
    </row>
    <row r="670" spans="1:24">
      <c r="A670" s="19">
        <v>46137</v>
      </c>
      <c r="B670" s="18" t="s">
        <v>287</v>
      </c>
      <c r="C670" s="16">
        <v>348.69978000000003</v>
      </c>
      <c r="D670" s="16">
        <v>348.69978000000003</v>
      </c>
      <c r="E670" s="16">
        <v>316.99980000000005</v>
      </c>
      <c r="F670" s="16">
        <v>538.89966000000015</v>
      </c>
      <c r="G670" s="16">
        <v>348.69978000000003</v>
      </c>
      <c r="H670" s="16">
        <v>412.09974000000005</v>
      </c>
      <c r="I670" s="16">
        <v>285.29982000000007</v>
      </c>
      <c r="J670" s="16">
        <v>95.099940000000004</v>
      </c>
      <c r="K670" s="16">
        <v>348.69978000000003</v>
      </c>
      <c r="L670" s="16">
        <v>126.79992000000003</v>
      </c>
      <c r="M670" s="16">
        <f t="shared" si="10"/>
        <v>745.0019999999995</v>
      </c>
      <c r="N670" s="17">
        <v>3915</v>
      </c>
      <c r="O670" s="16">
        <v>125</v>
      </c>
      <c r="P670" s="16">
        <v>1</v>
      </c>
      <c r="Q670" s="16">
        <v>886</v>
      </c>
      <c r="R670" s="16">
        <v>590</v>
      </c>
      <c r="S670" s="16">
        <v>360</v>
      </c>
      <c r="T670" s="16">
        <v>364</v>
      </c>
      <c r="U670" s="16">
        <v>130</v>
      </c>
      <c r="V670" s="16">
        <v>384</v>
      </c>
      <c r="W670" s="16">
        <v>1075</v>
      </c>
      <c r="X670" s="16">
        <v>0</v>
      </c>
    </row>
    <row r="671" spans="1:24">
      <c r="A671" s="19">
        <v>46138</v>
      </c>
      <c r="B671" s="18" t="s">
        <v>287</v>
      </c>
      <c r="C671" s="16">
        <v>348.69978000000003</v>
      </c>
      <c r="D671" s="16">
        <v>348.69978000000003</v>
      </c>
      <c r="E671" s="16">
        <v>316.99980000000005</v>
      </c>
      <c r="F671" s="16">
        <v>538.89966000000015</v>
      </c>
      <c r="G671" s="16">
        <v>348.69978000000003</v>
      </c>
      <c r="H671" s="16">
        <v>412.09974000000005</v>
      </c>
      <c r="I671" s="16">
        <v>285.29982000000007</v>
      </c>
      <c r="J671" s="16">
        <v>95.099940000000004</v>
      </c>
      <c r="K671" s="16">
        <v>348.69978000000003</v>
      </c>
      <c r="L671" s="16">
        <v>126.79992000000003</v>
      </c>
      <c r="M671" s="16">
        <f t="shared" si="10"/>
        <v>745.0019999999995</v>
      </c>
      <c r="N671" s="17">
        <v>3915</v>
      </c>
      <c r="O671" s="16">
        <v>125</v>
      </c>
      <c r="P671" s="16">
        <v>1</v>
      </c>
      <c r="Q671" s="16">
        <v>886</v>
      </c>
      <c r="R671" s="16">
        <v>590</v>
      </c>
      <c r="S671" s="16">
        <v>360</v>
      </c>
      <c r="T671" s="16">
        <v>364</v>
      </c>
      <c r="U671" s="16">
        <v>130</v>
      </c>
      <c r="V671" s="16">
        <v>384</v>
      </c>
      <c r="W671" s="16">
        <v>1075</v>
      </c>
      <c r="X671" s="16">
        <v>0</v>
      </c>
    </row>
    <row r="672" spans="1:24">
      <c r="A672" s="19">
        <v>46139</v>
      </c>
      <c r="B672" s="18" t="s">
        <v>287</v>
      </c>
      <c r="C672" s="16">
        <v>312.73109999999997</v>
      </c>
      <c r="D672" s="16">
        <v>312.73109999999997</v>
      </c>
      <c r="E672" s="16">
        <v>284.30099999999999</v>
      </c>
      <c r="F672" s="16">
        <v>483.31169999999997</v>
      </c>
      <c r="G672" s="16">
        <v>312.73109999999997</v>
      </c>
      <c r="H672" s="16">
        <v>369.59130000000005</v>
      </c>
      <c r="I672" s="16">
        <v>255.87089999999995</v>
      </c>
      <c r="J672" s="16">
        <v>85.290300000000002</v>
      </c>
      <c r="K672" s="16">
        <v>312.73109999999997</v>
      </c>
      <c r="L672" s="16">
        <v>113.7204</v>
      </c>
      <c r="M672" s="16">
        <f t="shared" si="10"/>
        <v>665.99000000000024</v>
      </c>
      <c r="N672" s="17">
        <v>3509</v>
      </c>
      <c r="O672" s="16">
        <v>109</v>
      </c>
      <c r="P672" s="16">
        <v>1</v>
      </c>
      <c r="Q672" s="16">
        <v>770</v>
      </c>
      <c r="R672" s="16">
        <v>513</v>
      </c>
      <c r="S672" s="16">
        <v>313</v>
      </c>
      <c r="T672" s="16">
        <v>316</v>
      </c>
      <c r="U672" s="16">
        <v>112</v>
      </c>
      <c r="V672" s="16">
        <v>333</v>
      </c>
      <c r="W672" s="16">
        <v>935</v>
      </c>
      <c r="X672" s="16">
        <v>107</v>
      </c>
    </row>
    <row r="673" spans="1:24">
      <c r="A673" s="19">
        <v>46140</v>
      </c>
      <c r="B673" s="18" t="s">
        <v>287</v>
      </c>
      <c r="C673" s="16">
        <v>312.73109999999997</v>
      </c>
      <c r="D673" s="16">
        <v>312.73109999999997</v>
      </c>
      <c r="E673" s="16">
        <v>284.30099999999999</v>
      </c>
      <c r="F673" s="16">
        <v>483.31169999999997</v>
      </c>
      <c r="G673" s="16">
        <v>312.73109999999997</v>
      </c>
      <c r="H673" s="16">
        <v>369.59130000000005</v>
      </c>
      <c r="I673" s="16">
        <v>255.87089999999995</v>
      </c>
      <c r="J673" s="16">
        <v>85.290300000000002</v>
      </c>
      <c r="K673" s="16">
        <v>312.73109999999997</v>
      </c>
      <c r="L673" s="16">
        <v>113.7204</v>
      </c>
      <c r="M673" s="16">
        <f t="shared" si="10"/>
        <v>665.99000000000024</v>
      </c>
      <c r="N673" s="17">
        <v>3509</v>
      </c>
      <c r="O673" s="16">
        <v>109</v>
      </c>
      <c r="P673" s="16">
        <v>1</v>
      </c>
      <c r="Q673" s="16">
        <v>770</v>
      </c>
      <c r="R673" s="16">
        <v>513</v>
      </c>
      <c r="S673" s="16">
        <v>313</v>
      </c>
      <c r="T673" s="16">
        <v>316</v>
      </c>
      <c r="U673" s="16">
        <v>112</v>
      </c>
      <c r="V673" s="16">
        <v>333</v>
      </c>
      <c r="W673" s="16">
        <v>935</v>
      </c>
      <c r="X673" s="16">
        <v>107</v>
      </c>
    </row>
    <row r="674" spans="1:24">
      <c r="A674" s="19">
        <v>46141</v>
      </c>
      <c r="B674" s="18" t="s">
        <v>287</v>
      </c>
      <c r="C674" s="16">
        <v>312.73109999999997</v>
      </c>
      <c r="D674" s="16">
        <v>312.73109999999997</v>
      </c>
      <c r="E674" s="16">
        <v>284.30099999999999</v>
      </c>
      <c r="F674" s="16">
        <v>483.31169999999997</v>
      </c>
      <c r="G674" s="16">
        <v>312.73109999999997</v>
      </c>
      <c r="H674" s="16">
        <v>369.59130000000005</v>
      </c>
      <c r="I674" s="16">
        <v>255.87089999999995</v>
      </c>
      <c r="J674" s="16">
        <v>85.290300000000002</v>
      </c>
      <c r="K674" s="16">
        <v>312.73109999999997</v>
      </c>
      <c r="L674" s="16">
        <v>113.7204</v>
      </c>
      <c r="M674" s="16">
        <f t="shared" si="10"/>
        <v>665.99000000000024</v>
      </c>
      <c r="N674" s="17">
        <v>3509</v>
      </c>
      <c r="O674" s="16">
        <v>109</v>
      </c>
      <c r="P674" s="16">
        <v>1</v>
      </c>
      <c r="Q674" s="16">
        <v>770</v>
      </c>
      <c r="R674" s="16">
        <v>513</v>
      </c>
      <c r="S674" s="16">
        <v>313</v>
      </c>
      <c r="T674" s="16">
        <v>316</v>
      </c>
      <c r="U674" s="16">
        <v>112</v>
      </c>
      <c r="V674" s="16">
        <v>333</v>
      </c>
      <c r="W674" s="16">
        <v>935</v>
      </c>
      <c r="X674" s="16">
        <v>107</v>
      </c>
    </row>
    <row r="675" spans="1:24">
      <c r="A675" s="19">
        <v>46142</v>
      </c>
      <c r="B675" s="18" t="s">
        <v>287</v>
      </c>
      <c r="C675" s="16">
        <v>314.32698000000005</v>
      </c>
      <c r="D675" s="16">
        <v>314.32698000000005</v>
      </c>
      <c r="E675" s="16">
        <v>285.7518</v>
      </c>
      <c r="F675" s="16">
        <v>485.7780600000001</v>
      </c>
      <c r="G675" s="16">
        <v>314.32698000000005</v>
      </c>
      <c r="H675" s="16">
        <v>371.47734000000003</v>
      </c>
      <c r="I675" s="16">
        <v>257.17662000000001</v>
      </c>
      <c r="J675" s="16">
        <v>85.725540000000009</v>
      </c>
      <c r="K675" s="16">
        <v>314.32698000000005</v>
      </c>
      <c r="L675" s="16">
        <v>114.30072</v>
      </c>
      <c r="M675" s="16">
        <f t="shared" si="10"/>
        <v>683.48199999999906</v>
      </c>
      <c r="N675" s="17">
        <v>3541</v>
      </c>
      <c r="O675" s="16">
        <v>110</v>
      </c>
      <c r="P675" s="16">
        <v>0</v>
      </c>
      <c r="Q675" s="16">
        <v>778</v>
      </c>
      <c r="R675" s="16">
        <v>501</v>
      </c>
      <c r="S675" s="16">
        <v>324</v>
      </c>
      <c r="T675" s="16">
        <v>323</v>
      </c>
      <c r="U675" s="16">
        <v>118</v>
      </c>
      <c r="V675" s="16">
        <v>341</v>
      </c>
      <c r="W675" s="16">
        <v>929</v>
      </c>
      <c r="X675" s="16">
        <v>117</v>
      </c>
    </row>
    <row r="676" spans="1:24">
      <c r="A676" s="19">
        <v>46143</v>
      </c>
      <c r="B676" s="18" t="s">
        <v>287</v>
      </c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>
        <f t="shared" si="10"/>
        <v>0</v>
      </c>
      <c r="N676" s="17">
        <v>0</v>
      </c>
      <c r="O676" s="16"/>
      <c r="P676" s="16"/>
      <c r="Q676" s="16"/>
      <c r="R676" s="16"/>
      <c r="S676" s="16"/>
      <c r="T676" s="16"/>
      <c r="U676" s="16"/>
      <c r="V676" s="16"/>
      <c r="W676" s="16"/>
      <c r="X676" s="16"/>
    </row>
    <row r="677" spans="1:24">
      <c r="A677" s="19">
        <v>46144</v>
      </c>
      <c r="B677" s="18" t="s">
        <v>287</v>
      </c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>
        <f t="shared" si="10"/>
        <v>0</v>
      </c>
      <c r="N677" s="17">
        <v>0</v>
      </c>
      <c r="O677" s="16"/>
      <c r="P677" s="16"/>
      <c r="Q677" s="16"/>
      <c r="R677" s="16"/>
      <c r="S677" s="16"/>
      <c r="T677" s="16"/>
      <c r="U677" s="16"/>
      <c r="V677" s="16"/>
      <c r="W677" s="16"/>
      <c r="X677" s="16"/>
    </row>
    <row r="678" spans="1:24">
      <c r="A678" s="19">
        <v>46145</v>
      </c>
      <c r="B678" s="18" t="s">
        <v>287</v>
      </c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>
        <f t="shared" si="10"/>
        <v>0</v>
      </c>
      <c r="N678" s="17">
        <v>0</v>
      </c>
      <c r="O678" s="16"/>
      <c r="P678" s="16"/>
      <c r="Q678" s="16"/>
      <c r="R678" s="16"/>
      <c r="S678" s="16"/>
      <c r="T678" s="16"/>
      <c r="U678" s="16"/>
      <c r="V678" s="16"/>
      <c r="W678" s="16"/>
      <c r="X678" s="16"/>
    </row>
    <row r="679" spans="1:24">
      <c r="A679" s="19">
        <v>46146</v>
      </c>
      <c r="B679" s="18" t="s">
        <v>287</v>
      </c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>
        <f t="shared" si="10"/>
        <v>0</v>
      </c>
      <c r="N679" s="17">
        <v>0</v>
      </c>
      <c r="O679" s="16"/>
      <c r="P679" s="16"/>
      <c r="Q679" s="16"/>
      <c r="R679" s="16"/>
      <c r="S679" s="16"/>
      <c r="T679" s="16"/>
      <c r="U679" s="16"/>
      <c r="V679" s="16"/>
      <c r="W679" s="16"/>
      <c r="X679" s="16"/>
    </row>
    <row r="680" spans="1:24">
      <c r="A680" s="19">
        <v>46147</v>
      </c>
      <c r="B680" s="18" t="s">
        <v>287</v>
      </c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>
        <f t="shared" si="10"/>
        <v>0</v>
      </c>
      <c r="N680" s="17">
        <v>0</v>
      </c>
      <c r="O680" s="16"/>
      <c r="P680" s="16"/>
      <c r="Q680" s="16"/>
      <c r="R680" s="16"/>
      <c r="S680" s="16"/>
      <c r="T680" s="16"/>
      <c r="U680" s="16"/>
      <c r="V680" s="16"/>
      <c r="W680" s="16"/>
      <c r="X680" s="16"/>
    </row>
    <row r="681" spans="1:24">
      <c r="A681" s="19">
        <v>46148</v>
      </c>
      <c r="B681" s="18" t="s">
        <v>287</v>
      </c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>
        <f t="shared" si="10"/>
        <v>0</v>
      </c>
      <c r="N681" s="17">
        <v>0</v>
      </c>
      <c r="O681" s="16"/>
      <c r="P681" s="16"/>
      <c r="Q681" s="16"/>
      <c r="R681" s="16"/>
      <c r="S681" s="16"/>
      <c r="T681" s="16"/>
      <c r="U681" s="16"/>
      <c r="V681" s="16"/>
      <c r="W681" s="16"/>
      <c r="X681" s="16"/>
    </row>
    <row r="682" spans="1:24">
      <c r="A682" s="19">
        <v>46149</v>
      </c>
      <c r="B682" s="18" t="s">
        <v>287</v>
      </c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>
        <f t="shared" si="10"/>
        <v>0</v>
      </c>
      <c r="N682" s="17">
        <v>0</v>
      </c>
      <c r="O682" s="16"/>
      <c r="P682" s="16"/>
      <c r="Q682" s="16"/>
      <c r="R682" s="16"/>
      <c r="S682" s="16"/>
      <c r="T682" s="16"/>
      <c r="U682" s="16"/>
      <c r="V682" s="16"/>
      <c r="W682" s="16"/>
      <c r="X682" s="16"/>
    </row>
    <row r="683" spans="1:24">
      <c r="A683" s="19">
        <v>46150</v>
      </c>
      <c r="B683" s="18" t="s">
        <v>287</v>
      </c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>
        <f t="shared" si="10"/>
        <v>0</v>
      </c>
      <c r="N683" s="17">
        <v>0</v>
      </c>
      <c r="O683" s="16"/>
      <c r="P683" s="16"/>
      <c r="Q683" s="16"/>
      <c r="R683" s="16"/>
      <c r="S683" s="16"/>
      <c r="T683" s="16"/>
      <c r="U683" s="16"/>
      <c r="V683" s="16"/>
      <c r="W683" s="16"/>
      <c r="X683" s="16"/>
    </row>
    <row r="684" spans="1:24">
      <c r="A684" s="19">
        <v>46151</v>
      </c>
      <c r="B684" s="18" t="s">
        <v>287</v>
      </c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>
        <f t="shared" si="10"/>
        <v>0</v>
      </c>
      <c r="N684" s="17">
        <v>0</v>
      </c>
      <c r="O684" s="16"/>
      <c r="P684" s="16"/>
      <c r="Q684" s="16"/>
      <c r="R684" s="16"/>
      <c r="S684" s="16"/>
      <c r="T684" s="16"/>
      <c r="U684" s="16"/>
      <c r="V684" s="16"/>
      <c r="W684" s="16"/>
      <c r="X684" s="16"/>
    </row>
    <row r="685" spans="1:24">
      <c r="A685" s="19">
        <v>46152</v>
      </c>
      <c r="B685" s="18" t="s">
        <v>287</v>
      </c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>
        <f t="shared" si="10"/>
        <v>0</v>
      </c>
      <c r="N685" s="17">
        <v>0</v>
      </c>
      <c r="O685" s="16"/>
      <c r="P685" s="16"/>
      <c r="Q685" s="16"/>
      <c r="R685" s="16"/>
      <c r="S685" s="16"/>
      <c r="T685" s="16"/>
      <c r="U685" s="16"/>
      <c r="V685" s="16"/>
      <c r="W685" s="16"/>
      <c r="X685" s="16"/>
    </row>
    <row r="686" spans="1:24">
      <c r="A686" s="19">
        <v>46153</v>
      </c>
      <c r="B686" s="18" t="s">
        <v>287</v>
      </c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>
        <f t="shared" si="10"/>
        <v>0</v>
      </c>
      <c r="N686" s="17">
        <v>0</v>
      </c>
      <c r="O686" s="16"/>
      <c r="P686" s="16"/>
      <c r="Q686" s="16"/>
      <c r="R686" s="16"/>
      <c r="S686" s="16"/>
      <c r="T686" s="16"/>
      <c r="U686" s="16"/>
      <c r="V686" s="16"/>
      <c r="W686" s="16"/>
      <c r="X686" s="16"/>
    </row>
    <row r="687" spans="1:24">
      <c r="A687" s="19">
        <v>46154</v>
      </c>
      <c r="B687" s="18" t="s">
        <v>287</v>
      </c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>
        <f t="shared" si="10"/>
        <v>0</v>
      </c>
      <c r="N687" s="17">
        <v>0</v>
      </c>
      <c r="O687" s="16"/>
      <c r="P687" s="16"/>
      <c r="Q687" s="16"/>
      <c r="R687" s="16"/>
      <c r="S687" s="16"/>
      <c r="T687" s="16"/>
      <c r="U687" s="16"/>
      <c r="V687" s="16"/>
      <c r="W687" s="16"/>
      <c r="X687" s="16"/>
    </row>
    <row r="688" spans="1:24">
      <c r="A688" s="19">
        <v>46155</v>
      </c>
      <c r="B688" s="18" t="s">
        <v>287</v>
      </c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>
        <f t="shared" si="10"/>
        <v>0</v>
      </c>
      <c r="N688" s="17">
        <v>0</v>
      </c>
      <c r="O688" s="16"/>
      <c r="P688" s="16"/>
      <c r="Q688" s="16"/>
      <c r="R688" s="16"/>
      <c r="S688" s="16"/>
      <c r="T688" s="16"/>
      <c r="U688" s="16"/>
      <c r="V688" s="16"/>
      <c r="W688" s="16"/>
      <c r="X688" s="16"/>
    </row>
    <row r="689" spans="1:24">
      <c r="A689" s="19">
        <v>46156</v>
      </c>
      <c r="B689" s="18" t="s">
        <v>287</v>
      </c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>
        <f t="shared" si="10"/>
        <v>0</v>
      </c>
      <c r="N689" s="17">
        <v>0</v>
      </c>
      <c r="O689" s="16"/>
      <c r="P689" s="16"/>
      <c r="Q689" s="16"/>
      <c r="R689" s="16"/>
      <c r="S689" s="16"/>
      <c r="T689" s="16"/>
      <c r="U689" s="16"/>
      <c r="V689" s="16"/>
      <c r="W689" s="16"/>
      <c r="X689" s="16"/>
    </row>
    <row r="690" spans="1:24">
      <c r="A690" s="19">
        <v>46157</v>
      </c>
      <c r="B690" s="18" t="s">
        <v>287</v>
      </c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>
        <f t="shared" si="10"/>
        <v>0</v>
      </c>
      <c r="N690" s="17">
        <v>0</v>
      </c>
      <c r="O690" s="16"/>
      <c r="P690" s="16"/>
      <c r="Q690" s="16"/>
      <c r="R690" s="16"/>
      <c r="S690" s="16"/>
      <c r="T690" s="16"/>
      <c r="U690" s="16"/>
      <c r="V690" s="16"/>
      <c r="W690" s="16"/>
      <c r="X690" s="16"/>
    </row>
    <row r="691" spans="1:24">
      <c r="A691" s="19">
        <v>46158</v>
      </c>
      <c r="B691" s="18" t="s">
        <v>287</v>
      </c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>
        <f t="shared" si="10"/>
        <v>0</v>
      </c>
      <c r="N691" s="17">
        <v>0</v>
      </c>
      <c r="O691" s="16"/>
      <c r="P691" s="16"/>
      <c r="Q691" s="16"/>
      <c r="R691" s="16"/>
      <c r="S691" s="16"/>
      <c r="T691" s="16"/>
      <c r="U691" s="16"/>
      <c r="V691" s="16"/>
      <c r="W691" s="16"/>
      <c r="X691" s="16"/>
    </row>
    <row r="692" spans="1:24">
      <c r="A692" s="19">
        <v>46159</v>
      </c>
      <c r="B692" s="18" t="s">
        <v>287</v>
      </c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>
        <f t="shared" si="10"/>
        <v>0</v>
      </c>
      <c r="N692" s="17">
        <v>0</v>
      </c>
      <c r="O692" s="16"/>
      <c r="P692" s="16"/>
      <c r="Q692" s="16"/>
      <c r="R692" s="16"/>
      <c r="S692" s="16"/>
      <c r="T692" s="16"/>
      <c r="U692" s="16"/>
      <c r="V692" s="16"/>
      <c r="W692" s="16"/>
      <c r="X692" s="16"/>
    </row>
    <row r="693" spans="1:24">
      <c r="A693" s="19">
        <v>46160</v>
      </c>
      <c r="B693" s="18" t="s">
        <v>287</v>
      </c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>
        <f t="shared" si="10"/>
        <v>0</v>
      </c>
      <c r="N693" s="17">
        <v>0</v>
      </c>
      <c r="O693" s="16"/>
      <c r="P693" s="16"/>
      <c r="Q693" s="16"/>
      <c r="R693" s="16"/>
      <c r="S693" s="16"/>
      <c r="T693" s="16"/>
      <c r="U693" s="16"/>
      <c r="V693" s="16"/>
      <c r="W693" s="16"/>
      <c r="X693" s="16"/>
    </row>
    <row r="694" spans="1:24">
      <c r="A694" s="19">
        <v>46161</v>
      </c>
      <c r="B694" s="18" t="s">
        <v>287</v>
      </c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>
        <f t="shared" si="10"/>
        <v>0</v>
      </c>
      <c r="N694" s="17">
        <v>0</v>
      </c>
      <c r="O694" s="16"/>
      <c r="P694" s="16"/>
      <c r="Q694" s="16"/>
      <c r="R694" s="16"/>
      <c r="S694" s="16"/>
      <c r="T694" s="16"/>
      <c r="U694" s="16"/>
      <c r="V694" s="16"/>
      <c r="W694" s="16"/>
      <c r="X694" s="16"/>
    </row>
    <row r="695" spans="1:24">
      <c r="A695" s="19">
        <v>46162</v>
      </c>
      <c r="B695" s="18" t="s">
        <v>287</v>
      </c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>
        <f t="shared" si="10"/>
        <v>0</v>
      </c>
      <c r="N695" s="17">
        <v>0</v>
      </c>
      <c r="O695" s="16"/>
      <c r="P695" s="16"/>
      <c r="Q695" s="16"/>
      <c r="R695" s="16"/>
      <c r="S695" s="16"/>
      <c r="T695" s="16"/>
      <c r="U695" s="16"/>
      <c r="V695" s="16"/>
      <c r="W695" s="16"/>
      <c r="X695" s="16"/>
    </row>
    <row r="696" spans="1:24">
      <c r="A696" s="19">
        <v>46163</v>
      </c>
      <c r="B696" s="18" t="s">
        <v>287</v>
      </c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>
        <f t="shared" si="10"/>
        <v>0</v>
      </c>
      <c r="N696" s="17">
        <v>0</v>
      </c>
      <c r="O696" s="16"/>
      <c r="P696" s="16"/>
      <c r="Q696" s="16"/>
      <c r="R696" s="16"/>
      <c r="S696" s="16"/>
      <c r="T696" s="16"/>
      <c r="U696" s="16"/>
      <c r="V696" s="16"/>
      <c r="W696" s="16"/>
      <c r="X696" s="16"/>
    </row>
    <row r="697" spans="1:24">
      <c r="A697" s="19">
        <v>46164</v>
      </c>
      <c r="B697" s="18" t="s">
        <v>287</v>
      </c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>
        <f t="shared" si="10"/>
        <v>0</v>
      </c>
      <c r="N697" s="17">
        <v>0</v>
      </c>
      <c r="O697" s="16"/>
      <c r="P697" s="16"/>
      <c r="Q697" s="16"/>
      <c r="R697" s="16"/>
      <c r="S697" s="16"/>
      <c r="T697" s="16"/>
      <c r="U697" s="16"/>
      <c r="V697" s="16"/>
      <c r="W697" s="16"/>
      <c r="X697" s="16"/>
    </row>
    <row r="698" spans="1:24">
      <c r="A698" s="19">
        <v>46165</v>
      </c>
      <c r="B698" s="18" t="s">
        <v>287</v>
      </c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>
        <f t="shared" si="10"/>
        <v>0</v>
      </c>
      <c r="N698" s="17">
        <v>0</v>
      </c>
      <c r="O698" s="16"/>
      <c r="P698" s="16"/>
      <c r="Q698" s="16"/>
      <c r="R698" s="16"/>
      <c r="S698" s="16"/>
      <c r="T698" s="16"/>
      <c r="U698" s="16"/>
      <c r="V698" s="16"/>
      <c r="W698" s="16"/>
      <c r="X698" s="16"/>
    </row>
    <row r="699" spans="1:24">
      <c r="A699" s="19">
        <v>46166</v>
      </c>
      <c r="B699" s="18" t="s">
        <v>287</v>
      </c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>
        <f t="shared" si="10"/>
        <v>0</v>
      </c>
      <c r="N699" s="17">
        <v>0</v>
      </c>
      <c r="O699" s="16"/>
      <c r="P699" s="16"/>
      <c r="Q699" s="16"/>
      <c r="R699" s="16"/>
      <c r="S699" s="16"/>
      <c r="T699" s="16"/>
      <c r="U699" s="16"/>
      <c r="V699" s="16"/>
      <c r="W699" s="16"/>
      <c r="X699" s="16"/>
    </row>
    <row r="700" spans="1:24">
      <c r="A700" s="19">
        <v>46167</v>
      </c>
      <c r="B700" s="18" t="s">
        <v>287</v>
      </c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>
        <f t="shared" si="10"/>
        <v>0</v>
      </c>
      <c r="N700" s="17">
        <v>0</v>
      </c>
      <c r="O700" s="16"/>
      <c r="P700" s="16"/>
      <c r="Q700" s="16"/>
      <c r="R700" s="16"/>
      <c r="S700" s="16"/>
      <c r="T700" s="16"/>
      <c r="U700" s="16"/>
      <c r="V700" s="16"/>
      <c r="W700" s="16"/>
      <c r="X700" s="16"/>
    </row>
    <row r="701" spans="1:24">
      <c r="A701" s="19">
        <v>46168</v>
      </c>
      <c r="B701" s="18" t="s">
        <v>287</v>
      </c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>
        <f t="shared" si="10"/>
        <v>0</v>
      </c>
      <c r="N701" s="17">
        <v>0</v>
      </c>
      <c r="O701" s="16"/>
      <c r="P701" s="16"/>
      <c r="Q701" s="16"/>
      <c r="R701" s="16"/>
      <c r="S701" s="16"/>
      <c r="T701" s="16"/>
      <c r="U701" s="16"/>
      <c r="V701" s="16"/>
      <c r="W701" s="16"/>
      <c r="X701" s="16"/>
    </row>
    <row r="702" spans="1:24">
      <c r="A702" s="19">
        <v>46169</v>
      </c>
      <c r="B702" s="18" t="s">
        <v>287</v>
      </c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>
        <f t="shared" si="10"/>
        <v>0</v>
      </c>
      <c r="N702" s="17">
        <v>0</v>
      </c>
      <c r="O702" s="16"/>
      <c r="P702" s="16"/>
      <c r="Q702" s="16"/>
      <c r="R702" s="16"/>
      <c r="S702" s="16"/>
      <c r="T702" s="16"/>
      <c r="U702" s="16"/>
      <c r="V702" s="16"/>
      <c r="W702" s="16"/>
      <c r="X702" s="16"/>
    </row>
    <row r="703" spans="1:24">
      <c r="A703" s="19">
        <v>46170</v>
      </c>
      <c r="B703" s="18" t="s">
        <v>287</v>
      </c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>
        <f t="shared" si="10"/>
        <v>0</v>
      </c>
      <c r="N703" s="17">
        <v>0</v>
      </c>
      <c r="O703" s="16"/>
      <c r="P703" s="16"/>
      <c r="Q703" s="16"/>
      <c r="R703" s="16"/>
      <c r="S703" s="16"/>
      <c r="T703" s="16"/>
      <c r="U703" s="16"/>
      <c r="V703" s="16"/>
      <c r="W703" s="16"/>
      <c r="X703" s="16"/>
    </row>
    <row r="704" spans="1:24">
      <c r="A704" s="19">
        <v>46171</v>
      </c>
      <c r="B704" s="18" t="s">
        <v>287</v>
      </c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>
        <f t="shared" si="10"/>
        <v>0</v>
      </c>
      <c r="N704" s="17">
        <v>0</v>
      </c>
      <c r="O704" s="16"/>
      <c r="P704" s="16"/>
      <c r="Q704" s="16"/>
      <c r="R704" s="16"/>
      <c r="S704" s="16"/>
      <c r="T704" s="16"/>
      <c r="U704" s="16"/>
      <c r="V704" s="16"/>
      <c r="W704" s="16"/>
      <c r="X704" s="16"/>
    </row>
    <row r="705" spans="1:24">
      <c r="A705" s="19">
        <v>46172</v>
      </c>
      <c r="B705" s="18" t="s">
        <v>287</v>
      </c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>
        <f t="shared" si="10"/>
        <v>0</v>
      </c>
      <c r="N705" s="17">
        <v>0</v>
      </c>
      <c r="O705" s="16"/>
      <c r="P705" s="16"/>
      <c r="Q705" s="16"/>
      <c r="R705" s="16"/>
      <c r="S705" s="16"/>
      <c r="T705" s="16"/>
      <c r="U705" s="16"/>
      <c r="V705" s="16"/>
      <c r="W705" s="16"/>
      <c r="X705" s="16"/>
    </row>
    <row r="706" spans="1:24">
      <c r="A706" s="19">
        <v>46173</v>
      </c>
      <c r="B706" s="18" t="s">
        <v>287</v>
      </c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>
        <f t="shared" si="10"/>
        <v>0</v>
      </c>
      <c r="N706" s="17">
        <v>0</v>
      </c>
      <c r="O706" s="16"/>
      <c r="P706" s="16"/>
      <c r="Q706" s="16"/>
      <c r="R706" s="16"/>
      <c r="S706" s="16"/>
      <c r="T706" s="16"/>
      <c r="U706" s="16"/>
      <c r="V706" s="16"/>
      <c r="W706" s="16"/>
      <c r="X706" s="16"/>
    </row>
    <row r="707" spans="1:24">
      <c r="A707" s="19">
        <v>46174</v>
      </c>
      <c r="B707" s="18" t="s">
        <v>287</v>
      </c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>
        <f t="shared" ref="M707:M770" si="11">N707-SUM(C707:L707)</f>
        <v>0</v>
      </c>
      <c r="N707" s="17">
        <v>0</v>
      </c>
      <c r="O707" s="16"/>
      <c r="P707" s="16"/>
      <c r="Q707" s="16"/>
      <c r="R707" s="16"/>
      <c r="S707" s="16"/>
      <c r="T707" s="16"/>
      <c r="U707" s="16"/>
      <c r="V707" s="16"/>
      <c r="W707" s="16"/>
      <c r="X707" s="16"/>
    </row>
    <row r="708" spans="1:24">
      <c r="A708" s="19">
        <v>46175</v>
      </c>
      <c r="B708" s="18" t="s">
        <v>287</v>
      </c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>
        <f t="shared" si="11"/>
        <v>0</v>
      </c>
      <c r="N708" s="17">
        <v>0</v>
      </c>
      <c r="O708" s="16"/>
      <c r="P708" s="16"/>
      <c r="Q708" s="16"/>
      <c r="R708" s="16"/>
      <c r="S708" s="16"/>
      <c r="T708" s="16"/>
      <c r="U708" s="16"/>
      <c r="V708" s="16"/>
      <c r="W708" s="16"/>
      <c r="X708" s="16"/>
    </row>
    <row r="709" spans="1:24">
      <c r="A709" s="19">
        <v>46176</v>
      </c>
      <c r="B709" s="18" t="s">
        <v>287</v>
      </c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>
        <f t="shared" si="11"/>
        <v>0</v>
      </c>
      <c r="N709" s="17">
        <v>0</v>
      </c>
      <c r="O709" s="16"/>
      <c r="P709" s="16"/>
      <c r="Q709" s="16"/>
      <c r="R709" s="16"/>
      <c r="S709" s="16"/>
      <c r="T709" s="16"/>
      <c r="U709" s="16"/>
      <c r="V709" s="16"/>
      <c r="W709" s="16"/>
      <c r="X709" s="16"/>
    </row>
    <row r="710" spans="1:24">
      <c r="A710" s="19">
        <v>46177</v>
      </c>
      <c r="B710" s="18" t="s">
        <v>287</v>
      </c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>
        <f t="shared" si="11"/>
        <v>0</v>
      </c>
      <c r="N710" s="17">
        <v>0</v>
      </c>
      <c r="O710" s="16"/>
      <c r="P710" s="16"/>
      <c r="Q710" s="16"/>
      <c r="R710" s="16"/>
      <c r="S710" s="16"/>
      <c r="T710" s="16"/>
      <c r="U710" s="16"/>
      <c r="V710" s="16"/>
      <c r="W710" s="16"/>
      <c r="X710" s="16"/>
    </row>
    <row r="711" spans="1:24">
      <c r="A711" s="19">
        <v>46178</v>
      </c>
      <c r="B711" s="18" t="s">
        <v>287</v>
      </c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>
        <f t="shared" si="11"/>
        <v>0</v>
      </c>
      <c r="N711" s="17">
        <v>0</v>
      </c>
      <c r="O711" s="16"/>
      <c r="P711" s="16"/>
      <c r="Q711" s="16"/>
      <c r="R711" s="16"/>
      <c r="S711" s="16"/>
      <c r="T711" s="16"/>
      <c r="U711" s="16"/>
      <c r="V711" s="16"/>
      <c r="W711" s="16"/>
      <c r="X711" s="16"/>
    </row>
    <row r="712" spans="1:24">
      <c r="A712" s="19">
        <v>46179</v>
      </c>
      <c r="B712" s="18" t="s">
        <v>287</v>
      </c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>
        <f t="shared" si="11"/>
        <v>0</v>
      </c>
      <c r="N712" s="17">
        <v>0</v>
      </c>
      <c r="O712" s="16"/>
      <c r="P712" s="16"/>
      <c r="Q712" s="16"/>
      <c r="R712" s="16"/>
      <c r="S712" s="16"/>
      <c r="T712" s="16"/>
      <c r="U712" s="16"/>
      <c r="V712" s="16"/>
      <c r="W712" s="16"/>
      <c r="X712" s="16"/>
    </row>
    <row r="713" spans="1:24">
      <c r="A713" s="19">
        <v>46180</v>
      </c>
      <c r="B713" s="18" t="s">
        <v>287</v>
      </c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>
        <f t="shared" si="11"/>
        <v>0</v>
      </c>
      <c r="N713" s="17">
        <v>0</v>
      </c>
      <c r="O713" s="16"/>
      <c r="P713" s="16"/>
      <c r="Q713" s="16"/>
      <c r="R713" s="16"/>
      <c r="S713" s="16"/>
      <c r="T713" s="16"/>
      <c r="U713" s="16"/>
      <c r="V713" s="16"/>
      <c r="W713" s="16"/>
      <c r="X713" s="16"/>
    </row>
    <row r="714" spans="1:24">
      <c r="A714" s="19">
        <v>46181</v>
      </c>
      <c r="B714" s="18" t="s">
        <v>287</v>
      </c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>
        <f t="shared" si="11"/>
        <v>0</v>
      </c>
      <c r="N714" s="17">
        <v>0</v>
      </c>
      <c r="O714" s="16"/>
      <c r="P714" s="16"/>
      <c r="Q714" s="16"/>
      <c r="R714" s="16"/>
      <c r="S714" s="16"/>
      <c r="T714" s="16"/>
      <c r="U714" s="16"/>
      <c r="V714" s="16"/>
      <c r="W714" s="16"/>
      <c r="X714" s="16"/>
    </row>
    <row r="715" spans="1:24">
      <c r="A715" s="19">
        <v>46182</v>
      </c>
      <c r="B715" s="18" t="s">
        <v>287</v>
      </c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>
        <f t="shared" si="11"/>
        <v>0</v>
      </c>
      <c r="N715" s="17">
        <v>0</v>
      </c>
      <c r="O715" s="16"/>
      <c r="P715" s="16"/>
      <c r="Q715" s="16"/>
      <c r="R715" s="16"/>
      <c r="S715" s="16"/>
      <c r="T715" s="16"/>
      <c r="U715" s="16"/>
      <c r="V715" s="16"/>
      <c r="W715" s="16"/>
      <c r="X715" s="16"/>
    </row>
    <row r="716" spans="1:24">
      <c r="A716" s="19">
        <v>46183</v>
      </c>
      <c r="B716" s="18" t="s">
        <v>287</v>
      </c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>
        <f t="shared" si="11"/>
        <v>0</v>
      </c>
      <c r="N716" s="17">
        <v>0</v>
      </c>
      <c r="O716" s="16"/>
      <c r="P716" s="16"/>
      <c r="Q716" s="16"/>
      <c r="R716" s="16"/>
      <c r="S716" s="16"/>
      <c r="T716" s="16"/>
      <c r="U716" s="16"/>
      <c r="V716" s="16"/>
      <c r="W716" s="16"/>
      <c r="X716" s="16"/>
    </row>
    <row r="717" spans="1:24">
      <c r="A717" s="19">
        <v>46184</v>
      </c>
      <c r="B717" s="18" t="s">
        <v>287</v>
      </c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>
        <f t="shared" si="11"/>
        <v>0</v>
      </c>
      <c r="N717" s="17">
        <v>0</v>
      </c>
      <c r="O717" s="16"/>
      <c r="P717" s="16"/>
      <c r="Q717" s="16"/>
      <c r="R717" s="16"/>
      <c r="S717" s="16"/>
      <c r="T717" s="16"/>
      <c r="U717" s="16"/>
      <c r="V717" s="16"/>
      <c r="W717" s="16"/>
      <c r="X717" s="16"/>
    </row>
    <row r="718" spans="1:24">
      <c r="A718" s="19">
        <v>46185</v>
      </c>
      <c r="B718" s="18" t="s">
        <v>287</v>
      </c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>
        <f t="shared" si="11"/>
        <v>0</v>
      </c>
      <c r="N718" s="17">
        <v>0</v>
      </c>
      <c r="O718" s="16"/>
      <c r="P718" s="16"/>
      <c r="Q718" s="16"/>
      <c r="R718" s="16"/>
      <c r="S718" s="16"/>
      <c r="T718" s="16"/>
      <c r="U718" s="16"/>
      <c r="V718" s="16"/>
      <c r="W718" s="16"/>
      <c r="X718" s="16"/>
    </row>
    <row r="719" spans="1:24">
      <c r="A719" s="19">
        <v>46186</v>
      </c>
      <c r="B719" s="18" t="s">
        <v>287</v>
      </c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>
        <f t="shared" si="11"/>
        <v>0</v>
      </c>
      <c r="N719" s="17">
        <v>0</v>
      </c>
      <c r="O719" s="16"/>
      <c r="P719" s="16"/>
      <c r="Q719" s="16"/>
      <c r="R719" s="16"/>
      <c r="S719" s="16"/>
      <c r="T719" s="16"/>
      <c r="U719" s="16"/>
      <c r="V719" s="16"/>
      <c r="W719" s="16"/>
      <c r="X719" s="16"/>
    </row>
    <row r="720" spans="1:24">
      <c r="A720" s="19">
        <v>46187</v>
      </c>
      <c r="B720" s="18" t="s">
        <v>287</v>
      </c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>
        <f t="shared" si="11"/>
        <v>0</v>
      </c>
      <c r="N720" s="17">
        <v>0</v>
      </c>
      <c r="O720" s="16"/>
      <c r="P720" s="16"/>
      <c r="Q720" s="16"/>
      <c r="R720" s="16"/>
      <c r="S720" s="16"/>
      <c r="T720" s="16"/>
      <c r="U720" s="16"/>
      <c r="V720" s="16"/>
      <c r="W720" s="16"/>
      <c r="X720" s="16"/>
    </row>
    <row r="721" spans="1:24">
      <c r="A721" s="19">
        <v>46188</v>
      </c>
      <c r="B721" s="18" t="s">
        <v>287</v>
      </c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>
        <f t="shared" si="11"/>
        <v>0</v>
      </c>
      <c r="N721" s="17">
        <v>0</v>
      </c>
      <c r="O721" s="16"/>
      <c r="P721" s="16"/>
      <c r="Q721" s="16"/>
      <c r="R721" s="16"/>
      <c r="S721" s="16"/>
      <c r="T721" s="16"/>
      <c r="U721" s="16"/>
      <c r="V721" s="16"/>
      <c r="W721" s="16"/>
      <c r="X721" s="16"/>
    </row>
    <row r="722" spans="1:24">
      <c r="A722" s="19">
        <v>46189</v>
      </c>
      <c r="B722" s="18" t="s">
        <v>287</v>
      </c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>
        <f t="shared" si="11"/>
        <v>0</v>
      </c>
      <c r="N722" s="17">
        <v>0</v>
      </c>
      <c r="O722" s="16"/>
      <c r="P722" s="16"/>
      <c r="Q722" s="16"/>
      <c r="R722" s="16"/>
      <c r="S722" s="16"/>
      <c r="T722" s="16"/>
      <c r="U722" s="16"/>
      <c r="V722" s="16"/>
      <c r="W722" s="16"/>
      <c r="X722" s="16"/>
    </row>
    <row r="723" spans="1:24">
      <c r="A723" s="19">
        <v>46190</v>
      </c>
      <c r="B723" s="18" t="s">
        <v>287</v>
      </c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>
        <f t="shared" si="11"/>
        <v>0</v>
      </c>
      <c r="N723" s="17">
        <v>0</v>
      </c>
      <c r="O723" s="16"/>
      <c r="P723" s="16"/>
      <c r="Q723" s="16"/>
      <c r="R723" s="16"/>
      <c r="S723" s="16"/>
      <c r="T723" s="16"/>
      <c r="U723" s="16"/>
      <c r="V723" s="16"/>
      <c r="W723" s="16"/>
      <c r="X723" s="16"/>
    </row>
    <row r="724" spans="1:24">
      <c r="A724" s="19">
        <v>46191</v>
      </c>
      <c r="B724" s="18" t="s">
        <v>287</v>
      </c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>
        <f t="shared" si="11"/>
        <v>0</v>
      </c>
      <c r="N724" s="17">
        <v>0</v>
      </c>
      <c r="O724" s="16"/>
      <c r="P724" s="16"/>
      <c r="Q724" s="16"/>
      <c r="R724" s="16"/>
      <c r="S724" s="16"/>
      <c r="T724" s="16"/>
      <c r="U724" s="16"/>
      <c r="V724" s="16"/>
      <c r="W724" s="16"/>
      <c r="X724" s="16"/>
    </row>
    <row r="725" spans="1:24">
      <c r="A725" s="19">
        <v>46192</v>
      </c>
      <c r="B725" s="18" t="s">
        <v>287</v>
      </c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>
        <f t="shared" si="11"/>
        <v>0</v>
      </c>
      <c r="N725" s="17">
        <v>0</v>
      </c>
      <c r="O725" s="16"/>
      <c r="P725" s="16"/>
      <c r="Q725" s="16"/>
      <c r="R725" s="16"/>
      <c r="S725" s="16"/>
      <c r="T725" s="16"/>
      <c r="U725" s="16"/>
      <c r="V725" s="16"/>
      <c r="W725" s="16"/>
      <c r="X725" s="16"/>
    </row>
    <row r="726" spans="1:24">
      <c r="A726" s="19">
        <v>46193</v>
      </c>
      <c r="B726" s="18" t="s">
        <v>287</v>
      </c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>
        <f t="shared" si="11"/>
        <v>0</v>
      </c>
      <c r="N726" s="17">
        <v>0</v>
      </c>
      <c r="O726" s="16"/>
      <c r="P726" s="16"/>
      <c r="Q726" s="16"/>
      <c r="R726" s="16"/>
      <c r="S726" s="16"/>
      <c r="T726" s="16"/>
      <c r="U726" s="16"/>
      <c r="V726" s="16"/>
      <c r="W726" s="16"/>
      <c r="X726" s="16"/>
    </row>
    <row r="727" spans="1:24">
      <c r="A727" s="19">
        <v>46194</v>
      </c>
      <c r="B727" s="18" t="s">
        <v>287</v>
      </c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>
        <f t="shared" si="11"/>
        <v>0</v>
      </c>
      <c r="N727" s="17">
        <v>0</v>
      </c>
      <c r="O727" s="16"/>
      <c r="P727" s="16"/>
      <c r="Q727" s="16"/>
      <c r="R727" s="16"/>
      <c r="S727" s="16"/>
      <c r="T727" s="16"/>
      <c r="U727" s="16"/>
      <c r="V727" s="16"/>
      <c r="W727" s="16"/>
      <c r="X727" s="16"/>
    </row>
    <row r="728" spans="1:24">
      <c r="A728" s="19">
        <v>46195</v>
      </c>
      <c r="B728" s="18" t="s">
        <v>287</v>
      </c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>
        <f t="shared" si="11"/>
        <v>0</v>
      </c>
      <c r="N728" s="17">
        <v>0</v>
      </c>
      <c r="O728" s="16"/>
      <c r="P728" s="16"/>
      <c r="Q728" s="16"/>
      <c r="R728" s="16"/>
      <c r="S728" s="16"/>
      <c r="T728" s="16"/>
      <c r="U728" s="16"/>
      <c r="V728" s="16"/>
      <c r="W728" s="16"/>
      <c r="X728" s="16"/>
    </row>
    <row r="729" spans="1:24">
      <c r="A729" s="19">
        <v>46196</v>
      </c>
      <c r="B729" s="18" t="s">
        <v>287</v>
      </c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>
        <f t="shared" si="11"/>
        <v>0</v>
      </c>
      <c r="N729" s="17">
        <v>0</v>
      </c>
      <c r="O729" s="16"/>
      <c r="P729" s="16"/>
      <c r="Q729" s="16"/>
      <c r="R729" s="16"/>
      <c r="S729" s="16"/>
      <c r="T729" s="16"/>
      <c r="U729" s="16"/>
      <c r="V729" s="16"/>
      <c r="W729" s="16"/>
      <c r="X729" s="16"/>
    </row>
    <row r="730" spans="1:24">
      <c r="A730" s="19">
        <v>46197</v>
      </c>
      <c r="B730" s="18" t="s">
        <v>287</v>
      </c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>
        <f t="shared" si="11"/>
        <v>0</v>
      </c>
      <c r="N730" s="17">
        <v>0</v>
      </c>
      <c r="O730" s="16"/>
      <c r="P730" s="16"/>
      <c r="Q730" s="16"/>
      <c r="R730" s="16"/>
      <c r="S730" s="16"/>
      <c r="T730" s="16"/>
      <c r="U730" s="16"/>
      <c r="V730" s="16"/>
      <c r="W730" s="16"/>
      <c r="X730" s="16"/>
    </row>
    <row r="731" spans="1:24">
      <c r="A731" s="19">
        <v>46198</v>
      </c>
      <c r="B731" s="18" t="s">
        <v>287</v>
      </c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>
        <f t="shared" si="11"/>
        <v>0</v>
      </c>
      <c r="N731" s="17">
        <v>0</v>
      </c>
      <c r="O731" s="16"/>
      <c r="P731" s="16"/>
      <c r="Q731" s="16"/>
      <c r="R731" s="16"/>
      <c r="S731" s="16"/>
      <c r="T731" s="16"/>
      <c r="U731" s="16"/>
      <c r="V731" s="16"/>
      <c r="W731" s="16"/>
      <c r="X731" s="16"/>
    </row>
    <row r="732" spans="1:24">
      <c r="A732" s="19">
        <v>46199</v>
      </c>
      <c r="B732" s="18" t="s">
        <v>287</v>
      </c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>
        <f t="shared" si="11"/>
        <v>0</v>
      </c>
      <c r="N732" s="17">
        <v>0</v>
      </c>
      <c r="O732" s="16"/>
      <c r="P732" s="16"/>
      <c r="Q732" s="16"/>
      <c r="R732" s="16"/>
      <c r="S732" s="16"/>
      <c r="T732" s="16"/>
      <c r="U732" s="16"/>
      <c r="V732" s="16"/>
      <c r="W732" s="16"/>
      <c r="X732" s="16"/>
    </row>
    <row r="733" spans="1:24">
      <c r="A733" s="19">
        <v>46200</v>
      </c>
      <c r="B733" s="18" t="s">
        <v>287</v>
      </c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>
        <f t="shared" si="11"/>
        <v>0</v>
      </c>
      <c r="N733" s="17">
        <v>0</v>
      </c>
      <c r="O733" s="16"/>
      <c r="P733" s="16"/>
      <c r="Q733" s="16"/>
      <c r="R733" s="16"/>
      <c r="S733" s="16"/>
      <c r="T733" s="16"/>
      <c r="U733" s="16"/>
      <c r="V733" s="16"/>
      <c r="W733" s="16"/>
      <c r="X733" s="16"/>
    </row>
    <row r="734" spans="1:24">
      <c r="A734" s="19">
        <v>46201</v>
      </c>
      <c r="B734" s="18" t="s">
        <v>287</v>
      </c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>
        <f t="shared" si="11"/>
        <v>0</v>
      </c>
      <c r="N734" s="17">
        <v>0</v>
      </c>
      <c r="O734" s="16"/>
      <c r="P734" s="16"/>
      <c r="Q734" s="16"/>
      <c r="R734" s="16"/>
      <c r="S734" s="16"/>
      <c r="T734" s="16"/>
      <c r="U734" s="16"/>
      <c r="V734" s="16"/>
      <c r="W734" s="16"/>
      <c r="X734" s="16"/>
    </row>
    <row r="735" spans="1:24">
      <c r="A735" s="19">
        <v>46202</v>
      </c>
      <c r="B735" s="18" t="s">
        <v>287</v>
      </c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>
        <f t="shared" si="11"/>
        <v>0</v>
      </c>
      <c r="N735" s="17">
        <v>0</v>
      </c>
      <c r="O735" s="16"/>
      <c r="P735" s="16"/>
      <c r="Q735" s="16"/>
      <c r="R735" s="16"/>
      <c r="S735" s="16"/>
      <c r="T735" s="16"/>
      <c r="U735" s="16"/>
      <c r="V735" s="16"/>
      <c r="W735" s="16"/>
      <c r="X735" s="16"/>
    </row>
    <row r="736" spans="1:24">
      <c r="A736" s="19">
        <v>46203</v>
      </c>
      <c r="B736" s="18" t="s">
        <v>287</v>
      </c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>
        <f t="shared" si="11"/>
        <v>0</v>
      </c>
      <c r="N736" s="17">
        <v>0</v>
      </c>
      <c r="O736" s="16"/>
      <c r="P736" s="16"/>
      <c r="Q736" s="16"/>
      <c r="R736" s="16"/>
      <c r="S736" s="16"/>
      <c r="T736" s="16"/>
      <c r="U736" s="16"/>
      <c r="V736" s="16"/>
      <c r="W736" s="16"/>
      <c r="X736" s="16"/>
    </row>
    <row r="737" spans="1:24">
      <c r="A737" s="19">
        <v>46204</v>
      </c>
      <c r="B737" s="18" t="s">
        <v>287</v>
      </c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>
        <f t="shared" si="11"/>
        <v>0</v>
      </c>
      <c r="N737" s="17">
        <v>0</v>
      </c>
      <c r="O737" s="16"/>
      <c r="P737" s="16"/>
      <c r="Q737" s="16"/>
      <c r="R737" s="16"/>
      <c r="S737" s="16"/>
      <c r="T737" s="16"/>
      <c r="U737" s="16"/>
      <c r="V737" s="16"/>
      <c r="W737" s="16"/>
      <c r="X737" s="16"/>
    </row>
    <row r="738" spans="1:24">
      <c r="A738" s="19">
        <v>46205</v>
      </c>
      <c r="B738" s="18" t="s">
        <v>287</v>
      </c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>
        <f t="shared" si="11"/>
        <v>0</v>
      </c>
      <c r="N738" s="17">
        <v>0</v>
      </c>
      <c r="O738" s="16"/>
      <c r="P738" s="16"/>
      <c r="Q738" s="16"/>
      <c r="R738" s="16"/>
      <c r="S738" s="16"/>
      <c r="T738" s="16"/>
      <c r="U738" s="16"/>
      <c r="V738" s="16"/>
      <c r="W738" s="16"/>
      <c r="X738" s="16"/>
    </row>
    <row r="739" spans="1:24">
      <c r="A739" s="19">
        <v>46206</v>
      </c>
      <c r="B739" s="18" t="s">
        <v>287</v>
      </c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>
        <f t="shared" si="11"/>
        <v>0</v>
      </c>
      <c r="N739" s="17">
        <v>0</v>
      </c>
      <c r="O739" s="16"/>
      <c r="P739" s="16"/>
      <c r="Q739" s="16"/>
      <c r="R739" s="16"/>
      <c r="S739" s="16"/>
      <c r="T739" s="16"/>
      <c r="U739" s="16"/>
      <c r="V739" s="16"/>
      <c r="W739" s="16"/>
      <c r="X739" s="16"/>
    </row>
    <row r="740" spans="1:24">
      <c r="A740" s="19">
        <v>46207</v>
      </c>
      <c r="B740" s="18" t="s">
        <v>287</v>
      </c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>
        <f t="shared" si="11"/>
        <v>0</v>
      </c>
      <c r="N740" s="17">
        <v>0</v>
      </c>
      <c r="O740" s="16"/>
      <c r="P740" s="16"/>
      <c r="Q740" s="16"/>
      <c r="R740" s="16"/>
      <c r="S740" s="16"/>
      <c r="T740" s="16"/>
      <c r="U740" s="16"/>
      <c r="V740" s="16"/>
      <c r="W740" s="16"/>
      <c r="X740" s="16"/>
    </row>
    <row r="741" spans="1:24">
      <c r="A741" s="19">
        <v>46208</v>
      </c>
      <c r="B741" s="18" t="s">
        <v>287</v>
      </c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>
        <f t="shared" si="11"/>
        <v>0</v>
      </c>
      <c r="N741" s="17">
        <v>0</v>
      </c>
      <c r="O741" s="16"/>
      <c r="P741" s="16"/>
      <c r="Q741" s="16"/>
      <c r="R741" s="16"/>
      <c r="S741" s="16"/>
      <c r="T741" s="16"/>
      <c r="U741" s="16"/>
      <c r="V741" s="16"/>
      <c r="W741" s="16"/>
      <c r="X741" s="16"/>
    </row>
    <row r="742" spans="1:24">
      <c r="A742" s="19">
        <v>46209</v>
      </c>
      <c r="B742" s="18" t="s">
        <v>287</v>
      </c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>
        <f t="shared" si="11"/>
        <v>0</v>
      </c>
      <c r="N742" s="17">
        <v>0</v>
      </c>
      <c r="O742" s="16"/>
      <c r="P742" s="16"/>
      <c r="Q742" s="16"/>
      <c r="R742" s="16"/>
      <c r="S742" s="16"/>
      <c r="T742" s="16"/>
      <c r="U742" s="16"/>
      <c r="V742" s="16"/>
      <c r="W742" s="16"/>
      <c r="X742" s="16"/>
    </row>
    <row r="743" spans="1:24">
      <c r="A743" s="19">
        <v>46210</v>
      </c>
      <c r="B743" s="18" t="s">
        <v>287</v>
      </c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>
        <f t="shared" si="11"/>
        <v>0</v>
      </c>
      <c r="N743" s="17">
        <v>0</v>
      </c>
      <c r="O743" s="16"/>
      <c r="P743" s="16"/>
      <c r="Q743" s="16"/>
      <c r="R743" s="16"/>
      <c r="S743" s="16"/>
      <c r="T743" s="16"/>
      <c r="U743" s="16"/>
      <c r="V743" s="16"/>
      <c r="W743" s="16"/>
      <c r="X743" s="16"/>
    </row>
    <row r="744" spans="1:24">
      <c r="A744" s="19">
        <v>46211</v>
      </c>
      <c r="B744" s="18" t="s">
        <v>287</v>
      </c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>
        <f t="shared" si="11"/>
        <v>0</v>
      </c>
      <c r="N744" s="17">
        <v>0</v>
      </c>
      <c r="O744" s="16"/>
      <c r="P744" s="16"/>
      <c r="Q744" s="16"/>
      <c r="R744" s="16"/>
      <c r="S744" s="16"/>
      <c r="T744" s="16"/>
      <c r="U744" s="16"/>
      <c r="V744" s="16"/>
      <c r="W744" s="16"/>
      <c r="X744" s="16"/>
    </row>
    <row r="745" spans="1:24">
      <c r="A745" s="19">
        <v>46212</v>
      </c>
      <c r="B745" s="18" t="s">
        <v>287</v>
      </c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>
        <f t="shared" si="11"/>
        <v>0</v>
      </c>
      <c r="N745" s="17">
        <v>0</v>
      </c>
      <c r="O745" s="16"/>
      <c r="P745" s="16"/>
      <c r="Q745" s="16"/>
      <c r="R745" s="16"/>
      <c r="S745" s="16"/>
      <c r="T745" s="16"/>
      <c r="U745" s="16"/>
      <c r="V745" s="16"/>
      <c r="W745" s="16"/>
      <c r="X745" s="16"/>
    </row>
    <row r="746" spans="1:24">
      <c r="A746" s="19">
        <v>46213</v>
      </c>
      <c r="B746" s="18" t="s">
        <v>287</v>
      </c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>
        <f t="shared" si="11"/>
        <v>0</v>
      </c>
      <c r="N746" s="17">
        <v>0</v>
      </c>
      <c r="O746" s="16"/>
      <c r="P746" s="16"/>
      <c r="Q746" s="16"/>
      <c r="R746" s="16"/>
      <c r="S746" s="16"/>
      <c r="T746" s="16"/>
      <c r="U746" s="16"/>
      <c r="V746" s="16"/>
      <c r="W746" s="16"/>
      <c r="X746" s="16"/>
    </row>
    <row r="747" spans="1:24">
      <c r="A747" s="19">
        <v>46214</v>
      </c>
      <c r="B747" s="18" t="s">
        <v>287</v>
      </c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>
        <f t="shared" si="11"/>
        <v>0</v>
      </c>
      <c r="N747" s="17">
        <v>0</v>
      </c>
      <c r="O747" s="16"/>
      <c r="P747" s="16"/>
      <c r="Q747" s="16"/>
      <c r="R747" s="16"/>
      <c r="S747" s="16"/>
      <c r="T747" s="16"/>
      <c r="U747" s="16"/>
      <c r="V747" s="16"/>
      <c r="W747" s="16"/>
      <c r="X747" s="16"/>
    </row>
    <row r="748" spans="1:24">
      <c r="A748" s="19">
        <v>46215</v>
      </c>
      <c r="B748" s="18" t="s">
        <v>287</v>
      </c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>
        <f t="shared" si="11"/>
        <v>0</v>
      </c>
      <c r="N748" s="17">
        <v>0</v>
      </c>
      <c r="O748" s="16"/>
      <c r="P748" s="16"/>
      <c r="Q748" s="16"/>
      <c r="R748" s="16"/>
      <c r="S748" s="16"/>
      <c r="T748" s="16"/>
      <c r="U748" s="16"/>
      <c r="V748" s="16"/>
      <c r="W748" s="16"/>
      <c r="X748" s="16"/>
    </row>
    <row r="749" spans="1:24">
      <c r="A749" s="19">
        <v>46216</v>
      </c>
      <c r="B749" s="18" t="s">
        <v>287</v>
      </c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>
        <f t="shared" si="11"/>
        <v>0</v>
      </c>
      <c r="N749" s="17">
        <v>0</v>
      </c>
      <c r="O749" s="16"/>
      <c r="P749" s="16"/>
      <c r="Q749" s="16"/>
      <c r="R749" s="16"/>
      <c r="S749" s="16"/>
      <c r="T749" s="16"/>
      <c r="U749" s="16"/>
      <c r="V749" s="16"/>
      <c r="W749" s="16"/>
      <c r="X749" s="16"/>
    </row>
    <row r="750" spans="1:24">
      <c r="A750" s="19">
        <v>46217</v>
      </c>
      <c r="B750" s="18" t="s">
        <v>287</v>
      </c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>
        <f t="shared" si="11"/>
        <v>0</v>
      </c>
      <c r="N750" s="17">
        <v>0</v>
      </c>
      <c r="O750" s="16"/>
      <c r="P750" s="16"/>
      <c r="Q750" s="16"/>
      <c r="R750" s="16"/>
      <c r="S750" s="16"/>
      <c r="T750" s="16"/>
      <c r="U750" s="16"/>
      <c r="V750" s="16"/>
      <c r="W750" s="16"/>
      <c r="X750" s="16"/>
    </row>
    <row r="751" spans="1:24">
      <c r="A751" s="19">
        <v>46218</v>
      </c>
      <c r="B751" s="18" t="s">
        <v>287</v>
      </c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>
        <f t="shared" si="11"/>
        <v>0</v>
      </c>
      <c r="N751" s="17">
        <v>0</v>
      </c>
      <c r="O751" s="16"/>
      <c r="P751" s="16"/>
      <c r="Q751" s="16"/>
      <c r="R751" s="16"/>
      <c r="S751" s="16"/>
      <c r="T751" s="16"/>
      <c r="U751" s="16"/>
      <c r="V751" s="16"/>
      <c r="W751" s="16"/>
      <c r="X751" s="16"/>
    </row>
    <row r="752" spans="1:24">
      <c r="A752" s="19">
        <v>46219</v>
      </c>
      <c r="B752" s="18" t="s">
        <v>287</v>
      </c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>
        <f t="shared" si="11"/>
        <v>0</v>
      </c>
      <c r="N752" s="17">
        <v>0</v>
      </c>
      <c r="O752" s="16"/>
      <c r="P752" s="16"/>
      <c r="Q752" s="16"/>
      <c r="R752" s="16"/>
      <c r="S752" s="16"/>
      <c r="T752" s="16"/>
      <c r="U752" s="16"/>
      <c r="V752" s="16"/>
      <c r="W752" s="16"/>
      <c r="X752" s="16"/>
    </row>
    <row r="753" spans="1:24">
      <c r="A753" s="19">
        <v>46220</v>
      </c>
      <c r="B753" s="18" t="s">
        <v>287</v>
      </c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>
        <f t="shared" si="11"/>
        <v>0</v>
      </c>
      <c r="N753" s="17">
        <v>0</v>
      </c>
      <c r="O753" s="16"/>
      <c r="P753" s="16"/>
      <c r="Q753" s="16"/>
      <c r="R753" s="16"/>
      <c r="S753" s="16"/>
      <c r="T753" s="16"/>
      <c r="U753" s="16"/>
      <c r="V753" s="16"/>
      <c r="W753" s="16"/>
      <c r="X753" s="16"/>
    </row>
    <row r="754" spans="1:24">
      <c r="A754" s="19">
        <v>46221</v>
      </c>
      <c r="B754" s="18" t="s">
        <v>287</v>
      </c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>
        <f t="shared" si="11"/>
        <v>0</v>
      </c>
      <c r="N754" s="17">
        <v>0</v>
      </c>
      <c r="O754" s="16"/>
      <c r="P754" s="16"/>
      <c r="Q754" s="16"/>
      <c r="R754" s="16"/>
      <c r="S754" s="16"/>
      <c r="T754" s="16"/>
      <c r="U754" s="16"/>
      <c r="V754" s="16"/>
      <c r="W754" s="16"/>
      <c r="X754" s="16"/>
    </row>
    <row r="755" spans="1:24">
      <c r="A755" s="19">
        <v>46222</v>
      </c>
      <c r="B755" s="18" t="s">
        <v>287</v>
      </c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>
        <f t="shared" si="11"/>
        <v>0</v>
      </c>
      <c r="N755" s="17">
        <v>0</v>
      </c>
      <c r="O755" s="16"/>
      <c r="P755" s="16"/>
      <c r="Q755" s="16"/>
      <c r="R755" s="16"/>
      <c r="S755" s="16"/>
      <c r="T755" s="16"/>
      <c r="U755" s="16"/>
      <c r="V755" s="16"/>
      <c r="W755" s="16"/>
      <c r="X755" s="16"/>
    </row>
    <row r="756" spans="1:24">
      <c r="A756" s="19">
        <v>46223</v>
      </c>
      <c r="B756" s="18" t="s">
        <v>287</v>
      </c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>
        <f t="shared" si="11"/>
        <v>0</v>
      </c>
      <c r="N756" s="17">
        <v>0</v>
      </c>
      <c r="O756" s="16"/>
      <c r="P756" s="16"/>
      <c r="Q756" s="16"/>
      <c r="R756" s="16"/>
      <c r="S756" s="16"/>
      <c r="T756" s="16"/>
      <c r="U756" s="16"/>
      <c r="V756" s="16"/>
      <c r="W756" s="16"/>
      <c r="X756" s="16"/>
    </row>
    <row r="757" spans="1:24">
      <c r="A757" s="19">
        <v>46224</v>
      </c>
      <c r="B757" s="18" t="s">
        <v>287</v>
      </c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>
        <f t="shared" si="11"/>
        <v>0</v>
      </c>
      <c r="N757" s="17">
        <v>0</v>
      </c>
      <c r="O757" s="16"/>
      <c r="P757" s="16"/>
      <c r="Q757" s="16"/>
      <c r="R757" s="16"/>
      <c r="S757" s="16"/>
      <c r="T757" s="16"/>
      <c r="U757" s="16"/>
      <c r="V757" s="16"/>
      <c r="W757" s="16"/>
      <c r="X757" s="16"/>
    </row>
    <row r="758" spans="1:24">
      <c r="A758" s="19">
        <v>46225</v>
      </c>
      <c r="B758" s="18" t="s">
        <v>287</v>
      </c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>
        <f t="shared" si="11"/>
        <v>0</v>
      </c>
      <c r="N758" s="17">
        <v>0</v>
      </c>
      <c r="O758" s="16"/>
      <c r="P758" s="16"/>
      <c r="Q758" s="16"/>
      <c r="R758" s="16"/>
      <c r="S758" s="16"/>
      <c r="T758" s="16"/>
      <c r="U758" s="16"/>
      <c r="V758" s="16"/>
      <c r="W758" s="16"/>
      <c r="X758" s="16"/>
    </row>
    <row r="759" spans="1:24">
      <c r="A759" s="19">
        <v>46226</v>
      </c>
      <c r="B759" s="18" t="s">
        <v>287</v>
      </c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>
        <f t="shared" si="11"/>
        <v>0</v>
      </c>
      <c r="N759" s="17">
        <v>0</v>
      </c>
      <c r="O759" s="16"/>
      <c r="P759" s="16"/>
      <c r="Q759" s="16"/>
      <c r="R759" s="16"/>
      <c r="S759" s="16"/>
      <c r="T759" s="16"/>
      <c r="U759" s="16"/>
      <c r="V759" s="16"/>
      <c r="W759" s="16"/>
      <c r="X759" s="16"/>
    </row>
    <row r="760" spans="1:24">
      <c r="A760" s="19">
        <v>46227</v>
      </c>
      <c r="B760" s="18" t="s">
        <v>287</v>
      </c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>
        <f t="shared" si="11"/>
        <v>0</v>
      </c>
      <c r="N760" s="17">
        <v>0</v>
      </c>
      <c r="O760" s="16"/>
      <c r="P760" s="16"/>
      <c r="Q760" s="16"/>
      <c r="R760" s="16"/>
      <c r="S760" s="16"/>
      <c r="T760" s="16"/>
      <c r="U760" s="16"/>
      <c r="V760" s="16"/>
      <c r="W760" s="16"/>
      <c r="X760" s="16"/>
    </row>
    <row r="761" spans="1:24">
      <c r="A761" s="19">
        <v>46228</v>
      </c>
      <c r="B761" s="18" t="s">
        <v>287</v>
      </c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>
        <f t="shared" si="11"/>
        <v>0</v>
      </c>
      <c r="N761" s="17">
        <v>0</v>
      </c>
      <c r="O761" s="16"/>
      <c r="P761" s="16"/>
      <c r="Q761" s="16"/>
      <c r="R761" s="16"/>
      <c r="S761" s="16"/>
      <c r="T761" s="16"/>
      <c r="U761" s="16"/>
      <c r="V761" s="16"/>
      <c r="W761" s="16"/>
      <c r="X761" s="16"/>
    </row>
    <row r="762" spans="1:24">
      <c r="A762" s="19">
        <v>46229</v>
      </c>
      <c r="B762" s="18" t="s">
        <v>287</v>
      </c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>
        <f t="shared" si="11"/>
        <v>0</v>
      </c>
      <c r="N762" s="17">
        <v>0</v>
      </c>
      <c r="O762" s="16"/>
      <c r="P762" s="16"/>
      <c r="Q762" s="16"/>
      <c r="R762" s="16"/>
      <c r="S762" s="16"/>
      <c r="T762" s="16"/>
      <c r="U762" s="16"/>
      <c r="V762" s="16"/>
      <c r="W762" s="16"/>
      <c r="X762" s="16"/>
    </row>
    <row r="763" spans="1:24">
      <c r="A763" s="19">
        <v>46230</v>
      </c>
      <c r="B763" s="18" t="s">
        <v>287</v>
      </c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>
        <f t="shared" si="11"/>
        <v>0</v>
      </c>
      <c r="N763" s="17">
        <v>0</v>
      </c>
      <c r="O763" s="16"/>
      <c r="P763" s="16"/>
      <c r="Q763" s="16"/>
      <c r="R763" s="16"/>
      <c r="S763" s="16"/>
      <c r="T763" s="16"/>
      <c r="U763" s="16"/>
      <c r="V763" s="16"/>
      <c r="W763" s="16"/>
      <c r="X763" s="16"/>
    </row>
    <row r="764" spans="1:24">
      <c r="A764" s="19">
        <v>46231</v>
      </c>
      <c r="B764" s="18" t="s">
        <v>287</v>
      </c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>
        <f t="shared" si="11"/>
        <v>0</v>
      </c>
      <c r="N764" s="17">
        <v>0</v>
      </c>
      <c r="O764" s="16"/>
      <c r="P764" s="16"/>
      <c r="Q764" s="16"/>
      <c r="R764" s="16"/>
      <c r="S764" s="16"/>
      <c r="T764" s="16"/>
      <c r="U764" s="16"/>
      <c r="V764" s="16"/>
      <c r="W764" s="16"/>
      <c r="X764" s="16"/>
    </row>
    <row r="765" spans="1:24">
      <c r="A765" s="19">
        <v>46232</v>
      </c>
      <c r="B765" s="18" t="s">
        <v>287</v>
      </c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>
        <f t="shared" si="11"/>
        <v>0</v>
      </c>
      <c r="N765" s="17">
        <v>0</v>
      </c>
      <c r="O765" s="16"/>
      <c r="P765" s="16"/>
      <c r="Q765" s="16"/>
      <c r="R765" s="16"/>
      <c r="S765" s="16"/>
      <c r="T765" s="16"/>
      <c r="U765" s="16"/>
      <c r="V765" s="16"/>
      <c r="W765" s="16"/>
      <c r="X765" s="16"/>
    </row>
    <row r="766" spans="1:24">
      <c r="A766" s="19">
        <v>46233</v>
      </c>
      <c r="B766" s="18" t="s">
        <v>287</v>
      </c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>
        <f t="shared" si="11"/>
        <v>0</v>
      </c>
      <c r="N766" s="17">
        <v>0</v>
      </c>
      <c r="O766" s="16"/>
      <c r="P766" s="16"/>
      <c r="Q766" s="16"/>
      <c r="R766" s="16"/>
      <c r="S766" s="16"/>
      <c r="T766" s="16"/>
      <c r="U766" s="16"/>
      <c r="V766" s="16"/>
      <c r="W766" s="16"/>
      <c r="X766" s="16"/>
    </row>
    <row r="767" spans="1:24">
      <c r="A767" s="19">
        <v>46234</v>
      </c>
      <c r="B767" s="18" t="s">
        <v>287</v>
      </c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>
        <f t="shared" si="11"/>
        <v>0</v>
      </c>
      <c r="N767" s="17">
        <v>0</v>
      </c>
      <c r="O767" s="16"/>
      <c r="P767" s="16"/>
      <c r="Q767" s="16"/>
      <c r="R767" s="16"/>
      <c r="S767" s="16"/>
      <c r="T767" s="16"/>
      <c r="U767" s="16"/>
      <c r="V767" s="16"/>
      <c r="W767" s="16"/>
      <c r="X767" s="16"/>
    </row>
    <row r="768" spans="1:24">
      <c r="A768" s="19">
        <v>46235</v>
      </c>
      <c r="B768" s="18" t="s">
        <v>287</v>
      </c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>
        <f t="shared" si="11"/>
        <v>0</v>
      </c>
      <c r="N768" s="17">
        <v>0</v>
      </c>
      <c r="O768" s="16"/>
      <c r="P768" s="16"/>
      <c r="Q768" s="16"/>
      <c r="R768" s="16"/>
      <c r="S768" s="16"/>
      <c r="T768" s="16"/>
      <c r="U768" s="16"/>
      <c r="V768" s="16"/>
      <c r="W768" s="16"/>
      <c r="X768" s="16"/>
    </row>
    <row r="769" spans="1:24">
      <c r="A769" s="19">
        <v>46236</v>
      </c>
      <c r="B769" s="18" t="s">
        <v>287</v>
      </c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>
        <f t="shared" si="11"/>
        <v>0</v>
      </c>
      <c r="N769" s="17">
        <v>0</v>
      </c>
      <c r="O769" s="16"/>
      <c r="P769" s="16"/>
      <c r="Q769" s="16"/>
      <c r="R769" s="16"/>
      <c r="S769" s="16"/>
      <c r="T769" s="16"/>
      <c r="U769" s="16"/>
      <c r="V769" s="16"/>
      <c r="W769" s="16"/>
      <c r="X769" s="16"/>
    </row>
    <row r="770" spans="1:24">
      <c r="A770" s="19">
        <v>46237</v>
      </c>
      <c r="B770" s="18" t="s">
        <v>287</v>
      </c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>
        <f t="shared" si="11"/>
        <v>0</v>
      </c>
      <c r="N770" s="17">
        <v>0</v>
      </c>
      <c r="O770" s="16"/>
      <c r="P770" s="16"/>
      <c r="Q770" s="16"/>
      <c r="R770" s="16"/>
      <c r="S770" s="16"/>
      <c r="T770" s="16"/>
      <c r="U770" s="16"/>
      <c r="V770" s="16"/>
      <c r="W770" s="16"/>
      <c r="X770" s="16"/>
    </row>
    <row r="771" spans="1:24">
      <c r="A771" s="19">
        <v>46238</v>
      </c>
      <c r="B771" s="18" t="s">
        <v>287</v>
      </c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>
        <f t="shared" ref="M771:M834" si="12">N771-SUM(C771:L771)</f>
        <v>0</v>
      </c>
      <c r="N771" s="17">
        <v>0</v>
      </c>
      <c r="O771" s="16"/>
      <c r="P771" s="16"/>
      <c r="Q771" s="16"/>
      <c r="R771" s="16"/>
      <c r="S771" s="16"/>
      <c r="T771" s="16"/>
      <c r="U771" s="16"/>
      <c r="V771" s="16"/>
      <c r="W771" s="16"/>
      <c r="X771" s="16"/>
    </row>
    <row r="772" spans="1:24">
      <c r="A772" s="19">
        <v>46239</v>
      </c>
      <c r="B772" s="18" t="s">
        <v>287</v>
      </c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>
        <f t="shared" si="12"/>
        <v>0</v>
      </c>
      <c r="N772" s="17">
        <v>0</v>
      </c>
      <c r="O772" s="16"/>
      <c r="P772" s="16"/>
      <c r="Q772" s="16"/>
      <c r="R772" s="16"/>
      <c r="S772" s="16"/>
      <c r="T772" s="16"/>
      <c r="U772" s="16"/>
      <c r="V772" s="16"/>
      <c r="W772" s="16"/>
      <c r="X772" s="16"/>
    </row>
    <row r="773" spans="1:24">
      <c r="A773" s="19">
        <v>46240</v>
      </c>
      <c r="B773" s="18" t="s">
        <v>287</v>
      </c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>
        <f t="shared" si="12"/>
        <v>0</v>
      </c>
      <c r="N773" s="17">
        <v>0</v>
      </c>
      <c r="O773" s="16"/>
      <c r="P773" s="16"/>
      <c r="Q773" s="16"/>
      <c r="R773" s="16"/>
      <c r="S773" s="16"/>
      <c r="T773" s="16"/>
      <c r="U773" s="16"/>
      <c r="V773" s="16"/>
      <c r="W773" s="16"/>
      <c r="X773" s="16"/>
    </row>
    <row r="774" spans="1:24">
      <c r="A774" s="19">
        <v>46241</v>
      </c>
      <c r="B774" s="18" t="s">
        <v>287</v>
      </c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>
        <f t="shared" si="12"/>
        <v>0</v>
      </c>
      <c r="N774" s="17">
        <v>0</v>
      </c>
      <c r="O774" s="16"/>
      <c r="P774" s="16"/>
      <c r="Q774" s="16"/>
      <c r="R774" s="16"/>
      <c r="S774" s="16"/>
      <c r="T774" s="16"/>
      <c r="U774" s="16"/>
      <c r="V774" s="16"/>
      <c r="W774" s="16"/>
      <c r="X774" s="16"/>
    </row>
    <row r="775" spans="1:24">
      <c r="A775" s="19">
        <v>46242</v>
      </c>
      <c r="B775" s="18" t="s">
        <v>287</v>
      </c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>
        <f t="shared" si="12"/>
        <v>0</v>
      </c>
      <c r="N775" s="17">
        <v>0</v>
      </c>
      <c r="O775" s="16"/>
      <c r="P775" s="16"/>
      <c r="Q775" s="16"/>
      <c r="R775" s="16"/>
      <c r="S775" s="16"/>
      <c r="T775" s="16"/>
      <c r="U775" s="16"/>
      <c r="V775" s="16"/>
      <c r="W775" s="16"/>
      <c r="X775" s="16"/>
    </row>
    <row r="776" spans="1:24">
      <c r="A776" s="19">
        <v>46243</v>
      </c>
      <c r="B776" s="18" t="s">
        <v>287</v>
      </c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>
        <f t="shared" si="12"/>
        <v>0</v>
      </c>
      <c r="N776" s="17">
        <v>0</v>
      </c>
      <c r="O776" s="16"/>
      <c r="P776" s="16"/>
      <c r="Q776" s="16"/>
      <c r="R776" s="16"/>
      <c r="S776" s="16"/>
      <c r="T776" s="16"/>
      <c r="U776" s="16"/>
      <c r="V776" s="16"/>
      <c r="W776" s="16"/>
      <c r="X776" s="16"/>
    </row>
    <row r="777" spans="1:24">
      <c r="A777" s="19">
        <v>46244</v>
      </c>
      <c r="B777" s="18" t="s">
        <v>287</v>
      </c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>
        <f t="shared" si="12"/>
        <v>0</v>
      </c>
      <c r="N777" s="17">
        <v>0</v>
      </c>
      <c r="O777" s="16"/>
      <c r="P777" s="16"/>
      <c r="Q777" s="16"/>
      <c r="R777" s="16"/>
      <c r="S777" s="16"/>
      <c r="T777" s="16"/>
      <c r="U777" s="16"/>
      <c r="V777" s="16"/>
      <c r="W777" s="16"/>
      <c r="X777" s="16"/>
    </row>
    <row r="778" spans="1:24">
      <c r="A778" s="19">
        <v>46245</v>
      </c>
      <c r="B778" s="18" t="s">
        <v>287</v>
      </c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>
        <f t="shared" si="12"/>
        <v>0</v>
      </c>
      <c r="N778" s="17">
        <v>0</v>
      </c>
      <c r="O778" s="16"/>
      <c r="P778" s="16"/>
      <c r="Q778" s="16"/>
      <c r="R778" s="16"/>
      <c r="S778" s="16"/>
      <c r="T778" s="16"/>
      <c r="U778" s="16"/>
      <c r="V778" s="16"/>
      <c r="W778" s="16"/>
      <c r="X778" s="16"/>
    </row>
    <row r="779" spans="1:24">
      <c r="A779" s="19">
        <v>46246</v>
      </c>
      <c r="B779" s="18" t="s">
        <v>287</v>
      </c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>
        <f t="shared" si="12"/>
        <v>0</v>
      </c>
      <c r="N779" s="17">
        <v>0</v>
      </c>
      <c r="O779" s="16"/>
      <c r="P779" s="16"/>
      <c r="Q779" s="16"/>
      <c r="R779" s="16"/>
      <c r="S779" s="16"/>
      <c r="T779" s="16"/>
      <c r="U779" s="16"/>
      <c r="V779" s="16"/>
      <c r="W779" s="16"/>
      <c r="X779" s="16"/>
    </row>
    <row r="780" spans="1:24">
      <c r="A780" s="19">
        <v>46247</v>
      </c>
      <c r="B780" s="18" t="s">
        <v>287</v>
      </c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>
        <f t="shared" si="12"/>
        <v>0</v>
      </c>
      <c r="N780" s="17">
        <v>0</v>
      </c>
      <c r="O780" s="16"/>
      <c r="P780" s="16"/>
      <c r="Q780" s="16"/>
      <c r="R780" s="16"/>
      <c r="S780" s="16"/>
      <c r="T780" s="16"/>
      <c r="U780" s="16"/>
      <c r="V780" s="16"/>
      <c r="W780" s="16"/>
      <c r="X780" s="16"/>
    </row>
    <row r="781" spans="1:24">
      <c r="A781" s="19">
        <v>46248</v>
      </c>
      <c r="B781" s="18" t="s">
        <v>287</v>
      </c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>
        <f t="shared" si="12"/>
        <v>0</v>
      </c>
      <c r="N781" s="17">
        <v>0</v>
      </c>
      <c r="O781" s="16"/>
      <c r="P781" s="16"/>
      <c r="Q781" s="16"/>
      <c r="R781" s="16"/>
      <c r="S781" s="16"/>
      <c r="T781" s="16"/>
      <c r="U781" s="16"/>
      <c r="V781" s="16"/>
      <c r="W781" s="16"/>
      <c r="X781" s="16"/>
    </row>
    <row r="782" spans="1:24">
      <c r="A782" s="19">
        <v>46249</v>
      </c>
      <c r="B782" s="18" t="s">
        <v>287</v>
      </c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>
        <f t="shared" si="12"/>
        <v>0</v>
      </c>
      <c r="N782" s="17">
        <v>0</v>
      </c>
      <c r="O782" s="16"/>
      <c r="P782" s="16"/>
      <c r="Q782" s="16"/>
      <c r="R782" s="16"/>
      <c r="S782" s="16"/>
      <c r="T782" s="16"/>
      <c r="U782" s="16"/>
      <c r="V782" s="16"/>
      <c r="W782" s="16"/>
      <c r="X782" s="16"/>
    </row>
    <row r="783" spans="1:24">
      <c r="A783" s="19">
        <v>46250</v>
      </c>
      <c r="B783" s="18" t="s">
        <v>287</v>
      </c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>
        <f t="shared" si="12"/>
        <v>0</v>
      </c>
      <c r="N783" s="17">
        <v>0</v>
      </c>
      <c r="O783" s="16"/>
      <c r="P783" s="16"/>
      <c r="Q783" s="16"/>
      <c r="R783" s="16"/>
      <c r="S783" s="16"/>
      <c r="T783" s="16"/>
      <c r="U783" s="16"/>
      <c r="V783" s="16"/>
      <c r="W783" s="16"/>
      <c r="X783" s="16"/>
    </row>
    <row r="784" spans="1:24">
      <c r="A784" s="19">
        <v>46251</v>
      </c>
      <c r="B784" s="18" t="s">
        <v>287</v>
      </c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>
        <f t="shared" si="12"/>
        <v>0</v>
      </c>
      <c r="N784" s="17">
        <v>0</v>
      </c>
      <c r="O784" s="16"/>
      <c r="P784" s="16"/>
      <c r="Q784" s="16"/>
      <c r="R784" s="16"/>
      <c r="S784" s="16"/>
      <c r="T784" s="16"/>
      <c r="U784" s="16"/>
      <c r="V784" s="16"/>
      <c r="W784" s="16"/>
      <c r="X784" s="16"/>
    </row>
    <row r="785" spans="1:24">
      <c r="A785" s="19">
        <v>46252</v>
      </c>
      <c r="B785" s="18" t="s">
        <v>287</v>
      </c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>
        <f t="shared" si="12"/>
        <v>0</v>
      </c>
      <c r="N785" s="17">
        <v>0</v>
      </c>
      <c r="O785" s="16"/>
      <c r="P785" s="16"/>
      <c r="Q785" s="16"/>
      <c r="R785" s="16"/>
      <c r="S785" s="16"/>
      <c r="T785" s="16"/>
      <c r="U785" s="16"/>
      <c r="V785" s="16"/>
      <c r="W785" s="16"/>
      <c r="X785" s="16"/>
    </row>
    <row r="786" spans="1:24">
      <c r="A786" s="19">
        <v>46253</v>
      </c>
      <c r="B786" s="18" t="s">
        <v>287</v>
      </c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>
        <f t="shared" si="12"/>
        <v>0</v>
      </c>
      <c r="N786" s="17">
        <v>0</v>
      </c>
      <c r="O786" s="16"/>
      <c r="P786" s="16"/>
      <c r="Q786" s="16"/>
      <c r="R786" s="16"/>
      <c r="S786" s="16"/>
      <c r="T786" s="16"/>
      <c r="U786" s="16"/>
      <c r="V786" s="16"/>
      <c r="W786" s="16"/>
      <c r="X786" s="16"/>
    </row>
    <row r="787" spans="1:24">
      <c r="A787" s="19">
        <v>46254</v>
      </c>
      <c r="B787" s="18" t="s">
        <v>287</v>
      </c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>
        <f t="shared" si="12"/>
        <v>0</v>
      </c>
      <c r="N787" s="17">
        <v>0</v>
      </c>
      <c r="O787" s="16"/>
      <c r="P787" s="16"/>
      <c r="Q787" s="16"/>
      <c r="R787" s="16"/>
      <c r="S787" s="16"/>
      <c r="T787" s="16"/>
      <c r="U787" s="16"/>
      <c r="V787" s="16"/>
      <c r="W787" s="16"/>
      <c r="X787" s="16"/>
    </row>
    <row r="788" spans="1:24">
      <c r="A788" s="19">
        <v>46255</v>
      </c>
      <c r="B788" s="18" t="s">
        <v>287</v>
      </c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>
        <f t="shared" si="12"/>
        <v>0</v>
      </c>
      <c r="N788" s="17">
        <v>0</v>
      </c>
      <c r="O788" s="16"/>
      <c r="P788" s="16"/>
      <c r="Q788" s="16"/>
      <c r="R788" s="16"/>
      <c r="S788" s="16"/>
      <c r="T788" s="16"/>
      <c r="U788" s="16"/>
      <c r="V788" s="16"/>
      <c r="W788" s="16"/>
      <c r="X788" s="16"/>
    </row>
    <row r="789" spans="1:24">
      <c r="A789" s="19">
        <v>46256</v>
      </c>
      <c r="B789" s="18" t="s">
        <v>287</v>
      </c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>
        <f t="shared" si="12"/>
        <v>0</v>
      </c>
      <c r="N789" s="17">
        <v>0</v>
      </c>
      <c r="O789" s="16"/>
      <c r="P789" s="16"/>
      <c r="Q789" s="16"/>
      <c r="R789" s="16"/>
      <c r="S789" s="16"/>
      <c r="T789" s="16"/>
      <c r="U789" s="16"/>
      <c r="V789" s="16"/>
      <c r="W789" s="16"/>
      <c r="X789" s="16"/>
    </row>
    <row r="790" spans="1:24">
      <c r="A790" s="19">
        <v>46257</v>
      </c>
      <c r="B790" s="18" t="s">
        <v>287</v>
      </c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>
        <f t="shared" si="12"/>
        <v>0</v>
      </c>
      <c r="N790" s="17">
        <v>0</v>
      </c>
      <c r="O790" s="16"/>
      <c r="P790" s="16"/>
      <c r="Q790" s="16"/>
      <c r="R790" s="16"/>
      <c r="S790" s="16"/>
      <c r="T790" s="16"/>
      <c r="U790" s="16"/>
      <c r="V790" s="16"/>
      <c r="W790" s="16"/>
      <c r="X790" s="16"/>
    </row>
    <row r="791" spans="1:24">
      <c r="A791" s="19">
        <v>46258</v>
      </c>
      <c r="B791" s="18" t="s">
        <v>287</v>
      </c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>
        <f t="shared" si="12"/>
        <v>0</v>
      </c>
      <c r="N791" s="17">
        <v>0</v>
      </c>
      <c r="O791" s="16"/>
      <c r="P791" s="16"/>
      <c r="Q791" s="16"/>
      <c r="R791" s="16"/>
      <c r="S791" s="16"/>
      <c r="T791" s="16"/>
      <c r="U791" s="16"/>
      <c r="V791" s="16"/>
      <c r="W791" s="16"/>
      <c r="X791" s="16"/>
    </row>
    <row r="792" spans="1:24">
      <c r="A792" s="19">
        <v>46259</v>
      </c>
      <c r="B792" s="18" t="s">
        <v>287</v>
      </c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>
        <f t="shared" si="12"/>
        <v>0</v>
      </c>
      <c r="N792" s="17">
        <v>0</v>
      </c>
      <c r="O792" s="16"/>
      <c r="P792" s="16"/>
      <c r="Q792" s="16"/>
      <c r="R792" s="16"/>
      <c r="S792" s="16"/>
      <c r="T792" s="16"/>
      <c r="U792" s="16"/>
      <c r="V792" s="16"/>
      <c r="W792" s="16"/>
      <c r="X792" s="16"/>
    </row>
    <row r="793" spans="1:24">
      <c r="A793" s="19">
        <v>46260</v>
      </c>
      <c r="B793" s="18" t="s">
        <v>287</v>
      </c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>
        <f t="shared" si="12"/>
        <v>0</v>
      </c>
      <c r="N793" s="17">
        <v>0</v>
      </c>
      <c r="O793" s="16"/>
      <c r="P793" s="16"/>
      <c r="Q793" s="16"/>
      <c r="R793" s="16"/>
      <c r="S793" s="16"/>
      <c r="T793" s="16"/>
      <c r="U793" s="16"/>
      <c r="V793" s="16"/>
      <c r="W793" s="16"/>
      <c r="X793" s="16"/>
    </row>
    <row r="794" spans="1:24">
      <c r="A794" s="19">
        <v>46261</v>
      </c>
      <c r="B794" s="18" t="s">
        <v>287</v>
      </c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>
        <f t="shared" si="12"/>
        <v>0</v>
      </c>
      <c r="N794" s="17">
        <v>0</v>
      </c>
      <c r="O794" s="16"/>
      <c r="P794" s="16"/>
      <c r="Q794" s="16"/>
      <c r="R794" s="16"/>
      <c r="S794" s="16"/>
      <c r="T794" s="16"/>
      <c r="U794" s="16"/>
      <c r="V794" s="16"/>
      <c r="W794" s="16"/>
      <c r="X794" s="16"/>
    </row>
    <row r="795" spans="1:24">
      <c r="A795" s="19">
        <v>46262</v>
      </c>
      <c r="B795" s="18" t="s">
        <v>287</v>
      </c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>
        <f t="shared" si="12"/>
        <v>0</v>
      </c>
      <c r="N795" s="17">
        <v>0</v>
      </c>
      <c r="O795" s="16"/>
      <c r="P795" s="16"/>
      <c r="Q795" s="16"/>
      <c r="R795" s="16"/>
      <c r="S795" s="16"/>
      <c r="T795" s="16"/>
      <c r="U795" s="16"/>
      <c r="V795" s="16"/>
      <c r="W795" s="16"/>
      <c r="X795" s="16"/>
    </row>
    <row r="796" spans="1:24">
      <c r="A796" s="19">
        <v>46263</v>
      </c>
      <c r="B796" s="18" t="s">
        <v>287</v>
      </c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>
        <f t="shared" si="12"/>
        <v>0</v>
      </c>
      <c r="N796" s="17">
        <v>0</v>
      </c>
      <c r="O796" s="16"/>
      <c r="P796" s="16"/>
      <c r="Q796" s="16"/>
      <c r="R796" s="16"/>
      <c r="S796" s="16"/>
      <c r="T796" s="16"/>
      <c r="U796" s="16"/>
      <c r="V796" s="16"/>
      <c r="W796" s="16"/>
      <c r="X796" s="16"/>
    </row>
    <row r="797" spans="1:24">
      <c r="A797" s="19">
        <v>46264</v>
      </c>
      <c r="B797" s="18" t="s">
        <v>287</v>
      </c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>
        <f t="shared" si="12"/>
        <v>0</v>
      </c>
      <c r="N797" s="17">
        <v>0</v>
      </c>
      <c r="O797" s="16"/>
      <c r="P797" s="16"/>
      <c r="Q797" s="16"/>
      <c r="R797" s="16"/>
      <c r="S797" s="16"/>
      <c r="T797" s="16"/>
      <c r="U797" s="16"/>
      <c r="V797" s="16"/>
      <c r="W797" s="16"/>
      <c r="X797" s="16"/>
    </row>
    <row r="798" spans="1:24">
      <c r="A798" s="19">
        <v>46265</v>
      </c>
      <c r="B798" s="18" t="s">
        <v>287</v>
      </c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>
        <f t="shared" si="12"/>
        <v>0</v>
      </c>
      <c r="N798" s="17">
        <v>0</v>
      </c>
      <c r="O798" s="16"/>
      <c r="P798" s="16"/>
      <c r="Q798" s="16"/>
      <c r="R798" s="16"/>
      <c r="S798" s="16"/>
      <c r="T798" s="16"/>
      <c r="U798" s="16"/>
      <c r="V798" s="16"/>
      <c r="W798" s="16"/>
      <c r="X798" s="16"/>
    </row>
    <row r="799" spans="1:24">
      <c r="A799" s="19">
        <v>46266</v>
      </c>
      <c r="B799" s="18" t="s">
        <v>287</v>
      </c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>
        <f t="shared" si="12"/>
        <v>0</v>
      </c>
      <c r="N799" s="17">
        <v>0</v>
      </c>
      <c r="O799" s="16"/>
      <c r="P799" s="16"/>
      <c r="Q799" s="16"/>
      <c r="R799" s="16"/>
      <c r="S799" s="16"/>
      <c r="T799" s="16"/>
      <c r="U799" s="16"/>
      <c r="V799" s="16"/>
      <c r="W799" s="16"/>
      <c r="X799" s="16"/>
    </row>
    <row r="800" spans="1:24">
      <c r="A800" s="19">
        <v>46267</v>
      </c>
      <c r="B800" s="18" t="s">
        <v>287</v>
      </c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>
        <f t="shared" si="12"/>
        <v>0</v>
      </c>
      <c r="N800" s="17">
        <v>0</v>
      </c>
      <c r="O800" s="16"/>
      <c r="P800" s="16"/>
      <c r="Q800" s="16"/>
      <c r="R800" s="16"/>
      <c r="S800" s="16"/>
      <c r="T800" s="16"/>
      <c r="U800" s="16"/>
      <c r="V800" s="16"/>
      <c r="W800" s="16"/>
      <c r="X800" s="16"/>
    </row>
    <row r="801" spans="1:24">
      <c r="A801" s="19">
        <v>46268</v>
      </c>
      <c r="B801" s="18" t="s">
        <v>287</v>
      </c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>
        <f t="shared" si="12"/>
        <v>0</v>
      </c>
      <c r="N801" s="17">
        <v>0</v>
      </c>
      <c r="O801" s="16"/>
      <c r="P801" s="16"/>
      <c r="Q801" s="16"/>
      <c r="R801" s="16"/>
      <c r="S801" s="16"/>
      <c r="T801" s="16"/>
      <c r="U801" s="16"/>
      <c r="V801" s="16"/>
      <c r="W801" s="16"/>
      <c r="X801" s="16"/>
    </row>
    <row r="802" spans="1:24">
      <c r="A802" s="19">
        <v>46269</v>
      </c>
      <c r="B802" s="18" t="s">
        <v>287</v>
      </c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>
        <f t="shared" si="12"/>
        <v>0</v>
      </c>
      <c r="N802" s="17">
        <v>0</v>
      </c>
      <c r="O802" s="16"/>
      <c r="P802" s="16"/>
      <c r="Q802" s="16"/>
      <c r="R802" s="16"/>
      <c r="S802" s="16"/>
      <c r="T802" s="16"/>
      <c r="U802" s="16"/>
      <c r="V802" s="16"/>
      <c r="W802" s="16"/>
      <c r="X802" s="16"/>
    </row>
    <row r="803" spans="1:24">
      <c r="A803" s="19">
        <v>46270</v>
      </c>
      <c r="B803" s="18" t="s">
        <v>287</v>
      </c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>
        <f t="shared" si="12"/>
        <v>0</v>
      </c>
      <c r="N803" s="17">
        <v>0</v>
      </c>
      <c r="O803" s="16"/>
      <c r="P803" s="16"/>
      <c r="Q803" s="16"/>
      <c r="R803" s="16"/>
      <c r="S803" s="16"/>
      <c r="T803" s="16"/>
      <c r="U803" s="16"/>
      <c r="V803" s="16"/>
      <c r="W803" s="16"/>
      <c r="X803" s="16"/>
    </row>
    <row r="804" spans="1:24">
      <c r="A804" s="19">
        <v>46271</v>
      </c>
      <c r="B804" s="18" t="s">
        <v>287</v>
      </c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>
        <f t="shared" si="12"/>
        <v>0</v>
      </c>
      <c r="N804" s="17">
        <v>0</v>
      </c>
      <c r="O804" s="16"/>
      <c r="P804" s="16"/>
      <c r="Q804" s="16"/>
      <c r="R804" s="16"/>
      <c r="S804" s="16"/>
      <c r="T804" s="16"/>
      <c r="U804" s="16"/>
      <c r="V804" s="16"/>
      <c r="W804" s="16"/>
      <c r="X804" s="16"/>
    </row>
    <row r="805" spans="1:24">
      <c r="A805" s="19">
        <v>46272</v>
      </c>
      <c r="B805" s="18" t="s">
        <v>287</v>
      </c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>
        <f t="shared" si="12"/>
        <v>0</v>
      </c>
      <c r="N805" s="17">
        <v>0</v>
      </c>
      <c r="O805" s="16"/>
      <c r="P805" s="16"/>
      <c r="Q805" s="16"/>
      <c r="R805" s="16"/>
      <c r="S805" s="16"/>
      <c r="T805" s="16"/>
      <c r="U805" s="16"/>
      <c r="V805" s="16"/>
      <c r="W805" s="16"/>
      <c r="X805" s="16"/>
    </row>
    <row r="806" spans="1:24">
      <c r="A806" s="19">
        <v>46273</v>
      </c>
      <c r="B806" s="18" t="s">
        <v>287</v>
      </c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>
        <f t="shared" si="12"/>
        <v>0</v>
      </c>
      <c r="N806" s="17">
        <v>0</v>
      </c>
      <c r="O806" s="16"/>
      <c r="P806" s="16"/>
      <c r="Q806" s="16"/>
      <c r="R806" s="16"/>
      <c r="S806" s="16"/>
      <c r="T806" s="16"/>
      <c r="U806" s="16"/>
      <c r="V806" s="16"/>
      <c r="W806" s="16"/>
      <c r="X806" s="16"/>
    </row>
    <row r="807" spans="1:24">
      <c r="A807" s="19">
        <v>46274</v>
      </c>
      <c r="B807" s="18" t="s">
        <v>287</v>
      </c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>
        <f t="shared" si="12"/>
        <v>0</v>
      </c>
      <c r="N807" s="17">
        <v>0</v>
      </c>
      <c r="O807" s="16"/>
      <c r="P807" s="16"/>
      <c r="Q807" s="16"/>
      <c r="R807" s="16"/>
      <c r="S807" s="16"/>
      <c r="T807" s="16"/>
      <c r="U807" s="16"/>
      <c r="V807" s="16"/>
      <c r="W807" s="16"/>
      <c r="X807" s="16"/>
    </row>
    <row r="808" spans="1:24">
      <c r="A808" s="19">
        <v>46275</v>
      </c>
      <c r="B808" s="18" t="s">
        <v>287</v>
      </c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>
        <f t="shared" si="12"/>
        <v>0</v>
      </c>
      <c r="N808" s="17">
        <v>0</v>
      </c>
      <c r="O808" s="16"/>
      <c r="P808" s="16"/>
      <c r="Q808" s="16"/>
      <c r="R808" s="16"/>
      <c r="S808" s="16"/>
      <c r="T808" s="16"/>
      <c r="U808" s="16"/>
      <c r="V808" s="16"/>
      <c r="W808" s="16"/>
      <c r="X808" s="16"/>
    </row>
    <row r="809" spans="1:24">
      <c r="A809" s="19">
        <v>46276</v>
      </c>
      <c r="B809" s="18" t="s">
        <v>287</v>
      </c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>
        <f t="shared" si="12"/>
        <v>0</v>
      </c>
      <c r="N809" s="17">
        <v>0</v>
      </c>
      <c r="O809" s="16"/>
      <c r="P809" s="16"/>
      <c r="Q809" s="16"/>
      <c r="R809" s="16"/>
      <c r="S809" s="16"/>
      <c r="T809" s="16"/>
      <c r="U809" s="16"/>
      <c r="V809" s="16"/>
      <c r="W809" s="16"/>
      <c r="X809" s="16"/>
    </row>
    <row r="810" spans="1:24">
      <c r="A810" s="19">
        <v>46277</v>
      </c>
      <c r="B810" s="18" t="s">
        <v>287</v>
      </c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>
        <f t="shared" si="12"/>
        <v>0</v>
      </c>
      <c r="N810" s="17">
        <v>0</v>
      </c>
      <c r="O810" s="16"/>
      <c r="P810" s="16"/>
      <c r="Q810" s="16"/>
      <c r="R810" s="16"/>
      <c r="S810" s="16"/>
      <c r="T810" s="16"/>
      <c r="U810" s="16"/>
      <c r="V810" s="16"/>
      <c r="W810" s="16"/>
      <c r="X810" s="16"/>
    </row>
    <row r="811" spans="1:24">
      <c r="A811" s="19">
        <v>46278</v>
      </c>
      <c r="B811" s="18" t="s">
        <v>287</v>
      </c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>
        <f t="shared" si="12"/>
        <v>0</v>
      </c>
      <c r="N811" s="17">
        <v>0</v>
      </c>
      <c r="O811" s="16"/>
      <c r="P811" s="16"/>
      <c r="Q811" s="16"/>
      <c r="R811" s="16"/>
      <c r="S811" s="16"/>
      <c r="T811" s="16"/>
      <c r="U811" s="16"/>
      <c r="V811" s="16"/>
      <c r="W811" s="16"/>
      <c r="X811" s="16"/>
    </row>
    <row r="812" spans="1:24">
      <c r="A812" s="19">
        <v>46279</v>
      </c>
      <c r="B812" s="18" t="s">
        <v>287</v>
      </c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>
        <f t="shared" si="12"/>
        <v>0</v>
      </c>
      <c r="N812" s="17">
        <v>0</v>
      </c>
      <c r="O812" s="16"/>
      <c r="P812" s="16"/>
      <c r="Q812" s="16"/>
      <c r="R812" s="16"/>
      <c r="S812" s="16"/>
      <c r="T812" s="16"/>
      <c r="U812" s="16"/>
      <c r="V812" s="16"/>
      <c r="W812" s="16"/>
      <c r="X812" s="16"/>
    </row>
    <row r="813" spans="1:24">
      <c r="A813" s="19">
        <v>46280</v>
      </c>
      <c r="B813" s="18" t="s">
        <v>287</v>
      </c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>
        <f t="shared" si="12"/>
        <v>0</v>
      </c>
      <c r="N813" s="17">
        <v>0</v>
      </c>
      <c r="O813" s="16"/>
      <c r="P813" s="16"/>
      <c r="Q813" s="16"/>
      <c r="R813" s="16"/>
      <c r="S813" s="16"/>
      <c r="T813" s="16"/>
      <c r="U813" s="16"/>
      <c r="V813" s="16"/>
      <c r="W813" s="16"/>
      <c r="X813" s="16"/>
    </row>
    <row r="814" spans="1:24">
      <c r="A814" s="19">
        <v>46281</v>
      </c>
      <c r="B814" s="18" t="s">
        <v>287</v>
      </c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>
        <f t="shared" si="12"/>
        <v>0</v>
      </c>
      <c r="N814" s="17">
        <v>0</v>
      </c>
      <c r="O814" s="16"/>
      <c r="P814" s="16"/>
      <c r="Q814" s="16"/>
      <c r="R814" s="16"/>
      <c r="S814" s="16"/>
      <c r="T814" s="16"/>
      <c r="U814" s="16"/>
      <c r="V814" s="16"/>
      <c r="W814" s="16"/>
      <c r="X814" s="16"/>
    </row>
    <row r="815" spans="1:24">
      <c r="A815" s="19">
        <v>46282</v>
      </c>
      <c r="B815" s="18" t="s">
        <v>287</v>
      </c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>
        <f t="shared" si="12"/>
        <v>0</v>
      </c>
      <c r="N815" s="17">
        <v>0</v>
      </c>
      <c r="O815" s="16"/>
      <c r="P815" s="16"/>
      <c r="Q815" s="16"/>
      <c r="R815" s="16"/>
      <c r="S815" s="16"/>
      <c r="T815" s="16"/>
      <c r="U815" s="16"/>
      <c r="V815" s="16"/>
      <c r="W815" s="16"/>
      <c r="X815" s="16"/>
    </row>
    <row r="816" spans="1:24">
      <c r="A816" s="19">
        <v>46283</v>
      </c>
      <c r="B816" s="18" t="s">
        <v>287</v>
      </c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>
        <f t="shared" si="12"/>
        <v>0</v>
      </c>
      <c r="N816" s="17">
        <v>0</v>
      </c>
      <c r="O816" s="16"/>
      <c r="P816" s="16"/>
      <c r="Q816" s="16"/>
      <c r="R816" s="16"/>
      <c r="S816" s="16"/>
      <c r="T816" s="16"/>
      <c r="U816" s="16"/>
      <c r="V816" s="16"/>
      <c r="W816" s="16"/>
      <c r="X816" s="16"/>
    </row>
    <row r="817" spans="1:24">
      <c r="A817" s="19">
        <v>46284</v>
      </c>
      <c r="B817" s="18" t="s">
        <v>287</v>
      </c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>
        <f t="shared" si="12"/>
        <v>0</v>
      </c>
      <c r="N817" s="17">
        <v>0</v>
      </c>
      <c r="O817" s="16"/>
      <c r="P817" s="16"/>
      <c r="Q817" s="16"/>
      <c r="R817" s="16"/>
      <c r="S817" s="16"/>
      <c r="T817" s="16"/>
      <c r="U817" s="16"/>
      <c r="V817" s="16"/>
      <c r="W817" s="16"/>
      <c r="X817" s="16"/>
    </row>
    <row r="818" spans="1:24">
      <c r="A818" s="19">
        <v>46285</v>
      </c>
      <c r="B818" s="18" t="s">
        <v>287</v>
      </c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>
        <f t="shared" si="12"/>
        <v>0</v>
      </c>
      <c r="N818" s="17">
        <v>0</v>
      </c>
      <c r="O818" s="16"/>
      <c r="P818" s="16"/>
      <c r="Q818" s="16"/>
      <c r="R818" s="16"/>
      <c r="S818" s="16"/>
      <c r="T818" s="16"/>
      <c r="U818" s="16"/>
      <c r="V818" s="16"/>
      <c r="W818" s="16"/>
      <c r="X818" s="16"/>
    </row>
    <row r="819" spans="1:24">
      <c r="A819" s="19">
        <v>46286</v>
      </c>
      <c r="B819" s="18" t="s">
        <v>287</v>
      </c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>
        <f t="shared" si="12"/>
        <v>0</v>
      </c>
      <c r="N819" s="17">
        <v>0</v>
      </c>
      <c r="O819" s="16"/>
      <c r="P819" s="16"/>
      <c r="Q819" s="16"/>
      <c r="R819" s="16"/>
      <c r="S819" s="16"/>
      <c r="T819" s="16"/>
      <c r="U819" s="16"/>
      <c r="V819" s="16"/>
      <c r="W819" s="16"/>
      <c r="X819" s="16"/>
    </row>
    <row r="820" spans="1:24">
      <c r="A820" s="19">
        <v>46287</v>
      </c>
      <c r="B820" s="18" t="s">
        <v>287</v>
      </c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>
        <f t="shared" si="12"/>
        <v>0</v>
      </c>
      <c r="N820" s="17">
        <v>0</v>
      </c>
      <c r="O820" s="16"/>
      <c r="P820" s="16"/>
      <c r="Q820" s="16"/>
      <c r="R820" s="16"/>
      <c r="S820" s="16"/>
      <c r="T820" s="16"/>
      <c r="U820" s="16"/>
      <c r="V820" s="16"/>
      <c r="W820" s="16"/>
      <c r="X820" s="16"/>
    </row>
    <row r="821" spans="1:24">
      <c r="A821" s="19">
        <v>46288</v>
      </c>
      <c r="B821" s="18" t="s">
        <v>287</v>
      </c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>
        <f t="shared" si="12"/>
        <v>0</v>
      </c>
      <c r="N821" s="17">
        <v>0</v>
      </c>
      <c r="O821" s="16"/>
      <c r="P821" s="16"/>
      <c r="Q821" s="16"/>
      <c r="R821" s="16"/>
      <c r="S821" s="16"/>
      <c r="T821" s="16"/>
      <c r="U821" s="16"/>
      <c r="V821" s="16"/>
      <c r="W821" s="16"/>
      <c r="X821" s="16"/>
    </row>
    <row r="822" spans="1:24">
      <c r="A822" s="19">
        <v>46289</v>
      </c>
      <c r="B822" s="18" t="s">
        <v>287</v>
      </c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>
        <f t="shared" si="12"/>
        <v>0</v>
      </c>
      <c r="N822" s="17">
        <v>0</v>
      </c>
      <c r="O822" s="16"/>
      <c r="P822" s="16"/>
      <c r="Q822" s="16"/>
      <c r="R822" s="16"/>
      <c r="S822" s="16"/>
      <c r="T822" s="16"/>
      <c r="U822" s="16"/>
      <c r="V822" s="16"/>
      <c r="W822" s="16"/>
      <c r="X822" s="16"/>
    </row>
    <row r="823" spans="1:24">
      <c r="A823" s="19">
        <v>46290</v>
      </c>
      <c r="B823" s="18" t="s">
        <v>287</v>
      </c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>
        <f t="shared" si="12"/>
        <v>0</v>
      </c>
      <c r="N823" s="17">
        <v>0</v>
      </c>
      <c r="O823" s="16"/>
      <c r="P823" s="16"/>
      <c r="Q823" s="16"/>
      <c r="R823" s="16"/>
      <c r="S823" s="16"/>
      <c r="T823" s="16"/>
      <c r="U823" s="16"/>
      <c r="V823" s="16"/>
      <c r="W823" s="16"/>
      <c r="X823" s="16"/>
    </row>
    <row r="824" spans="1:24">
      <c r="A824" s="19">
        <v>46291</v>
      </c>
      <c r="B824" s="18" t="s">
        <v>287</v>
      </c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>
        <f t="shared" si="12"/>
        <v>0</v>
      </c>
      <c r="N824" s="17">
        <v>0</v>
      </c>
      <c r="O824" s="16"/>
      <c r="P824" s="16"/>
      <c r="Q824" s="16"/>
      <c r="R824" s="16"/>
      <c r="S824" s="16"/>
      <c r="T824" s="16"/>
      <c r="U824" s="16"/>
      <c r="V824" s="16"/>
      <c r="W824" s="16"/>
      <c r="X824" s="16"/>
    </row>
    <row r="825" spans="1:24">
      <c r="A825" s="19">
        <v>46292</v>
      </c>
      <c r="B825" s="18" t="s">
        <v>287</v>
      </c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>
        <f t="shared" si="12"/>
        <v>0</v>
      </c>
      <c r="N825" s="17">
        <v>0</v>
      </c>
      <c r="O825" s="16"/>
      <c r="P825" s="16"/>
      <c r="Q825" s="16"/>
      <c r="R825" s="16"/>
      <c r="S825" s="16"/>
      <c r="T825" s="16"/>
      <c r="U825" s="16"/>
      <c r="V825" s="16"/>
      <c r="W825" s="16"/>
      <c r="X825" s="16"/>
    </row>
    <row r="826" spans="1:24">
      <c r="A826" s="19">
        <v>46293</v>
      </c>
      <c r="B826" s="18" t="s">
        <v>287</v>
      </c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>
        <f t="shared" si="12"/>
        <v>0</v>
      </c>
      <c r="N826" s="17">
        <v>0</v>
      </c>
      <c r="O826" s="16"/>
      <c r="P826" s="16"/>
      <c r="Q826" s="16"/>
      <c r="R826" s="16"/>
      <c r="S826" s="16"/>
      <c r="T826" s="16"/>
      <c r="U826" s="16"/>
      <c r="V826" s="16"/>
      <c r="W826" s="16"/>
      <c r="X826" s="16"/>
    </row>
    <row r="827" spans="1:24">
      <c r="A827" s="19">
        <v>46294</v>
      </c>
      <c r="B827" s="18" t="s">
        <v>287</v>
      </c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>
        <f t="shared" si="12"/>
        <v>0</v>
      </c>
      <c r="N827" s="17">
        <v>0</v>
      </c>
      <c r="O827" s="16"/>
      <c r="P827" s="16"/>
      <c r="Q827" s="16"/>
      <c r="R827" s="16"/>
      <c r="S827" s="16"/>
      <c r="T827" s="16"/>
      <c r="U827" s="16"/>
      <c r="V827" s="16"/>
      <c r="W827" s="16"/>
      <c r="X827" s="16"/>
    </row>
    <row r="828" spans="1:24">
      <c r="A828" s="19">
        <v>46295</v>
      </c>
      <c r="B828" s="18" t="s">
        <v>287</v>
      </c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>
        <f t="shared" si="12"/>
        <v>0</v>
      </c>
      <c r="N828" s="17">
        <v>0</v>
      </c>
      <c r="O828" s="16"/>
      <c r="P828" s="16"/>
      <c r="Q828" s="16"/>
      <c r="R828" s="16"/>
      <c r="S828" s="16"/>
      <c r="T828" s="16"/>
      <c r="U828" s="16"/>
      <c r="V828" s="16"/>
      <c r="W828" s="16"/>
      <c r="X828" s="16"/>
    </row>
    <row r="829" spans="1:24">
      <c r="A829" s="19">
        <v>46296</v>
      </c>
      <c r="B829" s="18" t="s">
        <v>287</v>
      </c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>
        <f t="shared" si="12"/>
        <v>0</v>
      </c>
      <c r="N829" s="17">
        <v>0</v>
      </c>
      <c r="O829" s="16"/>
      <c r="P829" s="16"/>
      <c r="Q829" s="16"/>
      <c r="R829" s="16"/>
      <c r="S829" s="16"/>
      <c r="T829" s="16"/>
      <c r="U829" s="16"/>
      <c r="V829" s="16"/>
      <c r="W829" s="16"/>
      <c r="X829" s="16"/>
    </row>
    <row r="830" spans="1:24">
      <c r="A830" s="19">
        <v>46297</v>
      </c>
      <c r="B830" s="18" t="s">
        <v>287</v>
      </c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>
        <f t="shared" si="12"/>
        <v>0</v>
      </c>
      <c r="N830" s="17">
        <v>0</v>
      </c>
      <c r="O830" s="16"/>
      <c r="P830" s="16"/>
      <c r="Q830" s="16"/>
      <c r="R830" s="16"/>
      <c r="S830" s="16"/>
      <c r="T830" s="16"/>
      <c r="U830" s="16"/>
      <c r="V830" s="16"/>
      <c r="W830" s="16"/>
      <c r="X830" s="16"/>
    </row>
    <row r="831" spans="1:24">
      <c r="A831" s="19">
        <v>46298</v>
      </c>
      <c r="B831" s="18" t="s">
        <v>287</v>
      </c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>
        <f t="shared" si="12"/>
        <v>0</v>
      </c>
      <c r="N831" s="17">
        <v>0</v>
      </c>
      <c r="O831" s="16"/>
      <c r="P831" s="16"/>
      <c r="Q831" s="16"/>
      <c r="R831" s="16"/>
      <c r="S831" s="16"/>
      <c r="T831" s="16"/>
      <c r="U831" s="16"/>
      <c r="V831" s="16"/>
      <c r="W831" s="16"/>
      <c r="X831" s="16"/>
    </row>
    <row r="832" spans="1:24">
      <c r="A832" s="19">
        <v>46299</v>
      </c>
      <c r="B832" s="18" t="s">
        <v>287</v>
      </c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>
        <f t="shared" si="12"/>
        <v>0</v>
      </c>
      <c r="N832" s="17">
        <v>0</v>
      </c>
      <c r="O832" s="16"/>
      <c r="P832" s="16"/>
      <c r="Q832" s="16"/>
      <c r="R832" s="16"/>
      <c r="S832" s="16"/>
      <c r="T832" s="16"/>
      <c r="U832" s="16"/>
      <c r="V832" s="16"/>
      <c r="W832" s="16"/>
      <c r="X832" s="16"/>
    </row>
    <row r="833" spans="1:24">
      <c r="A833" s="19">
        <v>46300</v>
      </c>
      <c r="B833" s="18" t="s">
        <v>287</v>
      </c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>
        <f t="shared" si="12"/>
        <v>0</v>
      </c>
      <c r="N833" s="17">
        <v>0</v>
      </c>
      <c r="O833" s="16"/>
      <c r="P833" s="16"/>
      <c r="Q833" s="16"/>
      <c r="R833" s="16"/>
      <c r="S833" s="16"/>
      <c r="T833" s="16"/>
      <c r="U833" s="16"/>
      <c r="V833" s="16"/>
      <c r="W833" s="16"/>
      <c r="X833" s="16"/>
    </row>
    <row r="834" spans="1:24">
      <c r="A834" s="19">
        <v>46301</v>
      </c>
      <c r="B834" s="18" t="s">
        <v>287</v>
      </c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>
        <f t="shared" si="12"/>
        <v>0</v>
      </c>
      <c r="N834" s="17">
        <v>0</v>
      </c>
      <c r="O834" s="16"/>
      <c r="P834" s="16"/>
      <c r="Q834" s="16"/>
      <c r="R834" s="16"/>
      <c r="S834" s="16"/>
      <c r="T834" s="16"/>
      <c r="U834" s="16"/>
      <c r="V834" s="16"/>
      <c r="W834" s="16"/>
      <c r="X834" s="16"/>
    </row>
    <row r="835" spans="1:24">
      <c r="A835" s="19">
        <v>46302</v>
      </c>
      <c r="B835" s="18" t="s">
        <v>287</v>
      </c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>
        <f t="shared" ref="M835:M898" si="13">N835-SUM(C835:L835)</f>
        <v>0</v>
      </c>
      <c r="N835" s="17">
        <v>0</v>
      </c>
      <c r="O835" s="16"/>
      <c r="P835" s="16"/>
      <c r="Q835" s="16"/>
      <c r="R835" s="16"/>
      <c r="S835" s="16"/>
      <c r="T835" s="16"/>
      <c r="U835" s="16"/>
      <c r="V835" s="16"/>
      <c r="W835" s="16"/>
      <c r="X835" s="16"/>
    </row>
    <row r="836" spans="1:24">
      <c r="A836" s="19">
        <v>46303</v>
      </c>
      <c r="B836" s="18" t="s">
        <v>287</v>
      </c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>
        <f t="shared" si="13"/>
        <v>0</v>
      </c>
      <c r="N836" s="17">
        <v>0</v>
      </c>
      <c r="O836" s="16"/>
      <c r="P836" s="16"/>
      <c r="Q836" s="16"/>
      <c r="R836" s="16"/>
      <c r="S836" s="16"/>
      <c r="T836" s="16"/>
      <c r="U836" s="16"/>
      <c r="V836" s="16"/>
      <c r="W836" s="16"/>
      <c r="X836" s="16"/>
    </row>
    <row r="837" spans="1:24">
      <c r="A837" s="19">
        <v>46304</v>
      </c>
      <c r="B837" s="18" t="s">
        <v>287</v>
      </c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>
        <f t="shared" si="13"/>
        <v>0</v>
      </c>
      <c r="N837" s="17">
        <v>0</v>
      </c>
      <c r="O837" s="16"/>
      <c r="P837" s="16"/>
      <c r="Q837" s="16"/>
      <c r="R837" s="16"/>
      <c r="S837" s="16"/>
      <c r="T837" s="16"/>
      <c r="U837" s="16"/>
      <c r="V837" s="16"/>
      <c r="W837" s="16"/>
      <c r="X837" s="16"/>
    </row>
    <row r="838" spans="1:24">
      <c r="A838" s="19">
        <v>46305</v>
      </c>
      <c r="B838" s="18" t="s">
        <v>287</v>
      </c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>
        <f t="shared" si="13"/>
        <v>0</v>
      </c>
      <c r="N838" s="17">
        <v>0</v>
      </c>
      <c r="O838" s="16"/>
      <c r="P838" s="16"/>
      <c r="Q838" s="16"/>
      <c r="R838" s="16"/>
      <c r="S838" s="16"/>
      <c r="T838" s="16"/>
      <c r="U838" s="16"/>
      <c r="V838" s="16"/>
      <c r="W838" s="16"/>
      <c r="X838" s="16"/>
    </row>
    <row r="839" spans="1:24">
      <c r="A839" s="19">
        <v>46306</v>
      </c>
      <c r="B839" s="18" t="s">
        <v>287</v>
      </c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>
        <f t="shared" si="13"/>
        <v>0</v>
      </c>
      <c r="N839" s="17">
        <v>0</v>
      </c>
      <c r="O839" s="16"/>
      <c r="P839" s="16"/>
      <c r="Q839" s="16"/>
      <c r="R839" s="16"/>
      <c r="S839" s="16"/>
      <c r="T839" s="16"/>
      <c r="U839" s="16"/>
      <c r="V839" s="16"/>
      <c r="W839" s="16"/>
      <c r="X839" s="16"/>
    </row>
    <row r="840" spans="1:24">
      <c r="A840" s="19">
        <v>46307</v>
      </c>
      <c r="B840" s="18" t="s">
        <v>287</v>
      </c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>
        <f t="shared" si="13"/>
        <v>0</v>
      </c>
      <c r="N840" s="17">
        <v>0</v>
      </c>
      <c r="O840" s="16"/>
      <c r="P840" s="16"/>
      <c r="Q840" s="16"/>
      <c r="R840" s="16"/>
      <c r="S840" s="16"/>
      <c r="T840" s="16"/>
      <c r="U840" s="16"/>
      <c r="V840" s="16"/>
      <c r="W840" s="16"/>
      <c r="X840" s="16"/>
    </row>
    <row r="841" spans="1:24">
      <c r="A841" s="19">
        <v>46308</v>
      </c>
      <c r="B841" s="18" t="s">
        <v>287</v>
      </c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>
        <f t="shared" si="13"/>
        <v>0</v>
      </c>
      <c r="N841" s="17">
        <v>0</v>
      </c>
      <c r="O841" s="16"/>
      <c r="P841" s="16"/>
      <c r="Q841" s="16"/>
      <c r="R841" s="16"/>
      <c r="S841" s="16"/>
      <c r="T841" s="16"/>
      <c r="U841" s="16"/>
      <c r="V841" s="16"/>
      <c r="W841" s="16"/>
      <c r="X841" s="16"/>
    </row>
    <row r="842" spans="1:24">
      <c r="A842" s="19">
        <v>46309</v>
      </c>
      <c r="B842" s="18" t="s">
        <v>287</v>
      </c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>
        <f t="shared" si="13"/>
        <v>0</v>
      </c>
      <c r="N842" s="17">
        <v>0</v>
      </c>
      <c r="O842" s="16"/>
      <c r="P842" s="16"/>
      <c r="Q842" s="16"/>
      <c r="R842" s="16"/>
      <c r="S842" s="16"/>
      <c r="T842" s="16"/>
      <c r="U842" s="16"/>
      <c r="V842" s="16"/>
      <c r="W842" s="16"/>
      <c r="X842" s="16"/>
    </row>
    <row r="843" spans="1:24">
      <c r="A843" s="19">
        <v>46310</v>
      </c>
      <c r="B843" s="18" t="s">
        <v>287</v>
      </c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>
        <f t="shared" si="13"/>
        <v>0</v>
      </c>
      <c r="N843" s="17">
        <v>0</v>
      </c>
      <c r="O843" s="16"/>
      <c r="P843" s="16"/>
      <c r="Q843" s="16"/>
      <c r="R843" s="16"/>
      <c r="S843" s="16"/>
      <c r="T843" s="16"/>
      <c r="U843" s="16"/>
      <c r="V843" s="16"/>
      <c r="W843" s="16"/>
      <c r="X843" s="16"/>
    </row>
    <row r="844" spans="1:24">
      <c r="A844" s="19">
        <v>46311</v>
      </c>
      <c r="B844" s="18" t="s">
        <v>287</v>
      </c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>
        <f t="shared" si="13"/>
        <v>0</v>
      </c>
      <c r="N844" s="17">
        <v>0</v>
      </c>
      <c r="O844" s="16"/>
      <c r="P844" s="16"/>
      <c r="Q844" s="16"/>
      <c r="R844" s="16"/>
      <c r="S844" s="16"/>
      <c r="T844" s="16"/>
      <c r="U844" s="16"/>
      <c r="V844" s="16"/>
      <c r="W844" s="16"/>
      <c r="X844" s="16"/>
    </row>
    <row r="845" spans="1:24">
      <c r="A845" s="19">
        <v>46312</v>
      </c>
      <c r="B845" s="18" t="s">
        <v>287</v>
      </c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>
        <f t="shared" si="13"/>
        <v>0</v>
      </c>
      <c r="N845" s="17">
        <v>0</v>
      </c>
      <c r="O845" s="16"/>
      <c r="P845" s="16"/>
      <c r="Q845" s="16"/>
      <c r="R845" s="16"/>
      <c r="S845" s="16"/>
      <c r="T845" s="16"/>
      <c r="U845" s="16"/>
      <c r="V845" s="16"/>
      <c r="W845" s="16"/>
      <c r="X845" s="16"/>
    </row>
    <row r="846" spans="1:24">
      <c r="A846" s="19">
        <v>46313</v>
      </c>
      <c r="B846" s="18" t="s">
        <v>287</v>
      </c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>
        <f t="shared" si="13"/>
        <v>0</v>
      </c>
      <c r="N846" s="17">
        <v>0</v>
      </c>
      <c r="O846" s="16"/>
      <c r="P846" s="16"/>
      <c r="Q846" s="16"/>
      <c r="R846" s="16"/>
      <c r="S846" s="16"/>
      <c r="T846" s="16"/>
      <c r="U846" s="16"/>
      <c r="V846" s="16"/>
      <c r="W846" s="16"/>
      <c r="X846" s="16"/>
    </row>
    <row r="847" spans="1:24">
      <c r="A847" s="19">
        <v>46314</v>
      </c>
      <c r="B847" s="18" t="s">
        <v>287</v>
      </c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>
        <f t="shared" si="13"/>
        <v>0</v>
      </c>
      <c r="N847" s="17">
        <v>0</v>
      </c>
      <c r="O847" s="16"/>
      <c r="P847" s="16"/>
      <c r="Q847" s="16"/>
      <c r="R847" s="16"/>
      <c r="S847" s="16"/>
      <c r="T847" s="16"/>
      <c r="U847" s="16"/>
      <c r="V847" s="16"/>
      <c r="W847" s="16"/>
      <c r="X847" s="16"/>
    </row>
    <row r="848" spans="1:24">
      <c r="A848" s="19">
        <v>46315</v>
      </c>
      <c r="B848" s="18" t="s">
        <v>287</v>
      </c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>
        <f t="shared" si="13"/>
        <v>0</v>
      </c>
      <c r="N848" s="17">
        <v>0</v>
      </c>
      <c r="O848" s="16"/>
      <c r="P848" s="16"/>
      <c r="Q848" s="16"/>
      <c r="R848" s="16"/>
      <c r="S848" s="16"/>
      <c r="T848" s="16"/>
      <c r="U848" s="16"/>
      <c r="V848" s="16"/>
      <c r="W848" s="16"/>
      <c r="X848" s="16"/>
    </row>
    <row r="849" spans="1:24">
      <c r="A849" s="19">
        <v>46316</v>
      </c>
      <c r="B849" s="18" t="s">
        <v>287</v>
      </c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>
        <f t="shared" si="13"/>
        <v>0</v>
      </c>
      <c r="N849" s="17">
        <v>0</v>
      </c>
      <c r="O849" s="16"/>
      <c r="P849" s="16"/>
      <c r="Q849" s="16"/>
      <c r="R849" s="16"/>
      <c r="S849" s="16"/>
      <c r="T849" s="16"/>
      <c r="U849" s="16"/>
      <c r="V849" s="16"/>
      <c r="W849" s="16"/>
      <c r="X849" s="16"/>
    </row>
    <row r="850" spans="1:24">
      <c r="A850" s="19">
        <v>46317</v>
      </c>
      <c r="B850" s="18" t="s">
        <v>287</v>
      </c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>
        <f t="shared" si="13"/>
        <v>0</v>
      </c>
      <c r="N850" s="17">
        <v>0</v>
      </c>
      <c r="O850" s="16"/>
      <c r="P850" s="16"/>
      <c r="Q850" s="16"/>
      <c r="R850" s="16"/>
      <c r="S850" s="16"/>
      <c r="T850" s="16"/>
      <c r="U850" s="16"/>
      <c r="V850" s="16"/>
      <c r="W850" s="16"/>
      <c r="X850" s="16"/>
    </row>
    <row r="851" spans="1:24">
      <c r="A851" s="19">
        <v>46318</v>
      </c>
      <c r="B851" s="18" t="s">
        <v>287</v>
      </c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>
        <f t="shared" si="13"/>
        <v>0</v>
      </c>
      <c r="N851" s="17">
        <v>0</v>
      </c>
      <c r="O851" s="16"/>
      <c r="P851" s="16"/>
      <c r="Q851" s="16"/>
      <c r="R851" s="16"/>
      <c r="S851" s="16"/>
      <c r="T851" s="16"/>
      <c r="U851" s="16"/>
      <c r="V851" s="16"/>
      <c r="W851" s="16"/>
      <c r="X851" s="16"/>
    </row>
    <row r="852" spans="1:24">
      <c r="A852" s="19">
        <v>46319</v>
      </c>
      <c r="B852" s="18" t="s">
        <v>287</v>
      </c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>
        <f t="shared" si="13"/>
        <v>0</v>
      </c>
      <c r="N852" s="17">
        <v>0</v>
      </c>
      <c r="O852" s="16"/>
      <c r="P852" s="16"/>
      <c r="Q852" s="16"/>
      <c r="R852" s="16"/>
      <c r="S852" s="16"/>
      <c r="T852" s="16"/>
      <c r="U852" s="16"/>
      <c r="V852" s="16"/>
      <c r="W852" s="16"/>
      <c r="X852" s="16"/>
    </row>
    <row r="853" spans="1:24">
      <c r="A853" s="19">
        <v>46320</v>
      </c>
      <c r="B853" s="18" t="s">
        <v>287</v>
      </c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>
        <f t="shared" si="13"/>
        <v>0</v>
      </c>
      <c r="N853" s="17">
        <v>0</v>
      </c>
      <c r="O853" s="16"/>
      <c r="P853" s="16"/>
      <c r="Q853" s="16"/>
      <c r="R853" s="16"/>
      <c r="S853" s="16"/>
      <c r="T853" s="16"/>
      <c r="U853" s="16"/>
      <c r="V853" s="16"/>
      <c r="W853" s="16"/>
      <c r="X853" s="16"/>
    </row>
    <row r="854" spans="1:24">
      <c r="A854" s="19">
        <v>46321</v>
      </c>
      <c r="B854" s="18" t="s">
        <v>287</v>
      </c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>
        <f t="shared" si="13"/>
        <v>0</v>
      </c>
      <c r="N854" s="17">
        <v>0</v>
      </c>
      <c r="O854" s="16"/>
      <c r="P854" s="16"/>
      <c r="Q854" s="16"/>
      <c r="R854" s="16"/>
      <c r="S854" s="16"/>
      <c r="T854" s="16"/>
      <c r="U854" s="16"/>
      <c r="V854" s="16"/>
      <c r="W854" s="16"/>
      <c r="X854" s="16"/>
    </row>
    <row r="855" spans="1:24">
      <c r="A855" s="19">
        <v>46322</v>
      </c>
      <c r="B855" s="18" t="s">
        <v>287</v>
      </c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>
        <f t="shared" si="13"/>
        <v>0</v>
      </c>
      <c r="N855" s="17">
        <v>0</v>
      </c>
      <c r="O855" s="16"/>
      <c r="P855" s="16"/>
      <c r="Q855" s="16"/>
      <c r="R855" s="16"/>
      <c r="S855" s="16"/>
      <c r="T855" s="16"/>
      <c r="U855" s="16"/>
      <c r="V855" s="16"/>
      <c r="W855" s="16"/>
      <c r="X855" s="16"/>
    </row>
    <row r="856" spans="1:24">
      <c r="A856" s="19">
        <v>46323</v>
      </c>
      <c r="B856" s="18" t="s">
        <v>287</v>
      </c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>
        <f t="shared" si="13"/>
        <v>0</v>
      </c>
      <c r="N856" s="17">
        <v>0</v>
      </c>
      <c r="O856" s="16"/>
      <c r="P856" s="16"/>
      <c r="Q856" s="16"/>
      <c r="R856" s="16"/>
      <c r="S856" s="16"/>
      <c r="T856" s="16"/>
      <c r="U856" s="16"/>
      <c r="V856" s="16"/>
      <c r="W856" s="16"/>
      <c r="X856" s="16"/>
    </row>
    <row r="857" spans="1:24">
      <c r="A857" s="19">
        <v>46324</v>
      </c>
      <c r="B857" s="18" t="s">
        <v>287</v>
      </c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>
        <f t="shared" si="13"/>
        <v>0</v>
      </c>
      <c r="N857" s="17">
        <v>0</v>
      </c>
      <c r="O857" s="16"/>
      <c r="P857" s="16"/>
      <c r="Q857" s="16"/>
      <c r="R857" s="16"/>
      <c r="S857" s="16"/>
      <c r="T857" s="16"/>
      <c r="U857" s="16"/>
      <c r="V857" s="16"/>
      <c r="W857" s="16"/>
      <c r="X857" s="16"/>
    </row>
    <row r="858" spans="1:24">
      <c r="A858" s="19">
        <v>46325</v>
      </c>
      <c r="B858" s="18" t="s">
        <v>287</v>
      </c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>
        <f t="shared" si="13"/>
        <v>0</v>
      </c>
      <c r="N858" s="17">
        <v>0</v>
      </c>
      <c r="O858" s="16"/>
      <c r="P858" s="16"/>
      <c r="Q858" s="16"/>
      <c r="R858" s="16"/>
      <c r="S858" s="16"/>
      <c r="T858" s="16"/>
      <c r="U858" s="16"/>
      <c r="V858" s="16"/>
      <c r="W858" s="16"/>
      <c r="X858" s="16"/>
    </row>
    <row r="859" spans="1:24">
      <c r="A859" s="19">
        <v>46326</v>
      </c>
      <c r="B859" s="18" t="s">
        <v>287</v>
      </c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>
        <f t="shared" si="13"/>
        <v>0</v>
      </c>
      <c r="N859" s="17">
        <v>0</v>
      </c>
      <c r="O859" s="16"/>
      <c r="P859" s="16"/>
      <c r="Q859" s="16"/>
      <c r="R859" s="16"/>
      <c r="S859" s="16"/>
      <c r="T859" s="16"/>
      <c r="U859" s="16"/>
      <c r="V859" s="16"/>
      <c r="W859" s="16"/>
      <c r="X859" s="16"/>
    </row>
    <row r="860" spans="1:24">
      <c r="A860" s="19">
        <v>46327</v>
      </c>
      <c r="B860" s="18" t="s">
        <v>287</v>
      </c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>
        <f t="shared" si="13"/>
        <v>0</v>
      </c>
      <c r="N860" s="17">
        <v>0</v>
      </c>
      <c r="O860" s="16"/>
      <c r="P860" s="16"/>
      <c r="Q860" s="16"/>
      <c r="R860" s="16"/>
      <c r="S860" s="16"/>
      <c r="T860" s="16"/>
      <c r="U860" s="16"/>
      <c r="V860" s="16"/>
      <c r="W860" s="16"/>
      <c r="X860" s="16"/>
    </row>
    <row r="861" spans="1:24">
      <c r="A861" s="19">
        <v>46328</v>
      </c>
      <c r="B861" s="18" t="s">
        <v>287</v>
      </c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>
        <f t="shared" si="13"/>
        <v>0</v>
      </c>
      <c r="N861" s="17">
        <v>0</v>
      </c>
      <c r="O861" s="16"/>
      <c r="P861" s="16"/>
      <c r="Q861" s="16"/>
      <c r="R861" s="16"/>
      <c r="S861" s="16"/>
      <c r="T861" s="16"/>
      <c r="U861" s="16"/>
      <c r="V861" s="16"/>
      <c r="W861" s="16"/>
      <c r="X861" s="16"/>
    </row>
    <row r="862" spans="1:24">
      <c r="A862" s="19">
        <v>46329</v>
      </c>
      <c r="B862" s="18" t="s">
        <v>287</v>
      </c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>
        <f t="shared" si="13"/>
        <v>0</v>
      </c>
      <c r="N862" s="17">
        <v>0</v>
      </c>
      <c r="O862" s="16"/>
      <c r="P862" s="16"/>
      <c r="Q862" s="16"/>
      <c r="R862" s="16"/>
      <c r="S862" s="16"/>
      <c r="T862" s="16"/>
      <c r="U862" s="16"/>
      <c r="V862" s="16"/>
      <c r="W862" s="16"/>
      <c r="X862" s="16"/>
    </row>
    <row r="863" spans="1:24">
      <c r="A863" s="19">
        <v>46330</v>
      </c>
      <c r="B863" s="18" t="s">
        <v>287</v>
      </c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>
        <f t="shared" si="13"/>
        <v>0</v>
      </c>
      <c r="N863" s="17">
        <v>0</v>
      </c>
      <c r="O863" s="16"/>
      <c r="P863" s="16"/>
      <c r="Q863" s="16"/>
      <c r="R863" s="16"/>
      <c r="S863" s="16"/>
      <c r="T863" s="16"/>
      <c r="U863" s="16"/>
      <c r="V863" s="16"/>
      <c r="W863" s="16"/>
      <c r="X863" s="16"/>
    </row>
    <row r="864" spans="1:24">
      <c r="A864" s="19">
        <v>46331</v>
      </c>
      <c r="B864" s="18" t="s">
        <v>287</v>
      </c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>
        <f t="shared" si="13"/>
        <v>0</v>
      </c>
      <c r="N864" s="17">
        <v>0</v>
      </c>
      <c r="O864" s="16"/>
      <c r="P864" s="16"/>
      <c r="Q864" s="16"/>
      <c r="R864" s="16"/>
      <c r="S864" s="16"/>
      <c r="T864" s="16"/>
      <c r="U864" s="16"/>
      <c r="V864" s="16"/>
      <c r="W864" s="16"/>
      <c r="X864" s="16"/>
    </row>
    <row r="865" spans="1:24">
      <c r="A865" s="19">
        <v>46332</v>
      </c>
      <c r="B865" s="18" t="s">
        <v>287</v>
      </c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>
        <f t="shared" si="13"/>
        <v>0</v>
      </c>
      <c r="N865" s="17">
        <v>0</v>
      </c>
      <c r="O865" s="16"/>
      <c r="P865" s="16"/>
      <c r="Q865" s="16"/>
      <c r="R865" s="16"/>
      <c r="S865" s="16"/>
      <c r="T865" s="16"/>
      <c r="U865" s="16"/>
      <c r="V865" s="16"/>
      <c r="W865" s="16"/>
      <c r="X865" s="16"/>
    </row>
    <row r="866" spans="1:24">
      <c r="A866" s="19">
        <v>46333</v>
      </c>
      <c r="B866" s="18" t="s">
        <v>287</v>
      </c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>
        <f t="shared" si="13"/>
        <v>0</v>
      </c>
      <c r="N866" s="17">
        <v>0</v>
      </c>
      <c r="O866" s="16"/>
      <c r="P866" s="16"/>
      <c r="Q866" s="16"/>
      <c r="R866" s="16"/>
      <c r="S866" s="16"/>
      <c r="T866" s="16"/>
      <c r="U866" s="16"/>
      <c r="V866" s="16"/>
      <c r="W866" s="16"/>
      <c r="X866" s="16"/>
    </row>
    <row r="867" spans="1:24">
      <c r="A867" s="19">
        <v>46334</v>
      </c>
      <c r="B867" s="18" t="s">
        <v>287</v>
      </c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>
        <f t="shared" si="13"/>
        <v>0</v>
      </c>
      <c r="N867" s="17">
        <v>0</v>
      </c>
      <c r="O867" s="16"/>
      <c r="P867" s="16"/>
      <c r="Q867" s="16"/>
      <c r="R867" s="16"/>
      <c r="S867" s="16"/>
      <c r="T867" s="16"/>
      <c r="U867" s="16"/>
      <c r="V867" s="16"/>
      <c r="W867" s="16"/>
      <c r="X867" s="16"/>
    </row>
    <row r="868" spans="1:24">
      <c r="A868" s="19">
        <v>46335</v>
      </c>
      <c r="B868" s="18" t="s">
        <v>287</v>
      </c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>
        <f t="shared" si="13"/>
        <v>0</v>
      </c>
      <c r="N868" s="17">
        <v>0</v>
      </c>
      <c r="O868" s="16"/>
      <c r="P868" s="16"/>
      <c r="Q868" s="16"/>
      <c r="R868" s="16"/>
      <c r="S868" s="16"/>
      <c r="T868" s="16"/>
      <c r="U868" s="16"/>
      <c r="V868" s="16"/>
      <c r="W868" s="16"/>
      <c r="X868" s="16"/>
    </row>
    <row r="869" spans="1:24">
      <c r="A869" s="19">
        <v>46336</v>
      </c>
      <c r="B869" s="18" t="s">
        <v>287</v>
      </c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>
        <f t="shared" si="13"/>
        <v>0</v>
      </c>
      <c r="N869" s="17">
        <v>0</v>
      </c>
      <c r="O869" s="16"/>
      <c r="P869" s="16"/>
      <c r="Q869" s="16"/>
      <c r="R869" s="16"/>
      <c r="S869" s="16"/>
      <c r="T869" s="16"/>
      <c r="U869" s="16"/>
      <c r="V869" s="16"/>
      <c r="W869" s="16"/>
      <c r="X869" s="16"/>
    </row>
    <row r="870" spans="1:24">
      <c r="A870" s="19">
        <v>46337</v>
      </c>
      <c r="B870" s="18" t="s">
        <v>287</v>
      </c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>
        <f t="shared" si="13"/>
        <v>0</v>
      </c>
      <c r="N870" s="17">
        <v>0</v>
      </c>
      <c r="O870" s="16"/>
      <c r="P870" s="16"/>
      <c r="Q870" s="16"/>
      <c r="R870" s="16"/>
      <c r="S870" s="16"/>
      <c r="T870" s="16"/>
      <c r="U870" s="16"/>
      <c r="V870" s="16"/>
      <c r="W870" s="16"/>
      <c r="X870" s="16"/>
    </row>
    <row r="871" spans="1:24">
      <c r="A871" s="19">
        <v>46338</v>
      </c>
      <c r="B871" s="18" t="s">
        <v>287</v>
      </c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>
        <f t="shared" si="13"/>
        <v>0</v>
      </c>
      <c r="N871" s="17">
        <v>0</v>
      </c>
      <c r="O871" s="16"/>
      <c r="P871" s="16"/>
      <c r="Q871" s="16"/>
      <c r="R871" s="16"/>
      <c r="S871" s="16"/>
      <c r="T871" s="16"/>
      <c r="U871" s="16"/>
      <c r="V871" s="16"/>
      <c r="W871" s="16"/>
      <c r="X871" s="16"/>
    </row>
    <row r="872" spans="1:24">
      <c r="A872" s="19">
        <v>46339</v>
      </c>
      <c r="B872" s="18" t="s">
        <v>287</v>
      </c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>
        <f t="shared" si="13"/>
        <v>0</v>
      </c>
      <c r="N872" s="17">
        <v>0</v>
      </c>
      <c r="O872" s="16"/>
      <c r="P872" s="16"/>
      <c r="Q872" s="16"/>
      <c r="R872" s="16"/>
      <c r="S872" s="16"/>
      <c r="T872" s="16"/>
      <c r="U872" s="16"/>
      <c r="V872" s="16"/>
      <c r="W872" s="16"/>
      <c r="X872" s="16"/>
    </row>
    <row r="873" spans="1:24">
      <c r="A873" s="19">
        <v>46340</v>
      </c>
      <c r="B873" s="18" t="s">
        <v>287</v>
      </c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>
        <f t="shared" si="13"/>
        <v>0</v>
      </c>
      <c r="N873" s="17">
        <v>0</v>
      </c>
      <c r="O873" s="16"/>
      <c r="P873" s="16"/>
      <c r="Q873" s="16"/>
      <c r="R873" s="16"/>
      <c r="S873" s="16"/>
      <c r="T873" s="16"/>
      <c r="U873" s="16"/>
      <c r="V873" s="16"/>
      <c r="W873" s="16"/>
      <c r="X873" s="16"/>
    </row>
    <row r="874" spans="1:24">
      <c r="A874" s="19">
        <v>46341</v>
      </c>
      <c r="B874" s="18" t="s">
        <v>287</v>
      </c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>
        <f t="shared" si="13"/>
        <v>0</v>
      </c>
      <c r="N874" s="17">
        <v>0</v>
      </c>
      <c r="O874" s="16"/>
      <c r="P874" s="16"/>
      <c r="Q874" s="16"/>
      <c r="R874" s="16"/>
      <c r="S874" s="16"/>
      <c r="T874" s="16"/>
      <c r="U874" s="16"/>
      <c r="V874" s="16"/>
      <c r="W874" s="16"/>
      <c r="X874" s="16"/>
    </row>
    <row r="875" spans="1:24">
      <c r="A875" s="19">
        <v>46342</v>
      </c>
      <c r="B875" s="18" t="s">
        <v>287</v>
      </c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>
        <f t="shared" si="13"/>
        <v>0</v>
      </c>
      <c r="N875" s="17">
        <v>0</v>
      </c>
      <c r="O875" s="16"/>
      <c r="P875" s="16"/>
      <c r="Q875" s="16"/>
      <c r="R875" s="16"/>
      <c r="S875" s="16"/>
      <c r="T875" s="16"/>
      <c r="U875" s="16"/>
      <c r="V875" s="16"/>
      <c r="W875" s="16"/>
      <c r="X875" s="16"/>
    </row>
    <row r="876" spans="1:24">
      <c r="A876" s="19">
        <v>46343</v>
      </c>
      <c r="B876" s="18" t="s">
        <v>287</v>
      </c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>
        <f t="shared" si="13"/>
        <v>0</v>
      </c>
      <c r="N876" s="17">
        <v>0</v>
      </c>
      <c r="O876" s="16"/>
      <c r="P876" s="16"/>
      <c r="Q876" s="16"/>
      <c r="R876" s="16"/>
      <c r="S876" s="16"/>
      <c r="T876" s="16"/>
      <c r="U876" s="16"/>
      <c r="V876" s="16"/>
      <c r="W876" s="16"/>
      <c r="X876" s="16"/>
    </row>
    <row r="877" spans="1:24">
      <c r="A877" s="19">
        <v>46344</v>
      </c>
      <c r="B877" s="18" t="s">
        <v>287</v>
      </c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>
        <f t="shared" si="13"/>
        <v>0</v>
      </c>
      <c r="N877" s="17">
        <v>0</v>
      </c>
      <c r="O877" s="16"/>
      <c r="P877" s="16"/>
      <c r="Q877" s="16"/>
      <c r="R877" s="16"/>
      <c r="S877" s="16"/>
      <c r="T877" s="16"/>
      <c r="U877" s="16"/>
      <c r="V877" s="16"/>
      <c r="W877" s="16"/>
      <c r="X877" s="16"/>
    </row>
    <row r="878" spans="1:24">
      <c r="A878" s="19">
        <v>46345</v>
      </c>
      <c r="B878" s="18" t="s">
        <v>287</v>
      </c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>
        <f t="shared" si="13"/>
        <v>0</v>
      </c>
      <c r="N878" s="17">
        <v>0</v>
      </c>
      <c r="O878" s="16"/>
      <c r="P878" s="16"/>
      <c r="Q878" s="16"/>
      <c r="R878" s="16"/>
      <c r="S878" s="16"/>
      <c r="T878" s="16"/>
      <c r="U878" s="16"/>
      <c r="V878" s="16"/>
      <c r="W878" s="16"/>
      <c r="X878" s="16"/>
    </row>
    <row r="879" spans="1:24">
      <c r="A879" s="19">
        <v>46346</v>
      </c>
      <c r="B879" s="18" t="s">
        <v>287</v>
      </c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>
        <f t="shared" si="13"/>
        <v>0</v>
      </c>
      <c r="N879" s="17">
        <v>0</v>
      </c>
      <c r="O879" s="16"/>
      <c r="P879" s="16"/>
      <c r="Q879" s="16"/>
      <c r="R879" s="16"/>
      <c r="S879" s="16"/>
      <c r="T879" s="16"/>
      <c r="U879" s="16"/>
      <c r="V879" s="16"/>
      <c r="W879" s="16"/>
      <c r="X879" s="16"/>
    </row>
    <row r="880" spans="1:24">
      <c r="A880" s="19">
        <v>46347</v>
      </c>
      <c r="B880" s="18" t="s">
        <v>287</v>
      </c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>
        <f t="shared" si="13"/>
        <v>0</v>
      </c>
      <c r="N880" s="17">
        <v>0</v>
      </c>
      <c r="O880" s="16"/>
      <c r="P880" s="16"/>
      <c r="Q880" s="16"/>
      <c r="R880" s="16"/>
      <c r="S880" s="16"/>
      <c r="T880" s="16"/>
      <c r="U880" s="16"/>
      <c r="V880" s="16"/>
      <c r="W880" s="16"/>
      <c r="X880" s="16"/>
    </row>
    <row r="881" spans="1:24">
      <c r="A881" s="19">
        <v>46348</v>
      </c>
      <c r="B881" s="18" t="s">
        <v>287</v>
      </c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>
        <f t="shared" si="13"/>
        <v>0</v>
      </c>
      <c r="N881" s="17">
        <v>0</v>
      </c>
      <c r="O881" s="16"/>
      <c r="P881" s="16"/>
      <c r="Q881" s="16"/>
      <c r="R881" s="16"/>
      <c r="S881" s="16"/>
      <c r="T881" s="16"/>
      <c r="U881" s="16"/>
      <c r="V881" s="16"/>
      <c r="W881" s="16"/>
      <c r="X881" s="16"/>
    </row>
    <row r="882" spans="1:24">
      <c r="A882" s="19">
        <v>46349</v>
      </c>
      <c r="B882" s="18" t="s">
        <v>287</v>
      </c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>
        <f t="shared" si="13"/>
        <v>0</v>
      </c>
      <c r="N882" s="17">
        <v>0</v>
      </c>
      <c r="O882" s="16"/>
      <c r="P882" s="16"/>
      <c r="Q882" s="16"/>
      <c r="R882" s="16"/>
      <c r="S882" s="16"/>
      <c r="T882" s="16"/>
      <c r="U882" s="16"/>
      <c r="V882" s="16"/>
      <c r="W882" s="16"/>
      <c r="X882" s="16"/>
    </row>
    <row r="883" spans="1:24">
      <c r="A883" s="19">
        <v>46350</v>
      </c>
      <c r="B883" s="18" t="s">
        <v>287</v>
      </c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>
        <f t="shared" si="13"/>
        <v>0</v>
      </c>
      <c r="N883" s="17">
        <v>0</v>
      </c>
      <c r="O883" s="16"/>
      <c r="P883" s="16"/>
      <c r="Q883" s="16"/>
      <c r="R883" s="16"/>
      <c r="S883" s="16"/>
      <c r="T883" s="16"/>
      <c r="U883" s="16"/>
      <c r="V883" s="16"/>
      <c r="W883" s="16"/>
      <c r="X883" s="16"/>
    </row>
    <row r="884" spans="1:24">
      <c r="A884" s="19">
        <v>46351</v>
      </c>
      <c r="B884" s="18" t="s">
        <v>287</v>
      </c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>
        <f t="shared" si="13"/>
        <v>0</v>
      </c>
      <c r="N884" s="17">
        <v>0</v>
      </c>
      <c r="O884" s="16"/>
      <c r="P884" s="16"/>
      <c r="Q884" s="16"/>
      <c r="R884" s="16"/>
      <c r="S884" s="16"/>
      <c r="T884" s="16"/>
      <c r="U884" s="16"/>
      <c r="V884" s="16"/>
      <c r="W884" s="16"/>
      <c r="X884" s="16"/>
    </row>
    <row r="885" spans="1:24">
      <c r="A885" s="19">
        <v>46352</v>
      </c>
      <c r="B885" s="18" t="s">
        <v>287</v>
      </c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>
        <f t="shared" si="13"/>
        <v>0</v>
      </c>
      <c r="N885" s="17">
        <v>0</v>
      </c>
      <c r="O885" s="16"/>
      <c r="P885" s="16"/>
      <c r="Q885" s="16"/>
      <c r="R885" s="16"/>
      <c r="S885" s="16"/>
      <c r="T885" s="16"/>
      <c r="U885" s="16"/>
      <c r="V885" s="16"/>
      <c r="W885" s="16"/>
      <c r="X885" s="16"/>
    </row>
    <row r="886" spans="1:24">
      <c r="A886" s="19">
        <v>46353</v>
      </c>
      <c r="B886" s="18" t="s">
        <v>287</v>
      </c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>
        <f t="shared" si="13"/>
        <v>0</v>
      </c>
      <c r="N886" s="17">
        <v>0</v>
      </c>
      <c r="O886" s="16"/>
      <c r="P886" s="16"/>
      <c r="Q886" s="16"/>
      <c r="R886" s="16"/>
      <c r="S886" s="16"/>
      <c r="T886" s="16"/>
      <c r="U886" s="16"/>
      <c r="V886" s="16"/>
      <c r="W886" s="16"/>
      <c r="X886" s="16"/>
    </row>
    <row r="887" spans="1:24">
      <c r="A887" s="19">
        <v>46354</v>
      </c>
      <c r="B887" s="18" t="s">
        <v>287</v>
      </c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>
        <f t="shared" si="13"/>
        <v>0</v>
      </c>
      <c r="N887" s="17">
        <v>0</v>
      </c>
      <c r="O887" s="16"/>
      <c r="P887" s="16"/>
      <c r="Q887" s="16"/>
      <c r="R887" s="16"/>
      <c r="S887" s="16"/>
      <c r="T887" s="16"/>
      <c r="U887" s="16"/>
      <c r="V887" s="16"/>
      <c r="W887" s="16"/>
      <c r="X887" s="16"/>
    </row>
    <row r="888" spans="1:24">
      <c r="A888" s="19">
        <v>46355</v>
      </c>
      <c r="B888" s="18" t="s">
        <v>287</v>
      </c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>
        <f t="shared" si="13"/>
        <v>0</v>
      </c>
      <c r="N888" s="17">
        <v>0</v>
      </c>
      <c r="O888" s="16"/>
      <c r="P888" s="16"/>
      <c r="Q888" s="16"/>
      <c r="R888" s="16"/>
      <c r="S888" s="16"/>
      <c r="T888" s="16"/>
      <c r="U888" s="16"/>
      <c r="V888" s="16"/>
      <c r="W888" s="16"/>
      <c r="X888" s="16"/>
    </row>
    <row r="889" spans="1:24">
      <c r="A889" s="19">
        <v>46356</v>
      </c>
      <c r="B889" s="18" t="s">
        <v>287</v>
      </c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>
        <f t="shared" si="13"/>
        <v>0</v>
      </c>
      <c r="N889" s="17">
        <v>0</v>
      </c>
      <c r="O889" s="16"/>
      <c r="P889" s="16"/>
      <c r="Q889" s="16"/>
      <c r="R889" s="16"/>
      <c r="S889" s="16"/>
      <c r="T889" s="16"/>
      <c r="U889" s="16"/>
      <c r="V889" s="16"/>
      <c r="W889" s="16"/>
      <c r="X889" s="16"/>
    </row>
    <row r="890" spans="1:24">
      <c r="A890" s="19">
        <v>46357</v>
      </c>
      <c r="B890" s="18" t="s">
        <v>287</v>
      </c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>
        <f t="shared" si="13"/>
        <v>0</v>
      </c>
      <c r="N890" s="17">
        <v>0</v>
      </c>
      <c r="O890" s="16"/>
      <c r="P890" s="16"/>
      <c r="Q890" s="16"/>
      <c r="R890" s="16"/>
      <c r="S890" s="16"/>
      <c r="T890" s="16"/>
      <c r="U890" s="16"/>
      <c r="V890" s="16"/>
      <c r="W890" s="16"/>
      <c r="X890" s="16"/>
    </row>
    <row r="891" spans="1:24">
      <c r="A891" s="19">
        <v>46358</v>
      </c>
      <c r="B891" s="18" t="s">
        <v>287</v>
      </c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>
        <f t="shared" si="13"/>
        <v>0</v>
      </c>
      <c r="N891" s="17">
        <v>0</v>
      </c>
      <c r="O891" s="16"/>
      <c r="P891" s="16"/>
      <c r="Q891" s="16"/>
      <c r="R891" s="16"/>
      <c r="S891" s="16"/>
      <c r="T891" s="16"/>
      <c r="U891" s="16"/>
      <c r="V891" s="16"/>
      <c r="W891" s="16"/>
      <c r="X891" s="16"/>
    </row>
    <row r="892" spans="1:24">
      <c r="A892" s="19">
        <v>46359</v>
      </c>
      <c r="B892" s="18" t="s">
        <v>287</v>
      </c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>
        <f t="shared" si="13"/>
        <v>0</v>
      </c>
      <c r="N892" s="17">
        <v>0</v>
      </c>
      <c r="O892" s="16"/>
      <c r="P892" s="16"/>
      <c r="Q892" s="16"/>
      <c r="R892" s="16"/>
      <c r="S892" s="16"/>
      <c r="T892" s="16"/>
      <c r="U892" s="16"/>
      <c r="V892" s="16"/>
      <c r="W892" s="16"/>
      <c r="X892" s="16"/>
    </row>
    <row r="893" spans="1:24">
      <c r="A893" s="19">
        <v>46360</v>
      </c>
      <c r="B893" s="18" t="s">
        <v>287</v>
      </c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>
        <f t="shared" si="13"/>
        <v>0</v>
      </c>
      <c r="N893" s="17">
        <v>0</v>
      </c>
      <c r="O893" s="16"/>
      <c r="P893" s="16"/>
      <c r="Q893" s="16"/>
      <c r="R893" s="16"/>
      <c r="S893" s="16"/>
      <c r="T893" s="16"/>
      <c r="U893" s="16"/>
      <c r="V893" s="16"/>
      <c r="W893" s="16"/>
      <c r="X893" s="16"/>
    </row>
    <row r="894" spans="1:24">
      <c r="A894" s="19">
        <v>46361</v>
      </c>
      <c r="B894" s="18" t="s">
        <v>287</v>
      </c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>
        <f t="shared" si="13"/>
        <v>0</v>
      </c>
      <c r="N894" s="17">
        <v>0</v>
      </c>
      <c r="O894" s="16"/>
      <c r="P894" s="16"/>
      <c r="Q894" s="16"/>
      <c r="R894" s="16"/>
      <c r="S894" s="16"/>
      <c r="T894" s="16"/>
      <c r="U894" s="16"/>
      <c r="V894" s="16"/>
      <c r="W894" s="16"/>
      <c r="X894" s="16"/>
    </row>
    <row r="895" spans="1:24">
      <c r="A895" s="19">
        <v>46362</v>
      </c>
      <c r="B895" s="18" t="s">
        <v>287</v>
      </c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>
        <f t="shared" si="13"/>
        <v>0</v>
      </c>
      <c r="N895" s="17">
        <v>0</v>
      </c>
      <c r="O895" s="16"/>
      <c r="P895" s="16"/>
      <c r="Q895" s="16"/>
      <c r="R895" s="16"/>
      <c r="S895" s="16"/>
      <c r="T895" s="16"/>
      <c r="U895" s="16"/>
      <c r="V895" s="16"/>
      <c r="W895" s="16"/>
      <c r="X895" s="16"/>
    </row>
    <row r="896" spans="1:24">
      <c r="A896" s="19">
        <v>46363</v>
      </c>
      <c r="B896" s="18" t="s">
        <v>287</v>
      </c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>
        <f t="shared" si="13"/>
        <v>0</v>
      </c>
      <c r="N896" s="17">
        <v>0</v>
      </c>
      <c r="O896" s="16"/>
      <c r="P896" s="16"/>
      <c r="Q896" s="16"/>
      <c r="R896" s="16"/>
      <c r="S896" s="16"/>
      <c r="T896" s="16"/>
      <c r="U896" s="16"/>
      <c r="V896" s="16"/>
      <c r="W896" s="16"/>
      <c r="X896" s="16"/>
    </row>
    <row r="897" spans="1:24">
      <c r="A897" s="19">
        <v>46364</v>
      </c>
      <c r="B897" s="18" t="s">
        <v>287</v>
      </c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>
        <f t="shared" si="13"/>
        <v>0</v>
      </c>
      <c r="N897" s="17">
        <v>0</v>
      </c>
      <c r="O897" s="16"/>
      <c r="P897" s="16"/>
      <c r="Q897" s="16"/>
      <c r="R897" s="16"/>
      <c r="S897" s="16"/>
      <c r="T897" s="16"/>
      <c r="U897" s="16"/>
      <c r="V897" s="16"/>
      <c r="W897" s="16"/>
      <c r="X897" s="16"/>
    </row>
    <row r="898" spans="1:24">
      <c r="A898" s="19">
        <v>46365</v>
      </c>
      <c r="B898" s="18" t="s">
        <v>287</v>
      </c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>
        <f t="shared" si="13"/>
        <v>0</v>
      </c>
      <c r="N898" s="17">
        <v>0</v>
      </c>
      <c r="O898" s="16"/>
      <c r="P898" s="16"/>
      <c r="Q898" s="16"/>
      <c r="R898" s="16"/>
      <c r="S898" s="16"/>
      <c r="T898" s="16"/>
      <c r="U898" s="16"/>
      <c r="V898" s="16"/>
      <c r="W898" s="16"/>
      <c r="X898" s="16"/>
    </row>
    <row r="899" spans="1:24">
      <c r="A899" s="19">
        <v>46366</v>
      </c>
      <c r="B899" s="18" t="s">
        <v>287</v>
      </c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>
        <f t="shared" ref="M899:M962" si="14">N899-SUM(C899:L899)</f>
        <v>0</v>
      </c>
      <c r="N899" s="17">
        <v>0</v>
      </c>
      <c r="O899" s="16"/>
      <c r="P899" s="16"/>
      <c r="Q899" s="16"/>
      <c r="R899" s="16"/>
      <c r="S899" s="16"/>
      <c r="T899" s="16"/>
      <c r="U899" s="16"/>
      <c r="V899" s="16"/>
      <c r="W899" s="16"/>
      <c r="X899" s="16"/>
    </row>
    <row r="900" spans="1:24">
      <c r="A900" s="19">
        <v>46367</v>
      </c>
      <c r="B900" s="18" t="s">
        <v>287</v>
      </c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>
        <f t="shared" si="14"/>
        <v>0</v>
      </c>
      <c r="N900" s="17">
        <v>0</v>
      </c>
      <c r="O900" s="16"/>
      <c r="P900" s="16"/>
      <c r="Q900" s="16"/>
      <c r="R900" s="16"/>
      <c r="S900" s="16"/>
      <c r="T900" s="16"/>
      <c r="U900" s="16"/>
      <c r="V900" s="16"/>
      <c r="W900" s="16"/>
      <c r="X900" s="16"/>
    </row>
    <row r="901" spans="1:24">
      <c r="A901" s="19">
        <v>46368</v>
      </c>
      <c r="B901" s="18" t="s">
        <v>287</v>
      </c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>
        <f t="shared" si="14"/>
        <v>0</v>
      </c>
      <c r="N901" s="17">
        <v>0</v>
      </c>
      <c r="O901" s="16"/>
      <c r="P901" s="16"/>
      <c r="Q901" s="16"/>
      <c r="R901" s="16"/>
      <c r="S901" s="16"/>
      <c r="T901" s="16"/>
      <c r="U901" s="16"/>
      <c r="V901" s="16"/>
      <c r="W901" s="16"/>
      <c r="X901" s="16"/>
    </row>
    <row r="902" spans="1:24">
      <c r="A902" s="19">
        <v>46369</v>
      </c>
      <c r="B902" s="18" t="s">
        <v>287</v>
      </c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>
        <f t="shared" si="14"/>
        <v>0</v>
      </c>
      <c r="N902" s="17">
        <v>0</v>
      </c>
      <c r="O902" s="16"/>
      <c r="P902" s="16"/>
      <c r="Q902" s="16"/>
      <c r="R902" s="16"/>
      <c r="S902" s="16"/>
      <c r="T902" s="16"/>
      <c r="U902" s="16"/>
      <c r="V902" s="16"/>
      <c r="W902" s="16"/>
      <c r="X902" s="16"/>
    </row>
    <row r="903" spans="1:24">
      <c r="A903" s="19">
        <v>46370</v>
      </c>
      <c r="B903" s="18" t="s">
        <v>287</v>
      </c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>
        <f t="shared" si="14"/>
        <v>0</v>
      </c>
      <c r="N903" s="17">
        <v>0</v>
      </c>
      <c r="O903" s="16"/>
      <c r="P903" s="16"/>
      <c r="Q903" s="16"/>
      <c r="R903" s="16"/>
      <c r="S903" s="16"/>
      <c r="T903" s="16"/>
      <c r="U903" s="16"/>
      <c r="V903" s="16"/>
      <c r="W903" s="16"/>
      <c r="X903" s="16"/>
    </row>
    <row r="904" spans="1:24">
      <c r="A904" s="19">
        <v>46371</v>
      </c>
      <c r="B904" s="18" t="s">
        <v>287</v>
      </c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>
        <f t="shared" si="14"/>
        <v>0</v>
      </c>
      <c r="N904" s="17">
        <v>0</v>
      </c>
      <c r="O904" s="16"/>
      <c r="P904" s="16"/>
      <c r="Q904" s="16"/>
      <c r="R904" s="16"/>
      <c r="S904" s="16"/>
      <c r="T904" s="16"/>
      <c r="U904" s="16"/>
      <c r="V904" s="16"/>
      <c r="W904" s="16"/>
      <c r="X904" s="16"/>
    </row>
    <row r="905" spans="1:24">
      <c r="A905" s="19">
        <v>46372</v>
      </c>
      <c r="B905" s="18" t="s">
        <v>287</v>
      </c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>
        <f t="shared" si="14"/>
        <v>0</v>
      </c>
      <c r="N905" s="17">
        <v>0</v>
      </c>
      <c r="O905" s="16"/>
      <c r="P905" s="16"/>
      <c r="Q905" s="16"/>
      <c r="R905" s="16"/>
      <c r="S905" s="16"/>
      <c r="T905" s="16"/>
      <c r="U905" s="16"/>
      <c r="V905" s="16"/>
      <c r="W905" s="16"/>
      <c r="X905" s="16"/>
    </row>
    <row r="906" spans="1:24">
      <c r="A906" s="19">
        <v>46373</v>
      </c>
      <c r="B906" s="18" t="s">
        <v>287</v>
      </c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>
        <f t="shared" si="14"/>
        <v>0</v>
      </c>
      <c r="N906" s="17">
        <v>0</v>
      </c>
      <c r="O906" s="16"/>
      <c r="P906" s="16"/>
      <c r="Q906" s="16"/>
      <c r="R906" s="16"/>
      <c r="S906" s="16"/>
      <c r="T906" s="16"/>
      <c r="U906" s="16"/>
      <c r="V906" s="16"/>
      <c r="W906" s="16"/>
      <c r="X906" s="16"/>
    </row>
    <row r="907" spans="1:24">
      <c r="A907" s="19">
        <v>46374</v>
      </c>
      <c r="B907" s="18" t="s">
        <v>287</v>
      </c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>
        <f t="shared" si="14"/>
        <v>0</v>
      </c>
      <c r="N907" s="17">
        <v>0</v>
      </c>
      <c r="O907" s="16"/>
      <c r="P907" s="16"/>
      <c r="Q907" s="16"/>
      <c r="R907" s="16"/>
      <c r="S907" s="16"/>
      <c r="T907" s="16"/>
      <c r="U907" s="16"/>
      <c r="V907" s="16"/>
      <c r="W907" s="16"/>
      <c r="X907" s="16"/>
    </row>
    <row r="908" spans="1:24">
      <c r="A908" s="19">
        <v>46375</v>
      </c>
      <c r="B908" s="18" t="s">
        <v>287</v>
      </c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>
        <f t="shared" si="14"/>
        <v>0</v>
      </c>
      <c r="N908" s="17">
        <v>0</v>
      </c>
      <c r="O908" s="16"/>
      <c r="P908" s="16"/>
      <c r="Q908" s="16"/>
      <c r="R908" s="16"/>
      <c r="S908" s="16"/>
      <c r="T908" s="16"/>
      <c r="U908" s="16"/>
      <c r="V908" s="16"/>
      <c r="W908" s="16"/>
      <c r="X908" s="16"/>
    </row>
    <row r="909" spans="1:24">
      <c r="A909" s="19">
        <v>46376</v>
      </c>
      <c r="B909" s="18" t="s">
        <v>287</v>
      </c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>
        <f t="shared" si="14"/>
        <v>0</v>
      </c>
      <c r="N909" s="17">
        <v>0</v>
      </c>
      <c r="O909" s="16"/>
      <c r="P909" s="16"/>
      <c r="Q909" s="16"/>
      <c r="R909" s="16"/>
      <c r="S909" s="16"/>
      <c r="T909" s="16"/>
      <c r="U909" s="16"/>
      <c r="V909" s="16"/>
      <c r="W909" s="16"/>
      <c r="X909" s="16"/>
    </row>
    <row r="910" spans="1:24">
      <c r="A910" s="19">
        <v>46377</v>
      </c>
      <c r="B910" s="18" t="s">
        <v>287</v>
      </c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>
        <f t="shared" si="14"/>
        <v>0</v>
      </c>
      <c r="N910" s="17">
        <v>0</v>
      </c>
      <c r="O910" s="16"/>
      <c r="P910" s="16"/>
      <c r="Q910" s="16"/>
      <c r="R910" s="16"/>
      <c r="S910" s="16"/>
      <c r="T910" s="16"/>
      <c r="U910" s="16"/>
      <c r="V910" s="16"/>
      <c r="W910" s="16"/>
      <c r="X910" s="16"/>
    </row>
    <row r="911" spans="1:24">
      <c r="A911" s="19">
        <v>46378</v>
      </c>
      <c r="B911" s="18" t="s">
        <v>287</v>
      </c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>
        <f t="shared" si="14"/>
        <v>0</v>
      </c>
      <c r="N911" s="17">
        <v>0</v>
      </c>
      <c r="O911" s="16"/>
      <c r="P911" s="16"/>
      <c r="Q911" s="16"/>
      <c r="R911" s="16"/>
      <c r="S911" s="16"/>
      <c r="T911" s="16"/>
      <c r="U911" s="16"/>
      <c r="V911" s="16"/>
      <c r="W911" s="16"/>
      <c r="X911" s="16"/>
    </row>
    <row r="912" spans="1:24">
      <c r="A912" s="19">
        <v>46379</v>
      </c>
      <c r="B912" s="18" t="s">
        <v>287</v>
      </c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>
        <f t="shared" si="14"/>
        <v>0</v>
      </c>
      <c r="N912" s="17">
        <v>0</v>
      </c>
      <c r="O912" s="16"/>
      <c r="P912" s="16"/>
      <c r="Q912" s="16"/>
      <c r="R912" s="16"/>
      <c r="S912" s="16"/>
      <c r="T912" s="16"/>
      <c r="U912" s="16"/>
      <c r="V912" s="16"/>
      <c r="W912" s="16"/>
      <c r="X912" s="16"/>
    </row>
    <row r="913" spans="1:24">
      <c r="A913" s="19">
        <v>46380</v>
      </c>
      <c r="B913" s="18" t="s">
        <v>287</v>
      </c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>
        <f t="shared" si="14"/>
        <v>0</v>
      </c>
      <c r="N913" s="17">
        <v>0</v>
      </c>
      <c r="O913" s="16"/>
      <c r="P913" s="16"/>
      <c r="Q913" s="16"/>
      <c r="R913" s="16"/>
      <c r="S913" s="16"/>
      <c r="T913" s="16"/>
      <c r="U913" s="16"/>
      <c r="V913" s="16"/>
      <c r="W913" s="16"/>
      <c r="X913" s="16"/>
    </row>
    <row r="914" spans="1:24">
      <c r="A914" s="19">
        <v>46381</v>
      </c>
      <c r="B914" s="18" t="s">
        <v>287</v>
      </c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>
        <f t="shared" si="14"/>
        <v>0</v>
      </c>
      <c r="N914" s="17">
        <v>0</v>
      </c>
      <c r="O914" s="16"/>
      <c r="P914" s="16"/>
      <c r="Q914" s="16"/>
      <c r="R914" s="16"/>
      <c r="S914" s="16"/>
      <c r="T914" s="16"/>
      <c r="U914" s="16"/>
      <c r="V914" s="16"/>
      <c r="W914" s="16"/>
      <c r="X914" s="16"/>
    </row>
    <row r="915" spans="1:24">
      <c r="A915" s="19">
        <v>46382</v>
      </c>
      <c r="B915" s="18" t="s">
        <v>287</v>
      </c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>
        <f t="shared" si="14"/>
        <v>0</v>
      </c>
      <c r="N915" s="17">
        <v>0</v>
      </c>
      <c r="O915" s="16"/>
      <c r="P915" s="16"/>
      <c r="Q915" s="16"/>
      <c r="R915" s="16"/>
      <c r="S915" s="16"/>
      <c r="T915" s="16"/>
      <c r="U915" s="16"/>
      <c r="V915" s="16"/>
      <c r="W915" s="16"/>
      <c r="X915" s="16"/>
    </row>
    <row r="916" spans="1:24">
      <c r="A916" s="19">
        <v>46383</v>
      </c>
      <c r="B916" s="18" t="s">
        <v>287</v>
      </c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>
        <f t="shared" si="14"/>
        <v>0</v>
      </c>
      <c r="N916" s="17">
        <v>0</v>
      </c>
      <c r="O916" s="16"/>
      <c r="P916" s="16"/>
      <c r="Q916" s="16"/>
      <c r="R916" s="16"/>
      <c r="S916" s="16"/>
      <c r="T916" s="16"/>
      <c r="U916" s="16"/>
      <c r="V916" s="16"/>
      <c r="W916" s="16"/>
      <c r="X916" s="16"/>
    </row>
    <row r="917" spans="1:24">
      <c r="A917" s="19">
        <v>46384</v>
      </c>
      <c r="B917" s="18" t="s">
        <v>287</v>
      </c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>
        <f t="shared" si="14"/>
        <v>0</v>
      </c>
      <c r="N917" s="17">
        <v>0</v>
      </c>
      <c r="O917" s="16"/>
      <c r="P917" s="16"/>
      <c r="Q917" s="16"/>
      <c r="R917" s="16"/>
      <c r="S917" s="16"/>
      <c r="T917" s="16"/>
      <c r="U917" s="16"/>
      <c r="V917" s="16"/>
      <c r="W917" s="16"/>
      <c r="X917" s="16"/>
    </row>
    <row r="918" spans="1:24">
      <c r="A918" s="19">
        <v>46385</v>
      </c>
      <c r="B918" s="18" t="s">
        <v>287</v>
      </c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>
        <f t="shared" si="14"/>
        <v>0</v>
      </c>
      <c r="N918" s="17">
        <v>0</v>
      </c>
      <c r="O918" s="16"/>
      <c r="P918" s="16"/>
      <c r="Q918" s="16"/>
      <c r="R918" s="16"/>
      <c r="S918" s="16"/>
      <c r="T918" s="16"/>
      <c r="U918" s="16"/>
      <c r="V918" s="16"/>
      <c r="W918" s="16"/>
      <c r="X918" s="16"/>
    </row>
    <row r="919" spans="1:24">
      <c r="A919" s="19">
        <v>46386</v>
      </c>
      <c r="B919" s="18" t="s">
        <v>287</v>
      </c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>
        <f t="shared" si="14"/>
        <v>0</v>
      </c>
      <c r="N919" s="17">
        <v>0</v>
      </c>
      <c r="O919" s="16"/>
      <c r="P919" s="16"/>
      <c r="Q919" s="16"/>
      <c r="R919" s="16"/>
      <c r="S919" s="16"/>
      <c r="T919" s="16"/>
      <c r="U919" s="16"/>
      <c r="V919" s="16"/>
      <c r="W919" s="16"/>
      <c r="X919" s="16"/>
    </row>
    <row r="920" spans="1:24">
      <c r="A920" s="19">
        <v>46387</v>
      </c>
      <c r="B920" s="18" t="s">
        <v>287</v>
      </c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>
        <f t="shared" si="14"/>
        <v>0</v>
      </c>
      <c r="N920" s="17">
        <v>0</v>
      </c>
      <c r="O920" s="16"/>
      <c r="P920" s="16"/>
      <c r="Q920" s="16"/>
      <c r="R920" s="16"/>
      <c r="S920" s="16"/>
      <c r="T920" s="16"/>
      <c r="U920" s="16"/>
      <c r="V920" s="16"/>
      <c r="W920" s="16"/>
      <c r="X920" s="16"/>
    </row>
    <row r="921" spans="1:24">
      <c r="A921" s="19">
        <v>46082</v>
      </c>
      <c r="B921" s="18" t="s">
        <v>710</v>
      </c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>
        <f t="shared" si="14"/>
        <v>0</v>
      </c>
      <c r="N921" s="17"/>
      <c r="O921" s="16"/>
      <c r="P921" s="16"/>
      <c r="Q921" s="16"/>
      <c r="R921" s="16"/>
      <c r="S921" s="16"/>
      <c r="T921" s="16"/>
      <c r="U921" s="16"/>
      <c r="V921" s="16"/>
      <c r="W921" s="16"/>
      <c r="X921" s="16"/>
    </row>
    <row r="922" spans="1:24">
      <c r="A922" s="19">
        <v>46083</v>
      </c>
      <c r="B922" s="18" t="s">
        <v>710</v>
      </c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>
        <f t="shared" si="14"/>
        <v>0</v>
      </c>
      <c r="N922" s="17"/>
      <c r="O922" s="16"/>
      <c r="P922" s="16"/>
      <c r="Q922" s="16"/>
      <c r="R922" s="16"/>
      <c r="S922" s="16"/>
      <c r="T922" s="16"/>
      <c r="U922" s="16"/>
      <c r="V922" s="16"/>
      <c r="W922" s="16"/>
      <c r="X922" s="16"/>
    </row>
    <row r="923" spans="1:24">
      <c r="A923" s="19">
        <v>46084</v>
      </c>
      <c r="B923" s="18" t="s">
        <v>710</v>
      </c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>
        <f t="shared" si="14"/>
        <v>0</v>
      </c>
      <c r="N923" s="17"/>
      <c r="O923" s="16"/>
      <c r="P923" s="16"/>
      <c r="Q923" s="16"/>
      <c r="R923" s="16"/>
      <c r="S923" s="16"/>
      <c r="T923" s="16"/>
      <c r="U923" s="16"/>
      <c r="V923" s="16"/>
      <c r="W923" s="16"/>
      <c r="X923" s="16"/>
    </row>
    <row r="924" spans="1:24">
      <c r="A924" s="19">
        <v>46085</v>
      </c>
      <c r="B924" s="18" t="s">
        <v>710</v>
      </c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>
        <f t="shared" si="14"/>
        <v>0</v>
      </c>
      <c r="N924" s="17"/>
      <c r="O924" s="16"/>
      <c r="P924" s="16"/>
      <c r="Q924" s="16"/>
      <c r="R924" s="16"/>
      <c r="S924" s="16"/>
      <c r="T924" s="16"/>
      <c r="U924" s="16"/>
      <c r="V924" s="16"/>
      <c r="W924" s="16"/>
      <c r="X924" s="16"/>
    </row>
    <row r="925" spans="1:24">
      <c r="A925" s="19">
        <v>46086</v>
      </c>
      <c r="B925" s="18" t="s">
        <v>710</v>
      </c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>
        <f t="shared" si="14"/>
        <v>0</v>
      </c>
      <c r="N925" s="17"/>
      <c r="O925" s="16"/>
      <c r="P925" s="16"/>
      <c r="Q925" s="16"/>
      <c r="R925" s="16"/>
      <c r="S925" s="16"/>
      <c r="T925" s="16"/>
      <c r="U925" s="16"/>
      <c r="V925" s="16"/>
      <c r="W925" s="16"/>
      <c r="X925" s="16"/>
    </row>
    <row r="926" spans="1:24">
      <c r="A926" s="19">
        <v>46087</v>
      </c>
      <c r="B926" s="18" t="s">
        <v>710</v>
      </c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>
        <f t="shared" si="14"/>
        <v>0</v>
      </c>
      <c r="N926" s="17"/>
      <c r="O926" s="16"/>
      <c r="P926" s="16"/>
      <c r="Q926" s="16"/>
      <c r="R926" s="16"/>
      <c r="S926" s="16"/>
      <c r="T926" s="16"/>
      <c r="U926" s="16"/>
      <c r="V926" s="16"/>
      <c r="W926" s="16"/>
      <c r="X926" s="16"/>
    </row>
    <row r="927" spans="1:24">
      <c r="A927" s="19">
        <v>46088</v>
      </c>
      <c r="B927" s="18" t="s">
        <v>710</v>
      </c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>
        <f t="shared" si="14"/>
        <v>0</v>
      </c>
      <c r="N927" s="17"/>
      <c r="O927" s="16"/>
      <c r="P927" s="16"/>
      <c r="Q927" s="16"/>
      <c r="R927" s="16"/>
      <c r="S927" s="16"/>
      <c r="T927" s="16"/>
      <c r="U927" s="16"/>
      <c r="V927" s="16"/>
      <c r="W927" s="16"/>
      <c r="X927" s="16"/>
    </row>
    <row r="928" spans="1:24">
      <c r="A928" s="19">
        <v>46089</v>
      </c>
      <c r="B928" s="18" t="s">
        <v>710</v>
      </c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>
        <f t="shared" si="14"/>
        <v>0</v>
      </c>
      <c r="N928" s="17"/>
      <c r="O928" s="16"/>
      <c r="P928" s="16"/>
      <c r="Q928" s="16"/>
      <c r="R928" s="16"/>
      <c r="S928" s="16"/>
      <c r="T928" s="16"/>
      <c r="U928" s="16"/>
      <c r="V928" s="16"/>
      <c r="W928" s="16"/>
      <c r="X928" s="16"/>
    </row>
    <row r="929" spans="1:24">
      <c r="A929" s="19">
        <v>46090</v>
      </c>
      <c r="B929" s="18" t="s">
        <v>710</v>
      </c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>
        <f t="shared" si="14"/>
        <v>0</v>
      </c>
      <c r="N929" s="17"/>
      <c r="O929" s="16"/>
      <c r="P929" s="16"/>
      <c r="Q929" s="16"/>
      <c r="R929" s="16"/>
      <c r="S929" s="16"/>
      <c r="T929" s="16"/>
      <c r="U929" s="16"/>
      <c r="V929" s="16"/>
      <c r="W929" s="16"/>
      <c r="X929" s="16"/>
    </row>
    <row r="930" spans="1:24">
      <c r="A930" s="19">
        <v>46091</v>
      </c>
      <c r="B930" s="18" t="s">
        <v>710</v>
      </c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>
        <f t="shared" si="14"/>
        <v>0</v>
      </c>
      <c r="N930" s="17"/>
      <c r="O930" s="16"/>
      <c r="P930" s="16"/>
      <c r="Q930" s="16"/>
      <c r="R930" s="16"/>
      <c r="S930" s="16"/>
      <c r="T930" s="16"/>
      <c r="U930" s="16"/>
      <c r="V930" s="16"/>
      <c r="W930" s="16"/>
      <c r="X930" s="16"/>
    </row>
    <row r="931" spans="1:24">
      <c r="A931" s="19">
        <v>46092</v>
      </c>
      <c r="B931" s="18" t="s">
        <v>710</v>
      </c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>
        <f t="shared" si="14"/>
        <v>0</v>
      </c>
      <c r="N931" s="17"/>
      <c r="O931" s="16"/>
      <c r="P931" s="16"/>
      <c r="Q931" s="16"/>
      <c r="R931" s="16"/>
      <c r="S931" s="16"/>
      <c r="T931" s="16"/>
      <c r="U931" s="16"/>
      <c r="V931" s="16"/>
      <c r="W931" s="16"/>
      <c r="X931" s="16"/>
    </row>
    <row r="932" spans="1:24">
      <c r="A932" s="19">
        <v>46093</v>
      </c>
      <c r="B932" s="18" t="s">
        <v>710</v>
      </c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>
        <f t="shared" si="14"/>
        <v>0</v>
      </c>
      <c r="N932" s="17"/>
      <c r="O932" s="16"/>
      <c r="P932" s="16"/>
      <c r="Q932" s="16"/>
      <c r="R932" s="16"/>
      <c r="S932" s="16"/>
      <c r="T932" s="16"/>
      <c r="U932" s="16"/>
      <c r="V932" s="16"/>
      <c r="W932" s="16"/>
      <c r="X932" s="16"/>
    </row>
    <row r="933" spans="1:24">
      <c r="A933" s="19">
        <v>46094</v>
      </c>
      <c r="B933" s="18" t="s">
        <v>710</v>
      </c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>
        <f t="shared" si="14"/>
        <v>0</v>
      </c>
      <c r="N933" s="17"/>
      <c r="O933" s="16"/>
      <c r="P933" s="16"/>
      <c r="Q933" s="16"/>
      <c r="R933" s="16"/>
      <c r="S933" s="16"/>
      <c r="T933" s="16"/>
      <c r="U933" s="16"/>
      <c r="V933" s="16"/>
      <c r="W933" s="16"/>
      <c r="X933" s="16"/>
    </row>
    <row r="934" spans="1:24">
      <c r="A934" s="19">
        <v>46095</v>
      </c>
      <c r="B934" s="18" t="s">
        <v>710</v>
      </c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>
        <f t="shared" si="14"/>
        <v>0</v>
      </c>
      <c r="N934" s="17"/>
      <c r="O934" s="16"/>
      <c r="P934" s="16"/>
      <c r="Q934" s="16"/>
      <c r="R934" s="16"/>
      <c r="S934" s="16"/>
      <c r="T934" s="16"/>
      <c r="U934" s="16"/>
      <c r="V934" s="16"/>
      <c r="W934" s="16"/>
      <c r="X934" s="16"/>
    </row>
    <row r="935" spans="1:24">
      <c r="A935" s="19">
        <v>46096</v>
      </c>
      <c r="B935" s="18" t="s">
        <v>710</v>
      </c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>
        <f t="shared" si="14"/>
        <v>0</v>
      </c>
      <c r="N935" s="17"/>
      <c r="O935" s="16"/>
      <c r="P935" s="16"/>
      <c r="Q935" s="16"/>
      <c r="R935" s="16"/>
      <c r="S935" s="16"/>
      <c r="T935" s="16"/>
      <c r="U935" s="16"/>
      <c r="V935" s="16"/>
      <c r="W935" s="16"/>
      <c r="X935" s="16"/>
    </row>
    <row r="936" spans="1:24">
      <c r="A936" s="19">
        <v>46097</v>
      </c>
      <c r="B936" s="18" t="s">
        <v>710</v>
      </c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>
        <f t="shared" si="14"/>
        <v>0</v>
      </c>
      <c r="N936" s="17"/>
      <c r="O936" s="16"/>
      <c r="P936" s="16"/>
      <c r="Q936" s="16"/>
      <c r="R936" s="16"/>
      <c r="S936" s="16"/>
      <c r="T936" s="16"/>
      <c r="U936" s="16"/>
      <c r="V936" s="16"/>
      <c r="W936" s="16"/>
      <c r="X936" s="16"/>
    </row>
    <row r="937" spans="1:24">
      <c r="A937" s="19">
        <v>46098</v>
      </c>
      <c r="B937" s="18" t="s">
        <v>710</v>
      </c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>
        <f t="shared" si="14"/>
        <v>0</v>
      </c>
      <c r="N937" s="17"/>
      <c r="O937" s="16"/>
      <c r="P937" s="16"/>
      <c r="Q937" s="16"/>
      <c r="R937" s="16"/>
      <c r="S937" s="16"/>
      <c r="T937" s="16"/>
      <c r="U937" s="16"/>
      <c r="V937" s="16"/>
      <c r="W937" s="16"/>
      <c r="X937" s="16"/>
    </row>
    <row r="938" spans="1:24">
      <c r="A938" s="19">
        <v>46099</v>
      </c>
      <c r="B938" s="18" t="s">
        <v>710</v>
      </c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>
        <f t="shared" si="14"/>
        <v>0</v>
      </c>
      <c r="N938" s="17"/>
      <c r="O938" s="16"/>
      <c r="P938" s="16"/>
      <c r="Q938" s="16"/>
      <c r="R938" s="16"/>
      <c r="S938" s="16"/>
      <c r="T938" s="16"/>
      <c r="U938" s="16"/>
      <c r="V938" s="16"/>
      <c r="W938" s="16"/>
      <c r="X938" s="16"/>
    </row>
    <row r="939" spans="1:24">
      <c r="A939" s="19">
        <v>46100</v>
      </c>
      <c r="B939" s="18" t="s">
        <v>710</v>
      </c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>
        <f t="shared" si="14"/>
        <v>0</v>
      </c>
      <c r="N939" s="17"/>
      <c r="O939" s="16"/>
      <c r="P939" s="16"/>
      <c r="Q939" s="16"/>
      <c r="R939" s="16"/>
      <c r="S939" s="16"/>
      <c r="T939" s="16"/>
      <c r="U939" s="16"/>
      <c r="V939" s="16"/>
      <c r="W939" s="16"/>
      <c r="X939" s="16"/>
    </row>
    <row r="940" spans="1:24">
      <c r="A940" s="19">
        <v>46101</v>
      </c>
      <c r="B940" s="18" t="s">
        <v>710</v>
      </c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>
        <f t="shared" si="14"/>
        <v>2103</v>
      </c>
      <c r="N940" s="17">
        <f>SUM(O940:X940)</f>
        <v>2103</v>
      </c>
      <c r="O940" s="37">
        <v>110</v>
      </c>
      <c r="P940" s="37">
        <v>1</v>
      </c>
      <c r="Q940" s="37">
        <v>120</v>
      </c>
      <c r="R940" s="37">
        <v>530</v>
      </c>
      <c r="S940" s="37">
        <v>200</v>
      </c>
      <c r="T940" s="37">
        <v>815</v>
      </c>
      <c r="U940" s="37">
        <v>0</v>
      </c>
      <c r="V940" s="37">
        <v>170</v>
      </c>
      <c r="W940" s="38">
        <v>139</v>
      </c>
      <c r="X940" s="37">
        <v>18</v>
      </c>
    </row>
    <row r="941" spans="1:24">
      <c r="A941" s="19">
        <v>46102</v>
      </c>
      <c r="B941" s="18" t="s">
        <v>710</v>
      </c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>
        <f t="shared" si="14"/>
        <v>2156</v>
      </c>
      <c r="N941" s="17">
        <f t="shared" ref="N941:N951" si="15">SUM(O941:X941)</f>
        <v>2156</v>
      </c>
      <c r="O941" s="37">
        <v>110</v>
      </c>
      <c r="P941" s="37">
        <v>1</v>
      </c>
      <c r="Q941" s="37">
        <v>120</v>
      </c>
      <c r="R941" s="37">
        <v>530</v>
      </c>
      <c r="S941" s="37">
        <v>300</v>
      </c>
      <c r="T941" s="37">
        <v>815</v>
      </c>
      <c r="U941" s="37">
        <v>0</v>
      </c>
      <c r="V941" s="37">
        <v>170</v>
      </c>
      <c r="W941" s="38">
        <v>110</v>
      </c>
      <c r="X941" s="37">
        <v>0</v>
      </c>
    </row>
    <row r="942" spans="1:24">
      <c r="A942" s="19">
        <v>46103</v>
      </c>
      <c r="B942" s="18" t="s">
        <v>710</v>
      </c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>
        <f t="shared" si="14"/>
        <v>2150</v>
      </c>
      <c r="N942" s="17">
        <f t="shared" si="15"/>
        <v>2150</v>
      </c>
      <c r="O942" s="37">
        <v>110</v>
      </c>
      <c r="P942" s="37">
        <v>1</v>
      </c>
      <c r="Q942" s="37">
        <v>120</v>
      </c>
      <c r="R942" s="37">
        <v>530</v>
      </c>
      <c r="S942" s="37">
        <v>300</v>
      </c>
      <c r="T942" s="37">
        <v>815</v>
      </c>
      <c r="U942" s="37">
        <v>0</v>
      </c>
      <c r="V942" s="37">
        <v>170</v>
      </c>
      <c r="W942" s="38">
        <v>104</v>
      </c>
      <c r="X942" s="37">
        <v>0</v>
      </c>
    </row>
    <row r="943" spans="1:24">
      <c r="A943" s="19">
        <v>46104</v>
      </c>
      <c r="B943" s="18" t="s">
        <v>710</v>
      </c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>
        <f t="shared" si="14"/>
        <v>2020</v>
      </c>
      <c r="N943" s="17">
        <f t="shared" si="15"/>
        <v>2020</v>
      </c>
      <c r="O943" s="37">
        <v>110</v>
      </c>
      <c r="P943" s="37">
        <v>1</v>
      </c>
      <c r="Q943" s="37">
        <v>120</v>
      </c>
      <c r="R943" s="37">
        <v>530</v>
      </c>
      <c r="S943" s="37">
        <v>150</v>
      </c>
      <c r="T943" s="37">
        <v>815</v>
      </c>
      <c r="U943" s="37">
        <v>0</v>
      </c>
      <c r="V943" s="37">
        <v>170</v>
      </c>
      <c r="W943" s="38">
        <v>106</v>
      </c>
      <c r="X943" s="37">
        <v>18</v>
      </c>
    </row>
    <row r="944" spans="1:24">
      <c r="A944" s="19">
        <v>46105</v>
      </c>
      <c r="B944" s="18" t="s">
        <v>710</v>
      </c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>
        <f t="shared" si="14"/>
        <v>2018</v>
      </c>
      <c r="N944" s="17">
        <f t="shared" si="15"/>
        <v>2018</v>
      </c>
      <c r="O944" s="37">
        <v>110</v>
      </c>
      <c r="P944" s="37">
        <v>1</v>
      </c>
      <c r="Q944" s="37">
        <v>120</v>
      </c>
      <c r="R944" s="37">
        <v>530</v>
      </c>
      <c r="S944" s="37">
        <v>150</v>
      </c>
      <c r="T944" s="37">
        <v>815</v>
      </c>
      <c r="U944" s="37">
        <v>0</v>
      </c>
      <c r="V944" s="37">
        <v>170</v>
      </c>
      <c r="W944" s="38">
        <v>104</v>
      </c>
      <c r="X944" s="37">
        <v>18</v>
      </c>
    </row>
    <row r="945" spans="1:24">
      <c r="A945" s="19">
        <v>46106</v>
      </c>
      <c r="B945" s="18" t="s">
        <v>710</v>
      </c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>
        <f t="shared" si="14"/>
        <v>2016</v>
      </c>
      <c r="N945" s="17">
        <f t="shared" si="15"/>
        <v>2016</v>
      </c>
      <c r="O945" s="37">
        <v>110</v>
      </c>
      <c r="P945" s="37">
        <v>1</v>
      </c>
      <c r="Q945" s="37">
        <v>120</v>
      </c>
      <c r="R945" s="37">
        <v>530</v>
      </c>
      <c r="S945" s="37">
        <v>150</v>
      </c>
      <c r="T945" s="37">
        <v>815</v>
      </c>
      <c r="U945" s="37">
        <v>0</v>
      </c>
      <c r="V945" s="37">
        <v>170</v>
      </c>
      <c r="W945" s="38">
        <v>102</v>
      </c>
      <c r="X945" s="37">
        <v>18</v>
      </c>
    </row>
    <row r="946" spans="1:24">
      <c r="A946" s="19">
        <v>46107</v>
      </c>
      <c r="B946" s="18" t="s">
        <v>710</v>
      </c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>
        <f t="shared" si="14"/>
        <v>3088</v>
      </c>
      <c r="N946" s="17">
        <f t="shared" si="15"/>
        <v>3088</v>
      </c>
      <c r="O946" s="37">
        <v>110</v>
      </c>
      <c r="P946" s="37">
        <v>1</v>
      </c>
      <c r="Q946" s="37">
        <v>120</v>
      </c>
      <c r="R946" s="37">
        <v>530</v>
      </c>
      <c r="S946" s="37">
        <v>150</v>
      </c>
      <c r="T946" s="37">
        <v>815</v>
      </c>
      <c r="U946" s="37">
        <v>1072</v>
      </c>
      <c r="V946" s="37">
        <v>170</v>
      </c>
      <c r="W946" s="38">
        <v>102</v>
      </c>
      <c r="X946" s="37">
        <v>18</v>
      </c>
    </row>
    <row r="947" spans="1:24">
      <c r="A947" s="19">
        <v>46108</v>
      </c>
      <c r="B947" s="18" t="s">
        <v>710</v>
      </c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>
        <f t="shared" si="14"/>
        <v>3097</v>
      </c>
      <c r="N947" s="17">
        <f t="shared" si="15"/>
        <v>3097</v>
      </c>
      <c r="O947" s="37">
        <v>110</v>
      </c>
      <c r="P947" s="37">
        <v>1</v>
      </c>
      <c r="Q947" s="37">
        <v>120</v>
      </c>
      <c r="R947" s="37">
        <v>530</v>
      </c>
      <c r="S947" s="37">
        <v>150</v>
      </c>
      <c r="T947" s="37">
        <v>815</v>
      </c>
      <c r="U947" s="37">
        <v>1072</v>
      </c>
      <c r="V947" s="37">
        <v>170</v>
      </c>
      <c r="W947" s="38">
        <v>111</v>
      </c>
      <c r="X947" s="37">
        <v>18</v>
      </c>
    </row>
    <row r="948" spans="1:24">
      <c r="A948" s="19">
        <v>46109</v>
      </c>
      <c r="B948" s="18" t="s">
        <v>710</v>
      </c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>
        <f t="shared" si="14"/>
        <v>3237</v>
      </c>
      <c r="N948" s="17">
        <f t="shared" si="15"/>
        <v>3237</v>
      </c>
      <c r="O948" s="37">
        <v>110</v>
      </c>
      <c r="P948" s="37">
        <v>1</v>
      </c>
      <c r="Q948" s="37">
        <v>120</v>
      </c>
      <c r="R948" s="37">
        <v>530</v>
      </c>
      <c r="S948" s="37">
        <v>300</v>
      </c>
      <c r="T948" s="37">
        <v>815</v>
      </c>
      <c r="U948" s="37">
        <v>1072</v>
      </c>
      <c r="V948" s="37">
        <v>170</v>
      </c>
      <c r="W948" s="38">
        <v>119</v>
      </c>
      <c r="X948" s="37">
        <v>0</v>
      </c>
    </row>
    <row r="949" spans="1:24">
      <c r="A949" s="19">
        <v>46110</v>
      </c>
      <c r="B949" s="18" t="s">
        <v>710</v>
      </c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>
        <f t="shared" si="14"/>
        <v>3222</v>
      </c>
      <c r="N949" s="17">
        <f t="shared" si="15"/>
        <v>3222</v>
      </c>
      <c r="O949" s="37">
        <v>110</v>
      </c>
      <c r="P949" s="37">
        <v>1</v>
      </c>
      <c r="Q949" s="37">
        <v>120</v>
      </c>
      <c r="R949" s="37">
        <v>530</v>
      </c>
      <c r="S949" s="37">
        <v>300</v>
      </c>
      <c r="T949" s="37">
        <v>815</v>
      </c>
      <c r="U949" s="37">
        <v>1072</v>
      </c>
      <c r="V949" s="37">
        <v>170</v>
      </c>
      <c r="W949" s="38">
        <v>104</v>
      </c>
      <c r="X949" s="37">
        <v>0</v>
      </c>
    </row>
    <row r="950" spans="1:24">
      <c r="A950" s="19">
        <v>46111</v>
      </c>
      <c r="B950" s="18" t="s">
        <v>710</v>
      </c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>
        <f t="shared" si="14"/>
        <v>2058</v>
      </c>
      <c r="N950" s="17">
        <f t="shared" si="15"/>
        <v>2058</v>
      </c>
      <c r="O950" s="37">
        <v>110</v>
      </c>
      <c r="P950" s="37">
        <v>1</v>
      </c>
      <c r="Q950" s="37">
        <v>120</v>
      </c>
      <c r="R950" s="37">
        <v>530</v>
      </c>
      <c r="S950" s="37">
        <v>150</v>
      </c>
      <c r="T950" s="37">
        <v>815</v>
      </c>
      <c r="U950" s="37">
        <v>0</v>
      </c>
      <c r="V950" s="37">
        <v>170</v>
      </c>
      <c r="W950" s="38">
        <v>144</v>
      </c>
      <c r="X950" s="37">
        <v>18</v>
      </c>
    </row>
    <row r="951" spans="1:24">
      <c r="A951" s="19">
        <v>46112</v>
      </c>
      <c r="B951" s="18" t="s">
        <v>710</v>
      </c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>
        <f t="shared" si="14"/>
        <v>2054</v>
      </c>
      <c r="N951" s="17">
        <f t="shared" si="15"/>
        <v>2054</v>
      </c>
      <c r="O951" s="37">
        <v>110</v>
      </c>
      <c r="P951" s="37">
        <v>1</v>
      </c>
      <c r="Q951" s="37">
        <v>120</v>
      </c>
      <c r="R951" s="37">
        <v>530</v>
      </c>
      <c r="S951" s="37">
        <v>150</v>
      </c>
      <c r="T951" s="37">
        <v>815</v>
      </c>
      <c r="U951" s="37">
        <v>0</v>
      </c>
      <c r="V951" s="37">
        <v>170</v>
      </c>
      <c r="W951" s="38">
        <v>138</v>
      </c>
      <c r="X951" s="37">
        <v>20</v>
      </c>
    </row>
    <row r="952" spans="1:24">
      <c r="A952" s="19">
        <v>46113</v>
      </c>
      <c r="B952" s="18" t="s">
        <v>710</v>
      </c>
      <c r="C952" s="16">
        <v>154.33684</v>
      </c>
      <c r="D952" s="16">
        <v>123.91236000000001</v>
      </c>
      <c r="E952" s="16">
        <v>91.947400000000002</v>
      </c>
      <c r="F952" s="16">
        <v>257.35644000000002</v>
      </c>
      <c r="G952" s="16">
        <v>134.11804000000001</v>
      </c>
      <c r="H952" s="16">
        <v>144.70884000000001</v>
      </c>
      <c r="I952" s="16">
        <v>133.25152</v>
      </c>
      <c r="J952" s="16">
        <v>101.96052</v>
      </c>
      <c r="K952" s="16">
        <v>163.19460000000001</v>
      </c>
      <c r="L952" s="16">
        <v>139.41344000000001</v>
      </c>
      <c r="M952" s="16">
        <f t="shared" si="14"/>
        <v>962.79999999999973</v>
      </c>
      <c r="N952" s="17">
        <v>2407</v>
      </c>
      <c r="O952" s="16">
        <v>132</v>
      </c>
      <c r="P952" s="16">
        <v>2</v>
      </c>
      <c r="Q952" s="16">
        <v>130</v>
      </c>
      <c r="R952" s="16">
        <v>546</v>
      </c>
      <c r="S952" s="16">
        <v>150</v>
      </c>
      <c r="T952" s="16">
        <v>834</v>
      </c>
      <c r="U952" s="16">
        <v>0</v>
      </c>
      <c r="V952" s="16">
        <v>186</v>
      </c>
      <c r="W952" s="16">
        <v>407</v>
      </c>
      <c r="X952" s="16">
        <v>20</v>
      </c>
    </row>
    <row r="953" spans="1:24">
      <c r="A953" s="19">
        <v>46114</v>
      </c>
      <c r="B953" s="18" t="s">
        <v>710</v>
      </c>
      <c r="C953" s="16">
        <v>153.95211999999998</v>
      </c>
      <c r="D953" s="16">
        <v>123.60347999999999</v>
      </c>
      <c r="E953" s="16">
        <v>91.718199999999996</v>
      </c>
      <c r="F953" s="16">
        <v>256.71492000000001</v>
      </c>
      <c r="G953" s="16">
        <v>133.78371999999999</v>
      </c>
      <c r="H953" s="16">
        <v>144.34811999999999</v>
      </c>
      <c r="I953" s="16">
        <v>132.91935999999998</v>
      </c>
      <c r="J953" s="16">
        <v>101.70635999999999</v>
      </c>
      <c r="K953" s="16">
        <v>162.7878</v>
      </c>
      <c r="L953" s="16">
        <v>139.06591999999998</v>
      </c>
      <c r="M953" s="16">
        <f t="shared" si="14"/>
        <v>960.40000000000009</v>
      </c>
      <c r="N953" s="17">
        <v>2401</v>
      </c>
      <c r="O953" s="16">
        <v>132</v>
      </c>
      <c r="P953" s="16">
        <v>2</v>
      </c>
      <c r="Q953" s="16">
        <v>130</v>
      </c>
      <c r="R953" s="16">
        <v>546</v>
      </c>
      <c r="S953" s="16">
        <v>150</v>
      </c>
      <c r="T953" s="16">
        <v>834</v>
      </c>
      <c r="U953" s="16">
        <v>0</v>
      </c>
      <c r="V953" s="16">
        <v>186</v>
      </c>
      <c r="W953" s="16">
        <v>401</v>
      </c>
      <c r="X953" s="16">
        <v>20</v>
      </c>
    </row>
    <row r="954" spans="1:24">
      <c r="A954" s="19">
        <v>46115</v>
      </c>
      <c r="B954" s="18" t="s">
        <v>710</v>
      </c>
      <c r="C954" s="16">
        <v>173.05987999999999</v>
      </c>
      <c r="D954" s="16">
        <v>138.94451999999998</v>
      </c>
      <c r="E954" s="16">
        <v>103.10179999999998</v>
      </c>
      <c r="F954" s="16">
        <v>288.57707999999997</v>
      </c>
      <c r="G954" s="16">
        <v>150.38827999999998</v>
      </c>
      <c r="H954" s="16">
        <v>162.26387999999997</v>
      </c>
      <c r="I954" s="16">
        <v>149.41663999999997</v>
      </c>
      <c r="J954" s="16">
        <v>114.32963999999998</v>
      </c>
      <c r="K954" s="16">
        <v>182.9922</v>
      </c>
      <c r="L954" s="16">
        <v>156.32607999999999</v>
      </c>
      <c r="M954" s="16">
        <f t="shared" si="14"/>
        <v>1079.6000000000001</v>
      </c>
      <c r="N954" s="17">
        <v>2699</v>
      </c>
      <c r="O954" s="16">
        <v>132</v>
      </c>
      <c r="P954" s="16">
        <v>2</v>
      </c>
      <c r="Q954" s="16">
        <v>130</v>
      </c>
      <c r="R954" s="16">
        <v>546</v>
      </c>
      <c r="S954" s="16">
        <v>300</v>
      </c>
      <c r="T954" s="16">
        <v>834</v>
      </c>
      <c r="U954" s="16">
        <v>100</v>
      </c>
      <c r="V954" s="16">
        <v>186</v>
      </c>
      <c r="W954" s="16">
        <v>449</v>
      </c>
      <c r="X954" s="16">
        <v>20</v>
      </c>
    </row>
    <row r="955" spans="1:24">
      <c r="A955" s="19">
        <v>46116</v>
      </c>
      <c r="B955" s="18" t="s">
        <v>710</v>
      </c>
      <c r="C955" s="16">
        <v>169.46915999999999</v>
      </c>
      <c r="D955" s="16">
        <v>136.06164000000001</v>
      </c>
      <c r="E955" s="16">
        <v>100.96259999999999</v>
      </c>
      <c r="F955" s="16">
        <v>282.58956000000001</v>
      </c>
      <c r="G955" s="16">
        <v>147.26795999999999</v>
      </c>
      <c r="H955" s="16">
        <v>158.89715999999999</v>
      </c>
      <c r="I955" s="16">
        <v>146.31647999999998</v>
      </c>
      <c r="J955" s="16">
        <v>111.95747999999999</v>
      </c>
      <c r="K955" s="16">
        <v>179.19540000000001</v>
      </c>
      <c r="L955" s="16">
        <v>153.08256</v>
      </c>
      <c r="M955" s="16">
        <f t="shared" si="14"/>
        <v>1057.1999999999998</v>
      </c>
      <c r="N955" s="17">
        <v>2643</v>
      </c>
      <c r="O955" s="16">
        <v>132</v>
      </c>
      <c r="P955" s="16">
        <v>2</v>
      </c>
      <c r="Q955" s="16">
        <v>130</v>
      </c>
      <c r="R955" s="16">
        <v>546</v>
      </c>
      <c r="S955" s="16">
        <v>300</v>
      </c>
      <c r="T955" s="16">
        <v>834</v>
      </c>
      <c r="U955" s="16">
        <v>100</v>
      </c>
      <c r="V955" s="16">
        <v>186</v>
      </c>
      <c r="W955" s="16">
        <v>413</v>
      </c>
      <c r="X955" s="16">
        <v>0</v>
      </c>
    </row>
    <row r="956" spans="1:24">
      <c r="A956" s="19">
        <v>46117</v>
      </c>
      <c r="B956" s="18" t="s">
        <v>710</v>
      </c>
      <c r="C956" s="16">
        <v>171.45687999999998</v>
      </c>
      <c r="D956" s="16">
        <v>137.65751999999998</v>
      </c>
      <c r="E956" s="16">
        <v>102.14679999999998</v>
      </c>
      <c r="F956" s="16">
        <v>285.90407999999996</v>
      </c>
      <c r="G956" s="16">
        <v>148.99527999999998</v>
      </c>
      <c r="H956" s="16">
        <v>160.76087999999999</v>
      </c>
      <c r="I956" s="16">
        <v>148.03263999999999</v>
      </c>
      <c r="J956" s="16">
        <v>113.27063999999999</v>
      </c>
      <c r="K956" s="16">
        <v>181.2972</v>
      </c>
      <c r="L956" s="16">
        <v>154.87807999999998</v>
      </c>
      <c r="M956" s="16">
        <f t="shared" si="14"/>
        <v>1069.6000000000004</v>
      </c>
      <c r="N956" s="17">
        <v>2674</v>
      </c>
      <c r="O956" s="16">
        <v>132</v>
      </c>
      <c r="P956" s="16">
        <v>2</v>
      </c>
      <c r="Q956" s="16">
        <v>130</v>
      </c>
      <c r="R956" s="16">
        <v>546</v>
      </c>
      <c r="S956" s="16">
        <v>300</v>
      </c>
      <c r="T956" s="16">
        <v>834</v>
      </c>
      <c r="U956" s="16">
        <v>100</v>
      </c>
      <c r="V956" s="16">
        <v>186</v>
      </c>
      <c r="W956" s="16">
        <v>444</v>
      </c>
      <c r="X956" s="16">
        <v>0</v>
      </c>
    </row>
    <row r="957" spans="1:24">
      <c r="A957" s="19">
        <v>46118</v>
      </c>
      <c r="B957" s="18" t="s">
        <v>710</v>
      </c>
      <c r="C957" s="16">
        <v>162.73656</v>
      </c>
      <c r="D957" s="16">
        <v>130.65624</v>
      </c>
      <c r="E957" s="16">
        <v>96.951599999999985</v>
      </c>
      <c r="F957" s="16">
        <v>271.36295999999999</v>
      </c>
      <c r="G957" s="16">
        <v>141.41736</v>
      </c>
      <c r="H957" s="16">
        <v>152.58455999999998</v>
      </c>
      <c r="I957" s="16">
        <v>140.50368</v>
      </c>
      <c r="J957" s="16">
        <v>107.50967999999999</v>
      </c>
      <c r="K957" s="16">
        <v>172.07640000000001</v>
      </c>
      <c r="L957" s="16">
        <v>147.00095999999999</v>
      </c>
      <c r="M957" s="16">
        <f t="shared" si="14"/>
        <v>1015.2000000000003</v>
      </c>
      <c r="N957" s="17">
        <v>2538</v>
      </c>
      <c r="O957" s="16">
        <v>132</v>
      </c>
      <c r="P957" s="16">
        <v>2</v>
      </c>
      <c r="Q957" s="16">
        <v>130</v>
      </c>
      <c r="R957" s="16">
        <v>546</v>
      </c>
      <c r="S957" s="16">
        <v>130</v>
      </c>
      <c r="T957" s="16">
        <v>834</v>
      </c>
      <c r="U957" s="16">
        <v>100</v>
      </c>
      <c r="V957" s="16">
        <v>186</v>
      </c>
      <c r="W957" s="16">
        <v>458</v>
      </c>
      <c r="X957" s="16">
        <v>20</v>
      </c>
    </row>
    <row r="958" spans="1:24">
      <c r="A958" s="19">
        <v>46119</v>
      </c>
      <c r="B958" s="18" t="s">
        <v>710</v>
      </c>
      <c r="C958" s="16">
        <v>169.59739999999999</v>
      </c>
      <c r="D958" s="16">
        <v>136.16460000000001</v>
      </c>
      <c r="E958" s="16">
        <v>101.03899999999999</v>
      </c>
      <c r="F958" s="16">
        <v>282.80340000000001</v>
      </c>
      <c r="G958" s="16">
        <v>147.3794</v>
      </c>
      <c r="H958" s="16">
        <v>159.01740000000001</v>
      </c>
      <c r="I958" s="16">
        <v>146.4272</v>
      </c>
      <c r="J958" s="16">
        <v>112.04219999999999</v>
      </c>
      <c r="K958" s="16">
        <v>179.33100000000002</v>
      </c>
      <c r="L958" s="16">
        <v>153.19839999999999</v>
      </c>
      <c r="M958" s="16">
        <f t="shared" si="14"/>
        <v>1057.9999999999998</v>
      </c>
      <c r="N958" s="17">
        <v>2645</v>
      </c>
      <c r="O958" s="16">
        <v>133</v>
      </c>
      <c r="P958" s="16">
        <v>4</v>
      </c>
      <c r="Q958" s="16">
        <v>132</v>
      </c>
      <c r="R958" s="16">
        <v>547</v>
      </c>
      <c r="S958" s="16">
        <v>151</v>
      </c>
      <c r="T958" s="16">
        <v>837</v>
      </c>
      <c r="U958" s="16">
        <v>100</v>
      </c>
      <c r="V958" s="16">
        <v>188</v>
      </c>
      <c r="W958" s="16">
        <v>533</v>
      </c>
      <c r="X958" s="16">
        <v>20</v>
      </c>
    </row>
    <row r="959" spans="1:24">
      <c r="A959" s="19">
        <v>46120</v>
      </c>
      <c r="B959" s="18" t="s">
        <v>710</v>
      </c>
      <c r="C959" s="16">
        <v>573.93811999999991</v>
      </c>
      <c r="D959" s="16">
        <v>460.79747999999995</v>
      </c>
      <c r="E959" s="16">
        <v>341.92819999999995</v>
      </c>
      <c r="F959" s="16">
        <v>957.04091999999991</v>
      </c>
      <c r="G959" s="16">
        <v>498.74971999999997</v>
      </c>
      <c r="H959" s="16">
        <v>538.13411999999994</v>
      </c>
      <c r="I959" s="16">
        <v>495.52735999999993</v>
      </c>
      <c r="J959" s="16">
        <v>379.16435999999993</v>
      </c>
      <c r="K959" s="16">
        <v>606.87779999999998</v>
      </c>
      <c r="L959" s="16">
        <v>518.44191999999998</v>
      </c>
      <c r="M959" s="16">
        <f t="shared" si="14"/>
        <v>3580.4000000000005</v>
      </c>
      <c r="N959" s="17">
        <v>8951</v>
      </c>
      <c r="O959" s="16">
        <v>963</v>
      </c>
      <c r="P959" s="16">
        <v>31</v>
      </c>
      <c r="Q959" s="16">
        <v>1298</v>
      </c>
      <c r="R959" s="16">
        <v>1308</v>
      </c>
      <c r="S959" s="16">
        <v>1172</v>
      </c>
      <c r="T959" s="16">
        <v>1308</v>
      </c>
      <c r="U959" s="16">
        <v>1486</v>
      </c>
      <c r="V959" s="16">
        <v>491</v>
      </c>
      <c r="W959" s="16">
        <v>852</v>
      </c>
      <c r="X959" s="16">
        <v>42</v>
      </c>
    </row>
    <row r="960" spans="1:24">
      <c r="A960" s="19">
        <v>46121</v>
      </c>
      <c r="B960" s="18" t="s">
        <v>710</v>
      </c>
      <c r="C960" s="16">
        <v>574.38696000000004</v>
      </c>
      <c r="D960" s="16">
        <v>461.15784000000002</v>
      </c>
      <c r="E960" s="16">
        <v>342.19560000000001</v>
      </c>
      <c r="F960" s="16">
        <v>957.78935999999999</v>
      </c>
      <c r="G960" s="16">
        <v>499.13976000000002</v>
      </c>
      <c r="H960" s="16">
        <v>538.55496000000005</v>
      </c>
      <c r="I960" s="16">
        <v>495.91487999999998</v>
      </c>
      <c r="J960" s="16">
        <v>379.46087999999997</v>
      </c>
      <c r="K960" s="16">
        <v>607.35239999999999</v>
      </c>
      <c r="L960" s="16">
        <v>518.84735999999998</v>
      </c>
      <c r="M960" s="16">
        <f t="shared" si="14"/>
        <v>3583.2000000000007</v>
      </c>
      <c r="N960" s="17">
        <v>8958</v>
      </c>
      <c r="O960" s="16">
        <v>961</v>
      </c>
      <c r="P960" s="16">
        <v>27</v>
      </c>
      <c r="Q960" s="16">
        <v>1287</v>
      </c>
      <c r="R960" s="16">
        <v>1315</v>
      </c>
      <c r="S960" s="16">
        <v>1179</v>
      </c>
      <c r="T960" s="16">
        <v>1315</v>
      </c>
      <c r="U960" s="16">
        <v>1487</v>
      </c>
      <c r="V960" s="16">
        <v>499</v>
      </c>
      <c r="W960" s="16">
        <v>852</v>
      </c>
      <c r="X960" s="16">
        <v>36</v>
      </c>
    </row>
    <row r="961" spans="1:24">
      <c r="A961" s="19">
        <v>46122</v>
      </c>
      <c r="B961" s="18" t="s">
        <v>710</v>
      </c>
      <c r="C961" s="16">
        <v>573.6175199999999</v>
      </c>
      <c r="D961" s="16">
        <v>460.54007999999993</v>
      </c>
      <c r="E961" s="16">
        <v>341.73719999999997</v>
      </c>
      <c r="F961" s="16">
        <v>956.50631999999985</v>
      </c>
      <c r="G961" s="16">
        <v>498.47111999999993</v>
      </c>
      <c r="H961" s="16">
        <v>537.83351999999991</v>
      </c>
      <c r="I961" s="16">
        <v>495.25055999999995</v>
      </c>
      <c r="J961" s="16">
        <v>378.95255999999995</v>
      </c>
      <c r="K961" s="16">
        <v>606.53879999999992</v>
      </c>
      <c r="L961" s="16">
        <v>518.15231999999992</v>
      </c>
      <c r="M961" s="16">
        <f t="shared" si="14"/>
        <v>3578.3999999999996</v>
      </c>
      <c r="N961" s="17">
        <v>8946</v>
      </c>
      <c r="O961" s="16">
        <v>961</v>
      </c>
      <c r="P961" s="16">
        <v>27</v>
      </c>
      <c r="Q961" s="16">
        <v>1287</v>
      </c>
      <c r="R961" s="16">
        <v>1315</v>
      </c>
      <c r="S961" s="16">
        <v>1179</v>
      </c>
      <c r="T961" s="16">
        <v>1315</v>
      </c>
      <c r="U961" s="16">
        <v>1487</v>
      </c>
      <c r="V961" s="16">
        <v>499</v>
      </c>
      <c r="W961" s="16">
        <v>840</v>
      </c>
      <c r="X961" s="16">
        <v>36</v>
      </c>
    </row>
    <row r="962" spans="1:24">
      <c r="A962" s="19">
        <v>46123</v>
      </c>
      <c r="B962" s="18" t="s">
        <v>710</v>
      </c>
      <c r="C962" s="16">
        <v>579.83716000000004</v>
      </c>
      <c r="D962" s="16">
        <v>465.53364000000005</v>
      </c>
      <c r="E962" s="16">
        <v>345.44259999999997</v>
      </c>
      <c r="F962" s="16">
        <v>966.87756000000002</v>
      </c>
      <c r="G962" s="16">
        <v>503.87596000000002</v>
      </c>
      <c r="H962" s="16">
        <v>543.66516000000001</v>
      </c>
      <c r="I962" s="16">
        <v>500.62047999999999</v>
      </c>
      <c r="J962" s="16">
        <v>383.06148000000002</v>
      </c>
      <c r="K962" s="16">
        <v>613.11540000000002</v>
      </c>
      <c r="L962" s="16">
        <v>523.77056000000005</v>
      </c>
      <c r="M962" s="16">
        <f t="shared" si="14"/>
        <v>3617.2000000000007</v>
      </c>
      <c r="N962" s="17">
        <v>9043</v>
      </c>
      <c r="O962" s="16">
        <v>961</v>
      </c>
      <c r="P962" s="16">
        <v>27</v>
      </c>
      <c r="Q962" s="16">
        <v>1287</v>
      </c>
      <c r="R962" s="16">
        <v>1315</v>
      </c>
      <c r="S962" s="16">
        <v>1179</v>
      </c>
      <c r="T962" s="16">
        <v>1315</v>
      </c>
      <c r="U962" s="16">
        <v>1487</v>
      </c>
      <c r="V962" s="16">
        <v>499</v>
      </c>
      <c r="W962" s="16">
        <v>937</v>
      </c>
      <c r="X962" s="16">
        <v>36</v>
      </c>
    </row>
    <row r="963" spans="1:24">
      <c r="A963" s="19">
        <v>46124</v>
      </c>
      <c r="B963" s="18" t="s">
        <v>710</v>
      </c>
      <c r="C963" s="16">
        <v>580.79895999999997</v>
      </c>
      <c r="D963" s="16">
        <v>466.30584000000005</v>
      </c>
      <c r="E963" s="16">
        <v>346.01560000000001</v>
      </c>
      <c r="F963" s="16">
        <v>968.48136</v>
      </c>
      <c r="G963" s="16">
        <v>504.71176000000003</v>
      </c>
      <c r="H963" s="16">
        <v>544.56695999999999</v>
      </c>
      <c r="I963" s="16">
        <v>501.45087999999998</v>
      </c>
      <c r="J963" s="16">
        <v>383.69687999999996</v>
      </c>
      <c r="K963" s="16">
        <v>614.13240000000008</v>
      </c>
      <c r="L963" s="16">
        <v>524.63936000000001</v>
      </c>
      <c r="M963" s="16">
        <f t="shared" ref="M963:M1026" si="16">N963-SUM(C963:L963)</f>
        <v>3623.2</v>
      </c>
      <c r="N963" s="17">
        <v>9058</v>
      </c>
      <c r="O963" s="16">
        <v>961</v>
      </c>
      <c r="P963" s="16">
        <v>27</v>
      </c>
      <c r="Q963" s="16">
        <v>1287</v>
      </c>
      <c r="R963" s="16">
        <v>1315</v>
      </c>
      <c r="S963" s="16">
        <v>1179</v>
      </c>
      <c r="T963" s="16">
        <v>1315</v>
      </c>
      <c r="U963" s="16">
        <v>1487</v>
      </c>
      <c r="V963" s="16">
        <v>499</v>
      </c>
      <c r="W963" s="16">
        <v>952</v>
      </c>
      <c r="X963" s="16">
        <v>36</v>
      </c>
    </row>
    <row r="964" spans="1:24">
      <c r="A964" s="19">
        <v>46125</v>
      </c>
      <c r="B964" s="18" t="s">
        <v>710</v>
      </c>
      <c r="C964" s="16">
        <v>576.63116000000002</v>
      </c>
      <c r="D964" s="16">
        <v>462.95964000000004</v>
      </c>
      <c r="E964" s="16">
        <v>343.5326</v>
      </c>
      <c r="F964" s="16">
        <v>961.53156000000001</v>
      </c>
      <c r="G964" s="16">
        <v>501.08996000000002</v>
      </c>
      <c r="H964" s="16">
        <v>540.65916000000004</v>
      </c>
      <c r="I964" s="16">
        <v>497.85248000000001</v>
      </c>
      <c r="J964" s="16">
        <v>380.94347999999997</v>
      </c>
      <c r="K964" s="16">
        <v>609.72540000000004</v>
      </c>
      <c r="L964" s="16">
        <v>520.87455999999997</v>
      </c>
      <c r="M964" s="16">
        <f t="shared" si="16"/>
        <v>3597.1999999999989</v>
      </c>
      <c r="N964" s="17">
        <v>8993</v>
      </c>
      <c r="O964" s="16">
        <v>961</v>
      </c>
      <c r="P964" s="16">
        <v>27</v>
      </c>
      <c r="Q964" s="16">
        <v>1287</v>
      </c>
      <c r="R964" s="16">
        <v>1315</v>
      </c>
      <c r="S964" s="16">
        <v>1179</v>
      </c>
      <c r="T964" s="16">
        <v>1315</v>
      </c>
      <c r="U964" s="16">
        <v>1487</v>
      </c>
      <c r="V964" s="16">
        <v>499</v>
      </c>
      <c r="W964" s="16">
        <v>887</v>
      </c>
      <c r="X964" s="16">
        <v>36</v>
      </c>
    </row>
    <row r="965" spans="1:24">
      <c r="A965" s="19">
        <v>46126</v>
      </c>
      <c r="B965" s="18" t="s">
        <v>710</v>
      </c>
      <c r="C965" s="16">
        <v>572.27099999999996</v>
      </c>
      <c r="D965" s="16">
        <v>459.459</v>
      </c>
      <c r="E965" s="16">
        <v>340.935</v>
      </c>
      <c r="F965" s="16">
        <v>954.26099999999997</v>
      </c>
      <c r="G965" s="16">
        <v>497.30099999999999</v>
      </c>
      <c r="H965" s="16">
        <v>536.57100000000003</v>
      </c>
      <c r="I965" s="16">
        <v>494.08799999999997</v>
      </c>
      <c r="J965" s="16">
        <v>378.06299999999999</v>
      </c>
      <c r="K965" s="16">
        <v>605.11500000000001</v>
      </c>
      <c r="L965" s="16">
        <v>516.93600000000004</v>
      </c>
      <c r="M965" s="16">
        <f t="shared" si="16"/>
        <v>3570.0000000000009</v>
      </c>
      <c r="N965" s="17">
        <v>8925</v>
      </c>
      <c r="O965" s="16">
        <v>961</v>
      </c>
      <c r="P965" s="16">
        <v>27</v>
      </c>
      <c r="Q965" s="16">
        <v>1287</v>
      </c>
      <c r="R965" s="16">
        <v>1315</v>
      </c>
      <c r="S965" s="16">
        <v>1179</v>
      </c>
      <c r="T965" s="16">
        <v>1315</v>
      </c>
      <c r="U965" s="16">
        <v>1487</v>
      </c>
      <c r="V965" s="16">
        <v>499</v>
      </c>
      <c r="W965" s="16">
        <v>819</v>
      </c>
      <c r="X965" s="16">
        <v>36</v>
      </c>
    </row>
    <row r="966" spans="1:24">
      <c r="A966" s="19">
        <v>46127</v>
      </c>
      <c r="B966" s="18" t="s">
        <v>710</v>
      </c>
      <c r="C966" s="16">
        <v>569.70619999999997</v>
      </c>
      <c r="D966" s="16">
        <v>457.39980000000003</v>
      </c>
      <c r="E966" s="16">
        <v>339.40699999999998</v>
      </c>
      <c r="F966" s="16">
        <v>949.98419999999999</v>
      </c>
      <c r="G966" s="16">
        <v>495.07220000000001</v>
      </c>
      <c r="H966" s="16">
        <v>534.1662</v>
      </c>
      <c r="I966" s="16">
        <v>491.87360000000001</v>
      </c>
      <c r="J966" s="16">
        <v>376.36859999999996</v>
      </c>
      <c r="K966" s="16">
        <v>602.40300000000002</v>
      </c>
      <c r="L966" s="16">
        <v>514.61919999999998</v>
      </c>
      <c r="M966" s="16">
        <f t="shared" si="16"/>
        <v>3554</v>
      </c>
      <c r="N966" s="17">
        <v>8885</v>
      </c>
      <c r="O966" s="16">
        <v>961</v>
      </c>
      <c r="P966" s="16">
        <v>27</v>
      </c>
      <c r="Q966" s="16">
        <v>1287</v>
      </c>
      <c r="R966" s="16">
        <v>1315</v>
      </c>
      <c r="S966" s="16">
        <v>1179</v>
      </c>
      <c r="T966" s="16">
        <v>1315</v>
      </c>
      <c r="U966" s="16">
        <v>1487</v>
      </c>
      <c r="V966" s="16">
        <v>499</v>
      </c>
      <c r="W966" s="16">
        <v>779</v>
      </c>
      <c r="X966" s="16">
        <v>36</v>
      </c>
    </row>
    <row r="967" spans="1:24">
      <c r="A967" s="19">
        <v>46128</v>
      </c>
      <c r="B967" s="18" t="s">
        <v>710</v>
      </c>
      <c r="C967" s="16">
        <v>573.48928000000001</v>
      </c>
      <c r="D967" s="16">
        <v>460.43711999999999</v>
      </c>
      <c r="E967" s="16">
        <v>341.66079999999994</v>
      </c>
      <c r="F967" s="16">
        <v>956.29247999999995</v>
      </c>
      <c r="G967" s="16">
        <v>498.35967999999997</v>
      </c>
      <c r="H967" s="16">
        <v>537.71327999999994</v>
      </c>
      <c r="I967" s="16">
        <v>495.13983999999994</v>
      </c>
      <c r="J967" s="16">
        <v>378.86783999999994</v>
      </c>
      <c r="K967" s="16">
        <v>606.40319999999997</v>
      </c>
      <c r="L967" s="16">
        <v>518.03647999999998</v>
      </c>
      <c r="M967" s="16">
        <f t="shared" si="16"/>
        <v>3577.6000000000004</v>
      </c>
      <c r="N967" s="17">
        <v>8944</v>
      </c>
      <c r="O967" s="16">
        <v>961</v>
      </c>
      <c r="P967" s="16">
        <v>27</v>
      </c>
      <c r="Q967" s="16">
        <v>1287</v>
      </c>
      <c r="R967" s="16">
        <v>1315</v>
      </c>
      <c r="S967" s="16">
        <v>1179</v>
      </c>
      <c r="T967" s="16">
        <v>1315</v>
      </c>
      <c r="U967" s="16">
        <v>1487</v>
      </c>
      <c r="V967" s="16">
        <v>499</v>
      </c>
      <c r="W967" s="16">
        <v>838</v>
      </c>
      <c r="X967" s="16">
        <v>36</v>
      </c>
    </row>
    <row r="968" spans="1:24">
      <c r="A968" s="19">
        <v>46129</v>
      </c>
      <c r="B968" s="18" t="s">
        <v>710</v>
      </c>
      <c r="C968" s="16">
        <v>575.47699999999998</v>
      </c>
      <c r="D968" s="16">
        <v>462.03300000000002</v>
      </c>
      <c r="E968" s="16">
        <v>342.84499999999997</v>
      </c>
      <c r="F968" s="16">
        <v>959.60699999999997</v>
      </c>
      <c r="G968" s="16">
        <v>500.08699999999999</v>
      </c>
      <c r="H968" s="16">
        <v>539.577</v>
      </c>
      <c r="I968" s="16">
        <v>496.85599999999999</v>
      </c>
      <c r="J968" s="16">
        <v>380.18099999999998</v>
      </c>
      <c r="K968" s="16">
        <v>608.505</v>
      </c>
      <c r="L968" s="16">
        <v>519.83199999999999</v>
      </c>
      <c r="M968" s="16">
        <f t="shared" si="16"/>
        <v>3590</v>
      </c>
      <c r="N968" s="17">
        <v>8975</v>
      </c>
      <c r="O968" s="16">
        <v>961</v>
      </c>
      <c r="P968" s="16">
        <v>27</v>
      </c>
      <c r="Q968" s="16">
        <v>1287</v>
      </c>
      <c r="R968" s="16">
        <v>1315</v>
      </c>
      <c r="S968" s="16">
        <v>1179</v>
      </c>
      <c r="T968" s="16">
        <v>1315</v>
      </c>
      <c r="U968" s="16">
        <v>1487</v>
      </c>
      <c r="V968" s="16">
        <v>499</v>
      </c>
      <c r="W968" s="16">
        <v>869</v>
      </c>
      <c r="X968" s="16">
        <v>36</v>
      </c>
    </row>
    <row r="969" spans="1:24">
      <c r="A969" s="19">
        <v>46130</v>
      </c>
      <c r="B969" s="18" t="s">
        <v>710</v>
      </c>
      <c r="C969" s="16">
        <v>576.05408</v>
      </c>
      <c r="D969" s="16">
        <v>462.49631999999997</v>
      </c>
      <c r="E969" s="16">
        <v>343.18879999999996</v>
      </c>
      <c r="F969" s="16">
        <v>960.56927999999994</v>
      </c>
      <c r="G969" s="16">
        <v>500.58847999999995</v>
      </c>
      <c r="H969" s="16">
        <v>540.11807999999996</v>
      </c>
      <c r="I969" s="16">
        <v>497.35423999999995</v>
      </c>
      <c r="J969" s="16">
        <v>380.56223999999997</v>
      </c>
      <c r="K969" s="16">
        <v>609.11519999999996</v>
      </c>
      <c r="L969" s="16">
        <v>520.35327999999993</v>
      </c>
      <c r="M969" s="16">
        <f t="shared" si="16"/>
        <v>3593.6000000000004</v>
      </c>
      <c r="N969" s="17">
        <v>8984</v>
      </c>
      <c r="O969" s="16">
        <v>961</v>
      </c>
      <c r="P969" s="16">
        <v>27</v>
      </c>
      <c r="Q969" s="16">
        <v>1287</v>
      </c>
      <c r="R969" s="16">
        <v>1315</v>
      </c>
      <c r="S969" s="16">
        <v>1179</v>
      </c>
      <c r="T969" s="16">
        <v>1315</v>
      </c>
      <c r="U969" s="16">
        <v>1487</v>
      </c>
      <c r="V969" s="16">
        <v>499</v>
      </c>
      <c r="W969" s="16">
        <v>878</v>
      </c>
      <c r="X969" s="16">
        <v>36</v>
      </c>
    </row>
    <row r="970" spans="1:24">
      <c r="A970" s="19">
        <v>46131</v>
      </c>
      <c r="B970" s="18" t="s">
        <v>710</v>
      </c>
      <c r="C970" s="16">
        <v>580.60659999999996</v>
      </c>
      <c r="D970" s="16">
        <v>466.15140000000002</v>
      </c>
      <c r="E970" s="16">
        <v>345.90099999999995</v>
      </c>
      <c r="F970" s="16">
        <v>968.16059999999993</v>
      </c>
      <c r="G970" s="16">
        <v>504.5446</v>
      </c>
      <c r="H970" s="16">
        <v>544.38659999999993</v>
      </c>
      <c r="I970" s="16">
        <v>501.28479999999996</v>
      </c>
      <c r="J970" s="16">
        <v>383.56979999999999</v>
      </c>
      <c r="K970" s="16">
        <v>613.92899999999997</v>
      </c>
      <c r="L970" s="16">
        <v>524.46559999999999</v>
      </c>
      <c r="M970" s="16">
        <f t="shared" si="16"/>
        <v>3622</v>
      </c>
      <c r="N970" s="17">
        <v>9055</v>
      </c>
      <c r="O970" s="16">
        <v>961</v>
      </c>
      <c r="P970" s="16">
        <v>27</v>
      </c>
      <c r="Q970" s="16">
        <v>1287</v>
      </c>
      <c r="R970" s="16">
        <v>1315</v>
      </c>
      <c r="S970" s="16">
        <v>1179</v>
      </c>
      <c r="T970" s="16">
        <v>1315</v>
      </c>
      <c r="U970" s="16">
        <v>1487</v>
      </c>
      <c r="V970" s="16">
        <v>499</v>
      </c>
      <c r="W970" s="16">
        <v>949</v>
      </c>
      <c r="X970" s="16">
        <v>36</v>
      </c>
    </row>
    <row r="971" spans="1:24">
      <c r="A971" s="19">
        <v>46132</v>
      </c>
      <c r="B971" s="18" t="s">
        <v>710</v>
      </c>
      <c r="C971" s="16">
        <v>580.22187999999994</v>
      </c>
      <c r="D971" s="16">
        <v>465.84251999999998</v>
      </c>
      <c r="E971" s="16">
        <v>345.67179999999996</v>
      </c>
      <c r="F971" s="16">
        <v>967.51907999999992</v>
      </c>
      <c r="G971" s="16">
        <v>504.21027999999995</v>
      </c>
      <c r="H971" s="16">
        <v>544.02587999999992</v>
      </c>
      <c r="I971" s="16">
        <v>500.95263999999997</v>
      </c>
      <c r="J971" s="16">
        <v>383.31563999999997</v>
      </c>
      <c r="K971" s="16">
        <v>613.5222</v>
      </c>
      <c r="L971" s="16">
        <v>524.11807999999996</v>
      </c>
      <c r="M971" s="16">
        <f t="shared" si="16"/>
        <v>3619.5999999999995</v>
      </c>
      <c r="N971" s="17">
        <v>9049</v>
      </c>
      <c r="O971" s="16">
        <v>961</v>
      </c>
      <c r="P971" s="16">
        <v>27</v>
      </c>
      <c r="Q971" s="16">
        <v>1287</v>
      </c>
      <c r="R971" s="16">
        <v>1315</v>
      </c>
      <c r="S971" s="16">
        <v>1179</v>
      </c>
      <c r="T971" s="16">
        <v>1315</v>
      </c>
      <c r="U971" s="16">
        <v>1487</v>
      </c>
      <c r="V971" s="16">
        <v>499</v>
      </c>
      <c r="W971" s="16">
        <v>943</v>
      </c>
      <c r="X971" s="16">
        <v>36</v>
      </c>
    </row>
    <row r="972" spans="1:24">
      <c r="A972" s="19">
        <v>46133</v>
      </c>
      <c r="B972" s="18" t="s">
        <v>710</v>
      </c>
      <c r="C972" s="16">
        <v>582.27371999999991</v>
      </c>
      <c r="D972" s="16">
        <v>467.48987999999997</v>
      </c>
      <c r="E972" s="16">
        <v>346.89419999999996</v>
      </c>
      <c r="F972" s="16">
        <v>970.94051999999988</v>
      </c>
      <c r="G972" s="16">
        <v>505.99331999999993</v>
      </c>
      <c r="H972" s="16">
        <v>545.94971999999996</v>
      </c>
      <c r="I972" s="16">
        <v>502.72415999999993</v>
      </c>
      <c r="J972" s="16">
        <v>384.67115999999993</v>
      </c>
      <c r="K972" s="16">
        <v>615.69179999999994</v>
      </c>
      <c r="L972" s="16">
        <v>525.97151999999994</v>
      </c>
      <c r="M972" s="16">
        <f t="shared" si="16"/>
        <v>3632.4000000000005</v>
      </c>
      <c r="N972" s="17">
        <v>9081</v>
      </c>
      <c r="O972" s="16">
        <v>961</v>
      </c>
      <c r="P972" s="16">
        <v>27</v>
      </c>
      <c r="Q972" s="16">
        <v>1287</v>
      </c>
      <c r="R972" s="16">
        <v>1315</v>
      </c>
      <c r="S972" s="16">
        <v>1179</v>
      </c>
      <c r="T972" s="16">
        <v>1315</v>
      </c>
      <c r="U972" s="16">
        <v>1487</v>
      </c>
      <c r="V972" s="16">
        <v>499</v>
      </c>
      <c r="W972" s="16">
        <v>975</v>
      </c>
      <c r="X972" s="16">
        <v>36</v>
      </c>
    </row>
    <row r="973" spans="1:24">
      <c r="A973" s="19">
        <v>46134</v>
      </c>
      <c r="B973" s="18" t="s">
        <v>710</v>
      </c>
      <c r="C973" s="16">
        <v>579.96540000000005</v>
      </c>
      <c r="D973" s="16">
        <v>465.63659999999999</v>
      </c>
      <c r="E973" s="16">
        <v>345.51900000000001</v>
      </c>
      <c r="F973" s="16">
        <v>967.09140000000002</v>
      </c>
      <c r="G973" s="16">
        <v>503.98739999999998</v>
      </c>
      <c r="H973" s="16">
        <v>543.78539999999998</v>
      </c>
      <c r="I973" s="16">
        <v>500.7312</v>
      </c>
      <c r="J973" s="16">
        <v>383.14619999999996</v>
      </c>
      <c r="K973" s="16">
        <v>613.25099999999998</v>
      </c>
      <c r="L973" s="16">
        <v>523.88639999999998</v>
      </c>
      <c r="M973" s="16">
        <f t="shared" si="16"/>
        <v>3617.9999999999991</v>
      </c>
      <c r="N973" s="17">
        <v>9045</v>
      </c>
      <c r="O973" s="16">
        <v>961</v>
      </c>
      <c r="P973" s="16">
        <v>27</v>
      </c>
      <c r="Q973" s="16">
        <v>1287</v>
      </c>
      <c r="R973" s="16">
        <v>1315</v>
      </c>
      <c r="S973" s="16">
        <v>1179</v>
      </c>
      <c r="T973" s="16">
        <v>1315</v>
      </c>
      <c r="U973" s="16">
        <v>1487</v>
      </c>
      <c r="V973" s="16">
        <v>499</v>
      </c>
      <c r="W973" s="16">
        <v>939</v>
      </c>
      <c r="X973" s="16">
        <v>36</v>
      </c>
    </row>
    <row r="974" spans="1:24">
      <c r="A974" s="19">
        <v>46135</v>
      </c>
      <c r="B974" s="18" t="s">
        <v>710</v>
      </c>
      <c r="C974" s="16">
        <v>579.96540000000005</v>
      </c>
      <c r="D974" s="16">
        <v>465.63659999999999</v>
      </c>
      <c r="E974" s="16">
        <v>345.51900000000001</v>
      </c>
      <c r="F974" s="16">
        <v>967.09140000000002</v>
      </c>
      <c r="G974" s="16">
        <v>503.98739999999998</v>
      </c>
      <c r="H974" s="16">
        <v>543.78539999999998</v>
      </c>
      <c r="I974" s="16">
        <v>500.7312</v>
      </c>
      <c r="J974" s="16">
        <v>383.14619999999996</v>
      </c>
      <c r="K974" s="16">
        <v>613.25099999999998</v>
      </c>
      <c r="L974" s="16">
        <v>523.88639999999998</v>
      </c>
      <c r="M974" s="16">
        <f t="shared" si="16"/>
        <v>3617.9999999999991</v>
      </c>
      <c r="N974" s="17">
        <v>9045</v>
      </c>
      <c r="O974" s="16">
        <v>961</v>
      </c>
      <c r="P974" s="16">
        <v>27</v>
      </c>
      <c r="Q974" s="16">
        <v>1287</v>
      </c>
      <c r="R974" s="16">
        <v>1315</v>
      </c>
      <c r="S974" s="16">
        <v>1179</v>
      </c>
      <c r="T974" s="16">
        <v>1315</v>
      </c>
      <c r="U974" s="16">
        <v>1487</v>
      </c>
      <c r="V974" s="16">
        <v>499</v>
      </c>
      <c r="W974" s="16">
        <v>939</v>
      </c>
      <c r="X974" s="16">
        <v>36</v>
      </c>
    </row>
    <row r="975" spans="1:24">
      <c r="A975" s="19">
        <v>46136</v>
      </c>
      <c r="B975" s="18" t="s">
        <v>710</v>
      </c>
      <c r="C975" s="16">
        <v>582.72256000000004</v>
      </c>
      <c r="D975" s="16">
        <v>467.85024000000004</v>
      </c>
      <c r="E975" s="16">
        <v>347.16159999999996</v>
      </c>
      <c r="F975" s="16">
        <v>971.68896000000007</v>
      </c>
      <c r="G975" s="16">
        <v>506.38336000000004</v>
      </c>
      <c r="H975" s="16">
        <v>546.37055999999995</v>
      </c>
      <c r="I975" s="16">
        <v>503.11167999999998</v>
      </c>
      <c r="J975" s="16">
        <v>384.96767999999997</v>
      </c>
      <c r="K975" s="16">
        <v>616.16640000000007</v>
      </c>
      <c r="L975" s="16">
        <v>526.37696000000005</v>
      </c>
      <c r="M975" s="16">
        <f t="shared" si="16"/>
        <v>3635.1999999999989</v>
      </c>
      <c r="N975" s="17">
        <v>9088</v>
      </c>
      <c r="O975" s="16">
        <v>961</v>
      </c>
      <c r="P975" s="16">
        <v>27</v>
      </c>
      <c r="Q975" s="16">
        <v>1287</v>
      </c>
      <c r="R975" s="16">
        <v>1315</v>
      </c>
      <c r="S975" s="16">
        <v>1179</v>
      </c>
      <c r="T975" s="16">
        <v>1315</v>
      </c>
      <c r="U975" s="16">
        <v>1487</v>
      </c>
      <c r="V975" s="16">
        <v>499</v>
      </c>
      <c r="W975" s="16">
        <v>982</v>
      </c>
      <c r="X975" s="16">
        <v>36</v>
      </c>
    </row>
    <row r="976" spans="1:24">
      <c r="A976" s="19">
        <v>46137</v>
      </c>
      <c r="B976" s="18" t="s">
        <v>710</v>
      </c>
      <c r="C976" s="16">
        <v>587.91627999999992</v>
      </c>
      <c r="D976" s="16">
        <v>472.02011999999996</v>
      </c>
      <c r="E976" s="16">
        <v>350.25579999999997</v>
      </c>
      <c r="F976" s="16">
        <v>980.34947999999997</v>
      </c>
      <c r="G976" s="16">
        <v>510.89667999999995</v>
      </c>
      <c r="H976" s="16">
        <v>551.24027999999998</v>
      </c>
      <c r="I976" s="16">
        <v>507.59583999999995</v>
      </c>
      <c r="J976" s="16">
        <v>388.39883999999995</v>
      </c>
      <c r="K976" s="16">
        <v>621.65819999999997</v>
      </c>
      <c r="L976" s="16">
        <v>531.06847999999991</v>
      </c>
      <c r="M976" s="16">
        <f t="shared" si="16"/>
        <v>3667.6000000000004</v>
      </c>
      <c r="N976" s="17">
        <v>9169</v>
      </c>
      <c r="O976" s="16">
        <v>961</v>
      </c>
      <c r="P976" s="16">
        <v>27</v>
      </c>
      <c r="Q976" s="16">
        <v>1287</v>
      </c>
      <c r="R976" s="16">
        <v>1315</v>
      </c>
      <c r="S976" s="16">
        <v>1179</v>
      </c>
      <c r="T976" s="16">
        <v>1315</v>
      </c>
      <c r="U976" s="16">
        <v>1487</v>
      </c>
      <c r="V976" s="16">
        <v>499</v>
      </c>
      <c r="W976" s="16">
        <v>1063</v>
      </c>
      <c r="X976" s="16">
        <v>36</v>
      </c>
    </row>
    <row r="977" spans="1:24">
      <c r="A977" s="19">
        <v>46138</v>
      </c>
      <c r="B977" s="18" t="s">
        <v>710</v>
      </c>
      <c r="C977" s="16">
        <v>574.89991999999995</v>
      </c>
      <c r="D977" s="16">
        <v>461.56967999999995</v>
      </c>
      <c r="E977" s="16">
        <v>342.50119999999993</v>
      </c>
      <c r="F977" s="16">
        <v>958.64471999999989</v>
      </c>
      <c r="G977" s="16">
        <v>499.58551999999997</v>
      </c>
      <c r="H977" s="16">
        <v>539.03591999999992</v>
      </c>
      <c r="I977" s="16">
        <v>496.35775999999993</v>
      </c>
      <c r="J977" s="16">
        <v>379.79975999999994</v>
      </c>
      <c r="K977" s="16">
        <v>607.89479999999992</v>
      </c>
      <c r="L977" s="16">
        <v>519.31071999999995</v>
      </c>
      <c r="M977" s="16">
        <f t="shared" si="16"/>
        <v>3586.3999999999996</v>
      </c>
      <c r="N977" s="17">
        <v>8966</v>
      </c>
      <c r="O977" s="16">
        <v>961</v>
      </c>
      <c r="P977" s="16">
        <v>27</v>
      </c>
      <c r="Q977" s="16">
        <v>1287</v>
      </c>
      <c r="R977" s="16">
        <v>1315</v>
      </c>
      <c r="S977" s="16">
        <v>1179</v>
      </c>
      <c r="T977" s="16">
        <v>1315</v>
      </c>
      <c r="U977" s="16">
        <v>1487</v>
      </c>
      <c r="V977" s="16">
        <v>499</v>
      </c>
      <c r="W977" s="16">
        <v>860</v>
      </c>
      <c r="X977" s="16">
        <v>36</v>
      </c>
    </row>
    <row r="978" spans="1:24">
      <c r="A978" s="19">
        <v>46139</v>
      </c>
      <c r="B978" s="18" t="s">
        <v>710</v>
      </c>
      <c r="C978" s="16">
        <v>575.15639999999996</v>
      </c>
      <c r="D978" s="16">
        <v>461.7756</v>
      </c>
      <c r="E978" s="16">
        <v>342.654</v>
      </c>
      <c r="F978" s="16">
        <v>959.07240000000002</v>
      </c>
      <c r="G978" s="16">
        <v>499.80840000000001</v>
      </c>
      <c r="H978" s="16">
        <v>539.27639999999997</v>
      </c>
      <c r="I978" s="16">
        <v>496.57919999999996</v>
      </c>
      <c r="J978" s="16">
        <v>379.9692</v>
      </c>
      <c r="K978" s="16">
        <v>608.16600000000005</v>
      </c>
      <c r="L978" s="16">
        <v>519.54240000000004</v>
      </c>
      <c r="M978" s="16">
        <f t="shared" si="16"/>
        <v>3587.9999999999991</v>
      </c>
      <c r="N978" s="17">
        <v>8970</v>
      </c>
      <c r="O978" s="16">
        <v>961</v>
      </c>
      <c r="P978" s="16">
        <v>27</v>
      </c>
      <c r="Q978" s="16">
        <v>1287</v>
      </c>
      <c r="R978" s="16">
        <v>1315</v>
      </c>
      <c r="S978" s="16">
        <v>1179</v>
      </c>
      <c r="T978" s="16">
        <v>1315</v>
      </c>
      <c r="U978" s="16">
        <v>1487</v>
      </c>
      <c r="V978" s="16">
        <v>499</v>
      </c>
      <c r="W978" s="16">
        <v>864</v>
      </c>
      <c r="X978" s="16">
        <v>36</v>
      </c>
    </row>
    <row r="979" spans="1:24">
      <c r="A979" s="19">
        <v>46140</v>
      </c>
      <c r="B979" s="18" t="s">
        <v>710</v>
      </c>
      <c r="C979" s="16">
        <v>578.10591999999997</v>
      </c>
      <c r="D979" s="16">
        <v>464.14367999999996</v>
      </c>
      <c r="E979" s="16">
        <v>344.41119999999995</v>
      </c>
      <c r="F979" s="16">
        <v>963.9907199999999</v>
      </c>
      <c r="G979" s="16">
        <v>502.37151999999998</v>
      </c>
      <c r="H979" s="16">
        <v>542.04191999999989</v>
      </c>
      <c r="I979" s="16">
        <v>499.12575999999996</v>
      </c>
      <c r="J979" s="16">
        <v>381.91775999999993</v>
      </c>
      <c r="K979" s="16">
        <v>611.2847999999999</v>
      </c>
      <c r="L979" s="16">
        <v>522.2067199999999</v>
      </c>
      <c r="M979" s="16">
        <f t="shared" si="16"/>
        <v>3606.3999999999996</v>
      </c>
      <c r="N979" s="17">
        <v>9016</v>
      </c>
      <c r="O979" s="16">
        <v>961</v>
      </c>
      <c r="P979" s="16">
        <v>27</v>
      </c>
      <c r="Q979" s="16">
        <v>1287</v>
      </c>
      <c r="R979" s="16">
        <v>1315</v>
      </c>
      <c r="S979" s="16">
        <v>1179</v>
      </c>
      <c r="T979" s="16">
        <v>1315</v>
      </c>
      <c r="U979" s="16">
        <v>1487</v>
      </c>
      <c r="V979" s="16">
        <v>499</v>
      </c>
      <c r="W979" s="16">
        <v>910</v>
      </c>
      <c r="X979" s="16">
        <v>36</v>
      </c>
    </row>
    <row r="980" spans="1:24">
      <c r="A980" s="19">
        <v>46141</v>
      </c>
      <c r="B980" s="18" t="s">
        <v>710</v>
      </c>
      <c r="C980" s="16">
        <v>577.84943999999996</v>
      </c>
      <c r="D980" s="16">
        <v>463.93775999999997</v>
      </c>
      <c r="E980" s="16">
        <v>344.25839999999999</v>
      </c>
      <c r="F980" s="16">
        <v>963.56304</v>
      </c>
      <c r="G980" s="16">
        <v>502.14864</v>
      </c>
      <c r="H980" s="16">
        <v>541.80143999999996</v>
      </c>
      <c r="I980" s="16">
        <v>498.90431999999998</v>
      </c>
      <c r="J980" s="16">
        <v>381.74831999999998</v>
      </c>
      <c r="K980" s="16">
        <v>611.0136</v>
      </c>
      <c r="L980" s="16">
        <v>521.97503999999992</v>
      </c>
      <c r="M980" s="16">
        <f t="shared" si="16"/>
        <v>3604.7999999999993</v>
      </c>
      <c r="N980" s="17">
        <v>9012</v>
      </c>
      <c r="O980" s="16">
        <v>961</v>
      </c>
      <c r="P980" s="16">
        <v>27</v>
      </c>
      <c r="Q980" s="16">
        <v>1287</v>
      </c>
      <c r="R980" s="16">
        <v>1315</v>
      </c>
      <c r="S980" s="16">
        <v>1179</v>
      </c>
      <c r="T980" s="16">
        <v>1315</v>
      </c>
      <c r="U980" s="16">
        <v>1487</v>
      </c>
      <c r="V980" s="16">
        <v>499</v>
      </c>
      <c r="W980" s="16">
        <v>906</v>
      </c>
      <c r="X980" s="16">
        <v>36</v>
      </c>
    </row>
    <row r="981" spans="1:24">
      <c r="A981" s="19">
        <v>46142</v>
      </c>
      <c r="B981" s="18" t="s">
        <v>710</v>
      </c>
      <c r="C981" s="16">
        <v>579.58067999999992</v>
      </c>
      <c r="D981" s="16">
        <v>465.32772</v>
      </c>
      <c r="E981" s="16">
        <v>345.28979999999996</v>
      </c>
      <c r="F981" s="16">
        <v>966.44987999999989</v>
      </c>
      <c r="G981" s="16">
        <v>503.65307999999999</v>
      </c>
      <c r="H981" s="16">
        <v>543.42467999999997</v>
      </c>
      <c r="I981" s="16">
        <v>500.39903999999996</v>
      </c>
      <c r="J981" s="16">
        <v>382.89203999999995</v>
      </c>
      <c r="K981" s="16">
        <v>612.8442</v>
      </c>
      <c r="L981" s="16">
        <v>523.53887999999995</v>
      </c>
      <c r="M981" s="16">
        <f t="shared" si="16"/>
        <v>3615.6000000000004</v>
      </c>
      <c r="N981" s="17">
        <v>9039</v>
      </c>
      <c r="O981" s="16">
        <v>961</v>
      </c>
      <c r="P981" s="16">
        <v>27</v>
      </c>
      <c r="Q981" s="16">
        <v>1287</v>
      </c>
      <c r="R981" s="16">
        <v>1315</v>
      </c>
      <c r="S981" s="16">
        <v>1179</v>
      </c>
      <c r="T981" s="16">
        <v>1315</v>
      </c>
      <c r="U981" s="16">
        <v>1487</v>
      </c>
      <c r="V981" s="16">
        <v>499</v>
      </c>
      <c r="W981" s="16">
        <v>933</v>
      </c>
      <c r="X981" s="16">
        <v>36</v>
      </c>
    </row>
    <row r="982" spans="1:24">
      <c r="A982" s="19">
        <v>46143</v>
      </c>
      <c r="B982" s="18" t="s">
        <v>710</v>
      </c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>
        <f t="shared" si="16"/>
        <v>0</v>
      </c>
      <c r="N982" s="17"/>
      <c r="O982" s="16"/>
      <c r="P982" s="16"/>
      <c r="Q982" s="16"/>
      <c r="R982" s="16"/>
      <c r="S982" s="16"/>
      <c r="T982" s="16"/>
      <c r="U982" s="16"/>
      <c r="V982" s="16"/>
      <c r="W982" s="16"/>
      <c r="X982" s="16"/>
    </row>
    <row r="983" spans="1:24">
      <c r="A983" s="19">
        <v>46144</v>
      </c>
      <c r="B983" s="18" t="s">
        <v>710</v>
      </c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>
        <f t="shared" si="16"/>
        <v>0</v>
      </c>
      <c r="N983" s="17"/>
      <c r="O983" s="16"/>
      <c r="P983" s="16"/>
      <c r="Q983" s="16"/>
      <c r="R983" s="16"/>
      <c r="S983" s="16"/>
      <c r="T983" s="16"/>
      <c r="U983" s="16"/>
      <c r="V983" s="16"/>
      <c r="W983" s="16"/>
      <c r="X983" s="16"/>
    </row>
    <row r="984" spans="1:24">
      <c r="A984" s="19">
        <v>46145</v>
      </c>
      <c r="B984" s="18" t="s">
        <v>710</v>
      </c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>
        <f t="shared" si="16"/>
        <v>0</v>
      </c>
      <c r="N984" s="17"/>
      <c r="O984" s="16"/>
      <c r="P984" s="16"/>
      <c r="Q984" s="16"/>
      <c r="R984" s="16"/>
      <c r="S984" s="16"/>
      <c r="T984" s="16"/>
      <c r="U984" s="16"/>
      <c r="V984" s="16"/>
      <c r="W984" s="16"/>
      <c r="X984" s="16"/>
    </row>
    <row r="985" spans="1:24">
      <c r="A985" s="19">
        <v>46146</v>
      </c>
      <c r="B985" s="18" t="s">
        <v>710</v>
      </c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>
        <f t="shared" si="16"/>
        <v>0</v>
      </c>
      <c r="N985" s="17"/>
      <c r="O985" s="16"/>
      <c r="P985" s="16"/>
      <c r="Q985" s="16"/>
      <c r="R985" s="16"/>
      <c r="S985" s="16"/>
      <c r="T985" s="16"/>
      <c r="U985" s="16"/>
      <c r="V985" s="16"/>
      <c r="W985" s="16"/>
      <c r="X985" s="16"/>
    </row>
    <row r="986" spans="1:24">
      <c r="A986" s="19">
        <v>46147</v>
      </c>
      <c r="B986" s="18" t="s">
        <v>710</v>
      </c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>
        <f t="shared" si="16"/>
        <v>0</v>
      </c>
      <c r="N986" s="17"/>
      <c r="O986" s="16"/>
      <c r="P986" s="16"/>
      <c r="Q986" s="16"/>
      <c r="R986" s="16"/>
      <c r="S986" s="16"/>
      <c r="T986" s="16"/>
      <c r="U986" s="16"/>
      <c r="V986" s="16"/>
      <c r="W986" s="16"/>
      <c r="X986" s="16"/>
    </row>
    <row r="987" spans="1:24">
      <c r="A987" s="19">
        <v>46148</v>
      </c>
      <c r="B987" s="18" t="s">
        <v>710</v>
      </c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>
        <f t="shared" si="16"/>
        <v>0</v>
      </c>
      <c r="N987" s="17"/>
      <c r="O987" s="16"/>
      <c r="P987" s="16"/>
      <c r="Q987" s="16"/>
      <c r="R987" s="16"/>
      <c r="S987" s="16"/>
      <c r="T987" s="16"/>
      <c r="U987" s="16"/>
      <c r="V987" s="16"/>
      <c r="W987" s="16"/>
      <c r="X987" s="16"/>
    </row>
    <row r="988" spans="1:24">
      <c r="A988" s="19">
        <v>46149</v>
      </c>
      <c r="B988" s="18" t="s">
        <v>710</v>
      </c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>
        <f t="shared" si="16"/>
        <v>0</v>
      </c>
      <c r="N988" s="17"/>
      <c r="O988" s="16"/>
      <c r="P988" s="16"/>
      <c r="Q988" s="16"/>
      <c r="R988" s="16"/>
      <c r="S988" s="16"/>
      <c r="T988" s="16"/>
      <c r="U988" s="16"/>
      <c r="V988" s="16"/>
      <c r="W988" s="16"/>
      <c r="X988" s="16"/>
    </row>
    <row r="989" spans="1:24">
      <c r="A989" s="19">
        <v>46150</v>
      </c>
      <c r="B989" s="18" t="s">
        <v>710</v>
      </c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>
        <f t="shared" si="16"/>
        <v>0</v>
      </c>
      <c r="N989" s="17"/>
      <c r="O989" s="16"/>
      <c r="P989" s="16"/>
      <c r="Q989" s="16"/>
      <c r="R989" s="16"/>
      <c r="S989" s="16"/>
      <c r="T989" s="16"/>
      <c r="U989" s="16"/>
      <c r="V989" s="16"/>
      <c r="W989" s="16"/>
      <c r="X989" s="16"/>
    </row>
    <row r="990" spans="1:24">
      <c r="A990" s="19">
        <v>46151</v>
      </c>
      <c r="B990" s="18" t="s">
        <v>710</v>
      </c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>
        <f t="shared" si="16"/>
        <v>0</v>
      </c>
      <c r="N990" s="17"/>
      <c r="O990" s="16"/>
      <c r="P990" s="16"/>
      <c r="Q990" s="16"/>
      <c r="R990" s="16"/>
      <c r="S990" s="16"/>
      <c r="T990" s="16"/>
      <c r="U990" s="16"/>
      <c r="V990" s="16"/>
      <c r="W990" s="16"/>
      <c r="X990" s="16"/>
    </row>
    <row r="991" spans="1:24">
      <c r="A991" s="19">
        <v>46152</v>
      </c>
      <c r="B991" s="18" t="s">
        <v>710</v>
      </c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>
        <f t="shared" si="16"/>
        <v>0</v>
      </c>
      <c r="N991" s="17"/>
      <c r="O991" s="16"/>
      <c r="P991" s="16"/>
      <c r="Q991" s="16"/>
      <c r="R991" s="16"/>
      <c r="S991" s="16"/>
      <c r="T991" s="16"/>
      <c r="U991" s="16"/>
      <c r="V991" s="16"/>
      <c r="W991" s="16"/>
      <c r="X991" s="16"/>
    </row>
    <row r="992" spans="1:24">
      <c r="A992" s="19">
        <v>46153</v>
      </c>
      <c r="B992" s="18" t="s">
        <v>710</v>
      </c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>
        <f t="shared" si="16"/>
        <v>0</v>
      </c>
      <c r="N992" s="17"/>
      <c r="O992" s="16"/>
      <c r="P992" s="16"/>
      <c r="Q992" s="16"/>
      <c r="R992" s="16"/>
      <c r="S992" s="16"/>
      <c r="T992" s="16"/>
      <c r="U992" s="16"/>
      <c r="V992" s="16"/>
      <c r="W992" s="16"/>
      <c r="X992" s="16"/>
    </row>
    <row r="993" spans="1:24">
      <c r="A993" s="19">
        <v>46154</v>
      </c>
      <c r="B993" s="18" t="s">
        <v>710</v>
      </c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>
        <f t="shared" si="16"/>
        <v>0</v>
      </c>
      <c r="N993" s="17"/>
      <c r="O993" s="16"/>
      <c r="P993" s="16"/>
      <c r="Q993" s="16"/>
      <c r="R993" s="16"/>
      <c r="S993" s="16"/>
      <c r="T993" s="16"/>
      <c r="U993" s="16"/>
      <c r="V993" s="16"/>
      <c r="W993" s="16"/>
      <c r="X993" s="16"/>
    </row>
    <row r="994" spans="1:24">
      <c r="A994" s="19">
        <v>46155</v>
      </c>
      <c r="B994" s="18" t="s">
        <v>710</v>
      </c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>
        <f t="shared" si="16"/>
        <v>0</v>
      </c>
      <c r="N994" s="17"/>
      <c r="O994" s="16"/>
      <c r="P994" s="16"/>
      <c r="Q994" s="16"/>
      <c r="R994" s="16"/>
      <c r="S994" s="16"/>
      <c r="T994" s="16"/>
      <c r="U994" s="16"/>
      <c r="V994" s="16"/>
      <c r="W994" s="16"/>
      <c r="X994" s="16"/>
    </row>
    <row r="995" spans="1:24">
      <c r="A995" s="19">
        <v>46156</v>
      </c>
      <c r="B995" s="18" t="s">
        <v>710</v>
      </c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>
        <f t="shared" si="16"/>
        <v>0</v>
      </c>
      <c r="N995" s="17"/>
      <c r="O995" s="16"/>
      <c r="P995" s="16"/>
      <c r="Q995" s="16"/>
      <c r="R995" s="16"/>
      <c r="S995" s="16"/>
      <c r="T995" s="16"/>
      <c r="U995" s="16"/>
      <c r="V995" s="16"/>
      <c r="W995" s="16"/>
      <c r="X995" s="16"/>
    </row>
    <row r="996" spans="1:24">
      <c r="A996" s="19">
        <v>46157</v>
      </c>
      <c r="B996" s="18" t="s">
        <v>710</v>
      </c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>
        <f t="shared" si="16"/>
        <v>0</v>
      </c>
      <c r="N996" s="17"/>
      <c r="O996" s="16"/>
      <c r="P996" s="16"/>
      <c r="Q996" s="16"/>
      <c r="R996" s="16"/>
      <c r="S996" s="16"/>
      <c r="T996" s="16"/>
      <c r="U996" s="16"/>
      <c r="V996" s="16"/>
      <c r="W996" s="16"/>
      <c r="X996" s="16"/>
    </row>
    <row r="997" spans="1:24">
      <c r="A997" s="19">
        <v>46158</v>
      </c>
      <c r="B997" s="18" t="s">
        <v>710</v>
      </c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>
        <f t="shared" si="16"/>
        <v>0</v>
      </c>
      <c r="N997" s="17"/>
      <c r="O997" s="16"/>
      <c r="P997" s="16"/>
      <c r="Q997" s="16"/>
      <c r="R997" s="16"/>
      <c r="S997" s="16"/>
      <c r="T997" s="16"/>
      <c r="U997" s="16"/>
      <c r="V997" s="16"/>
      <c r="W997" s="16"/>
      <c r="X997" s="16"/>
    </row>
    <row r="998" spans="1:24">
      <c r="A998" s="19">
        <v>46159</v>
      </c>
      <c r="B998" s="18" t="s">
        <v>710</v>
      </c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>
        <f t="shared" si="16"/>
        <v>0</v>
      </c>
      <c r="N998" s="17"/>
      <c r="O998" s="16"/>
      <c r="P998" s="16"/>
      <c r="Q998" s="16"/>
      <c r="R998" s="16"/>
      <c r="S998" s="16"/>
      <c r="T998" s="16"/>
      <c r="U998" s="16"/>
      <c r="V998" s="16"/>
      <c r="W998" s="16"/>
      <c r="X998" s="16"/>
    </row>
    <row r="999" spans="1:24">
      <c r="A999" s="19">
        <v>46160</v>
      </c>
      <c r="B999" s="18" t="s">
        <v>710</v>
      </c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>
        <f t="shared" si="16"/>
        <v>0</v>
      </c>
      <c r="N999" s="17"/>
      <c r="O999" s="16"/>
      <c r="P999" s="16"/>
      <c r="Q999" s="16"/>
      <c r="R999" s="16"/>
      <c r="S999" s="16"/>
      <c r="T999" s="16"/>
      <c r="U999" s="16"/>
      <c r="V999" s="16"/>
      <c r="W999" s="16"/>
      <c r="X999" s="16"/>
    </row>
    <row r="1000" spans="1:24">
      <c r="A1000" s="19">
        <v>46161</v>
      </c>
      <c r="B1000" s="18" t="s">
        <v>710</v>
      </c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>
        <f t="shared" si="16"/>
        <v>0</v>
      </c>
      <c r="N1000" s="17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</row>
    <row r="1001" spans="1:24">
      <c r="A1001" s="19">
        <v>46162</v>
      </c>
      <c r="B1001" s="18" t="s">
        <v>710</v>
      </c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6">
        <f t="shared" si="16"/>
        <v>0</v>
      </c>
      <c r="N1001" s="17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</row>
    <row r="1002" spans="1:24">
      <c r="A1002" s="19">
        <v>46163</v>
      </c>
      <c r="B1002" s="18" t="s">
        <v>710</v>
      </c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6">
        <f t="shared" si="16"/>
        <v>0</v>
      </c>
      <c r="N1002" s="17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</row>
    <row r="1003" spans="1:24">
      <c r="A1003" s="19">
        <v>46164</v>
      </c>
      <c r="B1003" s="18" t="s">
        <v>710</v>
      </c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16">
        <f t="shared" si="16"/>
        <v>0</v>
      </c>
      <c r="N1003" s="17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</row>
    <row r="1004" spans="1:24">
      <c r="A1004" s="19">
        <v>46165</v>
      </c>
      <c r="B1004" s="18" t="s">
        <v>710</v>
      </c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16">
        <f t="shared" si="16"/>
        <v>0</v>
      </c>
      <c r="N1004" s="17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</row>
    <row r="1005" spans="1:24">
      <c r="A1005" s="19">
        <v>46166</v>
      </c>
      <c r="B1005" s="18" t="s">
        <v>710</v>
      </c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16">
        <f t="shared" si="16"/>
        <v>0</v>
      </c>
      <c r="N1005" s="17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</row>
    <row r="1006" spans="1:24">
      <c r="A1006" s="19">
        <v>46167</v>
      </c>
      <c r="B1006" s="18" t="s">
        <v>710</v>
      </c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16">
        <f t="shared" si="16"/>
        <v>0</v>
      </c>
      <c r="N1006" s="17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</row>
    <row r="1007" spans="1:24">
      <c r="A1007" s="19">
        <v>46168</v>
      </c>
      <c r="B1007" s="18" t="s">
        <v>710</v>
      </c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16">
        <f t="shared" si="16"/>
        <v>0</v>
      </c>
      <c r="N1007" s="17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</row>
    <row r="1008" spans="1:24">
      <c r="A1008" s="19">
        <v>46169</v>
      </c>
      <c r="B1008" s="18" t="s">
        <v>710</v>
      </c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16">
        <f t="shared" si="16"/>
        <v>0</v>
      </c>
      <c r="N1008" s="17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</row>
    <row r="1009" spans="1:24">
      <c r="A1009" s="19">
        <v>46170</v>
      </c>
      <c r="B1009" s="18" t="s">
        <v>710</v>
      </c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6">
        <f t="shared" si="16"/>
        <v>0</v>
      </c>
      <c r="N1009" s="17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</row>
    <row r="1010" spans="1:24">
      <c r="A1010" s="19">
        <v>46171</v>
      </c>
      <c r="B1010" s="18" t="s">
        <v>710</v>
      </c>
      <c r="C1010" s="16"/>
      <c r="D1010" s="16"/>
      <c r="E1010" s="16"/>
      <c r="F1010" s="16"/>
      <c r="G1010" s="16"/>
      <c r="H1010" s="16"/>
      <c r="I1010" s="16"/>
      <c r="J1010" s="16"/>
      <c r="K1010" s="16"/>
      <c r="L1010" s="16"/>
      <c r="M1010" s="16">
        <f t="shared" si="16"/>
        <v>0</v>
      </c>
      <c r="N1010" s="17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</row>
    <row r="1011" spans="1:24">
      <c r="A1011" s="19">
        <v>46172</v>
      </c>
      <c r="B1011" s="18" t="s">
        <v>710</v>
      </c>
      <c r="C1011" s="16"/>
      <c r="D1011" s="16"/>
      <c r="E1011" s="16"/>
      <c r="F1011" s="16"/>
      <c r="G1011" s="16"/>
      <c r="H1011" s="16"/>
      <c r="I1011" s="16"/>
      <c r="J1011" s="16"/>
      <c r="K1011" s="16"/>
      <c r="L1011" s="16"/>
      <c r="M1011" s="16">
        <f t="shared" si="16"/>
        <v>0</v>
      </c>
      <c r="N1011" s="17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</row>
    <row r="1012" spans="1:24">
      <c r="A1012" s="19">
        <v>46173</v>
      </c>
      <c r="B1012" s="18" t="s">
        <v>710</v>
      </c>
      <c r="C1012" s="16"/>
      <c r="D1012" s="16"/>
      <c r="E1012" s="16"/>
      <c r="F1012" s="16"/>
      <c r="G1012" s="16"/>
      <c r="H1012" s="16"/>
      <c r="I1012" s="16"/>
      <c r="J1012" s="16"/>
      <c r="K1012" s="16"/>
      <c r="L1012" s="16"/>
      <c r="M1012" s="16">
        <f t="shared" si="16"/>
        <v>0</v>
      </c>
      <c r="N1012" s="17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</row>
    <row r="1013" spans="1:24">
      <c r="A1013" s="19">
        <v>46174</v>
      </c>
      <c r="B1013" s="18" t="s">
        <v>710</v>
      </c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6">
        <f t="shared" si="16"/>
        <v>0</v>
      </c>
      <c r="N1013" s="17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</row>
    <row r="1014" spans="1:24">
      <c r="A1014" s="19">
        <v>46175</v>
      </c>
      <c r="B1014" s="18" t="s">
        <v>710</v>
      </c>
      <c r="C1014" s="16"/>
      <c r="D1014" s="16"/>
      <c r="E1014" s="16"/>
      <c r="F1014" s="16"/>
      <c r="G1014" s="16"/>
      <c r="H1014" s="16"/>
      <c r="I1014" s="16"/>
      <c r="J1014" s="16"/>
      <c r="K1014" s="16"/>
      <c r="L1014" s="16"/>
      <c r="M1014" s="16">
        <f t="shared" si="16"/>
        <v>0</v>
      </c>
      <c r="N1014" s="17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</row>
    <row r="1015" spans="1:24">
      <c r="A1015" s="19">
        <v>46176</v>
      </c>
      <c r="B1015" s="18" t="s">
        <v>710</v>
      </c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6">
        <f t="shared" si="16"/>
        <v>0</v>
      </c>
      <c r="N1015" s="17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</row>
    <row r="1016" spans="1:24">
      <c r="A1016" s="19">
        <v>46177</v>
      </c>
      <c r="B1016" s="18" t="s">
        <v>710</v>
      </c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6">
        <f t="shared" si="16"/>
        <v>0</v>
      </c>
      <c r="N1016" s="17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</row>
    <row r="1017" spans="1:24">
      <c r="A1017" s="19">
        <v>46178</v>
      </c>
      <c r="B1017" s="18" t="s">
        <v>710</v>
      </c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6">
        <f t="shared" si="16"/>
        <v>0</v>
      </c>
      <c r="N1017" s="17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</row>
    <row r="1018" spans="1:24">
      <c r="A1018" s="19">
        <v>46179</v>
      </c>
      <c r="B1018" s="18" t="s">
        <v>710</v>
      </c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6">
        <f t="shared" si="16"/>
        <v>0</v>
      </c>
      <c r="N1018" s="17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</row>
    <row r="1019" spans="1:24">
      <c r="A1019" s="19">
        <v>46180</v>
      </c>
      <c r="B1019" s="18" t="s">
        <v>710</v>
      </c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6">
        <f t="shared" si="16"/>
        <v>0</v>
      </c>
      <c r="N1019" s="17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</row>
    <row r="1020" spans="1:24">
      <c r="A1020" s="19">
        <v>46181</v>
      </c>
      <c r="B1020" s="18" t="s">
        <v>710</v>
      </c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6">
        <f t="shared" si="16"/>
        <v>0</v>
      </c>
      <c r="N1020" s="17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</row>
    <row r="1021" spans="1:24">
      <c r="A1021" s="19">
        <v>46182</v>
      </c>
      <c r="B1021" s="18" t="s">
        <v>710</v>
      </c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6">
        <f t="shared" si="16"/>
        <v>0</v>
      </c>
      <c r="N1021" s="17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</row>
    <row r="1022" spans="1:24">
      <c r="A1022" s="19">
        <v>46183</v>
      </c>
      <c r="B1022" s="18" t="s">
        <v>710</v>
      </c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6">
        <f t="shared" si="16"/>
        <v>0</v>
      </c>
      <c r="N1022" s="17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</row>
    <row r="1023" spans="1:24">
      <c r="A1023" s="19">
        <v>46184</v>
      </c>
      <c r="B1023" s="18" t="s">
        <v>710</v>
      </c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6">
        <f t="shared" si="16"/>
        <v>0</v>
      </c>
      <c r="N1023" s="17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</row>
    <row r="1024" spans="1:24">
      <c r="A1024" s="19">
        <v>46185</v>
      </c>
      <c r="B1024" s="18" t="s">
        <v>710</v>
      </c>
      <c r="C1024" s="16"/>
      <c r="D1024" s="16"/>
      <c r="E1024" s="16"/>
      <c r="F1024" s="16"/>
      <c r="G1024" s="16"/>
      <c r="H1024" s="16"/>
      <c r="I1024" s="16"/>
      <c r="J1024" s="16"/>
      <c r="K1024" s="16"/>
      <c r="L1024" s="16"/>
      <c r="M1024" s="16">
        <f t="shared" si="16"/>
        <v>0</v>
      </c>
      <c r="N1024" s="17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</row>
    <row r="1025" spans="1:24">
      <c r="A1025" s="19">
        <v>46186</v>
      </c>
      <c r="B1025" s="18" t="s">
        <v>710</v>
      </c>
      <c r="C1025" s="16"/>
      <c r="D1025" s="16"/>
      <c r="E1025" s="16"/>
      <c r="F1025" s="16"/>
      <c r="G1025" s="16"/>
      <c r="H1025" s="16"/>
      <c r="I1025" s="16"/>
      <c r="J1025" s="16"/>
      <c r="K1025" s="16"/>
      <c r="L1025" s="16"/>
      <c r="M1025" s="16">
        <f t="shared" si="16"/>
        <v>0</v>
      </c>
      <c r="N1025" s="17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</row>
    <row r="1026" spans="1:24">
      <c r="A1026" s="19">
        <v>46187</v>
      </c>
      <c r="B1026" s="18" t="s">
        <v>710</v>
      </c>
      <c r="C1026" s="16"/>
      <c r="D1026" s="16"/>
      <c r="E1026" s="16"/>
      <c r="F1026" s="16"/>
      <c r="G1026" s="16"/>
      <c r="H1026" s="16"/>
      <c r="I1026" s="16"/>
      <c r="J1026" s="16"/>
      <c r="K1026" s="16"/>
      <c r="L1026" s="16"/>
      <c r="M1026" s="16">
        <f t="shared" si="16"/>
        <v>0</v>
      </c>
      <c r="N1026" s="17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</row>
    <row r="1027" spans="1:24">
      <c r="A1027" s="19">
        <v>46188</v>
      </c>
      <c r="B1027" s="18" t="s">
        <v>710</v>
      </c>
      <c r="C1027" s="16"/>
      <c r="D1027" s="16"/>
      <c r="E1027" s="16"/>
      <c r="F1027" s="16"/>
      <c r="G1027" s="16"/>
      <c r="H1027" s="16"/>
      <c r="I1027" s="16"/>
      <c r="J1027" s="16"/>
      <c r="K1027" s="16"/>
      <c r="L1027" s="16"/>
      <c r="M1027" s="16">
        <f t="shared" ref="M1027:M1090" si="17">N1027-SUM(C1027:L1027)</f>
        <v>0</v>
      </c>
      <c r="N1027" s="17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</row>
    <row r="1028" spans="1:24">
      <c r="A1028" s="19">
        <v>46189</v>
      </c>
      <c r="B1028" s="18" t="s">
        <v>710</v>
      </c>
      <c r="C1028" s="16"/>
      <c r="D1028" s="16"/>
      <c r="E1028" s="16"/>
      <c r="F1028" s="16"/>
      <c r="G1028" s="16"/>
      <c r="H1028" s="16"/>
      <c r="I1028" s="16"/>
      <c r="J1028" s="16"/>
      <c r="K1028" s="16"/>
      <c r="L1028" s="16"/>
      <c r="M1028" s="16">
        <f t="shared" si="17"/>
        <v>0</v>
      </c>
      <c r="N1028" s="17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</row>
    <row r="1029" spans="1:24">
      <c r="A1029" s="19">
        <v>46190</v>
      </c>
      <c r="B1029" s="18" t="s">
        <v>710</v>
      </c>
      <c r="C1029" s="16"/>
      <c r="D1029" s="16"/>
      <c r="E1029" s="16"/>
      <c r="F1029" s="16"/>
      <c r="G1029" s="16"/>
      <c r="H1029" s="16"/>
      <c r="I1029" s="16"/>
      <c r="J1029" s="16"/>
      <c r="K1029" s="16"/>
      <c r="L1029" s="16"/>
      <c r="M1029" s="16">
        <f t="shared" si="17"/>
        <v>0</v>
      </c>
      <c r="N1029" s="17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</row>
    <row r="1030" spans="1:24">
      <c r="A1030" s="19">
        <v>46191</v>
      </c>
      <c r="B1030" s="18" t="s">
        <v>710</v>
      </c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6">
        <f t="shared" si="17"/>
        <v>0</v>
      </c>
      <c r="N1030" s="17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</row>
    <row r="1031" spans="1:24">
      <c r="A1031" s="19">
        <v>46192</v>
      </c>
      <c r="B1031" s="18" t="s">
        <v>710</v>
      </c>
      <c r="C1031" s="16"/>
      <c r="D1031" s="16"/>
      <c r="E1031" s="16"/>
      <c r="F1031" s="16"/>
      <c r="G1031" s="16"/>
      <c r="H1031" s="16"/>
      <c r="I1031" s="16"/>
      <c r="J1031" s="16"/>
      <c r="K1031" s="16"/>
      <c r="L1031" s="16"/>
      <c r="M1031" s="16">
        <f t="shared" si="17"/>
        <v>0</v>
      </c>
      <c r="N1031" s="17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</row>
    <row r="1032" spans="1:24">
      <c r="A1032" s="19">
        <v>46193</v>
      </c>
      <c r="B1032" s="18" t="s">
        <v>710</v>
      </c>
      <c r="C1032" s="16"/>
      <c r="D1032" s="16"/>
      <c r="E1032" s="16"/>
      <c r="F1032" s="16"/>
      <c r="G1032" s="16"/>
      <c r="H1032" s="16"/>
      <c r="I1032" s="16"/>
      <c r="J1032" s="16"/>
      <c r="K1032" s="16"/>
      <c r="L1032" s="16"/>
      <c r="M1032" s="16">
        <f t="shared" si="17"/>
        <v>0</v>
      </c>
      <c r="N1032" s="17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</row>
    <row r="1033" spans="1:24">
      <c r="A1033" s="19">
        <v>46194</v>
      </c>
      <c r="B1033" s="18" t="s">
        <v>710</v>
      </c>
      <c r="C1033" s="16"/>
      <c r="D1033" s="16"/>
      <c r="E1033" s="16"/>
      <c r="F1033" s="16"/>
      <c r="G1033" s="16"/>
      <c r="H1033" s="16"/>
      <c r="I1033" s="16"/>
      <c r="J1033" s="16"/>
      <c r="K1033" s="16"/>
      <c r="L1033" s="16"/>
      <c r="M1033" s="16">
        <f t="shared" si="17"/>
        <v>0</v>
      </c>
      <c r="N1033" s="17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</row>
    <row r="1034" spans="1:24">
      <c r="A1034" s="19">
        <v>46195</v>
      </c>
      <c r="B1034" s="18" t="s">
        <v>710</v>
      </c>
      <c r="C1034" s="16"/>
      <c r="D1034" s="16"/>
      <c r="E1034" s="16"/>
      <c r="F1034" s="16"/>
      <c r="G1034" s="16"/>
      <c r="H1034" s="16"/>
      <c r="I1034" s="16"/>
      <c r="J1034" s="16"/>
      <c r="K1034" s="16"/>
      <c r="L1034" s="16"/>
      <c r="M1034" s="16">
        <f t="shared" si="17"/>
        <v>0</v>
      </c>
      <c r="N1034" s="17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</row>
    <row r="1035" spans="1:24">
      <c r="A1035" s="19">
        <v>46196</v>
      </c>
      <c r="B1035" s="18" t="s">
        <v>710</v>
      </c>
      <c r="C1035" s="16"/>
      <c r="D1035" s="16"/>
      <c r="E1035" s="16"/>
      <c r="F1035" s="16"/>
      <c r="G1035" s="16"/>
      <c r="H1035" s="16"/>
      <c r="I1035" s="16"/>
      <c r="J1035" s="16"/>
      <c r="K1035" s="16"/>
      <c r="L1035" s="16"/>
      <c r="M1035" s="16">
        <f t="shared" si="17"/>
        <v>0</v>
      </c>
      <c r="N1035" s="17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</row>
    <row r="1036" spans="1:24">
      <c r="A1036" s="19">
        <v>46197</v>
      </c>
      <c r="B1036" s="18" t="s">
        <v>710</v>
      </c>
      <c r="C1036" s="16"/>
      <c r="D1036" s="16"/>
      <c r="E1036" s="16"/>
      <c r="F1036" s="16"/>
      <c r="G1036" s="16"/>
      <c r="H1036" s="16"/>
      <c r="I1036" s="16"/>
      <c r="J1036" s="16"/>
      <c r="K1036" s="16"/>
      <c r="L1036" s="16"/>
      <c r="M1036" s="16">
        <f t="shared" si="17"/>
        <v>0</v>
      </c>
      <c r="N1036" s="17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</row>
    <row r="1037" spans="1:24">
      <c r="A1037" s="19">
        <v>46198</v>
      </c>
      <c r="B1037" s="18" t="s">
        <v>710</v>
      </c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6">
        <f t="shared" si="17"/>
        <v>0</v>
      </c>
      <c r="N1037" s="17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</row>
    <row r="1038" spans="1:24">
      <c r="A1038" s="19">
        <v>46199</v>
      </c>
      <c r="B1038" s="18" t="s">
        <v>710</v>
      </c>
      <c r="C1038" s="16"/>
      <c r="D1038" s="16"/>
      <c r="E1038" s="16"/>
      <c r="F1038" s="16"/>
      <c r="G1038" s="16"/>
      <c r="H1038" s="16"/>
      <c r="I1038" s="16"/>
      <c r="J1038" s="16"/>
      <c r="K1038" s="16"/>
      <c r="L1038" s="16"/>
      <c r="M1038" s="16">
        <f t="shared" si="17"/>
        <v>0</v>
      </c>
      <c r="N1038" s="17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</row>
    <row r="1039" spans="1:24">
      <c r="A1039" s="19">
        <v>46200</v>
      </c>
      <c r="B1039" s="18" t="s">
        <v>710</v>
      </c>
      <c r="C1039" s="16"/>
      <c r="D1039" s="16"/>
      <c r="E1039" s="16"/>
      <c r="F1039" s="16"/>
      <c r="G1039" s="16"/>
      <c r="H1039" s="16"/>
      <c r="I1039" s="16"/>
      <c r="J1039" s="16"/>
      <c r="K1039" s="16"/>
      <c r="L1039" s="16"/>
      <c r="M1039" s="16">
        <f t="shared" si="17"/>
        <v>0</v>
      </c>
      <c r="N1039" s="17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</row>
    <row r="1040" spans="1:24">
      <c r="A1040" s="19">
        <v>46201</v>
      </c>
      <c r="B1040" s="18" t="s">
        <v>710</v>
      </c>
      <c r="C1040" s="16"/>
      <c r="D1040" s="16"/>
      <c r="E1040" s="16"/>
      <c r="F1040" s="16"/>
      <c r="G1040" s="16"/>
      <c r="H1040" s="16"/>
      <c r="I1040" s="16"/>
      <c r="J1040" s="16"/>
      <c r="K1040" s="16"/>
      <c r="L1040" s="16"/>
      <c r="M1040" s="16">
        <f t="shared" si="17"/>
        <v>0</v>
      </c>
      <c r="N1040" s="17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</row>
    <row r="1041" spans="1:24">
      <c r="A1041" s="19">
        <v>46202</v>
      </c>
      <c r="B1041" s="18" t="s">
        <v>710</v>
      </c>
      <c r="C1041" s="16"/>
      <c r="D1041" s="16"/>
      <c r="E1041" s="16"/>
      <c r="F1041" s="16"/>
      <c r="G1041" s="16"/>
      <c r="H1041" s="16"/>
      <c r="I1041" s="16"/>
      <c r="J1041" s="16"/>
      <c r="K1041" s="16"/>
      <c r="L1041" s="16"/>
      <c r="M1041" s="16">
        <f t="shared" si="17"/>
        <v>0</v>
      </c>
      <c r="N1041" s="17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</row>
    <row r="1042" spans="1:24">
      <c r="A1042" s="19">
        <v>46203</v>
      </c>
      <c r="B1042" s="18" t="s">
        <v>710</v>
      </c>
      <c r="C1042" s="16"/>
      <c r="D1042" s="16"/>
      <c r="E1042" s="16"/>
      <c r="F1042" s="16"/>
      <c r="G1042" s="16"/>
      <c r="H1042" s="16"/>
      <c r="I1042" s="16"/>
      <c r="J1042" s="16"/>
      <c r="K1042" s="16"/>
      <c r="L1042" s="16"/>
      <c r="M1042" s="16">
        <f t="shared" si="17"/>
        <v>0</v>
      </c>
      <c r="N1042" s="17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</row>
    <row r="1043" spans="1:24">
      <c r="A1043" s="19">
        <v>46204</v>
      </c>
      <c r="B1043" s="18" t="s">
        <v>710</v>
      </c>
      <c r="C1043" s="16"/>
      <c r="D1043" s="16"/>
      <c r="E1043" s="16"/>
      <c r="F1043" s="16"/>
      <c r="G1043" s="16"/>
      <c r="H1043" s="16"/>
      <c r="I1043" s="16"/>
      <c r="J1043" s="16"/>
      <c r="K1043" s="16"/>
      <c r="L1043" s="16"/>
      <c r="M1043" s="16">
        <f t="shared" si="17"/>
        <v>0</v>
      </c>
      <c r="N1043" s="17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</row>
    <row r="1044" spans="1:24">
      <c r="A1044" s="19">
        <v>46205</v>
      </c>
      <c r="B1044" s="18" t="s">
        <v>710</v>
      </c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6">
        <f t="shared" si="17"/>
        <v>0</v>
      </c>
      <c r="N1044" s="17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</row>
    <row r="1045" spans="1:24">
      <c r="A1045" s="19">
        <v>46206</v>
      </c>
      <c r="B1045" s="18" t="s">
        <v>710</v>
      </c>
      <c r="C1045" s="16"/>
      <c r="D1045" s="16"/>
      <c r="E1045" s="16"/>
      <c r="F1045" s="16"/>
      <c r="G1045" s="16"/>
      <c r="H1045" s="16"/>
      <c r="I1045" s="16"/>
      <c r="J1045" s="16"/>
      <c r="K1045" s="16"/>
      <c r="L1045" s="16"/>
      <c r="M1045" s="16">
        <f t="shared" si="17"/>
        <v>0</v>
      </c>
      <c r="N1045" s="17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</row>
    <row r="1046" spans="1:24">
      <c r="A1046" s="19">
        <v>46207</v>
      </c>
      <c r="B1046" s="18" t="s">
        <v>710</v>
      </c>
      <c r="C1046" s="16"/>
      <c r="D1046" s="16"/>
      <c r="E1046" s="16"/>
      <c r="F1046" s="16"/>
      <c r="G1046" s="16"/>
      <c r="H1046" s="16"/>
      <c r="I1046" s="16"/>
      <c r="J1046" s="16"/>
      <c r="K1046" s="16"/>
      <c r="L1046" s="16"/>
      <c r="M1046" s="16">
        <f t="shared" si="17"/>
        <v>0</v>
      </c>
      <c r="N1046" s="17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</row>
    <row r="1047" spans="1:24">
      <c r="A1047" s="19">
        <v>46208</v>
      </c>
      <c r="B1047" s="18" t="s">
        <v>710</v>
      </c>
      <c r="C1047" s="16"/>
      <c r="D1047" s="16"/>
      <c r="E1047" s="16"/>
      <c r="F1047" s="16"/>
      <c r="G1047" s="16"/>
      <c r="H1047" s="16"/>
      <c r="I1047" s="16"/>
      <c r="J1047" s="16"/>
      <c r="K1047" s="16"/>
      <c r="L1047" s="16"/>
      <c r="M1047" s="16">
        <f t="shared" si="17"/>
        <v>0</v>
      </c>
      <c r="N1047" s="17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</row>
    <row r="1048" spans="1:24">
      <c r="A1048" s="19">
        <v>46209</v>
      </c>
      <c r="B1048" s="18" t="s">
        <v>710</v>
      </c>
      <c r="C1048" s="16"/>
      <c r="D1048" s="16"/>
      <c r="E1048" s="16"/>
      <c r="F1048" s="16"/>
      <c r="G1048" s="16"/>
      <c r="H1048" s="16"/>
      <c r="I1048" s="16"/>
      <c r="J1048" s="16"/>
      <c r="K1048" s="16"/>
      <c r="L1048" s="16"/>
      <c r="M1048" s="16">
        <f t="shared" si="17"/>
        <v>0</v>
      </c>
      <c r="N1048" s="17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</row>
    <row r="1049" spans="1:24">
      <c r="A1049" s="19">
        <v>46210</v>
      </c>
      <c r="B1049" s="18" t="s">
        <v>710</v>
      </c>
      <c r="C1049" s="16"/>
      <c r="D1049" s="16"/>
      <c r="E1049" s="16"/>
      <c r="F1049" s="16"/>
      <c r="G1049" s="16"/>
      <c r="H1049" s="16"/>
      <c r="I1049" s="16"/>
      <c r="J1049" s="16"/>
      <c r="K1049" s="16"/>
      <c r="L1049" s="16"/>
      <c r="M1049" s="16">
        <f t="shared" si="17"/>
        <v>0</v>
      </c>
      <c r="N1049" s="17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</row>
    <row r="1050" spans="1:24">
      <c r="A1050" s="19">
        <v>46211</v>
      </c>
      <c r="B1050" s="18" t="s">
        <v>710</v>
      </c>
      <c r="C1050" s="16"/>
      <c r="D1050" s="16"/>
      <c r="E1050" s="16"/>
      <c r="F1050" s="16"/>
      <c r="G1050" s="16"/>
      <c r="H1050" s="16"/>
      <c r="I1050" s="16"/>
      <c r="J1050" s="16"/>
      <c r="K1050" s="16"/>
      <c r="L1050" s="16"/>
      <c r="M1050" s="16">
        <f t="shared" si="17"/>
        <v>0</v>
      </c>
      <c r="N1050" s="17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</row>
    <row r="1051" spans="1:24">
      <c r="A1051" s="19">
        <v>46212</v>
      </c>
      <c r="B1051" s="18" t="s">
        <v>710</v>
      </c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6">
        <f t="shared" si="17"/>
        <v>0</v>
      </c>
      <c r="N1051" s="17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</row>
    <row r="1052" spans="1:24">
      <c r="A1052" s="19">
        <v>46213</v>
      </c>
      <c r="B1052" s="18" t="s">
        <v>710</v>
      </c>
      <c r="C1052" s="16"/>
      <c r="D1052" s="16"/>
      <c r="E1052" s="16"/>
      <c r="F1052" s="16"/>
      <c r="G1052" s="16"/>
      <c r="H1052" s="16"/>
      <c r="I1052" s="16"/>
      <c r="J1052" s="16"/>
      <c r="K1052" s="16"/>
      <c r="L1052" s="16"/>
      <c r="M1052" s="16">
        <f t="shared" si="17"/>
        <v>0</v>
      </c>
      <c r="N1052" s="17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</row>
    <row r="1053" spans="1:24">
      <c r="A1053" s="19">
        <v>46214</v>
      </c>
      <c r="B1053" s="18" t="s">
        <v>710</v>
      </c>
      <c r="C1053" s="16"/>
      <c r="D1053" s="16"/>
      <c r="E1053" s="16"/>
      <c r="F1053" s="16"/>
      <c r="G1053" s="16"/>
      <c r="H1053" s="16"/>
      <c r="I1053" s="16"/>
      <c r="J1053" s="16"/>
      <c r="K1053" s="16"/>
      <c r="L1053" s="16"/>
      <c r="M1053" s="16">
        <f t="shared" si="17"/>
        <v>0</v>
      </c>
      <c r="N1053" s="17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</row>
    <row r="1054" spans="1:24">
      <c r="A1054" s="19">
        <v>46215</v>
      </c>
      <c r="B1054" s="18" t="s">
        <v>710</v>
      </c>
      <c r="C1054" s="16"/>
      <c r="D1054" s="16"/>
      <c r="E1054" s="16"/>
      <c r="F1054" s="16"/>
      <c r="G1054" s="16"/>
      <c r="H1054" s="16"/>
      <c r="I1054" s="16"/>
      <c r="J1054" s="16"/>
      <c r="K1054" s="16"/>
      <c r="L1054" s="16"/>
      <c r="M1054" s="16">
        <f t="shared" si="17"/>
        <v>0</v>
      </c>
      <c r="N1054" s="17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</row>
    <row r="1055" spans="1:24">
      <c r="A1055" s="19">
        <v>46216</v>
      </c>
      <c r="B1055" s="18" t="s">
        <v>710</v>
      </c>
      <c r="C1055" s="16"/>
      <c r="D1055" s="16"/>
      <c r="E1055" s="16"/>
      <c r="F1055" s="16"/>
      <c r="G1055" s="16"/>
      <c r="H1055" s="16"/>
      <c r="I1055" s="16"/>
      <c r="J1055" s="16"/>
      <c r="K1055" s="16"/>
      <c r="L1055" s="16"/>
      <c r="M1055" s="16">
        <f t="shared" si="17"/>
        <v>0</v>
      </c>
      <c r="N1055" s="17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</row>
    <row r="1056" spans="1:24">
      <c r="A1056" s="19">
        <v>46217</v>
      </c>
      <c r="B1056" s="18" t="s">
        <v>710</v>
      </c>
      <c r="C1056" s="16"/>
      <c r="D1056" s="16"/>
      <c r="E1056" s="16"/>
      <c r="F1056" s="16"/>
      <c r="G1056" s="16"/>
      <c r="H1056" s="16"/>
      <c r="I1056" s="16"/>
      <c r="J1056" s="16"/>
      <c r="K1056" s="16"/>
      <c r="L1056" s="16"/>
      <c r="M1056" s="16">
        <f t="shared" si="17"/>
        <v>0</v>
      </c>
      <c r="N1056" s="17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</row>
    <row r="1057" spans="1:24">
      <c r="A1057" s="19">
        <v>46218</v>
      </c>
      <c r="B1057" s="18" t="s">
        <v>710</v>
      </c>
      <c r="C1057" s="16"/>
      <c r="D1057" s="16"/>
      <c r="E1057" s="16"/>
      <c r="F1057" s="16"/>
      <c r="G1057" s="16"/>
      <c r="H1057" s="16"/>
      <c r="I1057" s="16"/>
      <c r="J1057" s="16"/>
      <c r="K1057" s="16"/>
      <c r="L1057" s="16"/>
      <c r="M1057" s="16">
        <f t="shared" si="17"/>
        <v>0</v>
      </c>
      <c r="N1057" s="17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</row>
    <row r="1058" spans="1:24">
      <c r="A1058" s="19">
        <v>46219</v>
      </c>
      <c r="B1058" s="18" t="s">
        <v>710</v>
      </c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6">
        <f t="shared" si="17"/>
        <v>0</v>
      </c>
      <c r="N1058" s="17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</row>
    <row r="1059" spans="1:24">
      <c r="A1059" s="19">
        <v>46220</v>
      </c>
      <c r="B1059" s="18" t="s">
        <v>710</v>
      </c>
      <c r="C1059" s="16"/>
      <c r="D1059" s="16"/>
      <c r="E1059" s="16"/>
      <c r="F1059" s="16"/>
      <c r="G1059" s="16"/>
      <c r="H1059" s="16"/>
      <c r="I1059" s="16"/>
      <c r="J1059" s="16"/>
      <c r="K1059" s="16"/>
      <c r="L1059" s="16"/>
      <c r="M1059" s="16">
        <f t="shared" si="17"/>
        <v>0</v>
      </c>
      <c r="N1059" s="17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</row>
    <row r="1060" spans="1:24">
      <c r="A1060" s="19">
        <v>46221</v>
      </c>
      <c r="B1060" s="18" t="s">
        <v>710</v>
      </c>
      <c r="C1060" s="16"/>
      <c r="D1060" s="16"/>
      <c r="E1060" s="16"/>
      <c r="F1060" s="16"/>
      <c r="G1060" s="16"/>
      <c r="H1060" s="16"/>
      <c r="I1060" s="16"/>
      <c r="J1060" s="16"/>
      <c r="K1060" s="16"/>
      <c r="L1060" s="16"/>
      <c r="M1060" s="16">
        <f t="shared" si="17"/>
        <v>0</v>
      </c>
      <c r="N1060" s="17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</row>
    <row r="1061" spans="1:24">
      <c r="A1061" s="19">
        <v>46222</v>
      </c>
      <c r="B1061" s="18" t="s">
        <v>710</v>
      </c>
      <c r="C1061" s="16"/>
      <c r="D1061" s="16"/>
      <c r="E1061" s="16"/>
      <c r="F1061" s="16"/>
      <c r="G1061" s="16"/>
      <c r="H1061" s="16"/>
      <c r="I1061" s="16"/>
      <c r="J1061" s="16"/>
      <c r="K1061" s="16"/>
      <c r="L1061" s="16"/>
      <c r="M1061" s="16">
        <f t="shared" si="17"/>
        <v>0</v>
      </c>
      <c r="N1061" s="17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</row>
    <row r="1062" spans="1:24">
      <c r="A1062" s="19">
        <v>46223</v>
      </c>
      <c r="B1062" s="18" t="s">
        <v>710</v>
      </c>
      <c r="C1062" s="16"/>
      <c r="D1062" s="16"/>
      <c r="E1062" s="16"/>
      <c r="F1062" s="16"/>
      <c r="G1062" s="16"/>
      <c r="H1062" s="16"/>
      <c r="I1062" s="16"/>
      <c r="J1062" s="16"/>
      <c r="K1062" s="16"/>
      <c r="L1062" s="16"/>
      <c r="M1062" s="16">
        <f t="shared" si="17"/>
        <v>0</v>
      </c>
      <c r="N1062" s="17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</row>
    <row r="1063" spans="1:24">
      <c r="A1063" s="19">
        <v>46224</v>
      </c>
      <c r="B1063" s="18" t="s">
        <v>710</v>
      </c>
      <c r="C1063" s="16"/>
      <c r="D1063" s="16"/>
      <c r="E1063" s="16"/>
      <c r="F1063" s="16"/>
      <c r="G1063" s="16"/>
      <c r="H1063" s="16"/>
      <c r="I1063" s="16"/>
      <c r="J1063" s="16"/>
      <c r="K1063" s="16"/>
      <c r="L1063" s="16"/>
      <c r="M1063" s="16">
        <f t="shared" si="17"/>
        <v>0</v>
      </c>
      <c r="N1063" s="17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</row>
    <row r="1064" spans="1:24">
      <c r="A1064" s="19">
        <v>46225</v>
      </c>
      <c r="B1064" s="18" t="s">
        <v>710</v>
      </c>
      <c r="C1064" s="16"/>
      <c r="D1064" s="16"/>
      <c r="E1064" s="16"/>
      <c r="F1064" s="16"/>
      <c r="G1064" s="16"/>
      <c r="H1064" s="16"/>
      <c r="I1064" s="16"/>
      <c r="J1064" s="16"/>
      <c r="K1064" s="16"/>
      <c r="L1064" s="16"/>
      <c r="M1064" s="16">
        <f t="shared" si="17"/>
        <v>0</v>
      </c>
      <c r="N1064" s="17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</row>
    <row r="1065" spans="1:24">
      <c r="A1065" s="19">
        <v>46226</v>
      </c>
      <c r="B1065" s="18" t="s">
        <v>710</v>
      </c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6">
        <f t="shared" si="17"/>
        <v>0</v>
      </c>
      <c r="N1065" s="17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</row>
    <row r="1066" spans="1:24">
      <c r="A1066" s="19">
        <v>46227</v>
      </c>
      <c r="B1066" s="18" t="s">
        <v>710</v>
      </c>
      <c r="C1066" s="16"/>
      <c r="D1066" s="16"/>
      <c r="E1066" s="16"/>
      <c r="F1066" s="16"/>
      <c r="G1066" s="16"/>
      <c r="H1066" s="16"/>
      <c r="I1066" s="16"/>
      <c r="J1066" s="16"/>
      <c r="K1066" s="16"/>
      <c r="L1066" s="16"/>
      <c r="M1066" s="16">
        <f t="shared" si="17"/>
        <v>0</v>
      </c>
      <c r="N1066" s="17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</row>
    <row r="1067" spans="1:24">
      <c r="A1067" s="19">
        <v>46228</v>
      </c>
      <c r="B1067" s="18" t="s">
        <v>710</v>
      </c>
      <c r="C1067" s="16"/>
      <c r="D1067" s="16"/>
      <c r="E1067" s="16"/>
      <c r="F1067" s="16"/>
      <c r="G1067" s="16"/>
      <c r="H1067" s="16"/>
      <c r="I1067" s="16"/>
      <c r="J1067" s="16"/>
      <c r="K1067" s="16"/>
      <c r="L1067" s="16"/>
      <c r="M1067" s="16">
        <f t="shared" si="17"/>
        <v>0</v>
      </c>
      <c r="N1067" s="17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</row>
    <row r="1068" spans="1:24">
      <c r="A1068" s="19">
        <v>46229</v>
      </c>
      <c r="B1068" s="18" t="s">
        <v>710</v>
      </c>
      <c r="C1068" s="16"/>
      <c r="D1068" s="16"/>
      <c r="E1068" s="16"/>
      <c r="F1068" s="16"/>
      <c r="G1068" s="16"/>
      <c r="H1068" s="16"/>
      <c r="I1068" s="16"/>
      <c r="J1068" s="16"/>
      <c r="K1068" s="16"/>
      <c r="L1068" s="16"/>
      <c r="M1068" s="16">
        <f t="shared" si="17"/>
        <v>0</v>
      </c>
      <c r="N1068" s="17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</row>
    <row r="1069" spans="1:24">
      <c r="A1069" s="19">
        <v>46230</v>
      </c>
      <c r="B1069" s="18" t="s">
        <v>710</v>
      </c>
      <c r="C1069" s="16"/>
      <c r="D1069" s="16"/>
      <c r="E1069" s="16"/>
      <c r="F1069" s="16"/>
      <c r="G1069" s="16"/>
      <c r="H1069" s="16"/>
      <c r="I1069" s="16"/>
      <c r="J1069" s="16"/>
      <c r="K1069" s="16"/>
      <c r="L1069" s="16"/>
      <c r="M1069" s="16">
        <f t="shared" si="17"/>
        <v>0</v>
      </c>
      <c r="N1069" s="17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</row>
    <row r="1070" spans="1:24">
      <c r="A1070" s="19">
        <v>46231</v>
      </c>
      <c r="B1070" s="18" t="s">
        <v>710</v>
      </c>
      <c r="C1070" s="16"/>
      <c r="D1070" s="16"/>
      <c r="E1070" s="16"/>
      <c r="F1070" s="16"/>
      <c r="G1070" s="16"/>
      <c r="H1070" s="16"/>
      <c r="I1070" s="16"/>
      <c r="J1070" s="16"/>
      <c r="K1070" s="16"/>
      <c r="L1070" s="16"/>
      <c r="M1070" s="16">
        <f t="shared" si="17"/>
        <v>0</v>
      </c>
      <c r="N1070" s="17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</row>
    <row r="1071" spans="1:24">
      <c r="A1071" s="19">
        <v>46232</v>
      </c>
      <c r="B1071" s="18" t="s">
        <v>710</v>
      </c>
      <c r="C1071" s="16"/>
      <c r="D1071" s="16"/>
      <c r="E1071" s="16"/>
      <c r="F1071" s="16"/>
      <c r="G1071" s="16"/>
      <c r="H1071" s="16"/>
      <c r="I1071" s="16"/>
      <c r="J1071" s="16"/>
      <c r="K1071" s="16"/>
      <c r="L1071" s="16"/>
      <c r="M1071" s="16">
        <f t="shared" si="17"/>
        <v>0</v>
      </c>
      <c r="N1071" s="17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</row>
    <row r="1072" spans="1:24">
      <c r="A1072" s="19">
        <v>46233</v>
      </c>
      <c r="B1072" s="18" t="s">
        <v>710</v>
      </c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6">
        <f t="shared" si="17"/>
        <v>0</v>
      </c>
      <c r="N1072" s="17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</row>
    <row r="1073" spans="1:24">
      <c r="A1073" s="19">
        <v>46234</v>
      </c>
      <c r="B1073" s="18" t="s">
        <v>710</v>
      </c>
      <c r="C1073" s="16"/>
      <c r="D1073" s="16"/>
      <c r="E1073" s="16"/>
      <c r="F1073" s="16"/>
      <c r="G1073" s="16"/>
      <c r="H1073" s="16"/>
      <c r="I1073" s="16"/>
      <c r="J1073" s="16"/>
      <c r="K1073" s="16"/>
      <c r="L1073" s="16"/>
      <c r="M1073" s="16">
        <f t="shared" si="17"/>
        <v>0</v>
      </c>
      <c r="N1073" s="17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</row>
    <row r="1074" spans="1:24">
      <c r="A1074" s="19">
        <v>46235</v>
      </c>
      <c r="B1074" s="18" t="s">
        <v>710</v>
      </c>
      <c r="C1074" s="16"/>
      <c r="D1074" s="16"/>
      <c r="E1074" s="16"/>
      <c r="F1074" s="16"/>
      <c r="G1074" s="16"/>
      <c r="H1074" s="16"/>
      <c r="I1074" s="16"/>
      <c r="J1074" s="16"/>
      <c r="K1074" s="16"/>
      <c r="L1074" s="16"/>
      <c r="M1074" s="16">
        <f t="shared" si="17"/>
        <v>0</v>
      </c>
      <c r="N1074" s="17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</row>
    <row r="1075" spans="1:24">
      <c r="A1075" s="19">
        <v>46236</v>
      </c>
      <c r="B1075" s="18" t="s">
        <v>710</v>
      </c>
      <c r="C1075" s="16"/>
      <c r="D1075" s="16"/>
      <c r="E1075" s="16"/>
      <c r="F1075" s="16"/>
      <c r="G1075" s="16"/>
      <c r="H1075" s="16"/>
      <c r="I1075" s="16"/>
      <c r="J1075" s="16"/>
      <c r="K1075" s="16"/>
      <c r="L1075" s="16"/>
      <c r="M1075" s="16">
        <f t="shared" si="17"/>
        <v>0</v>
      </c>
      <c r="N1075" s="17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</row>
    <row r="1076" spans="1:24">
      <c r="A1076" s="19">
        <v>46237</v>
      </c>
      <c r="B1076" s="18" t="s">
        <v>710</v>
      </c>
      <c r="C1076" s="16"/>
      <c r="D1076" s="16"/>
      <c r="E1076" s="16"/>
      <c r="F1076" s="16"/>
      <c r="G1076" s="16"/>
      <c r="H1076" s="16"/>
      <c r="I1076" s="16"/>
      <c r="J1076" s="16"/>
      <c r="K1076" s="16"/>
      <c r="L1076" s="16"/>
      <c r="M1076" s="16">
        <f t="shared" si="17"/>
        <v>0</v>
      </c>
      <c r="N1076" s="17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</row>
    <row r="1077" spans="1:24">
      <c r="A1077" s="19">
        <v>46238</v>
      </c>
      <c r="B1077" s="18" t="s">
        <v>710</v>
      </c>
      <c r="C1077" s="16"/>
      <c r="D1077" s="16"/>
      <c r="E1077" s="16"/>
      <c r="F1077" s="16"/>
      <c r="G1077" s="16"/>
      <c r="H1077" s="16"/>
      <c r="I1077" s="16"/>
      <c r="J1077" s="16"/>
      <c r="K1077" s="16"/>
      <c r="L1077" s="16"/>
      <c r="M1077" s="16">
        <f t="shared" si="17"/>
        <v>0</v>
      </c>
      <c r="N1077" s="17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</row>
    <row r="1078" spans="1:24">
      <c r="A1078" s="19">
        <v>46239</v>
      </c>
      <c r="B1078" s="18" t="s">
        <v>710</v>
      </c>
      <c r="C1078" s="16"/>
      <c r="D1078" s="16"/>
      <c r="E1078" s="16"/>
      <c r="F1078" s="16"/>
      <c r="G1078" s="16"/>
      <c r="H1078" s="16"/>
      <c r="I1078" s="16"/>
      <c r="J1078" s="16"/>
      <c r="K1078" s="16"/>
      <c r="L1078" s="16"/>
      <c r="M1078" s="16">
        <f t="shared" si="17"/>
        <v>0</v>
      </c>
      <c r="N1078" s="17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</row>
    <row r="1079" spans="1:24">
      <c r="A1079" s="19">
        <v>46240</v>
      </c>
      <c r="B1079" s="18" t="s">
        <v>710</v>
      </c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6">
        <f t="shared" si="17"/>
        <v>0</v>
      </c>
      <c r="N1079" s="17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</row>
    <row r="1080" spans="1:24">
      <c r="A1080" s="19">
        <v>46241</v>
      </c>
      <c r="B1080" s="18" t="s">
        <v>710</v>
      </c>
      <c r="C1080" s="16"/>
      <c r="D1080" s="16"/>
      <c r="E1080" s="16"/>
      <c r="F1080" s="16"/>
      <c r="G1080" s="16"/>
      <c r="H1080" s="16"/>
      <c r="I1080" s="16"/>
      <c r="J1080" s="16"/>
      <c r="K1080" s="16"/>
      <c r="L1080" s="16"/>
      <c r="M1080" s="16">
        <f t="shared" si="17"/>
        <v>0</v>
      </c>
      <c r="N1080" s="17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</row>
    <row r="1081" spans="1:24">
      <c r="A1081" s="19">
        <v>46242</v>
      </c>
      <c r="B1081" s="18" t="s">
        <v>710</v>
      </c>
      <c r="C1081" s="16"/>
      <c r="D1081" s="16"/>
      <c r="E1081" s="16"/>
      <c r="F1081" s="16"/>
      <c r="G1081" s="16"/>
      <c r="H1081" s="16"/>
      <c r="I1081" s="16"/>
      <c r="J1081" s="16"/>
      <c r="K1081" s="16"/>
      <c r="L1081" s="16"/>
      <c r="M1081" s="16">
        <f t="shared" si="17"/>
        <v>0</v>
      </c>
      <c r="N1081" s="17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</row>
    <row r="1082" spans="1:24">
      <c r="A1082" s="19">
        <v>46243</v>
      </c>
      <c r="B1082" s="18" t="s">
        <v>710</v>
      </c>
      <c r="C1082" s="16"/>
      <c r="D1082" s="16"/>
      <c r="E1082" s="16"/>
      <c r="F1082" s="16"/>
      <c r="G1082" s="16"/>
      <c r="H1082" s="16"/>
      <c r="I1082" s="16"/>
      <c r="J1082" s="16"/>
      <c r="K1082" s="16"/>
      <c r="L1082" s="16"/>
      <c r="M1082" s="16">
        <f t="shared" si="17"/>
        <v>0</v>
      </c>
      <c r="N1082" s="17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</row>
    <row r="1083" spans="1:24">
      <c r="A1083" s="19">
        <v>46244</v>
      </c>
      <c r="B1083" s="18" t="s">
        <v>710</v>
      </c>
      <c r="C1083" s="16"/>
      <c r="D1083" s="16"/>
      <c r="E1083" s="16"/>
      <c r="F1083" s="16"/>
      <c r="G1083" s="16"/>
      <c r="H1083" s="16"/>
      <c r="I1083" s="16"/>
      <c r="J1083" s="16"/>
      <c r="K1083" s="16"/>
      <c r="L1083" s="16"/>
      <c r="M1083" s="16">
        <f t="shared" si="17"/>
        <v>0</v>
      </c>
      <c r="N1083" s="17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</row>
    <row r="1084" spans="1:24">
      <c r="A1084" s="19">
        <v>46245</v>
      </c>
      <c r="B1084" s="18" t="s">
        <v>710</v>
      </c>
      <c r="C1084" s="16"/>
      <c r="D1084" s="16"/>
      <c r="E1084" s="16"/>
      <c r="F1084" s="16"/>
      <c r="G1084" s="16"/>
      <c r="H1084" s="16"/>
      <c r="I1084" s="16"/>
      <c r="J1084" s="16"/>
      <c r="K1084" s="16"/>
      <c r="L1084" s="16"/>
      <c r="M1084" s="16">
        <f t="shared" si="17"/>
        <v>0</v>
      </c>
      <c r="N1084" s="17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</row>
    <row r="1085" spans="1:24">
      <c r="A1085" s="19">
        <v>46246</v>
      </c>
      <c r="B1085" s="18" t="s">
        <v>710</v>
      </c>
      <c r="C1085" s="16"/>
      <c r="D1085" s="16"/>
      <c r="E1085" s="16"/>
      <c r="F1085" s="16"/>
      <c r="G1085" s="16"/>
      <c r="H1085" s="16"/>
      <c r="I1085" s="16"/>
      <c r="J1085" s="16"/>
      <c r="K1085" s="16"/>
      <c r="L1085" s="16"/>
      <c r="M1085" s="16">
        <f t="shared" si="17"/>
        <v>0</v>
      </c>
      <c r="N1085" s="17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</row>
    <row r="1086" spans="1:24">
      <c r="A1086" s="19">
        <v>46247</v>
      </c>
      <c r="B1086" s="18" t="s">
        <v>710</v>
      </c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6">
        <f t="shared" si="17"/>
        <v>0</v>
      </c>
      <c r="N1086" s="17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</row>
    <row r="1087" spans="1:24">
      <c r="A1087" s="19">
        <v>46248</v>
      </c>
      <c r="B1087" s="18" t="s">
        <v>710</v>
      </c>
      <c r="C1087" s="16"/>
      <c r="D1087" s="16"/>
      <c r="E1087" s="16"/>
      <c r="F1087" s="16"/>
      <c r="G1087" s="16"/>
      <c r="H1087" s="16"/>
      <c r="I1087" s="16"/>
      <c r="J1087" s="16"/>
      <c r="K1087" s="16"/>
      <c r="L1087" s="16"/>
      <c r="M1087" s="16">
        <f t="shared" si="17"/>
        <v>0</v>
      </c>
      <c r="N1087" s="17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</row>
    <row r="1088" spans="1:24">
      <c r="A1088" s="19">
        <v>46249</v>
      </c>
      <c r="B1088" s="18" t="s">
        <v>710</v>
      </c>
      <c r="C1088" s="16"/>
      <c r="D1088" s="16"/>
      <c r="E1088" s="16"/>
      <c r="F1088" s="16"/>
      <c r="G1088" s="16"/>
      <c r="H1088" s="16"/>
      <c r="I1088" s="16"/>
      <c r="J1088" s="16"/>
      <c r="K1088" s="16"/>
      <c r="L1088" s="16"/>
      <c r="M1088" s="16">
        <f t="shared" si="17"/>
        <v>0</v>
      </c>
      <c r="N1088" s="17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</row>
    <row r="1089" spans="1:24">
      <c r="A1089" s="19">
        <v>46250</v>
      </c>
      <c r="B1089" s="18" t="s">
        <v>710</v>
      </c>
      <c r="C1089" s="16"/>
      <c r="D1089" s="16"/>
      <c r="E1089" s="16"/>
      <c r="F1089" s="16"/>
      <c r="G1089" s="16"/>
      <c r="H1089" s="16"/>
      <c r="I1089" s="16"/>
      <c r="J1089" s="16"/>
      <c r="K1089" s="16"/>
      <c r="L1089" s="16"/>
      <c r="M1089" s="16">
        <f t="shared" si="17"/>
        <v>0</v>
      </c>
      <c r="N1089" s="17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</row>
    <row r="1090" spans="1:24">
      <c r="A1090" s="19">
        <v>46251</v>
      </c>
      <c r="B1090" s="18" t="s">
        <v>710</v>
      </c>
      <c r="C1090" s="16"/>
      <c r="D1090" s="16"/>
      <c r="E1090" s="16"/>
      <c r="F1090" s="16"/>
      <c r="G1090" s="16"/>
      <c r="H1090" s="16"/>
      <c r="I1090" s="16"/>
      <c r="J1090" s="16"/>
      <c r="K1090" s="16"/>
      <c r="L1090" s="16"/>
      <c r="M1090" s="16">
        <f t="shared" si="17"/>
        <v>0</v>
      </c>
      <c r="N1090" s="17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</row>
    <row r="1091" spans="1:24">
      <c r="A1091" s="19">
        <v>46252</v>
      </c>
      <c r="B1091" s="18" t="s">
        <v>710</v>
      </c>
      <c r="C1091" s="16"/>
      <c r="D1091" s="16"/>
      <c r="E1091" s="16"/>
      <c r="F1091" s="16"/>
      <c r="G1091" s="16"/>
      <c r="H1091" s="16"/>
      <c r="I1091" s="16"/>
      <c r="J1091" s="16"/>
      <c r="K1091" s="16"/>
      <c r="L1091" s="16"/>
      <c r="M1091" s="16">
        <f t="shared" ref="M1091:M1154" si="18">N1091-SUM(C1091:L1091)</f>
        <v>0</v>
      </c>
      <c r="N1091" s="17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</row>
    <row r="1092" spans="1:24">
      <c r="A1092" s="19">
        <v>46253</v>
      </c>
      <c r="B1092" s="18" t="s">
        <v>710</v>
      </c>
      <c r="C1092" s="16"/>
      <c r="D1092" s="16"/>
      <c r="E1092" s="16"/>
      <c r="F1092" s="16"/>
      <c r="G1092" s="16"/>
      <c r="H1092" s="16"/>
      <c r="I1092" s="16"/>
      <c r="J1092" s="16"/>
      <c r="K1092" s="16"/>
      <c r="L1092" s="16"/>
      <c r="M1092" s="16">
        <f t="shared" si="18"/>
        <v>0</v>
      </c>
      <c r="N1092" s="17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</row>
    <row r="1093" spans="1:24">
      <c r="A1093" s="19">
        <v>46254</v>
      </c>
      <c r="B1093" s="18" t="s">
        <v>710</v>
      </c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6">
        <f t="shared" si="18"/>
        <v>0</v>
      </c>
      <c r="N1093" s="17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</row>
    <row r="1094" spans="1:24">
      <c r="A1094" s="19">
        <v>46255</v>
      </c>
      <c r="B1094" s="18" t="s">
        <v>710</v>
      </c>
      <c r="C1094" s="16"/>
      <c r="D1094" s="16"/>
      <c r="E1094" s="16"/>
      <c r="F1094" s="16"/>
      <c r="G1094" s="16"/>
      <c r="H1094" s="16"/>
      <c r="I1094" s="16"/>
      <c r="J1094" s="16"/>
      <c r="K1094" s="16"/>
      <c r="L1094" s="16"/>
      <c r="M1094" s="16">
        <f t="shared" si="18"/>
        <v>0</v>
      </c>
      <c r="N1094" s="17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</row>
    <row r="1095" spans="1:24">
      <c r="A1095" s="19">
        <v>46256</v>
      </c>
      <c r="B1095" s="18" t="s">
        <v>710</v>
      </c>
      <c r="C1095" s="16"/>
      <c r="D1095" s="16"/>
      <c r="E1095" s="16"/>
      <c r="F1095" s="16"/>
      <c r="G1095" s="16"/>
      <c r="H1095" s="16"/>
      <c r="I1095" s="16"/>
      <c r="J1095" s="16"/>
      <c r="K1095" s="16"/>
      <c r="L1095" s="16"/>
      <c r="M1095" s="16">
        <f t="shared" si="18"/>
        <v>0</v>
      </c>
      <c r="N1095" s="17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</row>
    <row r="1096" spans="1:24">
      <c r="A1096" s="19">
        <v>46257</v>
      </c>
      <c r="B1096" s="18" t="s">
        <v>710</v>
      </c>
      <c r="C1096" s="16"/>
      <c r="D1096" s="16"/>
      <c r="E1096" s="16"/>
      <c r="F1096" s="16"/>
      <c r="G1096" s="16"/>
      <c r="H1096" s="16"/>
      <c r="I1096" s="16"/>
      <c r="J1096" s="16"/>
      <c r="K1096" s="16"/>
      <c r="L1096" s="16"/>
      <c r="M1096" s="16">
        <f t="shared" si="18"/>
        <v>0</v>
      </c>
      <c r="N1096" s="17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</row>
    <row r="1097" spans="1:24">
      <c r="A1097" s="19">
        <v>46258</v>
      </c>
      <c r="B1097" s="18" t="s">
        <v>710</v>
      </c>
      <c r="C1097" s="16"/>
      <c r="D1097" s="16"/>
      <c r="E1097" s="16"/>
      <c r="F1097" s="16"/>
      <c r="G1097" s="16"/>
      <c r="H1097" s="16"/>
      <c r="I1097" s="16"/>
      <c r="J1097" s="16"/>
      <c r="K1097" s="16"/>
      <c r="L1097" s="16"/>
      <c r="M1097" s="16">
        <f t="shared" si="18"/>
        <v>0</v>
      </c>
      <c r="N1097" s="17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</row>
    <row r="1098" spans="1:24">
      <c r="A1098" s="19">
        <v>46259</v>
      </c>
      <c r="B1098" s="18" t="s">
        <v>710</v>
      </c>
      <c r="C1098" s="16"/>
      <c r="D1098" s="16"/>
      <c r="E1098" s="16"/>
      <c r="F1098" s="16"/>
      <c r="G1098" s="16"/>
      <c r="H1098" s="16"/>
      <c r="I1098" s="16"/>
      <c r="J1098" s="16"/>
      <c r="K1098" s="16"/>
      <c r="L1098" s="16"/>
      <c r="M1098" s="16">
        <f t="shared" si="18"/>
        <v>0</v>
      </c>
      <c r="N1098" s="17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</row>
    <row r="1099" spans="1:24">
      <c r="A1099" s="19">
        <v>46260</v>
      </c>
      <c r="B1099" s="18" t="s">
        <v>710</v>
      </c>
      <c r="C1099" s="16"/>
      <c r="D1099" s="16"/>
      <c r="E1099" s="16"/>
      <c r="F1099" s="16"/>
      <c r="G1099" s="16"/>
      <c r="H1099" s="16"/>
      <c r="I1099" s="16"/>
      <c r="J1099" s="16"/>
      <c r="K1099" s="16"/>
      <c r="L1099" s="16"/>
      <c r="M1099" s="16">
        <f t="shared" si="18"/>
        <v>0</v>
      </c>
      <c r="N1099" s="17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</row>
    <row r="1100" spans="1:24">
      <c r="A1100" s="19">
        <v>46261</v>
      </c>
      <c r="B1100" s="18" t="s">
        <v>710</v>
      </c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6">
        <f t="shared" si="18"/>
        <v>0</v>
      </c>
      <c r="N1100" s="17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</row>
    <row r="1101" spans="1:24">
      <c r="A1101" s="19">
        <v>46262</v>
      </c>
      <c r="B1101" s="18" t="s">
        <v>710</v>
      </c>
      <c r="C1101" s="16"/>
      <c r="D1101" s="16"/>
      <c r="E1101" s="16"/>
      <c r="F1101" s="16"/>
      <c r="G1101" s="16"/>
      <c r="H1101" s="16"/>
      <c r="I1101" s="16"/>
      <c r="J1101" s="16"/>
      <c r="K1101" s="16"/>
      <c r="L1101" s="16"/>
      <c r="M1101" s="16">
        <f t="shared" si="18"/>
        <v>0</v>
      </c>
      <c r="N1101" s="17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</row>
    <row r="1102" spans="1:24">
      <c r="A1102" s="19">
        <v>46263</v>
      </c>
      <c r="B1102" s="18" t="s">
        <v>710</v>
      </c>
      <c r="C1102" s="16"/>
      <c r="D1102" s="16"/>
      <c r="E1102" s="16"/>
      <c r="F1102" s="16"/>
      <c r="G1102" s="16"/>
      <c r="H1102" s="16"/>
      <c r="I1102" s="16"/>
      <c r="J1102" s="16"/>
      <c r="K1102" s="16"/>
      <c r="L1102" s="16"/>
      <c r="M1102" s="16">
        <f t="shared" si="18"/>
        <v>0</v>
      </c>
      <c r="N1102" s="17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</row>
    <row r="1103" spans="1:24">
      <c r="A1103" s="19">
        <v>46264</v>
      </c>
      <c r="B1103" s="18" t="s">
        <v>710</v>
      </c>
      <c r="C1103" s="16"/>
      <c r="D1103" s="16"/>
      <c r="E1103" s="16"/>
      <c r="F1103" s="16"/>
      <c r="G1103" s="16"/>
      <c r="H1103" s="16"/>
      <c r="I1103" s="16"/>
      <c r="J1103" s="16"/>
      <c r="K1103" s="16"/>
      <c r="L1103" s="16"/>
      <c r="M1103" s="16">
        <f t="shared" si="18"/>
        <v>0</v>
      </c>
      <c r="N1103" s="17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</row>
    <row r="1104" spans="1:24">
      <c r="A1104" s="19">
        <v>46265</v>
      </c>
      <c r="B1104" s="18" t="s">
        <v>710</v>
      </c>
      <c r="C1104" s="16"/>
      <c r="D1104" s="16"/>
      <c r="E1104" s="16"/>
      <c r="F1104" s="16"/>
      <c r="G1104" s="16"/>
      <c r="H1104" s="16"/>
      <c r="I1104" s="16"/>
      <c r="J1104" s="16"/>
      <c r="K1104" s="16"/>
      <c r="L1104" s="16"/>
      <c r="M1104" s="16">
        <f t="shared" si="18"/>
        <v>0</v>
      </c>
      <c r="N1104" s="17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</row>
    <row r="1105" spans="1:24">
      <c r="A1105" s="19">
        <v>46266</v>
      </c>
      <c r="B1105" s="18" t="s">
        <v>710</v>
      </c>
      <c r="C1105" s="16"/>
      <c r="D1105" s="16"/>
      <c r="E1105" s="16"/>
      <c r="F1105" s="16"/>
      <c r="G1105" s="16"/>
      <c r="H1105" s="16"/>
      <c r="I1105" s="16"/>
      <c r="J1105" s="16"/>
      <c r="K1105" s="16"/>
      <c r="L1105" s="16"/>
      <c r="M1105" s="16">
        <f t="shared" si="18"/>
        <v>0</v>
      </c>
      <c r="N1105" s="17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</row>
    <row r="1106" spans="1:24">
      <c r="A1106" s="19">
        <v>46267</v>
      </c>
      <c r="B1106" s="18" t="s">
        <v>710</v>
      </c>
      <c r="C1106" s="16"/>
      <c r="D1106" s="16"/>
      <c r="E1106" s="16"/>
      <c r="F1106" s="16"/>
      <c r="G1106" s="16"/>
      <c r="H1106" s="16"/>
      <c r="I1106" s="16"/>
      <c r="J1106" s="16"/>
      <c r="K1106" s="16"/>
      <c r="L1106" s="16"/>
      <c r="M1106" s="16">
        <f t="shared" si="18"/>
        <v>0</v>
      </c>
      <c r="N1106" s="17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</row>
    <row r="1107" spans="1:24">
      <c r="A1107" s="19">
        <v>46268</v>
      </c>
      <c r="B1107" s="18" t="s">
        <v>710</v>
      </c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6">
        <f t="shared" si="18"/>
        <v>0</v>
      </c>
      <c r="N1107" s="17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</row>
    <row r="1108" spans="1:24">
      <c r="A1108" s="19">
        <v>46269</v>
      </c>
      <c r="B1108" s="18" t="s">
        <v>710</v>
      </c>
      <c r="C1108" s="16"/>
      <c r="D1108" s="16"/>
      <c r="E1108" s="16"/>
      <c r="F1108" s="16"/>
      <c r="G1108" s="16"/>
      <c r="H1108" s="16"/>
      <c r="I1108" s="16"/>
      <c r="J1108" s="16"/>
      <c r="K1108" s="16"/>
      <c r="L1108" s="16"/>
      <c r="M1108" s="16">
        <f t="shared" si="18"/>
        <v>0</v>
      </c>
      <c r="N1108" s="17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</row>
    <row r="1109" spans="1:24">
      <c r="A1109" s="19">
        <v>46270</v>
      </c>
      <c r="B1109" s="18" t="s">
        <v>710</v>
      </c>
      <c r="C1109" s="16"/>
      <c r="D1109" s="16"/>
      <c r="E1109" s="16"/>
      <c r="F1109" s="16"/>
      <c r="G1109" s="16"/>
      <c r="H1109" s="16"/>
      <c r="I1109" s="16"/>
      <c r="J1109" s="16"/>
      <c r="K1109" s="16"/>
      <c r="L1109" s="16"/>
      <c r="M1109" s="16">
        <f t="shared" si="18"/>
        <v>0</v>
      </c>
      <c r="N1109" s="17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</row>
    <row r="1110" spans="1:24">
      <c r="A1110" s="19">
        <v>46271</v>
      </c>
      <c r="B1110" s="18" t="s">
        <v>710</v>
      </c>
      <c r="C1110" s="16"/>
      <c r="D1110" s="16"/>
      <c r="E1110" s="16"/>
      <c r="F1110" s="16"/>
      <c r="G1110" s="16"/>
      <c r="H1110" s="16"/>
      <c r="I1110" s="16"/>
      <c r="J1110" s="16"/>
      <c r="K1110" s="16"/>
      <c r="L1110" s="16"/>
      <c r="M1110" s="16">
        <f t="shared" si="18"/>
        <v>0</v>
      </c>
      <c r="N1110" s="17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</row>
    <row r="1111" spans="1:24">
      <c r="A1111" s="19">
        <v>46272</v>
      </c>
      <c r="B1111" s="18" t="s">
        <v>710</v>
      </c>
      <c r="C1111" s="16"/>
      <c r="D1111" s="16"/>
      <c r="E1111" s="16"/>
      <c r="F1111" s="16"/>
      <c r="G1111" s="16"/>
      <c r="H1111" s="16"/>
      <c r="I1111" s="16"/>
      <c r="J1111" s="16"/>
      <c r="K1111" s="16"/>
      <c r="L1111" s="16"/>
      <c r="M1111" s="16">
        <f t="shared" si="18"/>
        <v>0</v>
      </c>
      <c r="N1111" s="17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</row>
    <row r="1112" spans="1:24">
      <c r="A1112" s="19">
        <v>46273</v>
      </c>
      <c r="B1112" s="18" t="s">
        <v>710</v>
      </c>
      <c r="C1112" s="16"/>
      <c r="D1112" s="16"/>
      <c r="E1112" s="16"/>
      <c r="F1112" s="16"/>
      <c r="G1112" s="16"/>
      <c r="H1112" s="16"/>
      <c r="I1112" s="16"/>
      <c r="J1112" s="16"/>
      <c r="K1112" s="16"/>
      <c r="L1112" s="16"/>
      <c r="M1112" s="16">
        <f t="shared" si="18"/>
        <v>0</v>
      </c>
      <c r="N1112" s="17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</row>
    <row r="1113" spans="1:24">
      <c r="A1113" s="19">
        <v>46274</v>
      </c>
      <c r="B1113" s="18" t="s">
        <v>710</v>
      </c>
      <c r="C1113" s="16"/>
      <c r="D1113" s="16"/>
      <c r="E1113" s="16"/>
      <c r="F1113" s="16"/>
      <c r="G1113" s="16"/>
      <c r="H1113" s="16"/>
      <c r="I1113" s="16"/>
      <c r="J1113" s="16"/>
      <c r="K1113" s="16"/>
      <c r="L1113" s="16"/>
      <c r="M1113" s="16">
        <f t="shared" si="18"/>
        <v>0</v>
      </c>
      <c r="N1113" s="17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</row>
    <row r="1114" spans="1:24">
      <c r="A1114" s="19">
        <v>46275</v>
      </c>
      <c r="B1114" s="18" t="s">
        <v>710</v>
      </c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6">
        <f t="shared" si="18"/>
        <v>0</v>
      </c>
      <c r="N1114" s="17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</row>
    <row r="1115" spans="1:24">
      <c r="A1115" s="19">
        <v>46276</v>
      </c>
      <c r="B1115" s="18" t="s">
        <v>710</v>
      </c>
      <c r="C1115" s="16"/>
      <c r="D1115" s="16"/>
      <c r="E1115" s="16"/>
      <c r="F1115" s="16"/>
      <c r="G1115" s="16"/>
      <c r="H1115" s="16"/>
      <c r="I1115" s="16"/>
      <c r="J1115" s="16"/>
      <c r="K1115" s="16"/>
      <c r="L1115" s="16"/>
      <c r="M1115" s="16">
        <f t="shared" si="18"/>
        <v>0</v>
      </c>
      <c r="N1115" s="17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</row>
    <row r="1116" spans="1:24">
      <c r="A1116" s="19">
        <v>46277</v>
      </c>
      <c r="B1116" s="18" t="s">
        <v>710</v>
      </c>
      <c r="C1116" s="16"/>
      <c r="D1116" s="16"/>
      <c r="E1116" s="16"/>
      <c r="F1116" s="16"/>
      <c r="G1116" s="16"/>
      <c r="H1116" s="16"/>
      <c r="I1116" s="16"/>
      <c r="J1116" s="16"/>
      <c r="K1116" s="16"/>
      <c r="L1116" s="16"/>
      <c r="M1116" s="16">
        <f t="shared" si="18"/>
        <v>0</v>
      </c>
      <c r="N1116" s="17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</row>
    <row r="1117" spans="1:24">
      <c r="A1117" s="19">
        <v>46278</v>
      </c>
      <c r="B1117" s="18" t="s">
        <v>710</v>
      </c>
      <c r="C1117" s="16"/>
      <c r="D1117" s="16"/>
      <c r="E1117" s="16"/>
      <c r="F1117" s="16"/>
      <c r="G1117" s="16"/>
      <c r="H1117" s="16"/>
      <c r="I1117" s="16"/>
      <c r="J1117" s="16"/>
      <c r="K1117" s="16"/>
      <c r="L1117" s="16"/>
      <c r="M1117" s="16">
        <f t="shared" si="18"/>
        <v>0</v>
      </c>
      <c r="N1117" s="17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</row>
    <row r="1118" spans="1:24">
      <c r="A1118" s="19">
        <v>46279</v>
      </c>
      <c r="B1118" s="18" t="s">
        <v>710</v>
      </c>
      <c r="C1118" s="16"/>
      <c r="D1118" s="16"/>
      <c r="E1118" s="16"/>
      <c r="F1118" s="16"/>
      <c r="G1118" s="16"/>
      <c r="H1118" s="16"/>
      <c r="I1118" s="16"/>
      <c r="J1118" s="16"/>
      <c r="K1118" s="16"/>
      <c r="L1118" s="16"/>
      <c r="M1118" s="16">
        <f t="shared" si="18"/>
        <v>0</v>
      </c>
      <c r="N1118" s="17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</row>
    <row r="1119" spans="1:24">
      <c r="A1119" s="19">
        <v>46280</v>
      </c>
      <c r="B1119" s="18" t="s">
        <v>710</v>
      </c>
      <c r="C1119" s="16"/>
      <c r="D1119" s="16"/>
      <c r="E1119" s="16"/>
      <c r="F1119" s="16"/>
      <c r="G1119" s="16"/>
      <c r="H1119" s="16"/>
      <c r="I1119" s="16"/>
      <c r="J1119" s="16"/>
      <c r="K1119" s="16"/>
      <c r="L1119" s="16"/>
      <c r="M1119" s="16">
        <f t="shared" si="18"/>
        <v>0</v>
      </c>
      <c r="N1119" s="17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</row>
    <row r="1120" spans="1:24">
      <c r="A1120" s="19">
        <v>46281</v>
      </c>
      <c r="B1120" s="18" t="s">
        <v>710</v>
      </c>
      <c r="C1120" s="16"/>
      <c r="D1120" s="16"/>
      <c r="E1120" s="16"/>
      <c r="F1120" s="16"/>
      <c r="G1120" s="16"/>
      <c r="H1120" s="16"/>
      <c r="I1120" s="16"/>
      <c r="J1120" s="16"/>
      <c r="K1120" s="16"/>
      <c r="L1120" s="16"/>
      <c r="M1120" s="16">
        <f t="shared" si="18"/>
        <v>0</v>
      </c>
      <c r="N1120" s="17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</row>
    <row r="1121" spans="1:24">
      <c r="A1121" s="19">
        <v>46282</v>
      </c>
      <c r="B1121" s="18" t="s">
        <v>710</v>
      </c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6">
        <f t="shared" si="18"/>
        <v>0</v>
      </c>
      <c r="N1121" s="17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</row>
    <row r="1122" spans="1:24">
      <c r="A1122" s="19">
        <v>46283</v>
      </c>
      <c r="B1122" s="18" t="s">
        <v>710</v>
      </c>
      <c r="C1122" s="16"/>
      <c r="D1122" s="16"/>
      <c r="E1122" s="16"/>
      <c r="F1122" s="16"/>
      <c r="G1122" s="16"/>
      <c r="H1122" s="16"/>
      <c r="I1122" s="16"/>
      <c r="J1122" s="16"/>
      <c r="K1122" s="16"/>
      <c r="L1122" s="16"/>
      <c r="M1122" s="16">
        <f t="shared" si="18"/>
        <v>0</v>
      </c>
      <c r="N1122" s="17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</row>
    <row r="1123" spans="1:24">
      <c r="A1123" s="19">
        <v>46284</v>
      </c>
      <c r="B1123" s="18" t="s">
        <v>710</v>
      </c>
      <c r="C1123" s="16"/>
      <c r="D1123" s="16"/>
      <c r="E1123" s="16"/>
      <c r="F1123" s="16"/>
      <c r="G1123" s="16"/>
      <c r="H1123" s="16"/>
      <c r="I1123" s="16"/>
      <c r="J1123" s="16"/>
      <c r="K1123" s="16"/>
      <c r="L1123" s="16"/>
      <c r="M1123" s="16">
        <f t="shared" si="18"/>
        <v>0</v>
      </c>
      <c r="N1123" s="17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</row>
    <row r="1124" spans="1:24">
      <c r="A1124" s="19">
        <v>46285</v>
      </c>
      <c r="B1124" s="18" t="s">
        <v>710</v>
      </c>
      <c r="C1124" s="16"/>
      <c r="D1124" s="16"/>
      <c r="E1124" s="16"/>
      <c r="F1124" s="16"/>
      <c r="G1124" s="16"/>
      <c r="H1124" s="16"/>
      <c r="I1124" s="16"/>
      <c r="J1124" s="16"/>
      <c r="K1124" s="16"/>
      <c r="L1124" s="16"/>
      <c r="M1124" s="16">
        <f t="shared" si="18"/>
        <v>0</v>
      </c>
      <c r="N1124" s="17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</row>
    <row r="1125" spans="1:24">
      <c r="A1125" s="19">
        <v>46286</v>
      </c>
      <c r="B1125" s="18" t="s">
        <v>710</v>
      </c>
      <c r="C1125" s="16"/>
      <c r="D1125" s="16"/>
      <c r="E1125" s="16"/>
      <c r="F1125" s="16"/>
      <c r="G1125" s="16"/>
      <c r="H1125" s="16"/>
      <c r="I1125" s="16"/>
      <c r="J1125" s="16"/>
      <c r="K1125" s="16"/>
      <c r="L1125" s="16"/>
      <c r="M1125" s="16">
        <f t="shared" si="18"/>
        <v>0</v>
      </c>
      <c r="N1125" s="17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</row>
    <row r="1126" spans="1:24">
      <c r="A1126" s="19">
        <v>46287</v>
      </c>
      <c r="B1126" s="18" t="s">
        <v>710</v>
      </c>
      <c r="C1126" s="16"/>
      <c r="D1126" s="16"/>
      <c r="E1126" s="16"/>
      <c r="F1126" s="16"/>
      <c r="G1126" s="16"/>
      <c r="H1126" s="16"/>
      <c r="I1126" s="16"/>
      <c r="J1126" s="16"/>
      <c r="K1126" s="16"/>
      <c r="L1126" s="16"/>
      <c r="M1126" s="16">
        <f t="shared" si="18"/>
        <v>0</v>
      </c>
      <c r="N1126" s="17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</row>
    <row r="1127" spans="1:24">
      <c r="A1127" s="19">
        <v>46288</v>
      </c>
      <c r="B1127" s="18" t="s">
        <v>710</v>
      </c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6">
        <f t="shared" si="18"/>
        <v>0</v>
      </c>
      <c r="N1127" s="17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</row>
    <row r="1128" spans="1:24">
      <c r="A1128" s="19">
        <v>46289</v>
      </c>
      <c r="B1128" s="18" t="s">
        <v>710</v>
      </c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6">
        <f t="shared" si="18"/>
        <v>0</v>
      </c>
      <c r="N1128" s="17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</row>
    <row r="1129" spans="1:24">
      <c r="A1129" s="19">
        <v>46290</v>
      </c>
      <c r="B1129" s="18" t="s">
        <v>710</v>
      </c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6">
        <f t="shared" si="18"/>
        <v>0</v>
      </c>
      <c r="N1129" s="17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</row>
    <row r="1130" spans="1:24">
      <c r="A1130" s="19">
        <v>46291</v>
      </c>
      <c r="B1130" s="18" t="s">
        <v>710</v>
      </c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6">
        <f t="shared" si="18"/>
        <v>0</v>
      </c>
      <c r="N1130" s="17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</row>
    <row r="1131" spans="1:24">
      <c r="A1131" s="19">
        <v>46292</v>
      </c>
      <c r="B1131" s="18" t="s">
        <v>710</v>
      </c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6">
        <f t="shared" si="18"/>
        <v>0</v>
      </c>
      <c r="N1131" s="17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</row>
    <row r="1132" spans="1:24">
      <c r="A1132" s="19">
        <v>46293</v>
      </c>
      <c r="B1132" s="18" t="s">
        <v>710</v>
      </c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6">
        <f t="shared" si="18"/>
        <v>0</v>
      </c>
      <c r="N1132" s="17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</row>
    <row r="1133" spans="1:24">
      <c r="A1133" s="19">
        <v>46294</v>
      </c>
      <c r="B1133" s="18" t="s">
        <v>710</v>
      </c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6">
        <f t="shared" si="18"/>
        <v>0</v>
      </c>
      <c r="N1133" s="17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</row>
    <row r="1134" spans="1:24">
      <c r="A1134" s="19">
        <v>46295</v>
      </c>
      <c r="B1134" s="18" t="s">
        <v>710</v>
      </c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6">
        <f t="shared" si="18"/>
        <v>0</v>
      </c>
      <c r="N1134" s="17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</row>
    <row r="1135" spans="1:24">
      <c r="A1135" s="19">
        <v>46296</v>
      </c>
      <c r="B1135" s="18" t="s">
        <v>710</v>
      </c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6">
        <f t="shared" si="18"/>
        <v>0</v>
      </c>
      <c r="N1135" s="17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</row>
    <row r="1136" spans="1:24">
      <c r="A1136" s="19">
        <v>46297</v>
      </c>
      <c r="B1136" s="18" t="s">
        <v>710</v>
      </c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6">
        <f t="shared" si="18"/>
        <v>0</v>
      </c>
      <c r="N1136" s="17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</row>
    <row r="1137" spans="1:24">
      <c r="A1137" s="19">
        <v>46298</v>
      </c>
      <c r="B1137" s="18" t="s">
        <v>710</v>
      </c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6">
        <f t="shared" si="18"/>
        <v>0</v>
      </c>
      <c r="N1137" s="17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</row>
    <row r="1138" spans="1:24">
      <c r="A1138" s="19">
        <v>46299</v>
      </c>
      <c r="B1138" s="18" t="s">
        <v>710</v>
      </c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6">
        <f t="shared" si="18"/>
        <v>0</v>
      </c>
      <c r="N1138" s="17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</row>
    <row r="1139" spans="1:24">
      <c r="A1139" s="19">
        <v>46300</v>
      </c>
      <c r="B1139" s="18" t="s">
        <v>710</v>
      </c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6">
        <f t="shared" si="18"/>
        <v>0</v>
      </c>
      <c r="N1139" s="17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</row>
    <row r="1140" spans="1:24">
      <c r="A1140" s="19">
        <v>46301</v>
      </c>
      <c r="B1140" s="18" t="s">
        <v>710</v>
      </c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6">
        <f t="shared" si="18"/>
        <v>0</v>
      </c>
      <c r="N1140" s="17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</row>
    <row r="1141" spans="1:24">
      <c r="A1141" s="19">
        <v>46302</v>
      </c>
      <c r="B1141" s="18" t="s">
        <v>710</v>
      </c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6">
        <f t="shared" si="18"/>
        <v>0</v>
      </c>
      <c r="N1141" s="17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</row>
    <row r="1142" spans="1:24">
      <c r="A1142" s="19">
        <v>46303</v>
      </c>
      <c r="B1142" s="18" t="s">
        <v>710</v>
      </c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6">
        <f t="shared" si="18"/>
        <v>0</v>
      </c>
      <c r="N1142" s="17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</row>
    <row r="1143" spans="1:24">
      <c r="A1143" s="19">
        <v>46304</v>
      </c>
      <c r="B1143" s="18" t="s">
        <v>710</v>
      </c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6">
        <f t="shared" si="18"/>
        <v>0</v>
      </c>
      <c r="N1143" s="17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</row>
    <row r="1144" spans="1:24">
      <c r="A1144" s="19">
        <v>46305</v>
      </c>
      <c r="B1144" s="18" t="s">
        <v>710</v>
      </c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6">
        <f t="shared" si="18"/>
        <v>0</v>
      </c>
      <c r="N1144" s="17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</row>
    <row r="1145" spans="1:24">
      <c r="A1145" s="19">
        <v>46306</v>
      </c>
      <c r="B1145" s="18" t="s">
        <v>710</v>
      </c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6">
        <f t="shared" si="18"/>
        <v>0</v>
      </c>
      <c r="N1145" s="17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</row>
    <row r="1146" spans="1:24">
      <c r="A1146" s="19">
        <v>46307</v>
      </c>
      <c r="B1146" s="18" t="s">
        <v>710</v>
      </c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6">
        <f t="shared" si="18"/>
        <v>0</v>
      </c>
      <c r="N1146" s="17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</row>
    <row r="1147" spans="1:24">
      <c r="A1147" s="19">
        <v>46308</v>
      </c>
      <c r="B1147" s="18" t="s">
        <v>710</v>
      </c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6">
        <f t="shared" si="18"/>
        <v>0</v>
      </c>
      <c r="N1147" s="17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</row>
    <row r="1148" spans="1:24">
      <c r="A1148" s="19">
        <v>46309</v>
      </c>
      <c r="B1148" s="18" t="s">
        <v>710</v>
      </c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6">
        <f t="shared" si="18"/>
        <v>0</v>
      </c>
      <c r="N1148" s="17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</row>
    <row r="1149" spans="1:24">
      <c r="A1149" s="19">
        <v>46310</v>
      </c>
      <c r="B1149" s="18" t="s">
        <v>710</v>
      </c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6">
        <f t="shared" si="18"/>
        <v>0</v>
      </c>
      <c r="N1149" s="17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</row>
    <row r="1150" spans="1:24">
      <c r="A1150" s="19">
        <v>46311</v>
      </c>
      <c r="B1150" s="18" t="s">
        <v>710</v>
      </c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6">
        <f t="shared" si="18"/>
        <v>0</v>
      </c>
      <c r="N1150" s="17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</row>
    <row r="1151" spans="1:24">
      <c r="A1151" s="19">
        <v>46312</v>
      </c>
      <c r="B1151" s="18" t="s">
        <v>710</v>
      </c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6">
        <f t="shared" si="18"/>
        <v>0</v>
      </c>
      <c r="N1151" s="17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</row>
    <row r="1152" spans="1:24">
      <c r="A1152" s="19">
        <v>46313</v>
      </c>
      <c r="B1152" s="18" t="s">
        <v>710</v>
      </c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6">
        <f t="shared" si="18"/>
        <v>0</v>
      </c>
      <c r="N1152" s="17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</row>
    <row r="1153" spans="1:24">
      <c r="A1153" s="19">
        <v>46314</v>
      </c>
      <c r="B1153" s="18" t="s">
        <v>710</v>
      </c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6">
        <f t="shared" si="18"/>
        <v>0</v>
      </c>
      <c r="N1153" s="17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</row>
    <row r="1154" spans="1:24">
      <c r="A1154" s="19">
        <v>46315</v>
      </c>
      <c r="B1154" s="18" t="s">
        <v>710</v>
      </c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6">
        <f t="shared" si="18"/>
        <v>0</v>
      </c>
      <c r="N1154" s="17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</row>
    <row r="1155" spans="1:24">
      <c r="A1155" s="19">
        <v>46316</v>
      </c>
      <c r="B1155" s="18" t="s">
        <v>710</v>
      </c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6">
        <f t="shared" ref="M1155:M1218" si="19">N1155-SUM(C1155:L1155)</f>
        <v>0</v>
      </c>
      <c r="N1155" s="17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</row>
    <row r="1156" spans="1:24">
      <c r="A1156" s="19">
        <v>46317</v>
      </c>
      <c r="B1156" s="18" t="s">
        <v>710</v>
      </c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6">
        <f t="shared" si="19"/>
        <v>0</v>
      </c>
      <c r="N1156" s="17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</row>
    <row r="1157" spans="1:24">
      <c r="A1157" s="19">
        <v>46318</v>
      </c>
      <c r="B1157" s="18" t="s">
        <v>710</v>
      </c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6">
        <f t="shared" si="19"/>
        <v>0</v>
      </c>
      <c r="N1157" s="17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</row>
    <row r="1158" spans="1:24">
      <c r="A1158" s="19">
        <v>46319</v>
      </c>
      <c r="B1158" s="18" t="s">
        <v>710</v>
      </c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6">
        <f t="shared" si="19"/>
        <v>0</v>
      </c>
      <c r="N1158" s="17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</row>
    <row r="1159" spans="1:24">
      <c r="A1159" s="19">
        <v>46320</v>
      </c>
      <c r="B1159" s="18" t="s">
        <v>710</v>
      </c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6">
        <f t="shared" si="19"/>
        <v>0</v>
      </c>
      <c r="N1159" s="17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</row>
    <row r="1160" spans="1:24">
      <c r="A1160" s="19">
        <v>46321</v>
      </c>
      <c r="B1160" s="18" t="s">
        <v>710</v>
      </c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6">
        <f t="shared" si="19"/>
        <v>0</v>
      </c>
      <c r="N1160" s="17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</row>
    <row r="1161" spans="1:24">
      <c r="A1161" s="19">
        <v>46322</v>
      </c>
      <c r="B1161" s="18" t="s">
        <v>710</v>
      </c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6">
        <f t="shared" si="19"/>
        <v>0</v>
      </c>
      <c r="N1161" s="17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</row>
    <row r="1162" spans="1:24">
      <c r="A1162" s="19">
        <v>46323</v>
      </c>
      <c r="B1162" s="18" t="s">
        <v>710</v>
      </c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6">
        <f t="shared" si="19"/>
        <v>0</v>
      </c>
      <c r="N1162" s="17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</row>
    <row r="1163" spans="1:24">
      <c r="A1163" s="19">
        <v>46324</v>
      </c>
      <c r="B1163" s="18" t="s">
        <v>710</v>
      </c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6">
        <f t="shared" si="19"/>
        <v>0</v>
      </c>
      <c r="N1163" s="17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</row>
    <row r="1164" spans="1:24">
      <c r="A1164" s="19">
        <v>46325</v>
      </c>
      <c r="B1164" s="18" t="s">
        <v>710</v>
      </c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6">
        <f t="shared" si="19"/>
        <v>0</v>
      </c>
      <c r="N1164" s="17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</row>
    <row r="1165" spans="1:24">
      <c r="A1165" s="19">
        <v>46326</v>
      </c>
      <c r="B1165" s="18" t="s">
        <v>710</v>
      </c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6">
        <f t="shared" si="19"/>
        <v>0</v>
      </c>
      <c r="N1165" s="17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</row>
    <row r="1166" spans="1:24">
      <c r="A1166" s="19">
        <v>46327</v>
      </c>
      <c r="B1166" s="18" t="s">
        <v>710</v>
      </c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6">
        <f t="shared" si="19"/>
        <v>0</v>
      </c>
      <c r="N1166" s="17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</row>
    <row r="1167" spans="1:24">
      <c r="A1167" s="19">
        <v>46328</v>
      </c>
      <c r="B1167" s="18" t="s">
        <v>710</v>
      </c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6">
        <f t="shared" si="19"/>
        <v>0</v>
      </c>
      <c r="N1167" s="17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</row>
    <row r="1168" spans="1:24">
      <c r="A1168" s="19">
        <v>46329</v>
      </c>
      <c r="B1168" s="18" t="s">
        <v>710</v>
      </c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6">
        <f t="shared" si="19"/>
        <v>0</v>
      </c>
      <c r="N1168" s="17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</row>
    <row r="1169" spans="1:24">
      <c r="A1169" s="19">
        <v>46330</v>
      </c>
      <c r="B1169" s="18" t="s">
        <v>710</v>
      </c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6">
        <f t="shared" si="19"/>
        <v>0</v>
      </c>
      <c r="N1169" s="17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</row>
    <row r="1170" spans="1:24">
      <c r="A1170" s="19">
        <v>46331</v>
      </c>
      <c r="B1170" s="18" t="s">
        <v>710</v>
      </c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6">
        <f t="shared" si="19"/>
        <v>0</v>
      </c>
      <c r="N1170" s="17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</row>
    <row r="1171" spans="1:24">
      <c r="A1171" s="19">
        <v>46332</v>
      </c>
      <c r="B1171" s="18" t="s">
        <v>710</v>
      </c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6">
        <f t="shared" si="19"/>
        <v>0</v>
      </c>
      <c r="N1171" s="17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</row>
    <row r="1172" spans="1:24">
      <c r="A1172" s="19">
        <v>46333</v>
      </c>
      <c r="B1172" s="18" t="s">
        <v>710</v>
      </c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6">
        <f t="shared" si="19"/>
        <v>0</v>
      </c>
      <c r="N1172" s="17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</row>
    <row r="1173" spans="1:24">
      <c r="A1173" s="19">
        <v>46334</v>
      </c>
      <c r="B1173" s="18" t="s">
        <v>710</v>
      </c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6">
        <f t="shared" si="19"/>
        <v>0</v>
      </c>
      <c r="N1173" s="17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</row>
    <row r="1174" spans="1:24">
      <c r="A1174" s="19">
        <v>46335</v>
      </c>
      <c r="B1174" s="18" t="s">
        <v>710</v>
      </c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6">
        <f t="shared" si="19"/>
        <v>0</v>
      </c>
      <c r="N1174" s="17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</row>
    <row r="1175" spans="1:24">
      <c r="A1175" s="19">
        <v>46336</v>
      </c>
      <c r="B1175" s="18" t="s">
        <v>710</v>
      </c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6">
        <f t="shared" si="19"/>
        <v>0</v>
      </c>
      <c r="N1175" s="17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</row>
    <row r="1176" spans="1:24">
      <c r="A1176" s="19">
        <v>46337</v>
      </c>
      <c r="B1176" s="18" t="s">
        <v>710</v>
      </c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6">
        <f t="shared" si="19"/>
        <v>0</v>
      </c>
      <c r="N1176" s="17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</row>
    <row r="1177" spans="1:24">
      <c r="A1177" s="19">
        <v>46338</v>
      </c>
      <c r="B1177" s="18" t="s">
        <v>710</v>
      </c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6">
        <f t="shared" si="19"/>
        <v>0</v>
      </c>
      <c r="N1177" s="17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</row>
    <row r="1178" spans="1:24">
      <c r="A1178" s="19">
        <v>46339</v>
      </c>
      <c r="B1178" s="18" t="s">
        <v>710</v>
      </c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6">
        <f t="shared" si="19"/>
        <v>0</v>
      </c>
      <c r="N1178" s="17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</row>
    <row r="1179" spans="1:24">
      <c r="A1179" s="19">
        <v>46340</v>
      </c>
      <c r="B1179" s="18" t="s">
        <v>710</v>
      </c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6">
        <f t="shared" si="19"/>
        <v>0</v>
      </c>
      <c r="N1179" s="17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</row>
    <row r="1180" spans="1:24">
      <c r="A1180" s="19">
        <v>46341</v>
      </c>
      <c r="B1180" s="18" t="s">
        <v>710</v>
      </c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6">
        <f t="shared" si="19"/>
        <v>0</v>
      </c>
      <c r="N1180" s="17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</row>
    <row r="1181" spans="1:24">
      <c r="A1181" s="19">
        <v>46342</v>
      </c>
      <c r="B1181" s="18" t="s">
        <v>710</v>
      </c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6">
        <f t="shared" si="19"/>
        <v>0</v>
      </c>
      <c r="N1181" s="17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</row>
    <row r="1182" spans="1:24">
      <c r="A1182" s="19">
        <v>46343</v>
      </c>
      <c r="B1182" s="18" t="s">
        <v>710</v>
      </c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6">
        <f t="shared" si="19"/>
        <v>0</v>
      </c>
      <c r="N1182" s="17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</row>
    <row r="1183" spans="1:24">
      <c r="A1183" s="19">
        <v>46344</v>
      </c>
      <c r="B1183" s="18" t="s">
        <v>710</v>
      </c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6">
        <f t="shared" si="19"/>
        <v>0</v>
      </c>
      <c r="N1183" s="17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</row>
    <row r="1184" spans="1:24">
      <c r="A1184" s="19">
        <v>46345</v>
      </c>
      <c r="B1184" s="18" t="s">
        <v>710</v>
      </c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6">
        <f t="shared" si="19"/>
        <v>0</v>
      </c>
      <c r="N1184" s="17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</row>
    <row r="1185" spans="1:24">
      <c r="A1185" s="19">
        <v>46346</v>
      </c>
      <c r="B1185" s="18" t="s">
        <v>710</v>
      </c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6">
        <f t="shared" si="19"/>
        <v>0</v>
      </c>
      <c r="N1185" s="17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</row>
    <row r="1186" spans="1:24">
      <c r="A1186" s="19">
        <v>46347</v>
      </c>
      <c r="B1186" s="18" t="s">
        <v>710</v>
      </c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6">
        <f t="shared" si="19"/>
        <v>0</v>
      </c>
      <c r="N1186" s="17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</row>
    <row r="1187" spans="1:24">
      <c r="A1187" s="19">
        <v>46348</v>
      </c>
      <c r="B1187" s="18" t="s">
        <v>710</v>
      </c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6">
        <f t="shared" si="19"/>
        <v>0</v>
      </c>
      <c r="N1187" s="17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</row>
    <row r="1188" spans="1:24">
      <c r="A1188" s="19">
        <v>46349</v>
      </c>
      <c r="B1188" s="18" t="s">
        <v>710</v>
      </c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6">
        <f t="shared" si="19"/>
        <v>0</v>
      </c>
      <c r="N1188" s="17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</row>
    <row r="1189" spans="1:24">
      <c r="A1189" s="19">
        <v>46350</v>
      </c>
      <c r="B1189" s="18" t="s">
        <v>710</v>
      </c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6">
        <f t="shared" si="19"/>
        <v>0</v>
      </c>
      <c r="N1189" s="17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</row>
    <row r="1190" spans="1:24">
      <c r="A1190" s="19">
        <v>46351</v>
      </c>
      <c r="B1190" s="18" t="s">
        <v>710</v>
      </c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6">
        <f t="shared" si="19"/>
        <v>0</v>
      </c>
      <c r="N1190" s="17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</row>
    <row r="1191" spans="1:24">
      <c r="A1191" s="19">
        <v>46352</v>
      </c>
      <c r="B1191" s="18" t="s">
        <v>710</v>
      </c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6">
        <f t="shared" si="19"/>
        <v>0</v>
      </c>
      <c r="N1191" s="17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</row>
    <row r="1192" spans="1:24">
      <c r="A1192" s="19">
        <v>46353</v>
      </c>
      <c r="B1192" s="18" t="s">
        <v>710</v>
      </c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6">
        <f t="shared" si="19"/>
        <v>0</v>
      </c>
      <c r="N1192" s="17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</row>
    <row r="1193" spans="1:24">
      <c r="A1193" s="19">
        <v>46354</v>
      </c>
      <c r="B1193" s="18" t="s">
        <v>710</v>
      </c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6">
        <f t="shared" si="19"/>
        <v>0</v>
      </c>
      <c r="N1193" s="17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</row>
    <row r="1194" spans="1:24">
      <c r="A1194" s="19">
        <v>46355</v>
      </c>
      <c r="B1194" s="18" t="s">
        <v>710</v>
      </c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6">
        <f t="shared" si="19"/>
        <v>0</v>
      </c>
      <c r="N1194" s="17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</row>
    <row r="1195" spans="1:24">
      <c r="A1195" s="19">
        <v>46356</v>
      </c>
      <c r="B1195" s="18" t="s">
        <v>710</v>
      </c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6">
        <f t="shared" si="19"/>
        <v>0</v>
      </c>
      <c r="N1195" s="17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</row>
    <row r="1196" spans="1:24">
      <c r="A1196" s="19">
        <v>46357</v>
      </c>
      <c r="B1196" s="18" t="s">
        <v>710</v>
      </c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6">
        <f t="shared" si="19"/>
        <v>0</v>
      </c>
      <c r="N1196" s="17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</row>
    <row r="1197" spans="1:24">
      <c r="A1197" s="19">
        <v>46358</v>
      </c>
      <c r="B1197" s="18" t="s">
        <v>710</v>
      </c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6">
        <f t="shared" si="19"/>
        <v>0</v>
      </c>
      <c r="N1197" s="17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</row>
    <row r="1198" spans="1:24">
      <c r="A1198" s="19">
        <v>46359</v>
      </c>
      <c r="B1198" s="18" t="s">
        <v>710</v>
      </c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6">
        <f t="shared" si="19"/>
        <v>0</v>
      </c>
      <c r="N1198" s="17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</row>
    <row r="1199" spans="1:24">
      <c r="A1199" s="19">
        <v>46360</v>
      </c>
      <c r="B1199" s="18" t="s">
        <v>710</v>
      </c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6">
        <f t="shared" si="19"/>
        <v>0</v>
      </c>
      <c r="N1199" s="17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</row>
    <row r="1200" spans="1:24">
      <c r="A1200" s="19">
        <v>46361</v>
      </c>
      <c r="B1200" s="18" t="s">
        <v>710</v>
      </c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6">
        <f t="shared" si="19"/>
        <v>0</v>
      </c>
      <c r="N1200" s="17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</row>
    <row r="1201" spans="1:24">
      <c r="A1201" s="19">
        <v>46362</v>
      </c>
      <c r="B1201" s="18" t="s">
        <v>710</v>
      </c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6">
        <f t="shared" si="19"/>
        <v>0</v>
      </c>
      <c r="N1201" s="17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</row>
    <row r="1202" spans="1:24">
      <c r="A1202" s="19">
        <v>46363</v>
      </c>
      <c r="B1202" s="18" t="s">
        <v>710</v>
      </c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6">
        <f t="shared" si="19"/>
        <v>0</v>
      </c>
      <c r="N1202" s="17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</row>
    <row r="1203" spans="1:24">
      <c r="A1203" s="19">
        <v>46364</v>
      </c>
      <c r="B1203" s="18" t="s">
        <v>710</v>
      </c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6">
        <f t="shared" si="19"/>
        <v>0</v>
      </c>
      <c r="N1203" s="17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</row>
    <row r="1204" spans="1:24">
      <c r="A1204" s="19">
        <v>46365</v>
      </c>
      <c r="B1204" s="18" t="s">
        <v>710</v>
      </c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6">
        <f t="shared" si="19"/>
        <v>0</v>
      </c>
      <c r="N1204" s="17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</row>
    <row r="1205" spans="1:24">
      <c r="A1205" s="19">
        <v>46366</v>
      </c>
      <c r="B1205" s="18" t="s">
        <v>710</v>
      </c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6">
        <f t="shared" si="19"/>
        <v>0</v>
      </c>
      <c r="N1205" s="17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</row>
    <row r="1206" spans="1:24">
      <c r="A1206" s="19">
        <v>46367</v>
      </c>
      <c r="B1206" s="18" t="s">
        <v>710</v>
      </c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6">
        <f t="shared" si="19"/>
        <v>0</v>
      </c>
      <c r="N1206" s="17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</row>
    <row r="1207" spans="1:24">
      <c r="A1207" s="19">
        <v>46368</v>
      </c>
      <c r="B1207" s="18" t="s">
        <v>710</v>
      </c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6">
        <f t="shared" si="19"/>
        <v>0</v>
      </c>
      <c r="N1207" s="17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</row>
    <row r="1208" spans="1:24">
      <c r="A1208" s="19">
        <v>46369</v>
      </c>
      <c r="B1208" s="18" t="s">
        <v>710</v>
      </c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6">
        <f t="shared" si="19"/>
        <v>0</v>
      </c>
      <c r="N1208" s="17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</row>
    <row r="1209" spans="1:24">
      <c r="A1209" s="19">
        <v>46370</v>
      </c>
      <c r="B1209" s="18" t="s">
        <v>710</v>
      </c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6">
        <f t="shared" si="19"/>
        <v>0</v>
      </c>
      <c r="N1209" s="17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</row>
    <row r="1210" spans="1:24">
      <c r="A1210" s="19">
        <v>46371</v>
      </c>
      <c r="B1210" s="18" t="s">
        <v>710</v>
      </c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6">
        <f t="shared" si="19"/>
        <v>0</v>
      </c>
      <c r="N1210" s="17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</row>
    <row r="1211" spans="1:24">
      <c r="A1211" s="19">
        <v>46372</v>
      </c>
      <c r="B1211" s="18" t="s">
        <v>710</v>
      </c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6">
        <f t="shared" si="19"/>
        <v>0</v>
      </c>
      <c r="N1211" s="17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</row>
    <row r="1212" spans="1:24">
      <c r="A1212" s="19">
        <v>46373</v>
      </c>
      <c r="B1212" s="18" t="s">
        <v>710</v>
      </c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6">
        <f t="shared" si="19"/>
        <v>0</v>
      </c>
      <c r="N1212" s="17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</row>
    <row r="1213" spans="1:24">
      <c r="A1213" s="19">
        <v>46374</v>
      </c>
      <c r="B1213" s="18" t="s">
        <v>710</v>
      </c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6">
        <f t="shared" si="19"/>
        <v>0</v>
      </c>
      <c r="N1213" s="17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</row>
    <row r="1214" spans="1:24">
      <c r="A1214" s="19">
        <v>46375</v>
      </c>
      <c r="B1214" s="18" t="s">
        <v>710</v>
      </c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6">
        <f t="shared" si="19"/>
        <v>0</v>
      </c>
      <c r="N1214" s="17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</row>
    <row r="1215" spans="1:24">
      <c r="A1215" s="19">
        <v>46376</v>
      </c>
      <c r="B1215" s="18" t="s">
        <v>710</v>
      </c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6">
        <f t="shared" si="19"/>
        <v>0</v>
      </c>
      <c r="N1215" s="17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</row>
    <row r="1216" spans="1:24">
      <c r="A1216" s="19">
        <v>46377</v>
      </c>
      <c r="B1216" s="18" t="s">
        <v>710</v>
      </c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6">
        <f t="shared" si="19"/>
        <v>0</v>
      </c>
      <c r="N1216" s="17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</row>
    <row r="1217" spans="1:24">
      <c r="A1217" s="19">
        <v>46378</v>
      </c>
      <c r="B1217" s="18" t="s">
        <v>710</v>
      </c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6">
        <f t="shared" si="19"/>
        <v>0</v>
      </c>
      <c r="N1217" s="17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</row>
    <row r="1218" spans="1:24">
      <c r="A1218" s="19">
        <v>46379</v>
      </c>
      <c r="B1218" s="18" t="s">
        <v>710</v>
      </c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6">
        <f t="shared" si="19"/>
        <v>0</v>
      </c>
      <c r="N1218" s="17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</row>
    <row r="1219" spans="1:24">
      <c r="A1219" s="19">
        <v>46380</v>
      </c>
      <c r="B1219" s="18" t="s">
        <v>710</v>
      </c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6">
        <f t="shared" ref="M1219:M1226" si="20">N1219-SUM(C1219:L1219)</f>
        <v>0</v>
      </c>
      <c r="N1219" s="17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</row>
    <row r="1220" spans="1:24">
      <c r="A1220" s="19">
        <v>46381</v>
      </c>
      <c r="B1220" s="18" t="s">
        <v>710</v>
      </c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6">
        <f t="shared" si="20"/>
        <v>0</v>
      </c>
      <c r="N1220" s="17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</row>
    <row r="1221" spans="1:24">
      <c r="A1221" s="19">
        <v>46382</v>
      </c>
      <c r="B1221" s="18" t="s">
        <v>710</v>
      </c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6">
        <f t="shared" si="20"/>
        <v>0</v>
      </c>
      <c r="N1221" s="17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</row>
    <row r="1222" spans="1:24">
      <c r="A1222" s="19">
        <v>46383</v>
      </c>
      <c r="B1222" s="18" t="s">
        <v>710</v>
      </c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6">
        <f t="shared" si="20"/>
        <v>0</v>
      </c>
      <c r="N1222" s="17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</row>
    <row r="1223" spans="1:24">
      <c r="A1223" s="19">
        <v>46384</v>
      </c>
      <c r="B1223" s="18" t="s">
        <v>710</v>
      </c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6">
        <f t="shared" si="20"/>
        <v>0</v>
      </c>
      <c r="N1223" s="17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</row>
    <row r="1224" spans="1:24">
      <c r="A1224" s="19">
        <v>46385</v>
      </c>
      <c r="B1224" s="18" t="s">
        <v>710</v>
      </c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6">
        <f t="shared" si="20"/>
        <v>0</v>
      </c>
      <c r="N1224" s="17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</row>
    <row r="1225" spans="1:24">
      <c r="A1225" s="19">
        <v>46386</v>
      </c>
      <c r="B1225" s="18" t="s">
        <v>710</v>
      </c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6">
        <f t="shared" si="20"/>
        <v>0</v>
      </c>
      <c r="N1225" s="17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</row>
    <row r="1226" spans="1:24">
      <c r="A1226" s="19">
        <v>46387</v>
      </c>
      <c r="B1226" s="18" t="s">
        <v>710</v>
      </c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6">
        <f t="shared" si="20"/>
        <v>0</v>
      </c>
      <c r="N1226" s="17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</row>
  </sheetData>
  <autoFilter ref="A2:BP1226" xr:uid="{617768E1-1C44-40DE-9107-1B366651743D}"/>
  <phoneticPr fontId="9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898F0-19DE-4BB6-8784-6C7D336F268C}">
  <dimension ref="A3:AF10"/>
  <sheetViews>
    <sheetView zoomScale="90" zoomScaleNormal="90" workbookViewId="0">
      <selection activeCell="AC40" sqref="AC40"/>
    </sheetView>
  </sheetViews>
  <sheetFormatPr defaultRowHeight="14.25"/>
  <cols>
    <col min="1" max="1" width="13" bestFit="1" customWidth="1"/>
    <col min="2" max="13" width="6.5" bestFit="1" customWidth="1"/>
    <col min="14" max="32" width="7.5" bestFit="1" customWidth="1"/>
  </cols>
  <sheetData>
    <row r="3" spans="1:32">
      <c r="A3" s="39" t="s">
        <v>676</v>
      </c>
      <c r="B3" s="44">
        <v>46082</v>
      </c>
      <c r="C3" s="44">
        <v>46083</v>
      </c>
      <c r="D3" s="44">
        <v>46084</v>
      </c>
      <c r="E3" s="44">
        <v>46085</v>
      </c>
      <c r="F3" s="44">
        <v>46086</v>
      </c>
      <c r="G3" s="44">
        <v>46087</v>
      </c>
      <c r="H3" s="44">
        <v>46088</v>
      </c>
      <c r="I3" s="44">
        <v>46089</v>
      </c>
      <c r="J3" s="44">
        <v>46090</v>
      </c>
      <c r="K3" s="44">
        <v>46091</v>
      </c>
      <c r="L3" s="44">
        <v>46092</v>
      </c>
      <c r="M3" s="44">
        <v>46093</v>
      </c>
      <c r="N3" s="44">
        <v>46094</v>
      </c>
      <c r="O3" s="44">
        <v>46095</v>
      </c>
      <c r="P3" s="44">
        <v>46096</v>
      </c>
      <c r="Q3" s="44">
        <v>46097</v>
      </c>
      <c r="R3" s="44">
        <v>46098</v>
      </c>
      <c r="S3" s="44">
        <v>46099</v>
      </c>
      <c r="T3" s="44">
        <v>46100</v>
      </c>
      <c r="U3" s="44">
        <v>46101</v>
      </c>
      <c r="V3" s="44">
        <v>46102</v>
      </c>
      <c r="W3" s="44">
        <v>46103</v>
      </c>
      <c r="X3" s="44">
        <v>46104</v>
      </c>
      <c r="Y3" s="44">
        <v>46105</v>
      </c>
      <c r="Z3" s="44">
        <v>46106</v>
      </c>
      <c r="AA3" s="44">
        <v>46107</v>
      </c>
      <c r="AB3" s="44">
        <v>46108</v>
      </c>
      <c r="AC3" s="44">
        <v>46109</v>
      </c>
      <c r="AD3" s="44">
        <v>46110</v>
      </c>
      <c r="AE3" s="44">
        <v>46111</v>
      </c>
      <c r="AF3" s="44">
        <v>46112</v>
      </c>
    </row>
    <row r="4" spans="1:32">
      <c r="A4" s="39" t="s">
        <v>677</v>
      </c>
      <c r="B4" s="44">
        <v>46113</v>
      </c>
      <c r="C4" s="44">
        <v>46114</v>
      </c>
      <c r="D4" s="44">
        <v>46115</v>
      </c>
      <c r="E4" s="44">
        <v>46116</v>
      </c>
      <c r="F4" s="44">
        <v>46117</v>
      </c>
      <c r="G4" s="44">
        <v>46118</v>
      </c>
      <c r="H4" s="44">
        <v>46119</v>
      </c>
      <c r="I4" s="44">
        <v>46120</v>
      </c>
      <c r="J4" s="44">
        <v>46121</v>
      </c>
      <c r="K4" s="44">
        <v>46122</v>
      </c>
      <c r="L4" s="44">
        <v>46123</v>
      </c>
      <c r="M4" s="44">
        <v>46124</v>
      </c>
      <c r="N4" s="44">
        <v>46125</v>
      </c>
      <c r="O4" s="44">
        <v>46126</v>
      </c>
      <c r="P4" s="44">
        <v>46127</v>
      </c>
      <c r="Q4" s="44">
        <v>46128</v>
      </c>
      <c r="R4" s="44">
        <v>46129</v>
      </c>
      <c r="S4" s="44">
        <v>46130</v>
      </c>
      <c r="T4" s="44">
        <v>46131</v>
      </c>
      <c r="U4" s="44">
        <v>46132</v>
      </c>
      <c r="V4" s="44">
        <v>46133</v>
      </c>
      <c r="W4" s="44">
        <v>46134</v>
      </c>
      <c r="X4" s="44">
        <v>46135</v>
      </c>
      <c r="Y4" s="44">
        <v>46136</v>
      </c>
      <c r="Z4" s="44">
        <v>46137</v>
      </c>
      <c r="AA4" s="44">
        <v>46138</v>
      </c>
      <c r="AB4" s="44">
        <v>46139</v>
      </c>
      <c r="AC4" s="44">
        <v>46140</v>
      </c>
      <c r="AD4" s="44">
        <v>46141</v>
      </c>
      <c r="AE4" s="44">
        <v>46142</v>
      </c>
    </row>
    <row r="5" spans="1:32">
      <c r="A5" t="s">
        <v>678</v>
      </c>
      <c r="B5">
        <f>SUMIFS(全国按日NEV!$F:$F,全国按日NEV!$C:$C,全车有效线索管控!B3)+SUMIFS(全国按日ICE!$G:$G,全国按日ICE!$B:$B,全车有效线索管控!B3)</f>
        <v>24944</v>
      </c>
      <c r="C5">
        <f>SUMIFS(全国按日NEV!$F:$F,全国按日NEV!$C:$C,全车有效线索管控!C3)+SUMIFS(全国按日ICE!$G:$G,全国按日ICE!$B:$B,全车有效线索管控!C3)</f>
        <v>24314</v>
      </c>
      <c r="D5">
        <f>SUMIFS(全国按日NEV!$F:$F,全国按日NEV!$C:$C,全车有效线索管控!D3)+SUMIFS(全国按日ICE!$G:$G,全国按日ICE!$B:$B,全车有效线索管控!D3)</f>
        <v>23682</v>
      </c>
      <c r="E5">
        <f>SUMIFS(全国按日NEV!$F:$F,全国按日NEV!$C:$C,全车有效线索管控!E3)+SUMIFS(全国按日ICE!$G:$G,全国按日ICE!$B:$B,全车有效线索管控!E3)</f>
        <v>24712</v>
      </c>
      <c r="F5">
        <f>SUMIFS(全国按日NEV!$F:$F,全国按日NEV!$C:$C,全车有效线索管控!F3)+SUMIFS(全国按日ICE!$G:$G,全国按日ICE!$B:$B,全车有效线索管控!F3)</f>
        <v>24641</v>
      </c>
      <c r="G5">
        <f>SUMIFS(全国按日NEV!$F:$F,全国按日NEV!$C:$C,全车有效线索管控!G3)+SUMIFS(全国按日ICE!$G:$G,全国按日ICE!$B:$B,全车有效线索管控!G3)</f>
        <v>23986</v>
      </c>
      <c r="H5">
        <f>SUMIFS(全国按日NEV!$F:$F,全国按日NEV!$C:$C,全车有效线索管控!H3)+SUMIFS(全国按日ICE!$G:$G,全国按日ICE!$B:$B,全车有效线索管控!H3)</f>
        <v>25175</v>
      </c>
      <c r="I5">
        <f>SUMIFS(全国按日NEV!$F:$F,全国按日NEV!$C:$C,全车有效线索管控!I3)+SUMIFS(全国按日ICE!$G:$G,全国按日ICE!$B:$B,全车有效线索管控!I3)</f>
        <v>24336</v>
      </c>
      <c r="J5">
        <f>SUMIFS(全国按日NEV!$F:$F,全国按日NEV!$C:$C,全车有效线索管控!J3)+SUMIFS(全国按日ICE!$G:$G,全国按日ICE!$B:$B,全车有效线索管控!J3)</f>
        <v>23207</v>
      </c>
      <c r="K5">
        <f>SUMIFS(全国按日NEV!$F:$F,全国按日NEV!$C:$C,全车有效线索管控!K3)+SUMIFS(全国按日ICE!$G:$G,全国按日ICE!$B:$B,全车有效线索管控!K3)</f>
        <v>23197</v>
      </c>
      <c r="L5">
        <f>SUMIFS(全国按日NEV!$F:$F,全国按日NEV!$C:$C,全车有效线索管控!L3)+SUMIFS(全国按日ICE!$G:$G,全国按日ICE!$B:$B,全车有效线索管控!L3)</f>
        <v>22800</v>
      </c>
      <c r="M5">
        <f>SUMIFS(全国按日NEV!$F:$F,全国按日NEV!$C:$C,全车有效线索管控!M3)+SUMIFS(全国按日ICE!$G:$G,全国按日ICE!$B:$B,全车有效线索管控!M3)</f>
        <v>23811</v>
      </c>
      <c r="N5">
        <f>SUMIFS(全国按日NEV!$F:$F,全国按日NEV!$C:$C,全车有效线索管控!N3)+SUMIFS(全国按日ICE!$G:$G,全国按日ICE!$B:$B,全车有效线索管控!N3)</f>
        <v>24683</v>
      </c>
      <c r="O5">
        <f>SUMIFS(全国按日NEV!$F:$F,全国按日NEV!$C:$C,全车有效线索管控!O3)+SUMIFS(全国按日ICE!$G:$G,全国按日ICE!$B:$B,全车有效线索管控!O3)</f>
        <v>26242</v>
      </c>
      <c r="P5">
        <f>SUMIFS(全国按日NEV!$F:$F,全国按日NEV!$C:$C,全车有效线索管控!P3)+SUMIFS(全国按日ICE!$G:$G,全国按日ICE!$B:$B,全车有效线索管控!P3)</f>
        <v>26887</v>
      </c>
      <c r="Q5">
        <f>SUMIFS(全国按日NEV!$F:$F,全国按日NEV!$C:$C,全车有效线索管控!Q3)+SUMIFS(全国按日ICE!$G:$G,全国按日ICE!$B:$B,全车有效线索管控!Q3)</f>
        <v>26772</v>
      </c>
      <c r="R5">
        <f>SUMIFS(全国按日NEV!$F:$F,全国按日NEV!$C:$C,全车有效线索管控!R3)+SUMIFS(全国按日ICE!$G:$G,全国按日ICE!$B:$B,全车有效线索管控!R3)</f>
        <v>24431</v>
      </c>
      <c r="S5">
        <f>SUMIFS(全国按日NEV!$F:$F,全国按日NEV!$C:$C,全车有效线索管控!S3)+SUMIFS(全国按日ICE!$G:$G,全国按日ICE!$B:$B,全车有效线索管控!S3)</f>
        <v>24048</v>
      </c>
      <c r="T5">
        <f>SUMIFS(全国按日NEV!$F:$F,全国按日NEV!$C:$C,全车有效线索管控!T3)+SUMIFS(全国按日ICE!$G:$G,全国按日ICE!$B:$B,全车有效线索管控!T3)</f>
        <v>23889</v>
      </c>
      <c r="U5">
        <f>SUMIFS(全国按日NEV!$F:$F,全国按日NEV!$C:$C,全车有效线索管控!U3)+SUMIFS(全国按日ICE!$G:$G,全国按日ICE!$B:$B,全车有效线索管控!U3)</f>
        <v>25064</v>
      </c>
      <c r="V5">
        <f>SUMIFS(全国按日NEV!$F:$F,全国按日NEV!$C:$C,全车有效线索管控!V3)+SUMIFS(全国按日ICE!$G:$G,全国按日ICE!$B:$B,全车有效线索管控!V3)</f>
        <v>25346</v>
      </c>
      <c r="W5">
        <f>SUMIFS(全国按日NEV!$F:$F,全国按日NEV!$C:$C,全车有效线索管控!W3)+SUMIFS(全国按日ICE!$G:$G,全国按日ICE!$B:$B,全车有效线索管控!W3)</f>
        <v>29600</v>
      </c>
      <c r="X5">
        <f>SUMIFS(全国按日NEV!$F:$F,全国按日NEV!$C:$C,全车有效线索管控!X3)+SUMIFS(全国按日ICE!$G:$G,全国按日ICE!$B:$B,全车有效线索管控!X3)</f>
        <v>25535</v>
      </c>
      <c r="Y5">
        <f>SUMIFS(全国按日NEV!$F:$F,全国按日NEV!$C:$C,全车有效线索管控!Y3)+SUMIFS(全国按日ICE!$G:$G,全国按日ICE!$B:$B,全车有效线索管控!Y3)</f>
        <v>23656</v>
      </c>
      <c r="Z5">
        <f>SUMIFS(全国按日NEV!$F:$F,全国按日NEV!$C:$C,全车有效线索管控!Z3)+SUMIFS(全国按日ICE!$G:$G,全国按日ICE!$B:$B,全车有效线索管控!Z3)</f>
        <v>23366</v>
      </c>
      <c r="AA5">
        <f>SUMIFS(全国按日NEV!$F:$F,全国按日NEV!$C:$C,全车有效线索管控!AA3)+SUMIFS(全国按日ICE!$G:$G,全国按日ICE!$B:$B,全车有效线索管控!AA3)</f>
        <v>25365</v>
      </c>
      <c r="AB5">
        <f>SUMIFS(全国按日NEV!$F:$F,全国按日NEV!$C:$C,全车有效线索管控!AB3)+SUMIFS(全国按日ICE!$G:$G,全国按日ICE!$B:$B,全车有效线索管控!AB3)</f>
        <v>24052</v>
      </c>
      <c r="AC5">
        <f>SUMIFS(全国按日NEV!$F:$F,全国按日NEV!$C:$C,全车有效线索管控!AC3)+SUMIFS(全国按日ICE!$G:$G,全国按日ICE!$B:$B,全车有效线索管控!AC3)</f>
        <v>25855</v>
      </c>
      <c r="AD5">
        <f>SUMIFS(全国按日NEV!$F:$F,全国按日NEV!$C:$C,全车有效线索管控!AD3)+SUMIFS(全国按日ICE!$G:$G,全国按日ICE!$B:$B,全车有效线索管控!AD3)</f>
        <v>26953</v>
      </c>
      <c r="AE5">
        <f>SUMIFS(全国按日NEV!$F:$F,全国按日NEV!$C:$C,全车有效线索管控!AE3)+SUMIFS(全国按日ICE!$G:$G,全国按日ICE!$B:$B,全车有效线索管控!AE3)</f>
        <v>25433</v>
      </c>
      <c r="AF5">
        <f>SUMIFS(全国按日NEV!$F:$F,全国按日NEV!$C:$C,全车有效线索管控!AF3)+SUMIFS(全国按日ICE!$G:$G,全国按日ICE!$B:$B,全车有效线索管控!AF3)</f>
        <v>24499</v>
      </c>
    </row>
    <row r="6" spans="1:32">
      <c r="A6" t="s">
        <v>679</v>
      </c>
      <c r="B6">
        <f>SUMIFS(全国按日NEV!$F:$F,全国按日NEV!$C:$C,全车有效线索管控!B4)+SUMIFS(全国按日ICE!$G:$G,全国按日ICE!$B:$B,全车有效线索管控!B4)</f>
        <v>20606</v>
      </c>
      <c r="C6">
        <f>SUMIFS(全国按日NEV!$F:$F,全国按日NEV!$C:$C,全车有效线索管控!C4)+SUMIFS(全国按日ICE!$G:$G,全国按日ICE!$B:$B,全车有效线索管控!C4)</f>
        <v>21529</v>
      </c>
      <c r="D6">
        <f>SUMIFS(全国按日NEV!$F:$F,全国按日NEV!$C:$C,全车有效线索管控!D4)+SUMIFS(全国按日ICE!$G:$G,全国按日ICE!$B:$B,全车有效线索管控!D4)</f>
        <v>22544</v>
      </c>
      <c r="E6">
        <f>SUMIFS(全国按日NEV!$F:$F,全国按日NEV!$C:$C,全车有效线索管控!E4)+SUMIFS(全国按日ICE!$G:$G,全国按日ICE!$B:$B,全车有效线索管控!E4)</f>
        <v>24137</v>
      </c>
      <c r="F6">
        <f>SUMIFS(全国按日NEV!$F:$F,全国按日NEV!$C:$C,全车有效线索管控!F4)+SUMIFS(全国按日ICE!$G:$G,全国按日ICE!$B:$B,全车有效线索管控!F4)</f>
        <v>26419</v>
      </c>
      <c r="G6">
        <f>SUMIFS(全国按日NEV!$F:$F,全国按日NEV!$C:$C,全车有效线索管控!G4)+SUMIFS(全国按日ICE!$G:$G,全国按日ICE!$B:$B,全车有效线索管控!G4)</f>
        <v>25624</v>
      </c>
      <c r="H6">
        <f>SUMIFS(全国按日NEV!$F:$F,全国按日NEV!$C:$C,全车有效线索管控!H4)+SUMIFS(全国按日ICE!$G:$G,全国按日ICE!$B:$B,全车有效线索管控!H4)</f>
        <v>25779</v>
      </c>
      <c r="I6">
        <f>SUMIFS(全国按日NEV!$F:$F,全国按日NEV!$C:$C,全车有效线索管控!I4)+SUMIFS(全国按日ICE!$G:$G,全国按日ICE!$B:$B,全车有效线索管控!I4)</f>
        <v>30512</v>
      </c>
      <c r="J6">
        <f>SUMIFS(全国按日NEV!$F:$F,全国按日NEV!$C:$C,全车有效线索管控!J4)+SUMIFS(全国按日ICE!$G:$G,全国按日ICE!$B:$B,全车有效线索管控!J4)</f>
        <v>28960</v>
      </c>
      <c r="K6">
        <f>SUMIFS(全国按日NEV!$F:$F,全国按日NEV!$C:$C,全车有效线索管控!K4)+SUMIFS(全国按日ICE!$G:$G,全国按日ICE!$B:$B,全车有效线索管控!K4)</f>
        <v>26569</v>
      </c>
      <c r="L6">
        <f>SUMIFS(全国按日NEV!$F:$F,全国按日NEV!$C:$C,全车有效线索管控!L4)+SUMIFS(全国按日ICE!$G:$G,全国按日ICE!$B:$B,全车有效线索管控!L4)</f>
        <v>31198</v>
      </c>
      <c r="M6">
        <f>SUMIFS(全国按日NEV!$F:$F,全国按日NEV!$C:$C,全车有效线索管控!M4)+SUMIFS(全国按日ICE!$G:$G,全国按日ICE!$B:$B,全车有效线索管控!M4)</f>
        <v>34298</v>
      </c>
      <c r="N6">
        <f>SUMIFS(全国按日NEV!$F:$F,全国按日NEV!$C:$C,全车有效线索管控!N4)+SUMIFS(全国按日ICE!$G:$G,全国按日ICE!$B:$B,全车有效线索管控!N4)</f>
        <v>30893</v>
      </c>
      <c r="O6">
        <f>SUMIFS(全国按日NEV!$F:$F,全国按日NEV!$C:$C,全车有效线索管控!O4)+SUMIFS(全国按日ICE!$G:$G,全国按日ICE!$B:$B,全车有效线索管控!O4)</f>
        <v>31164</v>
      </c>
      <c r="P6">
        <f>SUMIFS(全国按日NEV!$F:$F,全国按日NEV!$C:$C,全车有效线索管控!P4)+SUMIFS(全国按日ICE!$G:$G,全国按日ICE!$B:$B,全车有效线索管控!P4)</f>
        <v>0</v>
      </c>
      <c r="Q6">
        <f>SUMIFS(全国按日NEV!$F:$F,全国按日NEV!$C:$C,全车有效线索管控!Q4)+SUMIFS(全国按日ICE!$G:$G,全国按日ICE!$B:$B,全车有效线索管控!Q4)</f>
        <v>0</v>
      </c>
      <c r="R6">
        <f>SUMIFS(全国按日NEV!$F:$F,全国按日NEV!$C:$C,全车有效线索管控!R4)+SUMIFS(全国按日ICE!$G:$G,全国按日ICE!$B:$B,全车有效线索管控!R4)</f>
        <v>0</v>
      </c>
      <c r="S6">
        <f>SUMIFS(全国按日NEV!$F:$F,全国按日NEV!$C:$C,全车有效线索管控!S4)+SUMIFS(全国按日ICE!$G:$G,全国按日ICE!$B:$B,全车有效线索管控!S4)</f>
        <v>0</v>
      </c>
      <c r="T6">
        <f>SUMIFS(全国按日NEV!$F:$F,全国按日NEV!$C:$C,全车有效线索管控!T4)+SUMIFS(全国按日ICE!$G:$G,全国按日ICE!$B:$B,全车有效线索管控!T4)</f>
        <v>0</v>
      </c>
      <c r="U6">
        <f>SUMIFS(全国按日NEV!$F:$F,全国按日NEV!$C:$C,全车有效线索管控!U4)+SUMIFS(全国按日ICE!$G:$G,全国按日ICE!$B:$B,全车有效线索管控!U4)</f>
        <v>0</v>
      </c>
      <c r="V6">
        <f>SUMIFS(全国按日NEV!$F:$F,全国按日NEV!$C:$C,全车有效线索管控!V4)+SUMIFS(全国按日ICE!$G:$G,全国按日ICE!$B:$B,全车有效线索管控!V4)</f>
        <v>0</v>
      </c>
      <c r="W6">
        <f>SUMIFS(全国按日NEV!$F:$F,全国按日NEV!$C:$C,全车有效线索管控!W4)+SUMIFS(全国按日ICE!$G:$G,全国按日ICE!$B:$B,全车有效线索管控!W4)</f>
        <v>0</v>
      </c>
      <c r="X6">
        <f>SUMIFS(全国按日NEV!$F:$F,全国按日NEV!$C:$C,全车有效线索管控!X4)+SUMIFS(全国按日ICE!$G:$G,全国按日ICE!$B:$B,全车有效线索管控!X4)</f>
        <v>0</v>
      </c>
      <c r="Y6">
        <f>SUMIFS(全国按日NEV!$F:$F,全国按日NEV!$C:$C,全车有效线索管控!Y4)+SUMIFS(全国按日ICE!$G:$G,全国按日ICE!$B:$B,全车有效线索管控!Y4)</f>
        <v>0</v>
      </c>
      <c r="Z6">
        <f>SUMIFS(全国按日NEV!$F:$F,全国按日NEV!$C:$C,全车有效线索管控!Z4)+SUMIFS(全国按日ICE!$G:$G,全国按日ICE!$B:$B,全车有效线索管控!Z4)</f>
        <v>0</v>
      </c>
      <c r="AA6">
        <f>SUMIFS(全国按日NEV!$F:$F,全国按日NEV!$C:$C,全车有效线索管控!AA4)+SUMIFS(全国按日ICE!$G:$G,全国按日ICE!$B:$B,全车有效线索管控!AA4)</f>
        <v>0</v>
      </c>
      <c r="AB6">
        <f>SUMIFS(全国按日NEV!$F:$F,全国按日NEV!$C:$C,全车有效线索管控!AB4)+SUMIFS(全国按日ICE!$G:$G,全国按日ICE!$B:$B,全车有效线索管控!AB4)</f>
        <v>0</v>
      </c>
      <c r="AC6">
        <f>SUMIFS(全国按日NEV!$F:$F,全国按日NEV!$C:$C,全车有效线索管控!AC4)+SUMIFS(全国按日ICE!$G:$G,全国按日ICE!$B:$B,全车有效线索管控!AC4)</f>
        <v>0</v>
      </c>
      <c r="AD6">
        <f>SUMIFS(全国按日NEV!$F:$F,全国按日NEV!$C:$C,全车有效线索管控!AD4)+SUMIFS(全国按日ICE!$G:$G,全国按日ICE!$B:$B,全车有效线索管控!AD4)</f>
        <v>0</v>
      </c>
      <c r="AE6">
        <f>SUMIFS(全国按日NEV!$F:$F,全国按日NEV!$C:$C,全车有效线索管控!AE4)+SUMIFS(全国按日ICE!$G:$G,全国按日ICE!$B:$B,全车有效线索管控!AE4)</f>
        <v>0</v>
      </c>
    </row>
    <row r="7" spans="1:32">
      <c r="A7" t="s">
        <v>680</v>
      </c>
      <c r="B7">
        <f>SUM($B$5)</f>
        <v>24944</v>
      </c>
      <c r="C7">
        <f>SUM($B$5:C5)</f>
        <v>49258</v>
      </c>
      <c r="D7">
        <f>SUM($B$5:D5)</f>
        <v>72940</v>
      </c>
      <c r="E7">
        <f>SUM($B$5:E5)</f>
        <v>97652</v>
      </c>
      <c r="F7">
        <f>SUM($B$5:F5)</f>
        <v>122293</v>
      </c>
      <c r="G7">
        <f>SUM($B$5:G5)</f>
        <v>146279</v>
      </c>
      <c r="H7">
        <f>SUM($B$5:H5)</f>
        <v>171454</v>
      </c>
      <c r="I7">
        <f>SUM($B$5:I5)</f>
        <v>195790</v>
      </c>
      <c r="J7">
        <f>SUM($B$5:J5)</f>
        <v>218997</v>
      </c>
      <c r="K7">
        <f>SUM($B$5:K5)</f>
        <v>242194</v>
      </c>
      <c r="L7">
        <f>SUM($B$5:L5)</f>
        <v>264994</v>
      </c>
      <c r="M7">
        <f>SUM($B$5:M5)</f>
        <v>288805</v>
      </c>
      <c r="N7">
        <f>SUM($B$5:N5)</f>
        <v>313488</v>
      </c>
      <c r="O7">
        <f>SUM($B$5:O5)</f>
        <v>339730</v>
      </c>
      <c r="P7">
        <f>SUM($B$5:P5)</f>
        <v>366617</v>
      </c>
      <c r="Q7">
        <f>SUM($B$5:Q5)</f>
        <v>393389</v>
      </c>
      <c r="R7">
        <f>SUM($B$5:R5)</f>
        <v>417820</v>
      </c>
      <c r="S7">
        <f>SUM($B$5:S5)</f>
        <v>441868</v>
      </c>
      <c r="T7">
        <f>SUM($B$5:T5)</f>
        <v>465757</v>
      </c>
      <c r="U7">
        <f>SUM($B$5:U5)</f>
        <v>490821</v>
      </c>
      <c r="V7">
        <f>SUM($B$5:V5)</f>
        <v>516167</v>
      </c>
      <c r="W7">
        <f>SUM($B$5:W5)</f>
        <v>545767</v>
      </c>
      <c r="X7">
        <f>SUM($B$5:X5)</f>
        <v>571302</v>
      </c>
      <c r="Y7">
        <f>SUM($B$5:Y5)</f>
        <v>594958</v>
      </c>
      <c r="Z7">
        <f>SUM($B$5:Z5)</f>
        <v>618324</v>
      </c>
      <c r="AA7">
        <f>SUM($B$5:AA5)</f>
        <v>643689</v>
      </c>
      <c r="AB7">
        <f>SUM($B$5:AB5)</f>
        <v>667741</v>
      </c>
      <c r="AC7">
        <f>SUM($B$5:AC5)</f>
        <v>693596</v>
      </c>
      <c r="AD7">
        <f>SUM($B$5:AD5)</f>
        <v>720549</v>
      </c>
      <c r="AE7">
        <f>SUM($B$5:AE5)</f>
        <v>745982</v>
      </c>
      <c r="AF7">
        <f>SUM($B$5:AF5)</f>
        <v>770481</v>
      </c>
    </row>
    <row r="8" spans="1:32">
      <c r="A8" t="s">
        <v>681</v>
      </c>
      <c r="B8">
        <f ca="1">IF(B4&lt;(TODAY()-1),SUM($B$6),NA())</f>
        <v>20606</v>
      </c>
      <c r="C8">
        <f ca="1">IF(B4&lt;(TODAY()-1),SUM($B$6:C6),NA())</f>
        <v>42135</v>
      </c>
      <c r="D8">
        <f ca="1">IF(C4&lt;(TODAY()-1),SUM($B$6:D6),NA())</f>
        <v>64679</v>
      </c>
      <c r="E8">
        <f ca="1">IF(D4&lt;(TODAY()-1),SUM($B$6:E6),NA())</f>
        <v>88816</v>
      </c>
      <c r="F8">
        <f ca="1">IF(E4&lt;(TODAY()-1),SUM($B$6:F6),NA())</f>
        <v>115235</v>
      </c>
      <c r="G8">
        <f ca="1">IF(F4&lt;(TODAY()-1),SUM($B$6:G6),NA())</f>
        <v>140859</v>
      </c>
      <c r="H8">
        <f ca="1">IF(G4&lt;(TODAY()-1),SUM($B$6:H6),NA())</f>
        <v>166638</v>
      </c>
      <c r="I8">
        <f ca="1">IF(H4&lt;(TODAY()-1),SUM($B$6:I6),NA())</f>
        <v>197150</v>
      </c>
      <c r="J8">
        <f ca="1">IF(I4&lt;(TODAY()-1),SUM($B$6:J6),NA())</f>
        <v>226110</v>
      </c>
      <c r="K8">
        <f ca="1">IF(J4&lt;(TODAY()-1),SUM($B$6:K6),NA())</f>
        <v>252679</v>
      </c>
      <c r="L8">
        <f ca="1">IF(K4&lt;(TODAY()-1),SUM($B$6:L6),NA())</f>
        <v>283877</v>
      </c>
      <c r="M8">
        <f ca="1">IF(L4&lt;(TODAY()-1),SUM($B$6:M6),NA())</f>
        <v>318175</v>
      </c>
      <c r="N8">
        <f ca="1">IF(M4&lt;(TODAY()-1),SUM($B$6:N6),NA())</f>
        <v>349068</v>
      </c>
      <c r="O8">
        <f ca="1">IF(N4&lt;(TODAY()-1),SUM($B$6:O6),NA())</f>
        <v>380232</v>
      </c>
      <c r="P8" t="e">
        <f ca="1">IF(O4&lt;(TODAY()-1),SUM($B$6:P6),NA())</f>
        <v>#N/A</v>
      </c>
      <c r="Q8" t="e">
        <f ca="1">IF(P4&lt;(TODAY()-1),SUM($B$6:Q6),NA())</f>
        <v>#N/A</v>
      </c>
      <c r="R8" t="e">
        <f ca="1">IF(Q4&lt;(TODAY()-1),SUM($B$6:R6),NA())</f>
        <v>#N/A</v>
      </c>
      <c r="S8" t="e">
        <f ca="1">IF(R4&lt;(TODAY()-1),SUM($B$6:S6),NA())</f>
        <v>#N/A</v>
      </c>
      <c r="T8" t="e">
        <f ca="1">IF(S4&lt;(TODAY()-1),SUM($B$6:T6),NA())</f>
        <v>#N/A</v>
      </c>
      <c r="U8" t="e">
        <f ca="1">IF(T4&lt;(TODAY()-1),SUM($B$6:U6),NA())</f>
        <v>#N/A</v>
      </c>
      <c r="V8" t="e">
        <f ca="1">IF(U4&lt;(TODAY()-1),SUM($B$6:V6),NA())</f>
        <v>#N/A</v>
      </c>
      <c r="W8" t="e">
        <f ca="1">IF(V4&lt;(TODAY()-1),SUM($B$6:W6),NA())</f>
        <v>#N/A</v>
      </c>
      <c r="X8" t="e">
        <f ca="1">IF(W4&lt;(TODAY()-1),SUM($B$6:X6),NA())</f>
        <v>#N/A</v>
      </c>
      <c r="Y8" t="e">
        <f ca="1">IF(X4&lt;(TODAY()-1),SUM($B$6:Y6),NA())</f>
        <v>#N/A</v>
      </c>
      <c r="Z8" t="e">
        <f ca="1">IF(Y4&lt;(TODAY()-1),SUM($B$6:Z6),NA())</f>
        <v>#N/A</v>
      </c>
      <c r="AA8" t="e">
        <f ca="1">IF(Z4&lt;(TODAY()-1),SUM($B$6:AA6),NA())</f>
        <v>#N/A</v>
      </c>
      <c r="AB8" t="e">
        <f ca="1">IF(AA4&lt;(TODAY()-1),SUM($B$6:AB6),NA())</f>
        <v>#N/A</v>
      </c>
      <c r="AC8" t="e">
        <f ca="1">IF(AB4&lt;(TODAY()-1),SUM($B$6:AC6),NA())</f>
        <v>#N/A</v>
      </c>
      <c r="AD8" t="e">
        <f ca="1">IF(AC4&lt;(TODAY()-1),SUM($B$6:AD6),NA())</f>
        <v>#N/A</v>
      </c>
      <c r="AE8" t="e">
        <f ca="1">IF(AD4&lt;(TODAY()-1),SUM($B$6:AE6),NA())</f>
        <v>#N/A</v>
      </c>
      <c r="AF8" t="e">
        <f ca="1">IF(AE4&lt;(TODAY()-1),SUM($B$6:AF6),NA())</f>
        <v>#N/A</v>
      </c>
    </row>
    <row r="9" spans="1:32">
      <c r="A9" s="39" t="s">
        <v>682</v>
      </c>
      <c r="B9" s="45">
        <f>IF(B6&lt;&gt;0,B6/B5-1,"-")</f>
        <v>-0.17390955740859526</v>
      </c>
      <c r="C9" s="45">
        <f t="shared" ref="C9:AF9" si="0">IF(C6&lt;&gt;0,C6/C5-1,"-")</f>
        <v>-0.11454306161059469</v>
      </c>
      <c r="D9" s="45">
        <f t="shared" si="0"/>
        <v>-4.8053373870450167E-2</v>
      </c>
      <c r="E9" s="45">
        <f t="shared" si="0"/>
        <v>-2.3268047911945589E-2</v>
      </c>
      <c r="F9" s="45">
        <f t="shared" si="0"/>
        <v>7.2156162493405285E-2</v>
      </c>
      <c r="G9" s="45">
        <f t="shared" si="0"/>
        <v>6.828983573751346E-2</v>
      </c>
      <c r="H9" s="45">
        <f t="shared" si="0"/>
        <v>2.3992055610724927E-2</v>
      </c>
      <c r="I9" s="45">
        <f t="shared" si="0"/>
        <v>0.25378040762656151</v>
      </c>
      <c r="J9" s="45">
        <f t="shared" si="0"/>
        <v>0.24789934071616315</v>
      </c>
      <c r="K9" s="45">
        <f t="shared" si="0"/>
        <v>0.1453636246066301</v>
      </c>
      <c r="L9" s="45">
        <f t="shared" si="0"/>
        <v>0.3683333333333334</v>
      </c>
      <c r="M9" s="45">
        <f t="shared" si="0"/>
        <v>0.4404266935450003</v>
      </c>
      <c r="N9" s="45">
        <f t="shared" si="0"/>
        <v>0.25159016327026706</v>
      </c>
      <c r="O9" s="45">
        <f t="shared" si="0"/>
        <v>0.18756192363386948</v>
      </c>
      <c r="P9" s="45" t="str">
        <f t="shared" si="0"/>
        <v>-</v>
      </c>
      <c r="Q9" s="45" t="str">
        <f t="shared" si="0"/>
        <v>-</v>
      </c>
      <c r="R9" s="45" t="str">
        <f t="shared" si="0"/>
        <v>-</v>
      </c>
      <c r="S9" s="45" t="str">
        <f t="shared" si="0"/>
        <v>-</v>
      </c>
      <c r="T9" s="45" t="str">
        <f t="shared" si="0"/>
        <v>-</v>
      </c>
      <c r="U9" s="45" t="str">
        <f t="shared" si="0"/>
        <v>-</v>
      </c>
      <c r="V9" s="45" t="str">
        <f t="shared" si="0"/>
        <v>-</v>
      </c>
      <c r="W9" s="45" t="str">
        <f t="shared" si="0"/>
        <v>-</v>
      </c>
      <c r="X9" s="45" t="str">
        <f t="shared" si="0"/>
        <v>-</v>
      </c>
      <c r="Y9" s="45" t="str">
        <f t="shared" si="0"/>
        <v>-</v>
      </c>
      <c r="Z9" s="45" t="str">
        <f t="shared" si="0"/>
        <v>-</v>
      </c>
      <c r="AA9" s="45" t="str">
        <f t="shared" si="0"/>
        <v>-</v>
      </c>
      <c r="AB9" s="45" t="str">
        <f t="shared" si="0"/>
        <v>-</v>
      </c>
      <c r="AC9" s="45" t="str">
        <f t="shared" si="0"/>
        <v>-</v>
      </c>
      <c r="AD9" s="45" t="str">
        <f t="shared" si="0"/>
        <v>-</v>
      </c>
      <c r="AE9" s="45" t="str">
        <f t="shared" si="0"/>
        <v>-</v>
      </c>
      <c r="AF9" s="45" t="str">
        <f t="shared" si="0"/>
        <v>-</v>
      </c>
    </row>
    <row r="10" spans="1:32">
      <c r="A10" s="39" t="s">
        <v>683</v>
      </c>
      <c r="B10" s="45">
        <f ca="1">IFERROR(B8/B7-1,"-")</f>
        <v>-0.17390955740859526</v>
      </c>
      <c r="C10" s="45">
        <f t="shared" ref="C10:AF10" ca="1" si="1">IFERROR(C8/C7-1,"-")</f>
        <v>-0.14460595233261597</v>
      </c>
      <c r="D10" s="45">
        <f t="shared" ca="1" si="1"/>
        <v>-0.11325747189470803</v>
      </c>
      <c r="E10" s="45">
        <f t="shared" ca="1" si="1"/>
        <v>-9.0484577888829687E-2</v>
      </c>
      <c r="F10" s="45">
        <f t="shared" ca="1" si="1"/>
        <v>-5.7713851160736906E-2</v>
      </c>
      <c r="G10" s="45">
        <f t="shared" ca="1" si="1"/>
        <v>-3.7052481901024725E-2</v>
      </c>
      <c r="H10" s="45">
        <f t="shared" ca="1" si="1"/>
        <v>-2.8089166773595298E-2</v>
      </c>
      <c r="I10" s="45">
        <f t="shared" ca="1" si="1"/>
        <v>6.9462178865109525E-3</v>
      </c>
      <c r="J10" s="45">
        <f t="shared" ca="1" si="1"/>
        <v>3.2479896984890289E-2</v>
      </c>
      <c r="K10" s="45">
        <f t="shared" ca="1" si="1"/>
        <v>4.3291741331329403E-2</v>
      </c>
      <c r="L10" s="45">
        <f t="shared" ca="1" si="1"/>
        <v>7.125821716718117E-2</v>
      </c>
      <c r="M10" s="45">
        <f t="shared" ca="1" si="1"/>
        <v>0.10169491525423724</v>
      </c>
      <c r="N10" s="45">
        <f t="shared" ca="1" si="1"/>
        <v>0.11349716735568816</v>
      </c>
      <c r="O10" s="45">
        <f t="shared" ca="1" si="1"/>
        <v>0.11921820269037187</v>
      </c>
      <c r="P10" s="45" t="str">
        <f t="shared" ca="1" si="1"/>
        <v>-</v>
      </c>
      <c r="Q10" s="45" t="str">
        <f t="shared" ca="1" si="1"/>
        <v>-</v>
      </c>
      <c r="R10" s="45" t="str">
        <f t="shared" ca="1" si="1"/>
        <v>-</v>
      </c>
      <c r="S10" s="45" t="str">
        <f t="shared" ca="1" si="1"/>
        <v>-</v>
      </c>
      <c r="T10" s="45" t="str">
        <f t="shared" ca="1" si="1"/>
        <v>-</v>
      </c>
      <c r="U10" s="45" t="str">
        <f t="shared" ca="1" si="1"/>
        <v>-</v>
      </c>
      <c r="V10" s="45" t="str">
        <f t="shared" ca="1" si="1"/>
        <v>-</v>
      </c>
      <c r="W10" s="45" t="str">
        <f t="shared" ca="1" si="1"/>
        <v>-</v>
      </c>
      <c r="X10" s="45" t="str">
        <f t="shared" ca="1" si="1"/>
        <v>-</v>
      </c>
      <c r="Y10" s="45" t="str">
        <f t="shared" ca="1" si="1"/>
        <v>-</v>
      </c>
      <c r="Z10" s="45" t="str">
        <f t="shared" ca="1" si="1"/>
        <v>-</v>
      </c>
      <c r="AA10" s="45" t="str">
        <f t="shared" ca="1" si="1"/>
        <v>-</v>
      </c>
      <c r="AB10" s="45" t="str">
        <f t="shared" ca="1" si="1"/>
        <v>-</v>
      </c>
      <c r="AC10" s="45" t="str">
        <f t="shared" ca="1" si="1"/>
        <v>-</v>
      </c>
      <c r="AD10" s="45" t="str">
        <f t="shared" ca="1" si="1"/>
        <v>-</v>
      </c>
      <c r="AE10" s="45" t="str">
        <f t="shared" ca="1" si="1"/>
        <v>-</v>
      </c>
      <c r="AF10" s="45" t="str">
        <f t="shared" ca="1" si="1"/>
        <v>-</v>
      </c>
    </row>
  </sheetData>
  <phoneticPr fontId="9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DA35F-BE2B-4EAB-8F20-3F46CEB4D714}">
  <sheetPr>
    <tabColor theme="7" tint="0.79998168889431442"/>
  </sheetPr>
  <dimension ref="A1:BF183"/>
  <sheetViews>
    <sheetView workbookViewId="0">
      <selection sqref="A1:XFD1048576"/>
    </sheetView>
  </sheetViews>
  <sheetFormatPr defaultColWidth="10"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3" width="12.5" customWidth="1"/>
    <col min="44" max="44" width="9.75" customWidth="1"/>
    <col min="45" max="45" width="6.75" customWidth="1"/>
    <col min="46" max="46" width="7.5" customWidth="1"/>
    <col min="47" max="49" width="6.125" customWidth="1"/>
    <col min="50" max="51" width="8.125" customWidth="1"/>
    <col min="52" max="53" width="9.75" customWidth="1"/>
    <col min="54" max="54" width="9.5" customWidth="1"/>
    <col min="55" max="58" width="8.125" customWidth="1"/>
    <col min="59" max="87" width="9.75" customWidth="1"/>
  </cols>
  <sheetData>
    <row r="1" spans="1:58" ht="22.7" customHeight="1">
      <c r="A1" s="46" t="s">
        <v>16</v>
      </c>
      <c r="B1" s="46" t="s">
        <v>3</v>
      </c>
      <c r="C1" s="46" t="s">
        <v>288</v>
      </c>
      <c r="D1" s="46" t="s">
        <v>333</v>
      </c>
      <c r="E1" s="46" t="s">
        <v>349</v>
      </c>
      <c r="F1" s="47"/>
      <c r="G1" s="47"/>
      <c r="H1" s="47"/>
      <c r="I1" s="48"/>
      <c r="J1" s="46" t="s">
        <v>6</v>
      </c>
      <c r="K1" s="47"/>
      <c r="L1" s="47"/>
      <c r="M1" s="47"/>
      <c r="N1" s="47"/>
      <c r="O1" s="47"/>
      <c r="P1" s="47"/>
      <c r="Q1" s="48"/>
      <c r="R1" s="46" t="s">
        <v>348</v>
      </c>
      <c r="S1" s="47"/>
      <c r="T1" s="47"/>
      <c r="U1" s="47"/>
      <c r="V1" s="48"/>
      <c r="W1" s="46" t="s">
        <v>347</v>
      </c>
      <c r="X1" s="47"/>
      <c r="Y1" s="47"/>
      <c r="Z1" s="47"/>
      <c r="AA1" s="47"/>
      <c r="AB1" s="48"/>
      <c r="AC1" s="46" t="s">
        <v>334</v>
      </c>
      <c r="AD1" s="47"/>
      <c r="AE1" s="47"/>
      <c r="AF1" s="47"/>
      <c r="AG1" s="47"/>
      <c r="AH1" s="48"/>
      <c r="AI1" s="46" t="s">
        <v>346</v>
      </c>
      <c r="AJ1" s="47"/>
      <c r="AK1" s="47"/>
      <c r="AL1" s="47"/>
      <c r="AM1" s="47"/>
      <c r="AN1" s="47"/>
      <c r="AO1" s="47"/>
      <c r="AP1" s="47"/>
      <c r="AQ1" s="48"/>
      <c r="AR1" s="46" t="s">
        <v>345</v>
      </c>
      <c r="AS1" s="47"/>
      <c r="AT1" s="47"/>
      <c r="AU1" s="47"/>
      <c r="AV1" s="47"/>
      <c r="AW1" s="47"/>
      <c r="AX1" s="47"/>
      <c r="AY1" s="47"/>
      <c r="AZ1" s="47"/>
      <c r="BA1" s="48"/>
      <c r="BB1" s="46" t="s">
        <v>344</v>
      </c>
      <c r="BC1" s="47"/>
      <c r="BD1" s="47"/>
      <c r="BE1" s="47"/>
      <c r="BF1" s="48"/>
    </row>
    <row r="2" spans="1:58" ht="28.7" customHeight="1">
      <c r="A2" s="49"/>
      <c r="B2" s="49"/>
      <c r="C2" s="49"/>
      <c r="D2" s="49"/>
      <c r="E2" s="28" t="s">
        <v>332</v>
      </c>
      <c r="F2" s="28" t="s">
        <v>7</v>
      </c>
      <c r="G2" s="28" t="s">
        <v>331</v>
      </c>
      <c r="H2" s="28" t="s">
        <v>330</v>
      </c>
      <c r="I2" s="28" t="s">
        <v>329</v>
      </c>
      <c r="J2" s="28" t="s">
        <v>328</v>
      </c>
      <c r="K2" s="29" t="s">
        <v>327</v>
      </c>
      <c r="L2" s="28" t="s">
        <v>326</v>
      </c>
      <c r="M2" s="28" t="s">
        <v>325</v>
      </c>
      <c r="N2" s="28" t="s">
        <v>324</v>
      </c>
      <c r="O2" s="28" t="s">
        <v>323</v>
      </c>
      <c r="P2" s="28" t="s">
        <v>322</v>
      </c>
      <c r="Q2" s="28" t="s">
        <v>321</v>
      </c>
      <c r="R2" s="28" t="s">
        <v>320</v>
      </c>
      <c r="S2" s="28" t="s">
        <v>319</v>
      </c>
      <c r="T2" s="28" t="s">
        <v>318</v>
      </c>
      <c r="U2" s="28" t="s">
        <v>317</v>
      </c>
      <c r="V2" s="28" t="s">
        <v>316</v>
      </c>
      <c r="W2" s="28" t="s">
        <v>176</v>
      </c>
      <c r="X2" s="28" t="s">
        <v>315</v>
      </c>
      <c r="Y2" s="28" t="s">
        <v>314</v>
      </c>
      <c r="Z2" s="28" t="s">
        <v>313</v>
      </c>
      <c r="AA2" s="28" t="s">
        <v>312</v>
      </c>
      <c r="AB2" s="28" t="s">
        <v>311</v>
      </c>
      <c r="AC2" s="28" t="s">
        <v>310</v>
      </c>
      <c r="AD2" s="28" t="s">
        <v>309</v>
      </c>
      <c r="AE2" s="28" t="s">
        <v>308</v>
      </c>
      <c r="AF2" s="28" t="s">
        <v>307</v>
      </c>
      <c r="AG2" s="28" t="s">
        <v>306</v>
      </c>
      <c r="AH2" s="28" t="s">
        <v>305</v>
      </c>
      <c r="AI2" s="28" t="s">
        <v>304</v>
      </c>
      <c r="AJ2" s="28" t="s">
        <v>303</v>
      </c>
      <c r="AK2" s="28" t="s">
        <v>302</v>
      </c>
      <c r="AL2" s="28" t="s">
        <v>301</v>
      </c>
      <c r="AM2" s="28" t="s">
        <v>300</v>
      </c>
      <c r="AN2" s="28" t="s">
        <v>299</v>
      </c>
      <c r="AO2" s="28" t="s">
        <v>298</v>
      </c>
      <c r="AP2" s="28" t="s">
        <v>297</v>
      </c>
      <c r="AQ2" s="28" t="s">
        <v>296</v>
      </c>
      <c r="AR2" s="28" t="s">
        <v>343</v>
      </c>
      <c r="AS2" s="28" t="s">
        <v>341</v>
      </c>
      <c r="AT2" s="28" t="s">
        <v>295</v>
      </c>
      <c r="AU2" s="28" t="s">
        <v>294</v>
      </c>
      <c r="AV2" s="28" t="s">
        <v>293</v>
      </c>
      <c r="AW2" s="28" t="s">
        <v>292</v>
      </c>
      <c r="AX2" s="28" t="s">
        <v>291</v>
      </c>
      <c r="AY2" s="28" t="s">
        <v>290</v>
      </c>
      <c r="AZ2" s="28" t="s">
        <v>289</v>
      </c>
      <c r="BA2" s="28" t="s">
        <v>340</v>
      </c>
      <c r="BB2" s="28" t="s">
        <v>342</v>
      </c>
      <c r="BC2" s="28" t="s">
        <v>339</v>
      </c>
      <c r="BD2" s="28" t="s">
        <v>338</v>
      </c>
      <c r="BE2" s="28" t="s">
        <v>337</v>
      </c>
      <c r="BF2" s="28" t="s">
        <v>336</v>
      </c>
    </row>
    <row r="3" spans="1:58" ht="19.5" customHeight="1">
      <c r="A3" s="50" t="s">
        <v>1</v>
      </c>
      <c r="B3" s="47"/>
      <c r="C3" s="47"/>
      <c r="D3" s="48"/>
      <c r="E3" s="30">
        <v>485651</v>
      </c>
      <c r="F3" s="30">
        <v>435621</v>
      </c>
      <c r="G3" s="31">
        <v>0.89698363639733059</v>
      </c>
      <c r="H3" s="30">
        <v>244867</v>
      </c>
      <c r="I3" s="32">
        <v>0.50420363594433038</v>
      </c>
      <c r="J3" s="30">
        <v>489544</v>
      </c>
      <c r="K3" s="30">
        <v>475434</v>
      </c>
      <c r="L3" s="31">
        <v>0.97099999999999997</v>
      </c>
      <c r="M3" s="30">
        <v>2119617</v>
      </c>
      <c r="N3" s="30">
        <v>2123492</v>
      </c>
      <c r="O3" s="30">
        <v>2082916</v>
      </c>
      <c r="P3" s="31">
        <v>0.98268507942708516</v>
      </c>
      <c r="Q3" s="30">
        <v>6188</v>
      </c>
      <c r="R3" s="30">
        <v>742558</v>
      </c>
      <c r="S3" s="30">
        <v>370972</v>
      </c>
      <c r="T3" s="31">
        <v>0.49958656428184728</v>
      </c>
      <c r="U3" s="30">
        <v>150113</v>
      </c>
      <c r="V3" s="31">
        <v>0.2021565992151455</v>
      </c>
      <c r="W3" s="30">
        <v>430742</v>
      </c>
      <c r="X3" s="31">
        <v>0.88693732742236708</v>
      </c>
      <c r="Y3" s="30">
        <v>106163</v>
      </c>
      <c r="Z3" s="33">
        <v>0.21859936456426529</v>
      </c>
      <c r="AA3" s="30">
        <v>10575</v>
      </c>
      <c r="AB3" s="31">
        <v>2.1774895964385949E-2</v>
      </c>
      <c r="AC3" s="30">
        <v>75679</v>
      </c>
      <c r="AD3" s="31">
        <v>0.1558300096159588</v>
      </c>
      <c r="AE3" s="30">
        <v>13892</v>
      </c>
      <c r="AF3" s="31">
        <v>0.18356479340371831</v>
      </c>
      <c r="AG3" s="30">
        <v>68578</v>
      </c>
      <c r="AH3" s="31">
        <v>0.90616947898360178</v>
      </c>
      <c r="AI3" s="34">
        <v>74442</v>
      </c>
      <c r="AJ3" s="31">
        <v>0.1532829130383753</v>
      </c>
      <c r="AK3" s="34">
        <v>461</v>
      </c>
      <c r="AL3" s="31">
        <v>0.86515676634158134</v>
      </c>
      <c r="AM3" s="34">
        <v>73825</v>
      </c>
      <c r="AN3" s="34">
        <v>64404</v>
      </c>
      <c r="AO3" s="31">
        <v>0.13261374937969861</v>
      </c>
      <c r="AP3" s="31">
        <v>0.85101547324885374</v>
      </c>
      <c r="AQ3" s="32">
        <v>0.96579914182348492</v>
      </c>
      <c r="AR3" s="34">
        <v>8383</v>
      </c>
      <c r="AS3" s="34">
        <v>3363</v>
      </c>
      <c r="AT3" s="34">
        <v>13952</v>
      </c>
      <c r="AU3" s="34">
        <v>12528</v>
      </c>
      <c r="AV3" s="34">
        <v>12322</v>
      </c>
      <c r="AW3" s="34">
        <v>10540</v>
      </c>
      <c r="AX3" s="31">
        <v>2.5796302282915101E-2</v>
      </c>
      <c r="AY3" s="31">
        <v>2.5372129368620679E-2</v>
      </c>
      <c r="AZ3" s="31">
        <v>2.1702827750792231E-2</v>
      </c>
      <c r="BA3" s="31">
        <v>0.19132352027824359</v>
      </c>
      <c r="BB3" s="34">
        <v>0</v>
      </c>
      <c r="BC3" s="34">
        <v>33</v>
      </c>
      <c r="BD3" s="32">
        <v>0.98078857372762018</v>
      </c>
      <c r="BE3" s="32">
        <v>0.9919479715082069</v>
      </c>
      <c r="BF3" s="32">
        <v>0</v>
      </c>
    </row>
    <row r="4" spans="1:58" ht="19.5" customHeight="1">
      <c r="A4" s="35">
        <v>1</v>
      </c>
      <c r="B4" s="30" t="s">
        <v>5</v>
      </c>
      <c r="C4" s="36">
        <v>46082</v>
      </c>
      <c r="D4" s="30" t="s">
        <v>2</v>
      </c>
      <c r="E4" s="30">
        <v>2787</v>
      </c>
      <c r="F4" s="30">
        <v>2437</v>
      </c>
      <c r="G4" s="31">
        <v>0.87441693577323287</v>
      </c>
      <c r="H4" s="30">
        <v>1606</v>
      </c>
      <c r="I4" s="32">
        <v>0.57624686042339435</v>
      </c>
      <c r="J4" s="30">
        <v>3143</v>
      </c>
      <c r="K4" s="30">
        <v>3058</v>
      </c>
      <c r="L4" s="31">
        <v>0.97299999999999998</v>
      </c>
      <c r="M4" s="30">
        <v>13111</v>
      </c>
      <c r="N4" s="30">
        <v>12906</v>
      </c>
      <c r="O4" s="30">
        <v>12902</v>
      </c>
      <c r="P4" s="31">
        <v>0.98405918694226224</v>
      </c>
      <c r="Q4" s="30">
        <v>34</v>
      </c>
      <c r="R4" s="30">
        <v>0</v>
      </c>
      <c r="S4" s="30">
        <v>0</v>
      </c>
      <c r="T4" s="31">
        <v>0</v>
      </c>
      <c r="U4" s="30">
        <v>0</v>
      </c>
      <c r="V4" s="31">
        <v>0</v>
      </c>
      <c r="W4" s="30">
        <v>2070</v>
      </c>
      <c r="X4" s="31">
        <v>0.7427341227125942</v>
      </c>
      <c r="Y4" s="30">
        <v>486</v>
      </c>
      <c r="Z4" s="33">
        <v>0.1743810548977395</v>
      </c>
      <c r="AA4" s="30">
        <v>25</v>
      </c>
      <c r="AB4" s="31">
        <v>8.9702188733405096E-3</v>
      </c>
      <c r="AC4" s="30">
        <v>512</v>
      </c>
      <c r="AD4" s="31">
        <v>0.18371008252601359</v>
      </c>
      <c r="AE4" s="30">
        <v>96</v>
      </c>
      <c r="AF4" s="31">
        <v>0.1875</v>
      </c>
      <c r="AG4" s="30">
        <v>475</v>
      </c>
      <c r="AH4" s="31">
        <v>0.927734375</v>
      </c>
      <c r="AI4" s="34">
        <v>481</v>
      </c>
      <c r="AJ4" s="31">
        <v>0.1725870111230714</v>
      </c>
      <c r="AK4" s="34">
        <v>1</v>
      </c>
      <c r="AL4" s="31">
        <v>0.84615384615384615</v>
      </c>
      <c r="AM4" s="34">
        <v>475</v>
      </c>
      <c r="AN4" s="34">
        <v>407</v>
      </c>
      <c r="AO4" s="31">
        <v>0.14603516325798349</v>
      </c>
      <c r="AP4" s="31">
        <v>0.794921875</v>
      </c>
      <c r="AQ4" s="32">
        <v>0.96096904441453568</v>
      </c>
      <c r="AR4" s="34">
        <v>0</v>
      </c>
      <c r="AS4" s="34">
        <v>0</v>
      </c>
      <c r="AT4" s="34">
        <v>136</v>
      </c>
      <c r="AU4" s="34">
        <v>134</v>
      </c>
      <c r="AV4" s="34">
        <v>141</v>
      </c>
      <c r="AW4" s="34">
        <v>176</v>
      </c>
      <c r="AX4" s="31">
        <v>4.8080373161105132E-2</v>
      </c>
      <c r="AY4" s="31">
        <v>5.0592034445640477E-2</v>
      </c>
      <c r="AZ4" s="31">
        <v>6.3150340868317181E-2</v>
      </c>
      <c r="BA4" s="31">
        <v>0.34643734643734642</v>
      </c>
      <c r="BB4" s="34">
        <v>0</v>
      </c>
      <c r="BC4" s="34">
        <v>0</v>
      </c>
      <c r="BD4" s="32">
        <v>1</v>
      </c>
      <c r="BE4" s="32">
        <v>1</v>
      </c>
      <c r="BF4" s="32" t="s">
        <v>335</v>
      </c>
    </row>
    <row r="5" spans="1:58" ht="19.5" customHeight="1">
      <c r="A5" s="35">
        <v>2</v>
      </c>
      <c r="B5" s="30" t="s">
        <v>5</v>
      </c>
      <c r="C5" s="36">
        <v>46082</v>
      </c>
      <c r="D5" s="30" t="s">
        <v>285</v>
      </c>
      <c r="E5" s="30">
        <v>1884</v>
      </c>
      <c r="F5" s="30">
        <v>1702</v>
      </c>
      <c r="G5" s="31">
        <v>0.90339702760084928</v>
      </c>
      <c r="H5" s="30">
        <v>689</v>
      </c>
      <c r="I5" s="32">
        <v>0.36571125265392779</v>
      </c>
      <c r="J5" s="30">
        <v>1678</v>
      </c>
      <c r="K5" s="30">
        <v>1620</v>
      </c>
      <c r="L5" s="31">
        <v>0.96499999999999997</v>
      </c>
      <c r="M5" s="30">
        <v>9039</v>
      </c>
      <c r="N5" s="30">
        <v>8660</v>
      </c>
      <c r="O5" s="30">
        <v>8870</v>
      </c>
      <c r="P5" s="31">
        <v>0.98130324150901649</v>
      </c>
      <c r="Q5" s="30">
        <v>15</v>
      </c>
      <c r="R5" s="30">
        <v>0</v>
      </c>
      <c r="S5" s="30">
        <v>0</v>
      </c>
      <c r="T5" s="31">
        <v>0</v>
      </c>
      <c r="U5" s="30">
        <v>0</v>
      </c>
      <c r="V5" s="31">
        <v>0</v>
      </c>
      <c r="W5" s="30">
        <v>2156</v>
      </c>
      <c r="X5" s="31">
        <v>1.1443736730360929</v>
      </c>
      <c r="Y5" s="30">
        <v>519</v>
      </c>
      <c r="Z5" s="33">
        <v>0.27547770700636942</v>
      </c>
      <c r="AA5" s="30">
        <v>15</v>
      </c>
      <c r="AB5" s="31">
        <v>7.9617834394904458E-3</v>
      </c>
      <c r="AC5" s="30">
        <v>408</v>
      </c>
      <c r="AD5" s="31">
        <v>0.21656050955414011</v>
      </c>
      <c r="AE5" s="30">
        <v>60</v>
      </c>
      <c r="AF5" s="31">
        <v>0.1470588235294118</v>
      </c>
      <c r="AG5" s="30">
        <v>386</v>
      </c>
      <c r="AH5" s="31">
        <v>0.94607843137254899</v>
      </c>
      <c r="AI5" s="34">
        <v>382</v>
      </c>
      <c r="AJ5" s="31">
        <v>0.20276008492569</v>
      </c>
      <c r="AK5" s="34">
        <v>5</v>
      </c>
      <c r="AL5" s="31">
        <v>0.87172774869109948</v>
      </c>
      <c r="AM5" s="34">
        <v>379</v>
      </c>
      <c r="AN5" s="34">
        <v>333</v>
      </c>
      <c r="AO5" s="31">
        <v>0.17675159235668789</v>
      </c>
      <c r="AP5" s="31">
        <v>0.81617647058823528</v>
      </c>
      <c r="AQ5" s="32">
        <v>0.94568690095846641</v>
      </c>
      <c r="AR5" s="34">
        <v>0</v>
      </c>
      <c r="AS5" s="34">
        <v>0</v>
      </c>
      <c r="AT5" s="34">
        <v>51</v>
      </c>
      <c r="AU5" s="34">
        <v>50</v>
      </c>
      <c r="AV5" s="34">
        <v>46</v>
      </c>
      <c r="AW5" s="34">
        <v>52</v>
      </c>
      <c r="AX5" s="31">
        <v>2.6539278131634821E-2</v>
      </c>
      <c r="AY5" s="31">
        <v>2.4416135881104039E-2</v>
      </c>
      <c r="AZ5" s="31">
        <v>2.760084925690021E-2</v>
      </c>
      <c r="BA5" s="31">
        <v>0.13813813813813811</v>
      </c>
      <c r="BB5" s="34">
        <v>0</v>
      </c>
      <c r="BC5" s="34">
        <v>0</v>
      </c>
      <c r="BD5" s="32">
        <v>1</v>
      </c>
      <c r="BE5" s="32">
        <v>1</v>
      </c>
      <c r="BF5" s="32" t="s">
        <v>335</v>
      </c>
    </row>
    <row r="6" spans="1:58" ht="19.5" customHeight="1">
      <c r="A6" s="35">
        <v>3</v>
      </c>
      <c r="B6" s="30" t="s">
        <v>5</v>
      </c>
      <c r="C6" s="36">
        <v>46082</v>
      </c>
      <c r="D6" s="30" t="s">
        <v>25</v>
      </c>
      <c r="E6" s="30">
        <v>42</v>
      </c>
      <c r="F6" s="30">
        <v>41</v>
      </c>
      <c r="G6" s="31">
        <v>0.97619047619047616</v>
      </c>
      <c r="H6" s="30">
        <v>29</v>
      </c>
      <c r="I6" s="32">
        <v>0.69047619047619047</v>
      </c>
      <c r="J6" s="30">
        <v>35</v>
      </c>
      <c r="K6" s="30">
        <v>35</v>
      </c>
      <c r="L6" s="31">
        <v>1</v>
      </c>
      <c r="M6" s="30">
        <v>130</v>
      </c>
      <c r="N6" s="30">
        <v>115</v>
      </c>
      <c r="O6" s="30">
        <v>130</v>
      </c>
      <c r="P6" s="31">
        <v>1</v>
      </c>
      <c r="Q6" s="30">
        <v>0</v>
      </c>
      <c r="R6" s="30">
        <v>0</v>
      </c>
      <c r="S6" s="30">
        <v>0</v>
      </c>
      <c r="T6" s="31">
        <v>0</v>
      </c>
      <c r="U6" s="30">
        <v>0</v>
      </c>
      <c r="V6" s="31">
        <v>0</v>
      </c>
      <c r="W6" s="30">
        <v>0</v>
      </c>
      <c r="X6" s="31">
        <v>0</v>
      </c>
      <c r="Y6" s="30">
        <v>0</v>
      </c>
      <c r="Z6" s="33">
        <v>0</v>
      </c>
      <c r="AA6" s="30">
        <v>0</v>
      </c>
      <c r="AB6" s="31">
        <v>0</v>
      </c>
      <c r="AC6" s="30">
        <v>18</v>
      </c>
      <c r="AD6" s="31">
        <v>0.42857142857142849</v>
      </c>
      <c r="AE6" s="30">
        <v>10</v>
      </c>
      <c r="AF6" s="31">
        <v>0.55555555555555558</v>
      </c>
      <c r="AG6" s="30">
        <v>18</v>
      </c>
      <c r="AH6" s="31">
        <v>1</v>
      </c>
      <c r="AI6" s="34">
        <v>0</v>
      </c>
      <c r="AJ6" s="31">
        <v>0</v>
      </c>
      <c r="AK6" s="34">
        <v>0</v>
      </c>
      <c r="AL6" s="31">
        <v>0</v>
      </c>
      <c r="AM6" s="34">
        <v>0</v>
      </c>
      <c r="AN6" s="34">
        <v>0</v>
      </c>
      <c r="AO6" s="31">
        <v>0</v>
      </c>
      <c r="AP6" s="31">
        <v>0</v>
      </c>
      <c r="AQ6" s="32">
        <v>1</v>
      </c>
      <c r="AR6" s="34">
        <v>0</v>
      </c>
      <c r="AS6" s="34">
        <v>0</v>
      </c>
      <c r="AT6" s="34">
        <v>0</v>
      </c>
      <c r="AU6" s="34">
        <v>0</v>
      </c>
      <c r="AV6" s="34">
        <v>0</v>
      </c>
      <c r="AW6" s="34">
        <v>0</v>
      </c>
      <c r="AX6" s="31">
        <v>0</v>
      </c>
      <c r="AY6" s="31">
        <v>0</v>
      </c>
      <c r="AZ6" s="31">
        <v>0</v>
      </c>
      <c r="BA6" s="31">
        <v>0</v>
      </c>
      <c r="BB6" s="34">
        <v>0</v>
      </c>
      <c r="BC6" s="34">
        <v>0</v>
      </c>
      <c r="BD6" s="32" t="s">
        <v>335</v>
      </c>
      <c r="BE6" s="32" t="s">
        <v>335</v>
      </c>
      <c r="BF6" s="32" t="s">
        <v>335</v>
      </c>
    </row>
    <row r="7" spans="1:58" ht="19.5" customHeight="1">
      <c r="A7" s="35">
        <v>4</v>
      </c>
      <c r="B7" s="30" t="s">
        <v>5</v>
      </c>
      <c r="C7" s="36">
        <v>46082</v>
      </c>
      <c r="D7" s="30" t="s">
        <v>287</v>
      </c>
      <c r="E7" s="30">
        <v>3481</v>
      </c>
      <c r="F7" s="30">
        <v>3237</v>
      </c>
      <c r="G7" s="31">
        <v>0.92990519965527152</v>
      </c>
      <c r="H7" s="30">
        <v>2250</v>
      </c>
      <c r="I7" s="32">
        <v>0.64636598678540647</v>
      </c>
      <c r="J7" s="30">
        <v>4756</v>
      </c>
      <c r="K7" s="30">
        <v>4606</v>
      </c>
      <c r="L7" s="31">
        <v>0.96799999999999997</v>
      </c>
      <c r="M7" s="30">
        <v>25036</v>
      </c>
      <c r="N7" s="30">
        <v>25068</v>
      </c>
      <c r="O7" s="30">
        <v>24553</v>
      </c>
      <c r="P7" s="31">
        <v>0.98070778079565424</v>
      </c>
      <c r="Q7" s="30">
        <v>24</v>
      </c>
      <c r="R7" s="30">
        <v>0</v>
      </c>
      <c r="S7" s="30">
        <v>0</v>
      </c>
      <c r="T7" s="31">
        <v>0</v>
      </c>
      <c r="U7" s="30">
        <v>0</v>
      </c>
      <c r="V7" s="31">
        <v>0</v>
      </c>
      <c r="W7" s="30">
        <v>3254</v>
      </c>
      <c r="X7" s="31">
        <v>0.93478885377765009</v>
      </c>
      <c r="Y7" s="30">
        <v>951</v>
      </c>
      <c r="Z7" s="33">
        <v>0.2731973570812985</v>
      </c>
      <c r="AA7" s="30">
        <v>101</v>
      </c>
      <c r="AB7" s="31">
        <v>2.901465096236714E-2</v>
      </c>
      <c r="AC7" s="30">
        <v>1017</v>
      </c>
      <c r="AD7" s="31">
        <v>0.29215742602700367</v>
      </c>
      <c r="AE7" s="30">
        <v>120</v>
      </c>
      <c r="AF7" s="31">
        <v>0.11799410029498519</v>
      </c>
      <c r="AG7" s="30">
        <v>950</v>
      </c>
      <c r="AH7" s="31">
        <v>0.93411996066863323</v>
      </c>
      <c r="AI7" s="34">
        <v>918</v>
      </c>
      <c r="AJ7" s="31">
        <v>0.26371732260844583</v>
      </c>
      <c r="AK7" s="34">
        <v>1</v>
      </c>
      <c r="AL7" s="31">
        <v>0.93355119825708066</v>
      </c>
      <c r="AM7" s="34">
        <v>911</v>
      </c>
      <c r="AN7" s="34">
        <v>857</v>
      </c>
      <c r="AO7" s="31">
        <v>0.24619362252226371</v>
      </c>
      <c r="AP7" s="31">
        <v>0.8426745329400197</v>
      </c>
      <c r="AQ7" s="32">
        <v>0.95566502463054193</v>
      </c>
      <c r="AR7" s="34">
        <v>0</v>
      </c>
      <c r="AS7" s="34">
        <v>0</v>
      </c>
      <c r="AT7" s="34">
        <v>173</v>
      </c>
      <c r="AU7" s="34">
        <v>167</v>
      </c>
      <c r="AV7" s="34">
        <v>174</v>
      </c>
      <c r="AW7" s="34">
        <v>320</v>
      </c>
      <c r="AX7" s="31">
        <v>4.7974719908072387E-2</v>
      </c>
      <c r="AY7" s="31">
        <v>4.998563631140477E-2</v>
      </c>
      <c r="AZ7" s="31">
        <v>9.1927607009480036E-2</v>
      </c>
      <c r="BA7" s="31">
        <v>0.20303383897316221</v>
      </c>
      <c r="BB7" s="34">
        <v>0</v>
      </c>
      <c r="BC7" s="34">
        <v>3</v>
      </c>
      <c r="BD7" s="32">
        <v>0.92660550458715596</v>
      </c>
      <c r="BE7" s="32">
        <v>1</v>
      </c>
      <c r="BF7" s="32" t="s">
        <v>335</v>
      </c>
    </row>
    <row r="8" spans="1:58" ht="19.5" customHeight="1">
      <c r="A8" s="35">
        <v>5</v>
      </c>
      <c r="B8" s="30" t="s">
        <v>5</v>
      </c>
      <c r="C8" s="36">
        <v>46083</v>
      </c>
      <c r="D8" s="30" t="s">
        <v>2</v>
      </c>
      <c r="E8" s="30">
        <v>2105</v>
      </c>
      <c r="F8" s="30">
        <v>1837</v>
      </c>
      <c r="G8" s="31">
        <v>0.87268408551068888</v>
      </c>
      <c r="H8" s="30">
        <v>844</v>
      </c>
      <c r="I8" s="32">
        <v>0.4009501187648456</v>
      </c>
      <c r="J8" s="30">
        <v>2275</v>
      </c>
      <c r="K8" s="30">
        <v>2205</v>
      </c>
      <c r="L8" s="31">
        <v>0.96899999999999997</v>
      </c>
      <c r="M8" s="30">
        <v>10653</v>
      </c>
      <c r="N8" s="30">
        <v>10660</v>
      </c>
      <c r="O8" s="30">
        <v>10473</v>
      </c>
      <c r="P8" s="31">
        <v>0.98310335116868486</v>
      </c>
      <c r="Q8" s="30">
        <v>21</v>
      </c>
      <c r="R8" s="30">
        <v>0</v>
      </c>
      <c r="S8" s="30">
        <v>0</v>
      </c>
      <c r="T8" s="31">
        <v>0</v>
      </c>
      <c r="U8" s="30">
        <v>0</v>
      </c>
      <c r="V8" s="31">
        <v>0</v>
      </c>
      <c r="W8" s="30">
        <v>2872</v>
      </c>
      <c r="X8" s="31">
        <v>1.36437054631829</v>
      </c>
      <c r="Y8" s="30">
        <v>454</v>
      </c>
      <c r="Z8" s="33">
        <v>0.21567695961995251</v>
      </c>
      <c r="AA8" s="30">
        <v>28</v>
      </c>
      <c r="AB8" s="31">
        <v>1.3301662707838479E-2</v>
      </c>
      <c r="AC8" s="30">
        <v>284</v>
      </c>
      <c r="AD8" s="31">
        <v>0.134916864608076</v>
      </c>
      <c r="AE8" s="30">
        <v>54</v>
      </c>
      <c r="AF8" s="31">
        <v>0.1901408450704225</v>
      </c>
      <c r="AG8" s="30">
        <v>260</v>
      </c>
      <c r="AH8" s="31">
        <v>0.91549295774647887</v>
      </c>
      <c r="AI8" s="34">
        <v>270</v>
      </c>
      <c r="AJ8" s="31">
        <v>0.12826603325415681</v>
      </c>
      <c r="AK8" s="34">
        <v>1</v>
      </c>
      <c r="AL8" s="31">
        <v>0.87777777777777777</v>
      </c>
      <c r="AM8" s="34">
        <v>263</v>
      </c>
      <c r="AN8" s="34">
        <v>237</v>
      </c>
      <c r="AO8" s="31">
        <v>0.1125890736342043</v>
      </c>
      <c r="AP8" s="31">
        <v>0.83450704225352113</v>
      </c>
      <c r="AQ8" s="32">
        <v>0.9279069767441861</v>
      </c>
      <c r="AR8" s="34">
        <v>0</v>
      </c>
      <c r="AS8" s="34">
        <v>0</v>
      </c>
      <c r="AT8" s="34">
        <v>79</v>
      </c>
      <c r="AU8" s="34">
        <v>70</v>
      </c>
      <c r="AV8" s="34">
        <v>70</v>
      </c>
      <c r="AW8" s="34">
        <v>78</v>
      </c>
      <c r="AX8" s="31">
        <v>3.3254156769596199E-2</v>
      </c>
      <c r="AY8" s="31">
        <v>3.3254156769596199E-2</v>
      </c>
      <c r="AZ8" s="31">
        <v>3.7054631828978619E-2</v>
      </c>
      <c r="BA8" s="31">
        <v>0.29535864978902948</v>
      </c>
      <c r="BB8" s="34">
        <v>0</v>
      </c>
      <c r="BC8" s="34">
        <v>1</v>
      </c>
      <c r="BD8" s="32">
        <v>0.9285714285714286</v>
      </c>
      <c r="BE8" s="32">
        <v>1</v>
      </c>
      <c r="BF8" s="32" t="s">
        <v>335</v>
      </c>
    </row>
    <row r="9" spans="1:58" ht="19.5" customHeight="1">
      <c r="A9" s="35">
        <v>6</v>
      </c>
      <c r="B9" s="30" t="s">
        <v>5</v>
      </c>
      <c r="C9" s="36">
        <v>46083</v>
      </c>
      <c r="D9" s="30" t="s">
        <v>285</v>
      </c>
      <c r="E9" s="30">
        <v>1957</v>
      </c>
      <c r="F9" s="30">
        <v>1745</v>
      </c>
      <c r="G9" s="31">
        <v>0.89167092488502808</v>
      </c>
      <c r="H9" s="30">
        <v>627</v>
      </c>
      <c r="I9" s="32">
        <v>0.32038834951456308</v>
      </c>
      <c r="J9" s="30">
        <v>1417</v>
      </c>
      <c r="K9" s="30">
        <v>1353</v>
      </c>
      <c r="L9" s="31">
        <v>0.95499999999999996</v>
      </c>
      <c r="M9" s="30">
        <v>8493</v>
      </c>
      <c r="N9" s="30">
        <v>8359</v>
      </c>
      <c r="O9" s="30">
        <v>8323</v>
      </c>
      <c r="P9" s="31">
        <v>0.97998351583657128</v>
      </c>
      <c r="Q9" s="30">
        <v>21</v>
      </c>
      <c r="R9" s="30">
        <v>0</v>
      </c>
      <c r="S9" s="30">
        <v>0</v>
      </c>
      <c r="T9" s="31">
        <v>0</v>
      </c>
      <c r="U9" s="30">
        <v>0</v>
      </c>
      <c r="V9" s="31">
        <v>0</v>
      </c>
      <c r="W9" s="30">
        <v>2664</v>
      </c>
      <c r="X9" s="31">
        <v>1.361267245784364</v>
      </c>
      <c r="Y9" s="30">
        <v>473</v>
      </c>
      <c r="Z9" s="33">
        <v>0.24169647419519669</v>
      </c>
      <c r="AA9" s="30">
        <v>20</v>
      </c>
      <c r="AB9" s="31">
        <v>1.021972406745018E-2</v>
      </c>
      <c r="AC9" s="30">
        <v>235</v>
      </c>
      <c r="AD9" s="31">
        <v>0.1200817577925396</v>
      </c>
      <c r="AE9" s="30">
        <v>30</v>
      </c>
      <c r="AF9" s="31">
        <v>0.1276595744680851</v>
      </c>
      <c r="AG9" s="30">
        <v>225</v>
      </c>
      <c r="AH9" s="31">
        <v>0.95744680851063835</v>
      </c>
      <c r="AI9" s="34">
        <v>209</v>
      </c>
      <c r="AJ9" s="31">
        <v>0.1067961165048544</v>
      </c>
      <c r="AK9" s="34">
        <v>1</v>
      </c>
      <c r="AL9" s="31">
        <v>0.82775119617224879</v>
      </c>
      <c r="AM9" s="34">
        <v>202</v>
      </c>
      <c r="AN9" s="34">
        <v>173</v>
      </c>
      <c r="AO9" s="31">
        <v>8.8400613183444041E-2</v>
      </c>
      <c r="AP9" s="31">
        <v>0.7361702127659574</v>
      </c>
      <c r="AQ9" s="32">
        <v>0.95027624309392267</v>
      </c>
      <c r="AR9" s="34">
        <v>0</v>
      </c>
      <c r="AS9" s="34">
        <v>0</v>
      </c>
      <c r="AT9" s="34">
        <v>48</v>
      </c>
      <c r="AU9" s="34">
        <v>42</v>
      </c>
      <c r="AV9" s="34">
        <v>42</v>
      </c>
      <c r="AW9" s="34">
        <v>36</v>
      </c>
      <c r="AX9" s="31">
        <v>2.146142054164538E-2</v>
      </c>
      <c r="AY9" s="31">
        <v>2.146142054164538E-2</v>
      </c>
      <c r="AZ9" s="31">
        <v>1.8395503321410319E-2</v>
      </c>
      <c r="BA9" s="31">
        <v>0.2427745664739884</v>
      </c>
      <c r="BB9" s="34">
        <v>0</v>
      </c>
      <c r="BC9" s="34">
        <v>0</v>
      </c>
      <c r="BD9" s="32">
        <v>1</v>
      </c>
      <c r="BE9" s="32">
        <v>1</v>
      </c>
      <c r="BF9" s="32" t="s">
        <v>335</v>
      </c>
    </row>
    <row r="10" spans="1:58" ht="19.5" customHeight="1">
      <c r="A10" s="35">
        <v>7</v>
      </c>
      <c r="B10" s="30" t="s">
        <v>5</v>
      </c>
      <c r="C10" s="36">
        <v>46083</v>
      </c>
      <c r="D10" s="30" t="s">
        <v>25</v>
      </c>
      <c r="E10" s="30">
        <v>31</v>
      </c>
      <c r="F10" s="30">
        <v>29</v>
      </c>
      <c r="G10" s="31">
        <v>0.93548387096774188</v>
      </c>
      <c r="H10" s="30">
        <v>19</v>
      </c>
      <c r="I10" s="32">
        <v>0.61290322580645162</v>
      </c>
      <c r="J10" s="30">
        <v>26</v>
      </c>
      <c r="K10" s="30">
        <v>25</v>
      </c>
      <c r="L10" s="31">
        <v>0.96199999999999997</v>
      </c>
      <c r="M10" s="30">
        <v>133</v>
      </c>
      <c r="N10" s="30">
        <v>105</v>
      </c>
      <c r="O10" s="30">
        <v>129</v>
      </c>
      <c r="P10" s="31">
        <v>0.96992481203007519</v>
      </c>
      <c r="Q10" s="30">
        <v>0</v>
      </c>
      <c r="R10" s="30">
        <v>0</v>
      </c>
      <c r="S10" s="30">
        <v>0</v>
      </c>
      <c r="T10" s="31">
        <v>0</v>
      </c>
      <c r="U10" s="30">
        <v>0</v>
      </c>
      <c r="V10" s="31">
        <v>0</v>
      </c>
      <c r="W10" s="30">
        <v>0</v>
      </c>
      <c r="X10" s="31">
        <v>0</v>
      </c>
      <c r="Y10" s="30">
        <v>0</v>
      </c>
      <c r="Z10" s="33">
        <v>0</v>
      </c>
      <c r="AA10" s="30">
        <v>0</v>
      </c>
      <c r="AB10" s="31">
        <v>0</v>
      </c>
      <c r="AC10" s="30">
        <v>11</v>
      </c>
      <c r="AD10" s="31">
        <v>0.35483870967741937</v>
      </c>
      <c r="AE10" s="30">
        <v>6</v>
      </c>
      <c r="AF10" s="31">
        <v>0.54545454545454541</v>
      </c>
      <c r="AG10" s="30">
        <v>11</v>
      </c>
      <c r="AH10" s="31">
        <v>1</v>
      </c>
      <c r="AI10" s="34">
        <v>0</v>
      </c>
      <c r="AJ10" s="31">
        <v>0</v>
      </c>
      <c r="AK10" s="34">
        <v>0</v>
      </c>
      <c r="AL10" s="31">
        <v>0</v>
      </c>
      <c r="AM10" s="34">
        <v>0</v>
      </c>
      <c r="AN10" s="34">
        <v>0</v>
      </c>
      <c r="AO10" s="31">
        <v>0</v>
      </c>
      <c r="AP10" s="31">
        <v>0</v>
      </c>
      <c r="AQ10" s="32">
        <v>1</v>
      </c>
      <c r="AR10" s="34">
        <v>0</v>
      </c>
      <c r="AS10" s="34">
        <v>0</v>
      </c>
      <c r="AT10" s="34">
        <v>0</v>
      </c>
      <c r="AU10" s="34">
        <v>0</v>
      </c>
      <c r="AV10" s="34">
        <v>0</v>
      </c>
      <c r="AW10" s="34">
        <v>0</v>
      </c>
      <c r="AX10" s="31">
        <v>0</v>
      </c>
      <c r="AY10" s="31">
        <v>0</v>
      </c>
      <c r="AZ10" s="31">
        <v>0</v>
      </c>
      <c r="BA10" s="31">
        <v>0</v>
      </c>
      <c r="BB10" s="34">
        <v>0</v>
      </c>
      <c r="BC10" s="34">
        <v>0</v>
      </c>
      <c r="BD10" s="32" t="s">
        <v>335</v>
      </c>
      <c r="BE10" s="32" t="s">
        <v>335</v>
      </c>
      <c r="BF10" s="32" t="s">
        <v>335</v>
      </c>
    </row>
    <row r="11" spans="1:58" ht="19.5" customHeight="1">
      <c r="A11" s="35">
        <v>8</v>
      </c>
      <c r="B11" s="30" t="s">
        <v>5</v>
      </c>
      <c r="C11" s="36">
        <v>46083</v>
      </c>
      <c r="D11" s="30" t="s">
        <v>287</v>
      </c>
      <c r="E11" s="30">
        <v>3938</v>
      </c>
      <c r="F11" s="30">
        <v>3522</v>
      </c>
      <c r="G11" s="31">
        <v>0.89436262061960381</v>
      </c>
      <c r="H11" s="30">
        <v>2699</v>
      </c>
      <c r="I11" s="32">
        <v>0.68537328593194513</v>
      </c>
      <c r="J11" s="30">
        <v>4851</v>
      </c>
      <c r="K11" s="30">
        <v>4701</v>
      </c>
      <c r="L11" s="31">
        <v>0.96899999999999997</v>
      </c>
      <c r="M11" s="30">
        <v>23223</v>
      </c>
      <c r="N11" s="30">
        <v>22988</v>
      </c>
      <c r="O11" s="30">
        <v>22808</v>
      </c>
      <c r="P11" s="31">
        <v>0.98212978512681393</v>
      </c>
      <c r="Q11" s="30">
        <v>24</v>
      </c>
      <c r="R11" s="30">
        <v>0</v>
      </c>
      <c r="S11" s="30">
        <v>0</v>
      </c>
      <c r="T11" s="31">
        <v>0</v>
      </c>
      <c r="U11" s="30">
        <v>0</v>
      </c>
      <c r="V11" s="31">
        <v>0</v>
      </c>
      <c r="W11" s="30">
        <v>4316</v>
      </c>
      <c r="X11" s="31">
        <v>1.0959878110716099</v>
      </c>
      <c r="Y11" s="30">
        <v>967</v>
      </c>
      <c r="Z11" s="33">
        <v>0.2455561198577958</v>
      </c>
      <c r="AA11" s="30">
        <v>81</v>
      </c>
      <c r="AB11" s="31">
        <v>2.0568816658202128E-2</v>
      </c>
      <c r="AC11" s="30">
        <v>550</v>
      </c>
      <c r="AD11" s="31">
        <v>0.13966480446927371</v>
      </c>
      <c r="AE11" s="30">
        <v>70</v>
      </c>
      <c r="AF11" s="31">
        <v>0.12727272727272729</v>
      </c>
      <c r="AG11" s="30">
        <v>513</v>
      </c>
      <c r="AH11" s="31">
        <v>0.93272727272727274</v>
      </c>
      <c r="AI11" s="34">
        <v>511</v>
      </c>
      <c r="AJ11" s="31">
        <v>0.12976130015236159</v>
      </c>
      <c r="AK11" s="34">
        <v>1</v>
      </c>
      <c r="AL11" s="31">
        <v>0.90410958904109584</v>
      </c>
      <c r="AM11" s="34">
        <v>500</v>
      </c>
      <c r="AN11" s="34">
        <v>462</v>
      </c>
      <c r="AO11" s="31">
        <v>0.1173184357541899</v>
      </c>
      <c r="AP11" s="31">
        <v>0.84</v>
      </c>
      <c r="AQ11" s="32">
        <v>0.95130641330166266</v>
      </c>
      <c r="AR11" s="34">
        <v>0</v>
      </c>
      <c r="AS11" s="34">
        <v>0</v>
      </c>
      <c r="AT11" s="34">
        <v>95</v>
      </c>
      <c r="AU11" s="34">
        <v>91</v>
      </c>
      <c r="AV11" s="34">
        <v>93</v>
      </c>
      <c r="AW11" s="34">
        <v>78</v>
      </c>
      <c r="AX11" s="31">
        <v>2.310817673946166E-2</v>
      </c>
      <c r="AY11" s="31">
        <v>2.3616048755713558E-2</v>
      </c>
      <c r="AZ11" s="31">
        <v>1.9807008633824279E-2</v>
      </c>
      <c r="BA11" s="31">
        <v>0.20129870129870131</v>
      </c>
      <c r="BB11" s="34">
        <v>0</v>
      </c>
      <c r="BC11" s="34">
        <v>0</v>
      </c>
      <c r="BD11" s="32">
        <v>0.98701298701298701</v>
      </c>
      <c r="BE11" s="32">
        <v>1</v>
      </c>
      <c r="BF11" s="32" t="s">
        <v>335</v>
      </c>
    </row>
    <row r="12" spans="1:58" ht="19.5" customHeight="1">
      <c r="A12" s="35">
        <v>9</v>
      </c>
      <c r="B12" s="30" t="s">
        <v>5</v>
      </c>
      <c r="C12" s="36">
        <v>46084</v>
      </c>
      <c r="D12" s="30" t="s">
        <v>2</v>
      </c>
      <c r="E12" s="30">
        <v>1798</v>
      </c>
      <c r="F12" s="30">
        <v>1571</v>
      </c>
      <c r="G12" s="31">
        <v>0.87374860956618461</v>
      </c>
      <c r="H12" s="30">
        <v>651</v>
      </c>
      <c r="I12" s="32">
        <v>0.36206896551724138</v>
      </c>
      <c r="J12" s="30">
        <v>2176</v>
      </c>
      <c r="K12" s="30">
        <v>2086</v>
      </c>
      <c r="L12" s="31">
        <v>0.95899999999999996</v>
      </c>
      <c r="M12" s="30">
        <v>10363</v>
      </c>
      <c r="N12" s="30">
        <v>10146</v>
      </c>
      <c r="O12" s="30">
        <v>10208</v>
      </c>
      <c r="P12" s="31">
        <v>0.98504294123323366</v>
      </c>
      <c r="Q12" s="30">
        <v>19</v>
      </c>
      <c r="R12" s="30">
        <v>0</v>
      </c>
      <c r="S12" s="30">
        <v>0</v>
      </c>
      <c r="T12" s="31">
        <v>0</v>
      </c>
      <c r="U12" s="30">
        <v>0</v>
      </c>
      <c r="V12" s="31">
        <v>0</v>
      </c>
      <c r="W12" s="30">
        <v>3411</v>
      </c>
      <c r="X12" s="31">
        <v>1.897107897664071</v>
      </c>
      <c r="Y12" s="30">
        <v>758</v>
      </c>
      <c r="Z12" s="33">
        <v>0.42157953281423799</v>
      </c>
      <c r="AA12" s="30">
        <v>41</v>
      </c>
      <c r="AB12" s="31">
        <v>2.2803114571746389E-2</v>
      </c>
      <c r="AC12" s="30">
        <v>262</v>
      </c>
      <c r="AD12" s="31">
        <v>0.14571746384872081</v>
      </c>
      <c r="AE12" s="30">
        <v>68</v>
      </c>
      <c r="AF12" s="31">
        <v>0.25954198473282442</v>
      </c>
      <c r="AG12" s="30">
        <v>245</v>
      </c>
      <c r="AH12" s="31">
        <v>0.93511450381679384</v>
      </c>
      <c r="AI12" s="34">
        <v>275</v>
      </c>
      <c r="AJ12" s="31">
        <v>0.15294771968854279</v>
      </c>
      <c r="AK12" s="34">
        <v>1</v>
      </c>
      <c r="AL12" s="31">
        <v>0.85090909090909095</v>
      </c>
      <c r="AM12" s="34">
        <v>273</v>
      </c>
      <c r="AN12" s="34">
        <v>234</v>
      </c>
      <c r="AO12" s="31">
        <v>0.1301446051167964</v>
      </c>
      <c r="AP12" s="31">
        <v>0.89312977099236646</v>
      </c>
      <c r="AQ12" s="32">
        <v>0.95473251028806583</v>
      </c>
      <c r="AR12" s="34">
        <v>0</v>
      </c>
      <c r="AS12" s="34">
        <v>0</v>
      </c>
      <c r="AT12" s="34">
        <v>56</v>
      </c>
      <c r="AU12" s="34">
        <v>55</v>
      </c>
      <c r="AV12" s="34">
        <v>54</v>
      </c>
      <c r="AW12" s="34">
        <v>182</v>
      </c>
      <c r="AX12" s="31">
        <v>3.058954393770856E-2</v>
      </c>
      <c r="AY12" s="31">
        <v>3.0033370411568412E-2</v>
      </c>
      <c r="AZ12" s="31">
        <v>0.1012235817575083</v>
      </c>
      <c r="BA12" s="31">
        <v>0.23076923076923081</v>
      </c>
      <c r="BB12" s="34">
        <v>0</v>
      </c>
      <c r="BC12" s="34">
        <v>0</v>
      </c>
      <c r="BD12" s="32">
        <v>0.95652173913043481</v>
      </c>
      <c r="BE12" s="32">
        <v>1</v>
      </c>
      <c r="BF12" s="32" t="s">
        <v>335</v>
      </c>
    </row>
    <row r="13" spans="1:58" ht="19.5" customHeight="1">
      <c r="A13" s="35">
        <v>10</v>
      </c>
      <c r="B13" s="30" t="s">
        <v>5</v>
      </c>
      <c r="C13" s="36">
        <v>46084</v>
      </c>
      <c r="D13" s="30" t="s">
        <v>285</v>
      </c>
      <c r="E13" s="30">
        <v>2102</v>
      </c>
      <c r="F13" s="30">
        <v>1856</v>
      </c>
      <c r="G13" s="31">
        <v>0.88296860133206467</v>
      </c>
      <c r="H13" s="30">
        <v>654</v>
      </c>
      <c r="I13" s="32">
        <v>0.31113225499524261</v>
      </c>
      <c r="J13" s="30">
        <v>1464</v>
      </c>
      <c r="K13" s="30">
        <v>1412</v>
      </c>
      <c r="L13" s="31">
        <v>0.96399999999999997</v>
      </c>
      <c r="M13" s="30">
        <v>7350</v>
      </c>
      <c r="N13" s="30">
        <v>7561</v>
      </c>
      <c r="O13" s="30">
        <v>7229</v>
      </c>
      <c r="P13" s="31">
        <v>0.98353741496598635</v>
      </c>
      <c r="Q13" s="30">
        <v>12</v>
      </c>
      <c r="R13" s="30">
        <v>0</v>
      </c>
      <c r="S13" s="30">
        <v>0</v>
      </c>
      <c r="T13" s="31">
        <v>0</v>
      </c>
      <c r="U13" s="30">
        <v>0</v>
      </c>
      <c r="V13" s="31">
        <v>0</v>
      </c>
      <c r="W13" s="30">
        <v>3292</v>
      </c>
      <c r="X13" s="31">
        <v>1.5661274976213131</v>
      </c>
      <c r="Y13" s="30">
        <v>921</v>
      </c>
      <c r="Z13" s="33">
        <v>0.43815413891531868</v>
      </c>
      <c r="AA13" s="30">
        <v>15</v>
      </c>
      <c r="AB13" s="31">
        <v>7.136060894386299E-3</v>
      </c>
      <c r="AC13" s="30">
        <v>235</v>
      </c>
      <c r="AD13" s="31">
        <v>0.1117982873453853</v>
      </c>
      <c r="AE13" s="30">
        <v>50</v>
      </c>
      <c r="AF13" s="31">
        <v>0.21276595744680851</v>
      </c>
      <c r="AG13" s="30">
        <v>220</v>
      </c>
      <c r="AH13" s="31">
        <v>0.93617021276595747</v>
      </c>
      <c r="AI13" s="34">
        <v>231</v>
      </c>
      <c r="AJ13" s="31">
        <v>0.109895337773549</v>
      </c>
      <c r="AK13" s="34">
        <v>2</v>
      </c>
      <c r="AL13" s="31">
        <v>0.87445887445887449</v>
      </c>
      <c r="AM13" s="34">
        <v>229</v>
      </c>
      <c r="AN13" s="34">
        <v>202</v>
      </c>
      <c r="AO13" s="31">
        <v>9.6098953377735497E-2</v>
      </c>
      <c r="AP13" s="31">
        <v>0.8595744680851064</v>
      </c>
      <c r="AQ13" s="32">
        <v>0.9550561797752809</v>
      </c>
      <c r="AR13" s="34">
        <v>0</v>
      </c>
      <c r="AS13" s="34">
        <v>0</v>
      </c>
      <c r="AT13" s="34">
        <v>30</v>
      </c>
      <c r="AU13" s="34">
        <v>27</v>
      </c>
      <c r="AV13" s="34">
        <v>32</v>
      </c>
      <c r="AW13" s="34">
        <v>65</v>
      </c>
      <c r="AX13" s="31">
        <v>1.2844909609895341E-2</v>
      </c>
      <c r="AY13" s="31">
        <v>1.522359657469077E-2</v>
      </c>
      <c r="AZ13" s="31">
        <v>3.0922930542340629E-2</v>
      </c>
      <c r="BA13" s="31">
        <v>0.15841584158415839</v>
      </c>
      <c r="BB13" s="34">
        <v>0</v>
      </c>
      <c r="BC13" s="34">
        <v>0</v>
      </c>
      <c r="BD13" s="32">
        <v>0.96</v>
      </c>
      <c r="BE13" s="32">
        <v>1</v>
      </c>
      <c r="BF13" s="32" t="s">
        <v>335</v>
      </c>
    </row>
    <row r="14" spans="1:58" ht="19.5" customHeight="1">
      <c r="A14" s="35">
        <v>11</v>
      </c>
      <c r="B14" s="30" t="s">
        <v>5</v>
      </c>
      <c r="C14" s="36">
        <v>46084</v>
      </c>
      <c r="D14" s="30" t="s">
        <v>25</v>
      </c>
      <c r="E14" s="30">
        <v>29</v>
      </c>
      <c r="F14" s="30">
        <v>29</v>
      </c>
      <c r="G14" s="31">
        <v>1</v>
      </c>
      <c r="H14" s="30">
        <v>16</v>
      </c>
      <c r="I14" s="32">
        <v>0.55172413793103448</v>
      </c>
      <c r="J14" s="30">
        <v>24</v>
      </c>
      <c r="K14" s="30">
        <v>24</v>
      </c>
      <c r="L14" s="31">
        <v>1</v>
      </c>
      <c r="M14" s="30">
        <v>111</v>
      </c>
      <c r="N14" s="30">
        <v>101</v>
      </c>
      <c r="O14" s="30">
        <v>110</v>
      </c>
      <c r="P14" s="31">
        <v>0.99099099099099097</v>
      </c>
      <c r="Q14" s="30">
        <v>0</v>
      </c>
      <c r="R14" s="30">
        <v>0</v>
      </c>
      <c r="S14" s="30">
        <v>0</v>
      </c>
      <c r="T14" s="31">
        <v>0</v>
      </c>
      <c r="U14" s="30">
        <v>0</v>
      </c>
      <c r="V14" s="31">
        <v>0</v>
      </c>
      <c r="W14" s="30">
        <v>0</v>
      </c>
      <c r="X14" s="31">
        <v>0</v>
      </c>
      <c r="Y14" s="30">
        <v>0</v>
      </c>
      <c r="Z14" s="33">
        <v>0</v>
      </c>
      <c r="AA14" s="30">
        <v>0</v>
      </c>
      <c r="AB14" s="31">
        <v>0</v>
      </c>
      <c r="AC14" s="30">
        <v>12</v>
      </c>
      <c r="AD14" s="31">
        <v>0.41379310344827591</v>
      </c>
      <c r="AE14" s="30">
        <v>4</v>
      </c>
      <c r="AF14" s="31">
        <v>0.33333333333333331</v>
      </c>
      <c r="AG14" s="30">
        <v>11</v>
      </c>
      <c r="AH14" s="31">
        <v>0.91666666666666663</v>
      </c>
      <c r="AI14" s="34">
        <v>0</v>
      </c>
      <c r="AJ14" s="31">
        <v>0</v>
      </c>
      <c r="AK14" s="34">
        <v>0</v>
      </c>
      <c r="AL14" s="31">
        <v>0</v>
      </c>
      <c r="AM14" s="34">
        <v>0</v>
      </c>
      <c r="AN14" s="34">
        <v>0</v>
      </c>
      <c r="AO14" s="31">
        <v>0</v>
      </c>
      <c r="AP14" s="31">
        <v>0</v>
      </c>
      <c r="AQ14" s="32">
        <v>0.8</v>
      </c>
      <c r="AR14" s="34">
        <v>0</v>
      </c>
      <c r="AS14" s="34">
        <v>0</v>
      </c>
      <c r="AT14" s="34">
        <v>0</v>
      </c>
      <c r="AU14" s="34">
        <v>0</v>
      </c>
      <c r="AV14" s="34">
        <v>0</v>
      </c>
      <c r="AW14" s="34">
        <v>0</v>
      </c>
      <c r="AX14" s="31">
        <v>0</v>
      </c>
      <c r="AY14" s="31">
        <v>0</v>
      </c>
      <c r="AZ14" s="31">
        <v>0</v>
      </c>
      <c r="BA14" s="31">
        <v>0</v>
      </c>
      <c r="BB14" s="34">
        <v>0</v>
      </c>
      <c r="BC14" s="34">
        <v>0</v>
      </c>
      <c r="BD14" s="32" t="s">
        <v>335</v>
      </c>
      <c r="BE14" s="32" t="s">
        <v>335</v>
      </c>
      <c r="BF14" s="32" t="s">
        <v>335</v>
      </c>
    </row>
    <row r="15" spans="1:58" ht="19.5" customHeight="1">
      <c r="A15" s="35">
        <v>12</v>
      </c>
      <c r="B15" s="30" t="s">
        <v>5</v>
      </c>
      <c r="C15" s="36">
        <v>46084</v>
      </c>
      <c r="D15" s="30" t="s">
        <v>287</v>
      </c>
      <c r="E15" s="30">
        <v>3802</v>
      </c>
      <c r="F15" s="30">
        <v>3390</v>
      </c>
      <c r="G15" s="31">
        <v>0.89163598106259867</v>
      </c>
      <c r="H15" s="30">
        <v>2509</v>
      </c>
      <c r="I15" s="32">
        <v>0.65991583377169916</v>
      </c>
      <c r="J15" s="30">
        <v>5004</v>
      </c>
      <c r="K15" s="30">
        <v>4854</v>
      </c>
      <c r="L15" s="31">
        <v>0.97</v>
      </c>
      <c r="M15" s="30">
        <v>23164</v>
      </c>
      <c r="N15" s="30">
        <v>22650</v>
      </c>
      <c r="O15" s="30">
        <v>22845</v>
      </c>
      <c r="P15" s="31">
        <v>0.986228630633742</v>
      </c>
      <c r="Q15" s="30">
        <v>30</v>
      </c>
      <c r="R15" s="30">
        <v>0</v>
      </c>
      <c r="S15" s="30">
        <v>0</v>
      </c>
      <c r="T15" s="31">
        <v>0</v>
      </c>
      <c r="U15" s="30">
        <v>0</v>
      </c>
      <c r="V15" s="31">
        <v>0</v>
      </c>
      <c r="W15" s="30">
        <v>4616</v>
      </c>
      <c r="X15" s="31">
        <v>1.2140978432403999</v>
      </c>
      <c r="Y15" s="30">
        <v>1242</v>
      </c>
      <c r="Z15" s="33">
        <v>0.32667017359284589</v>
      </c>
      <c r="AA15" s="30">
        <v>113</v>
      </c>
      <c r="AB15" s="31">
        <v>2.9721199368753289E-2</v>
      </c>
      <c r="AC15" s="30">
        <v>501</v>
      </c>
      <c r="AD15" s="31">
        <v>0.13177275118358761</v>
      </c>
      <c r="AE15" s="30">
        <v>100</v>
      </c>
      <c r="AF15" s="31">
        <v>0.19960079840319361</v>
      </c>
      <c r="AG15" s="30">
        <v>476</v>
      </c>
      <c r="AH15" s="31">
        <v>0.95009980039920161</v>
      </c>
      <c r="AI15" s="34">
        <v>481</v>
      </c>
      <c r="AJ15" s="31">
        <v>0.12651236191478171</v>
      </c>
      <c r="AK15" s="34">
        <v>2</v>
      </c>
      <c r="AL15" s="31">
        <v>0.91060291060291065</v>
      </c>
      <c r="AM15" s="34">
        <v>470</v>
      </c>
      <c r="AN15" s="34">
        <v>438</v>
      </c>
      <c r="AO15" s="31">
        <v>0.11520252498684901</v>
      </c>
      <c r="AP15" s="31">
        <v>0.87425149700598803</v>
      </c>
      <c r="AQ15" s="32">
        <v>0.94813278008298751</v>
      </c>
      <c r="AR15" s="34">
        <v>0</v>
      </c>
      <c r="AS15" s="34">
        <v>0</v>
      </c>
      <c r="AT15" s="34">
        <v>95</v>
      </c>
      <c r="AU15" s="34">
        <v>89</v>
      </c>
      <c r="AV15" s="34">
        <v>90</v>
      </c>
      <c r="AW15" s="34">
        <v>241</v>
      </c>
      <c r="AX15" s="31">
        <v>2.3408732246186219E-2</v>
      </c>
      <c r="AY15" s="31">
        <v>2.3671751709626512E-2</v>
      </c>
      <c r="AZ15" s="31">
        <v>6.3387690689111001E-2</v>
      </c>
      <c r="BA15" s="31">
        <v>0.20547945205479451</v>
      </c>
      <c r="BB15" s="34">
        <v>0</v>
      </c>
      <c r="BC15" s="34">
        <v>0</v>
      </c>
      <c r="BD15" s="32">
        <v>0.98181818181818181</v>
      </c>
      <c r="BE15" s="32">
        <v>1</v>
      </c>
      <c r="BF15" s="32" t="s">
        <v>335</v>
      </c>
    </row>
    <row r="16" spans="1:58" ht="19.5" customHeight="1">
      <c r="A16" s="35">
        <v>13</v>
      </c>
      <c r="B16" s="30" t="s">
        <v>5</v>
      </c>
      <c r="C16" s="36">
        <v>46085</v>
      </c>
      <c r="D16" s="30" t="s">
        <v>2</v>
      </c>
      <c r="E16" s="30">
        <v>2616</v>
      </c>
      <c r="F16" s="30">
        <v>2309</v>
      </c>
      <c r="G16" s="31">
        <v>0.88264525993883791</v>
      </c>
      <c r="H16" s="30">
        <v>748</v>
      </c>
      <c r="I16" s="32">
        <v>0.28593272171253831</v>
      </c>
      <c r="J16" s="30">
        <v>2174</v>
      </c>
      <c r="K16" s="30">
        <v>2088</v>
      </c>
      <c r="L16" s="31">
        <v>0.96</v>
      </c>
      <c r="M16" s="30">
        <v>10287</v>
      </c>
      <c r="N16" s="30">
        <v>10162</v>
      </c>
      <c r="O16" s="30">
        <v>10111</v>
      </c>
      <c r="P16" s="31">
        <v>0.9828910275104501</v>
      </c>
      <c r="Q16" s="30">
        <v>18</v>
      </c>
      <c r="R16" s="30">
        <v>0</v>
      </c>
      <c r="S16" s="30">
        <v>0</v>
      </c>
      <c r="T16" s="31">
        <v>0</v>
      </c>
      <c r="U16" s="30">
        <v>0</v>
      </c>
      <c r="V16" s="31">
        <v>0</v>
      </c>
      <c r="W16" s="30">
        <v>2938</v>
      </c>
      <c r="X16" s="31">
        <v>1.123088685015291</v>
      </c>
      <c r="Y16" s="30">
        <v>647</v>
      </c>
      <c r="Z16" s="33">
        <v>0.2473241590214067</v>
      </c>
      <c r="AA16" s="30">
        <v>51</v>
      </c>
      <c r="AB16" s="31">
        <v>1.9495412844036698E-2</v>
      </c>
      <c r="AC16" s="30">
        <v>265</v>
      </c>
      <c r="AD16" s="31">
        <v>0.1012996941896024</v>
      </c>
      <c r="AE16" s="30">
        <v>55</v>
      </c>
      <c r="AF16" s="31">
        <v>0.20754716981132079</v>
      </c>
      <c r="AG16" s="30">
        <v>249</v>
      </c>
      <c r="AH16" s="31">
        <v>0.93962264150943398</v>
      </c>
      <c r="AI16" s="34">
        <v>260</v>
      </c>
      <c r="AJ16" s="31">
        <v>9.9388379204892963E-2</v>
      </c>
      <c r="AK16" s="34">
        <v>0</v>
      </c>
      <c r="AL16" s="31">
        <v>0.88846153846153841</v>
      </c>
      <c r="AM16" s="34">
        <v>260</v>
      </c>
      <c r="AN16" s="34">
        <v>231</v>
      </c>
      <c r="AO16" s="31">
        <v>8.830275229357798E-2</v>
      </c>
      <c r="AP16" s="31">
        <v>0.8716981132075472</v>
      </c>
      <c r="AQ16" s="32">
        <v>0.97580645161290325</v>
      </c>
      <c r="AR16" s="34">
        <v>0</v>
      </c>
      <c r="AS16" s="34">
        <v>0</v>
      </c>
      <c r="AT16" s="34">
        <v>63</v>
      </c>
      <c r="AU16" s="34">
        <v>61</v>
      </c>
      <c r="AV16" s="34">
        <v>62</v>
      </c>
      <c r="AW16" s="34">
        <v>70</v>
      </c>
      <c r="AX16" s="31">
        <v>2.3318042813455661E-2</v>
      </c>
      <c r="AY16" s="31">
        <v>2.3700305810397549E-2</v>
      </c>
      <c r="AZ16" s="31">
        <v>2.6758409785932719E-2</v>
      </c>
      <c r="BA16" s="31">
        <v>0.26839826839826841</v>
      </c>
      <c r="BB16" s="34">
        <v>0</v>
      </c>
      <c r="BC16" s="34">
        <v>0</v>
      </c>
      <c r="BD16" s="32">
        <v>1</v>
      </c>
      <c r="BE16" s="32">
        <v>1</v>
      </c>
      <c r="BF16" s="32" t="s">
        <v>335</v>
      </c>
    </row>
    <row r="17" spans="1:58" ht="19.5" customHeight="1">
      <c r="A17" s="35">
        <v>14</v>
      </c>
      <c r="B17" s="30" t="s">
        <v>5</v>
      </c>
      <c r="C17" s="36">
        <v>46085</v>
      </c>
      <c r="D17" s="30" t="s">
        <v>285</v>
      </c>
      <c r="E17" s="30">
        <v>2980</v>
      </c>
      <c r="F17" s="30">
        <v>2589</v>
      </c>
      <c r="G17" s="31">
        <v>0.86879194630872481</v>
      </c>
      <c r="H17" s="30">
        <v>1451</v>
      </c>
      <c r="I17" s="32">
        <v>0.48691275167785242</v>
      </c>
      <c r="J17" s="30">
        <v>1972</v>
      </c>
      <c r="K17" s="30">
        <v>1926</v>
      </c>
      <c r="L17" s="31">
        <v>0.97699999999999998</v>
      </c>
      <c r="M17" s="30">
        <v>8058</v>
      </c>
      <c r="N17" s="30">
        <v>8116</v>
      </c>
      <c r="O17" s="30">
        <v>7915</v>
      </c>
      <c r="P17" s="31">
        <v>0.98225366095805411</v>
      </c>
      <c r="Q17" s="30">
        <v>9</v>
      </c>
      <c r="R17" s="30">
        <v>0</v>
      </c>
      <c r="S17" s="30">
        <v>0</v>
      </c>
      <c r="T17" s="31">
        <v>0</v>
      </c>
      <c r="U17" s="30">
        <v>0</v>
      </c>
      <c r="V17" s="31">
        <v>0</v>
      </c>
      <c r="W17" s="30">
        <v>3077</v>
      </c>
      <c r="X17" s="31">
        <v>1.0325503355704699</v>
      </c>
      <c r="Y17" s="30">
        <v>631</v>
      </c>
      <c r="Z17" s="33">
        <v>0.21174496644295299</v>
      </c>
      <c r="AA17" s="30">
        <v>22</v>
      </c>
      <c r="AB17" s="31">
        <v>7.3825503355704697E-3</v>
      </c>
      <c r="AC17" s="30">
        <v>228</v>
      </c>
      <c r="AD17" s="31">
        <v>7.6510067114093958E-2</v>
      </c>
      <c r="AE17" s="30">
        <v>31</v>
      </c>
      <c r="AF17" s="31">
        <v>0.13596491228070179</v>
      </c>
      <c r="AG17" s="30">
        <v>216</v>
      </c>
      <c r="AH17" s="31">
        <v>0.94736842105263153</v>
      </c>
      <c r="AI17" s="34">
        <v>213</v>
      </c>
      <c r="AJ17" s="31">
        <v>7.1476510067114099E-2</v>
      </c>
      <c r="AK17" s="34">
        <v>0</v>
      </c>
      <c r="AL17" s="31">
        <v>0.863849765258216</v>
      </c>
      <c r="AM17" s="34">
        <v>208</v>
      </c>
      <c r="AN17" s="34">
        <v>184</v>
      </c>
      <c r="AO17" s="31">
        <v>6.174496644295302E-2</v>
      </c>
      <c r="AP17" s="31">
        <v>0.80701754385964908</v>
      </c>
      <c r="AQ17" s="32">
        <v>0.98598130841121501</v>
      </c>
      <c r="AR17" s="34">
        <v>0</v>
      </c>
      <c r="AS17" s="34">
        <v>0</v>
      </c>
      <c r="AT17" s="34">
        <v>38</v>
      </c>
      <c r="AU17" s="34">
        <v>35</v>
      </c>
      <c r="AV17" s="34">
        <v>33</v>
      </c>
      <c r="AW17" s="34">
        <v>27</v>
      </c>
      <c r="AX17" s="31">
        <v>1.1744966442953021E-2</v>
      </c>
      <c r="AY17" s="31">
        <v>1.107382550335571E-2</v>
      </c>
      <c r="AZ17" s="31">
        <v>9.0604026845637585E-3</v>
      </c>
      <c r="BA17" s="31">
        <v>0.17934782608695651</v>
      </c>
      <c r="BB17" s="34">
        <v>0</v>
      </c>
      <c r="BC17" s="34">
        <v>0</v>
      </c>
      <c r="BD17" s="32">
        <v>1</v>
      </c>
      <c r="BE17" s="32">
        <v>1</v>
      </c>
      <c r="BF17" s="32" t="s">
        <v>335</v>
      </c>
    </row>
    <row r="18" spans="1:58" ht="19.5" customHeight="1">
      <c r="A18" s="35">
        <v>15</v>
      </c>
      <c r="B18" s="30" t="s">
        <v>5</v>
      </c>
      <c r="C18" s="36">
        <v>46085</v>
      </c>
      <c r="D18" s="30" t="s">
        <v>25</v>
      </c>
      <c r="E18" s="30">
        <v>37</v>
      </c>
      <c r="F18" s="30">
        <v>34</v>
      </c>
      <c r="G18" s="31">
        <v>0.91891891891891897</v>
      </c>
      <c r="H18" s="30">
        <v>18</v>
      </c>
      <c r="I18" s="32">
        <v>0.48648648648648651</v>
      </c>
      <c r="J18" s="30">
        <v>32</v>
      </c>
      <c r="K18" s="30">
        <v>32</v>
      </c>
      <c r="L18" s="31">
        <v>1</v>
      </c>
      <c r="M18" s="30">
        <v>123</v>
      </c>
      <c r="N18" s="30">
        <v>119</v>
      </c>
      <c r="O18" s="30">
        <v>123</v>
      </c>
      <c r="P18" s="31">
        <v>1</v>
      </c>
      <c r="Q18" s="30">
        <v>0</v>
      </c>
      <c r="R18" s="30">
        <v>0</v>
      </c>
      <c r="S18" s="30">
        <v>0</v>
      </c>
      <c r="T18" s="31">
        <v>0</v>
      </c>
      <c r="U18" s="30">
        <v>0</v>
      </c>
      <c r="V18" s="31">
        <v>0</v>
      </c>
      <c r="W18" s="30">
        <v>0</v>
      </c>
      <c r="X18" s="31">
        <v>0</v>
      </c>
      <c r="Y18" s="30">
        <v>0</v>
      </c>
      <c r="Z18" s="33">
        <v>0</v>
      </c>
      <c r="AA18" s="30">
        <v>0</v>
      </c>
      <c r="AB18" s="31">
        <v>0</v>
      </c>
      <c r="AC18" s="30">
        <v>10</v>
      </c>
      <c r="AD18" s="31">
        <v>0.27027027027027029</v>
      </c>
      <c r="AE18" s="30">
        <v>8</v>
      </c>
      <c r="AF18" s="31">
        <v>0.8</v>
      </c>
      <c r="AG18" s="30">
        <v>10</v>
      </c>
      <c r="AH18" s="31">
        <v>1</v>
      </c>
      <c r="AI18" s="34">
        <v>0</v>
      </c>
      <c r="AJ18" s="31">
        <v>0</v>
      </c>
      <c r="AK18" s="34">
        <v>0</v>
      </c>
      <c r="AL18" s="31">
        <v>0</v>
      </c>
      <c r="AM18" s="34">
        <v>0</v>
      </c>
      <c r="AN18" s="34">
        <v>0</v>
      </c>
      <c r="AO18" s="31">
        <v>0</v>
      </c>
      <c r="AP18" s="31">
        <v>0</v>
      </c>
      <c r="AQ18" s="32">
        <v>1</v>
      </c>
      <c r="AR18" s="34">
        <v>0</v>
      </c>
      <c r="AS18" s="34">
        <v>0</v>
      </c>
      <c r="AT18" s="34">
        <v>0</v>
      </c>
      <c r="AU18" s="34">
        <v>0</v>
      </c>
      <c r="AV18" s="34">
        <v>0</v>
      </c>
      <c r="AW18" s="34">
        <v>0</v>
      </c>
      <c r="AX18" s="31">
        <v>0</v>
      </c>
      <c r="AY18" s="31">
        <v>0</v>
      </c>
      <c r="AZ18" s="31">
        <v>0</v>
      </c>
      <c r="BA18" s="31">
        <v>0</v>
      </c>
      <c r="BB18" s="34">
        <v>0</v>
      </c>
      <c r="BC18" s="34">
        <v>0</v>
      </c>
      <c r="BD18" s="32" t="s">
        <v>335</v>
      </c>
      <c r="BE18" s="32" t="s">
        <v>335</v>
      </c>
      <c r="BF18" s="32" t="s">
        <v>335</v>
      </c>
    </row>
    <row r="19" spans="1:58" ht="19.5" customHeight="1">
      <c r="A19" s="35">
        <v>16</v>
      </c>
      <c r="B19" s="30" t="s">
        <v>5</v>
      </c>
      <c r="C19" s="36">
        <v>46085</v>
      </c>
      <c r="D19" s="30" t="s">
        <v>287</v>
      </c>
      <c r="E19" s="30">
        <v>3326</v>
      </c>
      <c r="F19" s="30">
        <v>3016</v>
      </c>
      <c r="G19" s="31">
        <v>0.90679494888755263</v>
      </c>
      <c r="H19" s="30">
        <v>2007</v>
      </c>
      <c r="I19" s="32">
        <v>0.60342754058929648</v>
      </c>
      <c r="J19" s="30">
        <v>4425</v>
      </c>
      <c r="K19" s="30">
        <v>4320</v>
      </c>
      <c r="L19" s="31">
        <v>0.97599999999999998</v>
      </c>
      <c r="M19" s="30">
        <v>21646</v>
      </c>
      <c r="N19" s="30">
        <v>21760</v>
      </c>
      <c r="O19" s="30">
        <v>21319</v>
      </c>
      <c r="P19" s="31">
        <v>0.98489328282361632</v>
      </c>
      <c r="Q19" s="30">
        <v>8</v>
      </c>
      <c r="R19" s="30">
        <v>0</v>
      </c>
      <c r="S19" s="30">
        <v>0</v>
      </c>
      <c r="T19" s="31">
        <v>0</v>
      </c>
      <c r="U19" s="30">
        <v>0</v>
      </c>
      <c r="V19" s="31">
        <v>0</v>
      </c>
      <c r="W19" s="30">
        <v>4024</v>
      </c>
      <c r="X19" s="31">
        <v>1.209861695730607</v>
      </c>
      <c r="Y19" s="30">
        <v>1150</v>
      </c>
      <c r="Z19" s="33">
        <v>0.34576067348165967</v>
      </c>
      <c r="AA19" s="30">
        <v>118</v>
      </c>
      <c r="AB19" s="31">
        <v>3.5478051713770303E-2</v>
      </c>
      <c r="AC19" s="30">
        <v>533</v>
      </c>
      <c r="AD19" s="31">
        <v>0.1602525556223692</v>
      </c>
      <c r="AE19" s="30">
        <v>66</v>
      </c>
      <c r="AF19" s="31">
        <v>0.123827392120075</v>
      </c>
      <c r="AG19" s="30">
        <v>503</v>
      </c>
      <c r="AH19" s="31">
        <v>0.94371482176360222</v>
      </c>
      <c r="AI19" s="34">
        <v>513</v>
      </c>
      <c r="AJ19" s="31">
        <v>0.15423932651834041</v>
      </c>
      <c r="AK19" s="34">
        <v>2</v>
      </c>
      <c r="AL19" s="31">
        <v>0.9278752436647173</v>
      </c>
      <c r="AM19" s="34">
        <v>512</v>
      </c>
      <c r="AN19" s="34">
        <v>476</v>
      </c>
      <c r="AO19" s="31">
        <v>0.14311485267588689</v>
      </c>
      <c r="AP19" s="31">
        <v>0.89305816135084426</v>
      </c>
      <c r="AQ19" s="32">
        <v>0.94827586206896552</v>
      </c>
      <c r="AR19" s="34">
        <v>0</v>
      </c>
      <c r="AS19" s="34">
        <v>0</v>
      </c>
      <c r="AT19" s="34">
        <v>111</v>
      </c>
      <c r="AU19" s="34">
        <v>107</v>
      </c>
      <c r="AV19" s="34">
        <v>109</v>
      </c>
      <c r="AW19" s="34">
        <v>160</v>
      </c>
      <c r="AX19" s="31">
        <v>3.2170775706554418E-2</v>
      </c>
      <c r="AY19" s="31">
        <v>3.2772098616957297E-2</v>
      </c>
      <c r="AZ19" s="31">
        <v>4.810583283223091E-2</v>
      </c>
      <c r="BA19" s="31">
        <v>0.22899159663865551</v>
      </c>
      <c r="BB19" s="34">
        <v>0</v>
      </c>
      <c r="BC19" s="34">
        <v>0</v>
      </c>
      <c r="BD19" s="32">
        <v>0.94827586206896552</v>
      </c>
      <c r="BE19" s="32">
        <v>1</v>
      </c>
      <c r="BF19" s="32" t="s">
        <v>335</v>
      </c>
    </row>
    <row r="20" spans="1:58" ht="19.5" customHeight="1">
      <c r="A20" s="35">
        <v>17</v>
      </c>
      <c r="B20" s="30" t="s">
        <v>5</v>
      </c>
      <c r="C20" s="36">
        <v>46086</v>
      </c>
      <c r="D20" s="30" t="s">
        <v>2</v>
      </c>
      <c r="E20" s="30">
        <v>2757</v>
      </c>
      <c r="F20" s="30">
        <v>2375</v>
      </c>
      <c r="G20" s="31">
        <v>0.86144359811389193</v>
      </c>
      <c r="H20" s="30">
        <v>725</v>
      </c>
      <c r="I20" s="32">
        <v>0.26296699310845117</v>
      </c>
      <c r="J20" s="30">
        <v>2211</v>
      </c>
      <c r="K20" s="30">
        <v>2132</v>
      </c>
      <c r="L20" s="31">
        <v>0.96399999999999997</v>
      </c>
      <c r="M20" s="30">
        <v>9878</v>
      </c>
      <c r="N20" s="30">
        <v>9835</v>
      </c>
      <c r="O20" s="30">
        <v>9687</v>
      </c>
      <c r="P20" s="31">
        <v>0.98066410204494836</v>
      </c>
      <c r="Q20" s="30">
        <v>18</v>
      </c>
      <c r="R20" s="30">
        <v>0</v>
      </c>
      <c r="S20" s="30">
        <v>0</v>
      </c>
      <c r="T20" s="31">
        <v>0</v>
      </c>
      <c r="U20" s="30">
        <v>0</v>
      </c>
      <c r="V20" s="31">
        <v>0</v>
      </c>
      <c r="W20" s="30">
        <v>2523</v>
      </c>
      <c r="X20" s="31">
        <v>0.91512513601741019</v>
      </c>
      <c r="Y20" s="30">
        <v>684</v>
      </c>
      <c r="Z20" s="33">
        <v>0.24809575625680089</v>
      </c>
      <c r="AA20" s="30">
        <v>37</v>
      </c>
      <c r="AB20" s="31">
        <v>1.3420384475879579E-2</v>
      </c>
      <c r="AC20" s="30">
        <v>297</v>
      </c>
      <c r="AD20" s="31">
        <v>0.10772578890097929</v>
      </c>
      <c r="AE20" s="30">
        <v>55</v>
      </c>
      <c r="AF20" s="31">
        <v>0.1851851851851852</v>
      </c>
      <c r="AG20" s="30">
        <v>270</v>
      </c>
      <c r="AH20" s="31">
        <v>0.90909090909090906</v>
      </c>
      <c r="AI20" s="34">
        <v>288</v>
      </c>
      <c r="AJ20" s="31">
        <v>0.10446137105549511</v>
      </c>
      <c r="AK20" s="34">
        <v>1</v>
      </c>
      <c r="AL20" s="31">
        <v>0.86458333333333337</v>
      </c>
      <c r="AM20" s="34">
        <v>285</v>
      </c>
      <c r="AN20" s="34">
        <v>249</v>
      </c>
      <c r="AO20" s="31">
        <v>9.0315560391730138E-2</v>
      </c>
      <c r="AP20" s="31">
        <v>0.83838383838383834</v>
      </c>
      <c r="AQ20" s="32">
        <v>0.9692982456140351</v>
      </c>
      <c r="AR20" s="34">
        <v>0</v>
      </c>
      <c r="AS20" s="34">
        <v>0</v>
      </c>
      <c r="AT20" s="34">
        <v>57</v>
      </c>
      <c r="AU20" s="34">
        <v>51</v>
      </c>
      <c r="AV20" s="34">
        <v>51</v>
      </c>
      <c r="AW20" s="34">
        <v>67</v>
      </c>
      <c r="AX20" s="31">
        <v>1.8498367791077261E-2</v>
      </c>
      <c r="AY20" s="31">
        <v>1.8498367791077261E-2</v>
      </c>
      <c r="AZ20" s="31">
        <v>2.4301777294160321E-2</v>
      </c>
      <c r="BA20" s="31">
        <v>0.2048192771084337</v>
      </c>
      <c r="BB20" s="34">
        <v>0</v>
      </c>
      <c r="BC20" s="34">
        <v>0</v>
      </c>
      <c r="BD20" s="32">
        <v>1</v>
      </c>
      <c r="BE20" s="32">
        <v>1</v>
      </c>
      <c r="BF20" s="32" t="s">
        <v>335</v>
      </c>
    </row>
    <row r="21" spans="1:58" ht="19.5" customHeight="1">
      <c r="A21" s="35">
        <v>18</v>
      </c>
      <c r="B21" s="30" t="s">
        <v>5</v>
      </c>
      <c r="C21" s="36">
        <v>46086</v>
      </c>
      <c r="D21" s="30" t="s">
        <v>285</v>
      </c>
      <c r="E21" s="30">
        <v>2157</v>
      </c>
      <c r="F21" s="30">
        <v>1965</v>
      </c>
      <c r="G21" s="31">
        <v>0.91098748261474272</v>
      </c>
      <c r="H21" s="30">
        <v>734</v>
      </c>
      <c r="I21" s="32">
        <v>0.34028743625405661</v>
      </c>
      <c r="J21" s="30">
        <v>1697</v>
      </c>
      <c r="K21" s="30">
        <v>1630</v>
      </c>
      <c r="L21" s="31">
        <v>0.96099999999999997</v>
      </c>
      <c r="M21" s="30">
        <v>7783</v>
      </c>
      <c r="N21" s="30">
        <v>8075</v>
      </c>
      <c r="O21" s="30">
        <v>7636</v>
      </c>
      <c r="P21" s="31">
        <v>0.98111268148528841</v>
      </c>
      <c r="Q21" s="30">
        <v>20</v>
      </c>
      <c r="R21" s="30">
        <v>0</v>
      </c>
      <c r="S21" s="30">
        <v>0</v>
      </c>
      <c r="T21" s="31">
        <v>0</v>
      </c>
      <c r="U21" s="30">
        <v>0</v>
      </c>
      <c r="V21" s="31">
        <v>0</v>
      </c>
      <c r="W21" s="30">
        <v>2594</v>
      </c>
      <c r="X21" s="31">
        <v>1.202596198423737</v>
      </c>
      <c r="Y21" s="30">
        <v>999</v>
      </c>
      <c r="Z21" s="33">
        <v>0.46314325452016691</v>
      </c>
      <c r="AA21" s="30">
        <v>13</v>
      </c>
      <c r="AB21" s="31">
        <v>6.0268891979601297E-3</v>
      </c>
      <c r="AC21" s="30">
        <v>244</v>
      </c>
      <c r="AD21" s="31">
        <v>0.1131200741770978</v>
      </c>
      <c r="AE21" s="30">
        <v>40</v>
      </c>
      <c r="AF21" s="31">
        <v>0.16393442622950821</v>
      </c>
      <c r="AG21" s="30">
        <v>232</v>
      </c>
      <c r="AH21" s="31">
        <v>0.95081967213114749</v>
      </c>
      <c r="AI21" s="34">
        <v>224</v>
      </c>
      <c r="AJ21" s="31">
        <v>0.1038479369494669</v>
      </c>
      <c r="AK21" s="34">
        <v>3</v>
      </c>
      <c r="AL21" s="31">
        <v>0.8571428571428571</v>
      </c>
      <c r="AM21" s="34">
        <v>222</v>
      </c>
      <c r="AN21" s="34">
        <v>192</v>
      </c>
      <c r="AO21" s="31">
        <v>8.9012517385257298E-2</v>
      </c>
      <c r="AP21" s="31">
        <v>0.78688524590163933</v>
      </c>
      <c r="AQ21" s="32">
        <v>0.95767195767195767</v>
      </c>
      <c r="AR21" s="34">
        <v>0</v>
      </c>
      <c r="AS21" s="34">
        <v>0</v>
      </c>
      <c r="AT21" s="34">
        <v>43</v>
      </c>
      <c r="AU21" s="34">
        <v>39</v>
      </c>
      <c r="AV21" s="34">
        <v>36</v>
      </c>
      <c r="AW21" s="34">
        <v>23</v>
      </c>
      <c r="AX21" s="31">
        <v>1.8080667593880391E-2</v>
      </c>
      <c r="AY21" s="31">
        <v>1.6689847009735741E-2</v>
      </c>
      <c r="AZ21" s="31">
        <v>1.0662957811775609E-2</v>
      </c>
      <c r="BA21" s="31">
        <v>0.1875</v>
      </c>
      <c r="BB21" s="34">
        <v>0</v>
      </c>
      <c r="BC21" s="34">
        <v>0</v>
      </c>
      <c r="BD21" s="32">
        <v>1</v>
      </c>
      <c r="BE21" s="32">
        <v>1</v>
      </c>
      <c r="BF21" s="32" t="s">
        <v>335</v>
      </c>
    </row>
    <row r="22" spans="1:58" ht="19.5" customHeight="1">
      <c r="A22" s="35">
        <v>19</v>
      </c>
      <c r="B22" s="30" t="s">
        <v>5</v>
      </c>
      <c r="C22" s="36">
        <v>46086</v>
      </c>
      <c r="D22" s="30" t="s">
        <v>25</v>
      </c>
      <c r="E22" s="30">
        <v>44</v>
      </c>
      <c r="F22" s="30">
        <v>40</v>
      </c>
      <c r="G22" s="31">
        <v>0.90909090909090906</v>
      </c>
      <c r="H22" s="30">
        <v>24</v>
      </c>
      <c r="I22" s="32">
        <v>0.54545454545454541</v>
      </c>
      <c r="J22" s="30">
        <v>29</v>
      </c>
      <c r="K22" s="30">
        <v>29</v>
      </c>
      <c r="L22" s="31">
        <v>1</v>
      </c>
      <c r="M22" s="30">
        <v>140</v>
      </c>
      <c r="N22" s="30">
        <v>113</v>
      </c>
      <c r="O22" s="30">
        <v>140</v>
      </c>
      <c r="P22" s="31">
        <v>1</v>
      </c>
      <c r="Q22" s="30">
        <v>0</v>
      </c>
      <c r="R22" s="30">
        <v>0</v>
      </c>
      <c r="S22" s="30">
        <v>0</v>
      </c>
      <c r="T22" s="31">
        <v>0</v>
      </c>
      <c r="U22" s="30">
        <v>0</v>
      </c>
      <c r="V22" s="31">
        <v>0</v>
      </c>
      <c r="W22" s="30">
        <v>0</v>
      </c>
      <c r="X22" s="31">
        <v>0</v>
      </c>
      <c r="Y22" s="30">
        <v>0</v>
      </c>
      <c r="Z22" s="33">
        <v>0</v>
      </c>
      <c r="AA22" s="30">
        <v>0</v>
      </c>
      <c r="AB22" s="31">
        <v>0</v>
      </c>
      <c r="AC22" s="30">
        <v>7</v>
      </c>
      <c r="AD22" s="31">
        <v>0.15909090909090909</v>
      </c>
      <c r="AE22" s="30">
        <v>2</v>
      </c>
      <c r="AF22" s="31">
        <v>0.2857142857142857</v>
      </c>
      <c r="AG22" s="30">
        <v>6</v>
      </c>
      <c r="AH22" s="31">
        <v>0.8571428571428571</v>
      </c>
      <c r="AI22" s="34">
        <v>0</v>
      </c>
      <c r="AJ22" s="31">
        <v>0</v>
      </c>
      <c r="AK22" s="34">
        <v>0</v>
      </c>
      <c r="AL22" s="31">
        <v>0</v>
      </c>
      <c r="AM22" s="34">
        <v>0</v>
      </c>
      <c r="AN22" s="34">
        <v>0</v>
      </c>
      <c r="AO22" s="31">
        <v>0</v>
      </c>
      <c r="AP22" s="31">
        <v>0</v>
      </c>
      <c r="AQ22" s="32">
        <v>1</v>
      </c>
      <c r="AR22" s="34">
        <v>0</v>
      </c>
      <c r="AS22" s="34">
        <v>0</v>
      </c>
      <c r="AT22" s="34">
        <v>0</v>
      </c>
      <c r="AU22" s="34">
        <v>0</v>
      </c>
      <c r="AV22" s="34">
        <v>0</v>
      </c>
      <c r="AW22" s="34">
        <v>0</v>
      </c>
      <c r="AX22" s="31">
        <v>0</v>
      </c>
      <c r="AY22" s="31">
        <v>0</v>
      </c>
      <c r="AZ22" s="31">
        <v>0</v>
      </c>
      <c r="BA22" s="31">
        <v>0</v>
      </c>
      <c r="BB22" s="34">
        <v>0</v>
      </c>
      <c r="BC22" s="34">
        <v>0</v>
      </c>
      <c r="BD22" s="32" t="s">
        <v>335</v>
      </c>
      <c r="BE22" s="32" t="s">
        <v>335</v>
      </c>
      <c r="BF22" s="32" t="s">
        <v>335</v>
      </c>
    </row>
    <row r="23" spans="1:58" ht="19.5" customHeight="1">
      <c r="A23" s="35">
        <v>20</v>
      </c>
      <c r="B23" s="30" t="s">
        <v>5</v>
      </c>
      <c r="C23" s="36">
        <v>46086</v>
      </c>
      <c r="D23" s="30" t="s">
        <v>287</v>
      </c>
      <c r="E23" s="30">
        <v>3921</v>
      </c>
      <c r="F23" s="30">
        <v>3520</v>
      </c>
      <c r="G23" s="31">
        <v>0.8977301708747768</v>
      </c>
      <c r="H23" s="30">
        <v>2666</v>
      </c>
      <c r="I23" s="32">
        <v>0.67992858964549863</v>
      </c>
      <c r="J23" s="30">
        <v>4674</v>
      </c>
      <c r="K23" s="30">
        <v>4545</v>
      </c>
      <c r="L23" s="31">
        <v>0.97199999999999998</v>
      </c>
      <c r="M23" s="30">
        <v>21334</v>
      </c>
      <c r="N23" s="30">
        <v>21313</v>
      </c>
      <c r="O23" s="30">
        <v>20990</v>
      </c>
      <c r="P23" s="31">
        <v>0.98387550389050338</v>
      </c>
      <c r="Q23" s="30">
        <v>30</v>
      </c>
      <c r="R23" s="30">
        <v>0</v>
      </c>
      <c r="S23" s="30">
        <v>0</v>
      </c>
      <c r="T23" s="31">
        <v>0</v>
      </c>
      <c r="U23" s="30">
        <v>0</v>
      </c>
      <c r="V23" s="31">
        <v>0</v>
      </c>
      <c r="W23" s="30">
        <v>3390</v>
      </c>
      <c r="X23" s="31">
        <v>0.86457536342769703</v>
      </c>
      <c r="Y23" s="30">
        <v>1083</v>
      </c>
      <c r="Z23" s="33">
        <v>0.27620504973221122</v>
      </c>
      <c r="AA23" s="30">
        <v>119</v>
      </c>
      <c r="AB23" s="31">
        <v>3.034940066309615E-2</v>
      </c>
      <c r="AC23" s="30">
        <v>498</v>
      </c>
      <c r="AD23" s="31">
        <v>0.12700841622035189</v>
      </c>
      <c r="AE23" s="30">
        <v>79</v>
      </c>
      <c r="AF23" s="31">
        <v>0.15863453815261039</v>
      </c>
      <c r="AG23" s="30">
        <v>463</v>
      </c>
      <c r="AH23" s="31">
        <v>0.92971887550200805</v>
      </c>
      <c r="AI23" s="34">
        <v>480</v>
      </c>
      <c r="AJ23" s="31">
        <v>0.1224177505738332</v>
      </c>
      <c r="AK23" s="34">
        <v>2</v>
      </c>
      <c r="AL23" s="31">
        <v>0.91874999999999996</v>
      </c>
      <c r="AM23" s="34">
        <v>477</v>
      </c>
      <c r="AN23" s="34">
        <v>441</v>
      </c>
      <c r="AO23" s="31">
        <v>0.11247130833970929</v>
      </c>
      <c r="AP23" s="31">
        <v>0.88554216867469882</v>
      </c>
      <c r="AQ23" s="32">
        <v>0.94178794178794178</v>
      </c>
      <c r="AR23" s="34">
        <v>0</v>
      </c>
      <c r="AS23" s="34">
        <v>0</v>
      </c>
      <c r="AT23" s="34">
        <v>90</v>
      </c>
      <c r="AU23" s="34">
        <v>86</v>
      </c>
      <c r="AV23" s="34">
        <v>83</v>
      </c>
      <c r="AW23" s="34">
        <v>117</v>
      </c>
      <c r="AX23" s="31">
        <v>2.193318031114512E-2</v>
      </c>
      <c r="AY23" s="31">
        <v>2.1168069370058658E-2</v>
      </c>
      <c r="AZ23" s="31">
        <v>2.9839326702371841E-2</v>
      </c>
      <c r="BA23" s="31">
        <v>0.18820861678004541</v>
      </c>
      <c r="BB23" s="34">
        <v>0</v>
      </c>
      <c r="BC23" s="34">
        <v>0</v>
      </c>
      <c r="BD23" s="32">
        <v>0.97297297297297303</v>
      </c>
      <c r="BE23" s="32">
        <v>1</v>
      </c>
      <c r="BF23" s="32" t="s">
        <v>335</v>
      </c>
    </row>
    <row r="24" spans="1:58" ht="19.5" customHeight="1">
      <c r="A24" s="35">
        <v>21</v>
      </c>
      <c r="B24" s="30" t="s">
        <v>5</v>
      </c>
      <c r="C24" s="36">
        <v>46087</v>
      </c>
      <c r="D24" s="30" t="s">
        <v>2</v>
      </c>
      <c r="E24" s="30">
        <v>2388</v>
      </c>
      <c r="F24" s="30">
        <v>2105</v>
      </c>
      <c r="G24" s="31">
        <v>0.88149078726968177</v>
      </c>
      <c r="H24" s="30">
        <v>690</v>
      </c>
      <c r="I24" s="32">
        <v>0.28894472361809043</v>
      </c>
      <c r="J24" s="30">
        <v>2465</v>
      </c>
      <c r="K24" s="30">
        <v>2362</v>
      </c>
      <c r="L24" s="31">
        <v>0.95799999999999996</v>
      </c>
      <c r="M24" s="30">
        <v>10151</v>
      </c>
      <c r="N24" s="30">
        <v>10333</v>
      </c>
      <c r="O24" s="30">
        <v>9938</v>
      </c>
      <c r="P24" s="31">
        <v>0.97901684563097235</v>
      </c>
      <c r="Q24" s="30">
        <v>25</v>
      </c>
      <c r="R24" s="30">
        <v>0</v>
      </c>
      <c r="S24" s="30">
        <v>0</v>
      </c>
      <c r="T24" s="31">
        <v>0</v>
      </c>
      <c r="U24" s="30">
        <v>0</v>
      </c>
      <c r="V24" s="31">
        <v>0</v>
      </c>
      <c r="W24" s="30">
        <v>2937</v>
      </c>
      <c r="X24" s="31">
        <v>1.2298994974874371</v>
      </c>
      <c r="Y24" s="30">
        <v>592</v>
      </c>
      <c r="Z24" s="33">
        <v>0.2479061976549414</v>
      </c>
      <c r="AA24" s="30">
        <v>36</v>
      </c>
      <c r="AB24" s="31">
        <v>1.507537688442211E-2</v>
      </c>
      <c r="AC24" s="30">
        <v>294</v>
      </c>
      <c r="AD24" s="31">
        <v>0.1231155778894472</v>
      </c>
      <c r="AE24" s="30">
        <v>69</v>
      </c>
      <c r="AF24" s="31">
        <v>0.23469387755102039</v>
      </c>
      <c r="AG24" s="30">
        <v>264</v>
      </c>
      <c r="AH24" s="31">
        <v>0.89795918367346939</v>
      </c>
      <c r="AI24" s="34">
        <v>289</v>
      </c>
      <c r="AJ24" s="31">
        <v>0.1210217755443886</v>
      </c>
      <c r="AK24" s="34">
        <v>4</v>
      </c>
      <c r="AL24" s="31">
        <v>0.86159169550173009</v>
      </c>
      <c r="AM24" s="34">
        <v>285</v>
      </c>
      <c r="AN24" s="34">
        <v>249</v>
      </c>
      <c r="AO24" s="31">
        <v>0.10427135678391961</v>
      </c>
      <c r="AP24" s="31">
        <v>0.84693877551020413</v>
      </c>
      <c r="AQ24" s="32">
        <v>0.97407407407407409</v>
      </c>
      <c r="AR24" s="34">
        <v>0</v>
      </c>
      <c r="AS24" s="34">
        <v>0</v>
      </c>
      <c r="AT24" s="34">
        <v>74</v>
      </c>
      <c r="AU24" s="34">
        <v>65</v>
      </c>
      <c r="AV24" s="34">
        <v>67</v>
      </c>
      <c r="AW24" s="34">
        <v>71</v>
      </c>
      <c r="AX24" s="31">
        <v>2.7219430485762149E-2</v>
      </c>
      <c r="AY24" s="31">
        <v>2.805695142378559E-2</v>
      </c>
      <c r="AZ24" s="31">
        <v>2.9731993299832501E-2</v>
      </c>
      <c r="BA24" s="31">
        <v>0.26907630522088349</v>
      </c>
      <c r="BB24" s="34">
        <v>0</v>
      </c>
      <c r="BC24" s="34">
        <v>0</v>
      </c>
      <c r="BD24" s="32">
        <v>1</v>
      </c>
      <c r="BE24" s="32">
        <v>1</v>
      </c>
      <c r="BF24" s="32" t="s">
        <v>335</v>
      </c>
    </row>
    <row r="25" spans="1:58" ht="19.5" customHeight="1">
      <c r="A25" s="35">
        <v>22</v>
      </c>
      <c r="B25" s="30" t="s">
        <v>5</v>
      </c>
      <c r="C25" s="36">
        <v>46087</v>
      </c>
      <c r="D25" s="30" t="s">
        <v>285</v>
      </c>
      <c r="E25" s="30">
        <v>2084</v>
      </c>
      <c r="F25" s="30">
        <v>1874</v>
      </c>
      <c r="G25" s="31">
        <v>0.89923224568138194</v>
      </c>
      <c r="H25" s="30">
        <v>735</v>
      </c>
      <c r="I25" s="32">
        <v>0.35268714011516322</v>
      </c>
      <c r="J25" s="30">
        <v>1591</v>
      </c>
      <c r="K25" s="30">
        <v>1522</v>
      </c>
      <c r="L25" s="31">
        <v>0.95699999999999996</v>
      </c>
      <c r="M25" s="30">
        <v>7547</v>
      </c>
      <c r="N25" s="30">
        <v>7838</v>
      </c>
      <c r="O25" s="30">
        <v>7417</v>
      </c>
      <c r="P25" s="31">
        <v>0.98277461242877961</v>
      </c>
      <c r="Q25" s="30">
        <v>19</v>
      </c>
      <c r="R25" s="30">
        <v>0</v>
      </c>
      <c r="S25" s="30">
        <v>0</v>
      </c>
      <c r="T25" s="31">
        <v>0</v>
      </c>
      <c r="U25" s="30">
        <v>0</v>
      </c>
      <c r="V25" s="31">
        <v>0</v>
      </c>
      <c r="W25" s="30">
        <v>3485</v>
      </c>
      <c r="X25" s="31">
        <v>1.672264875239923</v>
      </c>
      <c r="Y25" s="30">
        <v>740</v>
      </c>
      <c r="Z25" s="33">
        <v>0.3550863723608445</v>
      </c>
      <c r="AA25" s="30">
        <v>16</v>
      </c>
      <c r="AB25" s="31">
        <v>7.677543186180422E-3</v>
      </c>
      <c r="AC25" s="30">
        <v>282</v>
      </c>
      <c r="AD25" s="31">
        <v>0.13531669865643001</v>
      </c>
      <c r="AE25" s="30">
        <v>38</v>
      </c>
      <c r="AF25" s="31">
        <v>0.13475177304964539</v>
      </c>
      <c r="AG25" s="30">
        <v>264</v>
      </c>
      <c r="AH25" s="31">
        <v>0.93617021276595747</v>
      </c>
      <c r="AI25" s="34">
        <v>278</v>
      </c>
      <c r="AJ25" s="31">
        <v>0.13339731285988479</v>
      </c>
      <c r="AK25" s="34">
        <v>5</v>
      </c>
      <c r="AL25" s="31">
        <v>0.82374100719424459</v>
      </c>
      <c r="AM25" s="34">
        <v>273</v>
      </c>
      <c r="AN25" s="34">
        <v>229</v>
      </c>
      <c r="AO25" s="31">
        <v>0.1098848368522073</v>
      </c>
      <c r="AP25" s="31">
        <v>0.81205673758865249</v>
      </c>
      <c r="AQ25" s="32">
        <v>0.97641509433962259</v>
      </c>
      <c r="AR25" s="34">
        <v>0</v>
      </c>
      <c r="AS25" s="34">
        <v>0</v>
      </c>
      <c r="AT25" s="34">
        <v>43</v>
      </c>
      <c r="AU25" s="34">
        <v>41</v>
      </c>
      <c r="AV25" s="34">
        <v>44</v>
      </c>
      <c r="AW25" s="34">
        <v>32</v>
      </c>
      <c r="AX25" s="31">
        <v>1.967370441458733E-2</v>
      </c>
      <c r="AY25" s="31">
        <v>2.1113243761996161E-2</v>
      </c>
      <c r="AZ25" s="31">
        <v>1.5355086372360841E-2</v>
      </c>
      <c r="BA25" s="31">
        <v>0.19213973799126641</v>
      </c>
      <c r="BB25" s="34">
        <v>0</v>
      </c>
      <c r="BC25" s="34">
        <v>0</v>
      </c>
      <c r="BD25" s="32">
        <v>1</v>
      </c>
      <c r="BE25" s="32">
        <v>1</v>
      </c>
      <c r="BF25" s="32" t="s">
        <v>335</v>
      </c>
    </row>
    <row r="26" spans="1:58" ht="19.5" customHeight="1">
      <c r="A26" s="35">
        <v>23</v>
      </c>
      <c r="B26" s="30" t="s">
        <v>5</v>
      </c>
      <c r="C26" s="36">
        <v>46087</v>
      </c>
      <c r="D26" s="30" t="s">
        <v>25</v>
      </c>
      <c r="E26" s="30">
        <v>46</v>
      </c>
      <c r="F26" s="30">
        <v>45</v>
      </c>
      <c r="G26" s="31">
        <v>0.97826086956521741</v>
      </c>
      <c r="H26" s="30">
        <v>23</v>
      </c>
      <c r="I26" s="32">
        <v>0.5</v>
      </c>
      <c r="J26" s="30">
        <v>22</v>
      </c>
      <c r="K26" s="30">
        <v>22</v>
      </c>
      <c r="L26" s="31">
        <v>1</v>
      </c>
      <c r="M26" s="30">
        <v>110</v>
      </c>
      <c r="N26" s="30">
        <v>112</v>
      </c>
      <c r="O26" s="30">
        <v>109</v>
      </c>
      <c r="P26" s="31">
        <v>0.99090909090909096</v>
      </c>
      <c r="Q26" s="30">
        <v>0</v>
      </c>
      <c r="R26" s="30">
        <v>0</v>
      </c>
      <c r="S26" s="30">
        <v>0</v>
      </c>
      <c r="T26" s="31">
        <v>0</v>
      </c>
      <c r="U26" s="30">
        <v>0</v>
      </c>
      <c r="V26" s="31">
        <v>0</v>
      </c>
      <c r="W26" s="30">
        <v>0</v>
      </c>
      <c r="X26" s="31">
        <v>0</v>
      </c>
      <c r="Y26" s="30">
        <v>0</v>
      </c>
      <c r="Z26" s="33">
        <v>0</v>
      </c>
      <c r="AA26" s="30">
        <v>0</v>
      </c>
      <c r="AB26" s="31">
        <v>0</v>
      </c>
      <c r="AC26" s="30">
        <v>24</v>
      </c>
      <c r="AD26" s="31">
        <v>0.52173913043478259</v>
      </c>
      <c r="AE26" s="30">
        <v>7</v>
      </c>
      <c r="AF26" s="31">
        <v>0.29166666666666669</v>
      </c>
      <c r="AG26" s="30">
        <v>22</v>
      </c>
      <c r="AH26" s="31">
        <v>0.91666666666666663</v>
      </c>
      <c r="AI26" s="34">
        <v>0</v>
      </c>
      <c r="AJ26" s="31">
        <v>0</v>
      </c>
      <c r="AK26" s="34">
        <v>0</v>
      </c>
      <c r="AL26" s="31">
        <v>0</v>
      </c>
      <c r="AM26" s="34">
        <v>0</v>
      </c>
      <c r="AN26" s="34">
        <v>0</v>
      </c>
      <c r="AO26" s="31">
        <v>0</v>
      </c>
      <c r="AP26" s="31">
        <v>0</v>
      </c>
      <c r="AQ26" s="32">
        <v>1</v>
      </c>
      <c r="AR26" s="34">
        <v>0</v>
      </c>
      <c r="AS26" s="34">
        <v>0</v>
      </c>
      <c r="AT26" s="34">
        <v>0</v>
      </c>
      <c r="AU26" s="34">
        <v>0</v>
      </c>
      <c r="AV26" s="34">
        <v>0</v>
      </c>
      <c r="AW26" s="34">
        <v>0</v>
      </c>
      <c r="AX26" s="31">
        <v>0</v>
      </c>
      <c r="AY26" s="31">
        <v>0</v>
      </c>
      <c r="AZ26" s="31">
        <v>0</v>
      </c>
      <c r="BA26" s="31">
        <v>0</v>
      </c>
      <c r="BB26" s="34">
        <v>0</v>
      </c>
      <c r="BC26" s="34">
        <v>0</v>
      </c>
      <c r="BD26" s="32" t="s">
        <v>335</v>
      </c>
      <c r="BE26" s="32" t="s">
        <v>335</v>
      </c>
      <c r="BF26" s="32" t="s">
        <v>335</v>
      </c>
    </row>
    <row r="27" spans="1:58" ht="19.5" customHeight="1">
      <c r="A27" s="35">
        <v>24</v>
      </c>
      <c r="B27" s="30" t="s">
        <v>5</v>
      </c>
      <c r="C27" s="36">
        <v>46087</v>
      </c>
      <c r="D27" s="30" t="s">
        <v>287</v>
      </c>
      <c r="E27" s="30">
        <v>4111</v>
      </c>
      <c r="F27" s="30">
        <v>3647</v>
      </c>
      <c r="G27" s="31">
        <v>0.88713208465093651</v>
      </c>
      <c r="H27" s="30">
        <v>2752</v>
      </c>
      <c r="I27" s="32">
        <v>0.66942349793237654</v>
      </c>
      <c r="J27" s="30">
        <v>5026</v>
      </c>
      <c r="K27" s="30">
        <v>4906</v>
      </c>
      <c r="L27" s="31">
        <v>0.97599999999999998</v>
      </c>
      <c r="M27" s="30">
        <v>21944</v>
      </c>
      <c r="N27" s="30">
        <v>22224</v>
      </c>
      <c r="O27" s="30">
        <v>21662</v>
      </c>
      <c r="P27" s="31">
        <v>0.98714910681735324</v>
      </c>
      <c r="Q27" s="30">
        <v>28</v>
      </c>
      <c r="R27" s="30">
        <v>0</v>
      </c>
      <c r="S27" s="30">
        <v>0</v>
      </c>
      <c r="T27" s="31">
        <v>0</v>
      </c>
      <c r="U27" s="30">
        <v>0</v>
      </c>
      <c r="V27" s="31">
        <v>0</v>
      </c>
      <c r="W27" s="30">
        <v>4408</v>
      </c>
      <c r="X27" s="31">
        <v>1.072245195816103</v>
      </c>
      <c r="Y27" s="30">
        <v>1098</v>
      </c>
      <c r="Z27" s="33">
        <v>0.26708829968377518</v>
      </c>
      <c r="AA27" s="30">
        <v>100</v>
      </c>
      <c r="AB27" s="31">
        <v>2.4324981756263679E-2</v>
      </c>
      <c r="AC27" s="30">
        <v>583</v>
      </c>
      <c r="AD27" s="31">
        <v>0.1418146436390173</v>
      </c>
      <c r="AE27" s="30">
        <v>97</v>
      </c>
      <c r="AF27" s="31">
        <v>0.1663807890222985</v>
      </c>
      <c r="AG27" s="30">
        <v>540</v>
      </c>
      <c r="AH27" s="31">
        <v>0.92624356775300176</v>
      </c>
      <c r="AI27" s="34">
        <v>584</v>
      </c>
      <c r="AJ27" s="31">
        <v>0.1420578934565799</v>
      </c>
      <c r="AK27" s="34">
        <v>2</v>
      </c>
      <c r="AL27" s="31">
        <v>0.93150684931506844</v>
      </c>
      <c r="AM27" s="34">
        <v>577</v>
      </c>
      <c r="AN27" s="34">
        <v>544</v>
      </c>
      <c r="AO27" s="31">
        <v>0.13232790075407441</v>
      </c>
      <c r="AP27" s="31">
        <v>0.93310463121783882</v>
      </c>
      <c r="AQ27" s="32">
        <v>0.97408207343412523</v>
      </c>
      <c r="AR27" s="34">
        <v>0</v>
      </c>
      <c r="AS27" s="34">
        <v>0</v>
      </c>
      <c r="AT27" s="34">
        <v>110</v>
      </c>
      <c r="AU27" s="34">
        <v>106</v>
      </c>
      <c r="AV27" s="34">
        <v>104</v>
      </c>
      <c r="AW27" s="34">
        <v>119</v>
      </c>
      <c r="AX27" s="31">
        <v>2.5784480661639499E-2</v>
      </c>
      <c r="AY27" s="31">
        <v>2.5297981026514229E-2</v>
      </c>
      <c r="AZ27" s="31">
        <v>2.8946728289953781E-2</v>
      </c>
      <c r="BA27" s="31">
        <v>0.19117647058823531</v>
      </c>
      <c r="BB27" s="34">
        <v>0</v>
      </c>
      <c r="BC27" s="34">
        <v>0</v>
      </c>
      <c r="BD27" s="32">
        <v>0.95238095238095233</v>
      </c>
      <c r="BE27" s="32">
        <v>1</v>
      </c>
      <c r="BF27" s="32" t="s">
        <v>335</v>
      </c>
    </row>
    <row r="28" spans="1:58" ht="19.5" customHeight="1">
      <c r="A28" s="35">
        <v>25</v>
      </c>
      <c r="B28" s="30" t="s">
        <v>5</v>
      </c>
      <c r="C28" s="36">
        <v>46088</v>
      </c>
      <c r="D28" s="30" t="s">
        <v>2</v>
      </c>
      <c r="E28" s="30">
        <v>2627</v>
      </c>
      <c r="F28" s="30">
        <v>2367</v>
      </c>
      <c r="G28" s="31">
        <v>0.90102778835173203</v>
      </c>
      <c r="H28" s="30">
        <v>910</v>
      </c>
      <c r="I28" s="32">
        <v>0.34640274076893801</v>
      </c>
      <c r="J28" s="30">
        <v>2406</v>
      </c>
      <c r="K28" s="30">
        <v>2323</v>
      </c>
      <c r="L28" s="31">
        <v>0.96599999999999997</v>
      </c>
      <c r="M28" s="30">
        <v>10303</v>
      </c>
      <c r="N28" s="30">
        <v>10460</v>
      </c>
      <c r="O28" s="30">
        <v>10059</v>
      </c>
      <c r="P28" s="31">
        <v>0.97631757740463943</v>
      </c>
      <c r="Q28" s="30">
        <v>25</v>
      </c>
      <c r="R28" s="30">
        <v>0</v>
      </c>
      <c r="S28" s="30">
        <v>0</v>
      </c>
      <c r="T28" s="31">
        <v>0</v>
      </c>
      <c r="U28" s="30">
        <v>0</v>
      </c>
      <c r="V28" s="31">
        <v>0</v>
      </c>
      <c r="W28" s="30">
        <v>2491</v>
      </c>
      <c r="X28" s="31">
        <v>0.94822992006090601</v>
      </c>
      <c r="Y28" s="30">
        <v>572</v>
      </c>
      <c r="Z28" s="33">
        <v>0.2177388656261896</v>
      </c>
      <c r="AA28" s="30">
        <v>34</v>
      </c>
      <c r="AB28" s="31">
        <v>1.2942519984773511E-2</v>
      </c>
      <c r="AC28" s="30">
        <v>492</v>
      </c>
      <c r="AD28" s="31">
        <v>0.18728587742672251</v>
      </c>
      <c r="AE28" s="30">
        <v>83</v>
      </c>
      <c r="AF28" s="31">
        <v>0.16869918699186989</v>
      </c>
      <c r="AG28" s="30">
        <v>446</v>
      </c>
      <c r="AH28" s="31">
        <v>0.9065040650406504</v>
      </c>
      <c r="AI28" s="34">
        <v>482</v>
      </c>
      <c r="AJ28" s="31">
        <v>0.1834792539017891</v>
      </c>
      <c r="AK28" s="34">
        <v>4</v>
      </c>
      <c r="AL28" s="31">
        <v>0.85062240663900412</v>
      </c>
      <c r="AM28" s="34">
        <v>481</v>
      </c>
      <c r="AN28" s="34">
        <v>410</v>
      </c>
      <c r="AO28" s="31">
        <v>0.15607156452226881</v>
      </c>
      <c r="AP28" s="31">
        <v>0.83333333333333337</v>
      </c>
      <c r="AQ28" s="32">
        <v>0.95255474452554745</v>
      </c>
      <c r="AR28" s="34">
        <v>0</v>
      </c>
      <c r="AS28" s="34">
        <v>0</v>
      </c>
      <c r="AT28" s="34">
        <v>110</v>
      </c>
      <c r="AU28" s="34">
        <v>104</v>
      </c>
      <c r="AV28" s="34">
        <v>100</v>
      </c>
      <c r="AW28" s="34">
        <v>53</v>
      </c>
      <c r="AX28" s="31">
        <v>3.9588884659307197E-2</v>
      </c>
      <c r="AY28" s="31">
        <v>3.8066235249333842E-2</v>
      </c>
      <c r="AZ28" s="31">
        <v>2.0175104682146939E-2</v>
      </c>
      <c r="BA28" s="31">
        <v>0.24390243902439021</v>
      </c>
      <c r="BB28" s="34">
        <v>0</v>
      </c>
      <c r="BC28" s="34">
        <v>0</v>
      </c>
      <c r="BD28" s="32">
        <v>0.97727272727272729</v>
      </c>
      <c r="BE28" s="32">
        <v>1</v>
      </c>
      <c r="BF28" s="32" t="s">
        <v>335</v>
      </c>
    </row>
    <row r="29" spans="1:58" ht="19.5" customHeight="1">
      <c r="A29" s="35">
        <v>26</v>
      </c>
      <c r="B29" s="30" t="s">
        <v>5</v>
      </c>
      <c r="C29" s="36">
        <v>46088</v>
      </c>
      <c r="D29" s="30" t="s">
        <v>285</v>
      </c>
      <c r="E29" s="30">
        <v>2509</v>
      </c>
      <c r="F29" s="30">
        <v>2279</v>
      </c>
      <c r="G29" s="31">
        <v>0.90833001195695495</v>
      </c>
      <c r="H29" s="30">
        <v>894</v>
      </c>
      <c r="I29" s="32">
        <v>0.35631725787166202</v>
      </c>
      <c r="J29" s="30">
        <v>1859</v>
      </c>
      <c r="K29" s="30">
        <v>1792</v>
      </c>
      <c r="L29" s="31">
        <v>0.96399999999999997</v>
      </c>
      <c r="M29" s="30">
        <v>8231</v>
      </c>
      <c r="N29" s="30">
        <v>8384</v>
      </c>
      <c r="O29" s="30">
        <v>8053</v>
      </c>
      <c r="P29" s="31">
        <v>0.97837443809986635</v>
      </c>
      <c r="Q29" s="30">
        <v>21</v>
      </c>
      <c r="R29" s="30">
        <v>0</v>
      </c>
      <c r="S29" s="30">
        <v>0</v>
      </c>
      <c r="T29" s="31">
        <v>0</v>
      </c>
      <c r="U29" s="30">
        <v>0</v>
      </c>
      <c r="V29" s="31">
        <v>0</v>
      </c>
      <c r="W29" s="30">
        <v>2708</v>
      </c>
      <c r="X29" s="31">
        <v>1.079314467915504</v>
      </c>
      <c r="Y29" s="30">
        <v>531</v>
      </c>
      <c r="Z29" s="33">
        <v>0.21163810282981271</v>
      </c>
      <c r="AA29" s="30">
        <v>25</v>
      </c>
      <c r="AB29" s="31">
        <v>9.9641291351135908E-3</v>
      </c>
      <c r="AC29" s="30">
        <v>495</v>
      </c>
      <c r="AD29" s="31">
        <v>0.19728975687524911</v>
      </c>
      <c r="AE29" s="30">
        <v>56</v>
      </c>
      <c r="AF29" s="31">
        <v>0.1131313131313131</v>
      </c>
      <c r="AG29" s="30">
        <v>472</v>
      </c>
      <c r="AH29" s="31">
        <v>0.95353535353535357</v>
      </c>
      <c r="AI29" s="34">
        <v>472</v>
      </c>
      <c r="AJ29" s="31">
        <v>0.18812275807094461</v>
      </c>
      <c r="AK29" s="34">
        <v>6</v>
      </c>
      <c r="AL29" s="31">
        <v>0.87923728813559321</v>
      </c>
      <c r="AM29" s="34">
        <v>471</v>
      </c>
      <c r="AN29" s="34">
        <v>415</v>
      </c>
      <c r="AO29" s="31">
        <v>0.16540454364288559</v>
      </c>
      <c r="AP29" s="31">
        <v>0.83838383838383834</v>
      </c>
      <c r="AQ29" s="32">
        <v>0.97727272727272729</v>
      </c>
      <c r="AR29" s="34">
        <v>0</v>
      </c>
      <c r="AS29" s="34">
        <v>0</v>
      </c>
      <c r="AT29" s="34">
        <v>65</v>
      </c>
      <c r="AU29" s="34">
        <v>57</v>
      </c>
      <c r="AV29" s="34">
        <v>56</v>
      </c>
      <c r="AW29" s="34">
        <v>25</v>
      </c>
      <c r="AX29" s="31">
        <v>2.2718214428058991E-2</v>
      </c>
      <c r="AY29" s="31">
        <v>2.231964926265444E-2</v>
      </c>
      <c r="AZ29" s="31">
        <v>9.9641291351135908E-3</v>
      </c>
      <c r="BA29" s="31">
        <v>0.13493975903614461</v>
      </c>
      <c r="BB29" s="34">
        <v>0</v>
      </c>
      <c r="BC29" s="34">
        <v>0</v>
      </c>
      <c r="BD29" s="32">
        <v>1</v>
      </c>
      <c r="BE29" s="32">
        <v>1</v>
      </c>
      <c r="BF29" s="32" t="s">
        <v>335</v>
      </c>
    </row>
    <row r="30" spans="1:58" ht="19.5" customHeight="1">
      <c r="A30" s="35">
        <v>27</v>
      </c>
      <c r="B30" s="30" t="s">
        <v>5</v>
      </c>
      <c r="C30" s="36">
        <v>46088</v>
      </c>
      <c r="D30" s="30" t="s">
        <v>25</v>
      </c>
      <c r="E30" s="30">
        <v>53</v>
      </c>
      <c r="F30" s="30">
        <v>51</v>
      </c>
      <c r="G30" s="31">
        <v>0.96226415094339623</v>
      </c>
      <c r="H30" s="30">
        <v>33</v>
      </c>
      <c r="I30" s="32">
        <v>0.62264150943396224</v>
      </c>
      <c r="J30" s="30">
        <v>40</v>
      </c>
      <c r="K30" s="30">
        <v>40</v>
      </c>
      <c r="L30" s="31">
        <v>1</v>
      </c>
      <c r="M30" s="30">
        <v>160</v>
      </c>
      <c r="N30" s="30">
        <v>146</v>
      </c>
      <c r="O30" s="30">
        <v>157</v>
      </c>
      <c r="P30" s="31">
        <v>0.98124999999999996</v>
      </c>
      <c r="Q30" s="30">
        <v>0</v>
      </c>
      <c r="R30" s="30">
        <v>0</v>
      </c>
      <c r="S30" s="30">
        <v>0</v>
      </c>
      <c r="T30" s="31">
        <v>0</v>
      </c>
      <c r="U30" s="30">
        <v>0</v>
      </c>
      <c r="V30" s="31">
        <v>0</v>
      </c>
      <c r="W30" s="30">
        <v>0</v>
      </c>
      <c r="X30" s="31">
        <v>0</v>
      </c>
      <c r="Y30" s="30">
        <v>0</v>
      </c>
      <c r="Z30" s="33">
        <v>0</v>
      </c>
      <c r="AA30" s="30">
        <v>0</v>
      </c>
      <c r="AB30" s="31">
        <v>0</v>
      </c>
      <c r="AC30" s="30">
        <v>22</v>
      </c>
      <c r="AD30" s="31">
        <v>0.41509433962264147</v>
      </c>
      <c r="AE30" s="30">
        <v>20</v>
      </c>
      <c r="AF30" s="31">
        <v>0.90909090909090906</v>
      </c>
      <c r="AG30" s="30">
        <v>19</v>
      </c>
      <c r="AH30" s="31">
        <v>0.86363636363636365</v>
      </c>
      <c r="AI30" s="34">
        <v>0</v>
      </c>
      <c r="AJ30" s="31">
        <v>0</v>
      </c>
      <c r="AK30" s="34">
        <v>0</v>
      </c>
      <c r="AL30" s="31">
        <v>0</v>
      </c>
      <c r="AM30" s="34">
        <v>0</v>
      </c>
      <c r="AN30" s="34">
        <v>0</v>
      </c>
      <c r="AO30" s="31">
        <v>0</v>
      </c>
      <c r="AP30" s="31">
        <v>0</v>
      </c>
      <c r="AQ30" s="32">
        <v>1</v>
      </c>
      <c r="AR30" s="34">
        <v>0</v>
      </c>
      <c r="AS30" s="34">
        <v>0</v>
      </c>
      <c r="AT30" s="34">
        <v>0</v>
      </c>
      <c r="AU30" s="34">
        <v>0</v>
      </c>
      <c r="AV30" s="34">
        <v>0</v>
      </c>
      <c r="AW30" s="34">
        <v>0</v>
      </c>
      <c r="AX30" s="31">
        <v>0</v>
      </c>
      <c r="AY30" s="31">
        <v>0</v>
      </c>
      <c r="AZ30" s="31">
        <v>0</v>
      </c>
      <c r="BA30" s="31">
        <v>0</v>
      </c>
      <c r="BB30" s="34">
        <v>0</v>
      </c>
      <c r="BC30" s="34">
        <v>0</v>
      </c>
      <c r="BD30" s="32" t="s">
        <v>335</v>
      </c>
      <c r="BE30" s="32" t="s">
        <v>335</v>
      </c>
      <c r="BF30" s="32" t="s">
        <v>335</v>
      </c>
    </row>
    <row r="31" spans="1:58" ht="19.5" customHeight="1">
      <c r="A31" s="35">
        <v>28</v>
      </c>
      <c r="B31" s="30" t="s">
        <v>5</v>
      </c>
      <c r="C31" s="36">
        <v>46088</v>
      </c>
      <c r="D31" s="30" t="s">
        <v>287</v>
      </c>
      <c r="E31" s="30">
        <v>4547</v>
      </c>
      <c r="F31" s="30">
        <v>4070</v>
      </c>
      <c r="G31" s="31">
        <v>0.89509566747305913</v>
      </c>
      <c r="H31" s="30">
        <v>3079</v>
      </c>
      <c r="I31" s="32">
        <v>0.67714976907851332</v>
      </c>
      <c r="J31" s="30">
        <v>5233</v>
      </c>
      <c r="K31" s="30">
        <v>5131</v>
      </c>
      <c r="L31" s="31">
        <v>0.98099999999999998</v>
      </c>
      <c r="M31" s="30">
        <v>21920</v>
      </c>
      <c r="N31" s="30">
        <v>22504</v>
      </c>
      <c r="O31" s="30">
        <v>21568</v>
      </c>
      <c r="P31" s="31">
        <v>0.98394160583941603</v>
      </c>
      <c r="Q31" s="30">
        <v>25</v>
      </c>
      <c r="R31" s="30">
        <v>0</v>
      </c>
      <c r="S31" s="30">
        <v>0</v>
      </c>
      <c r="T31" s="31">
        <v>0</v>
      </c>
      <c r="U31" s="30">
        <v>0</v>
      </c>
      <c r="V31" s="31">
        <v>0</v>
      </c>
      <c r="W31" s="30">
        <v>3760</v>
      </c>
      <c r="X31" s="31">
        <v>0.82691884759181877</v>
      </c>
      <c r="Y31" s="30">
        <v>934</v>
      </c>
      <c r="Z31" s="33">
        <v>0.20541016054541461</v>
      </c>
      <c r="AA31" s="30">
        <v>90</v>
      </c>
      <c r="AB31" s="31">
        <v>1.979327028810204E-2</v>
      </c>
      <c r="AC31" s="30">
        <v>1072</v>
      </c>
      <c r="AD31" s="31">
        <v>0.2357598416538377</v>
      </c>
      <c r="AE31" s="30">
        <v>130</v>
      </c>
      <c r="AF31" s="31">
        <v>0.1212686567164179</v>
      </c>
      <c r="AG31" s="30">
        <v>1011</v>
      </c>
      <c r="AH31" s="31">
        <v>0.94309701492537312</v>
      </c>
      <c r="AI31" s="34">
        <v>1047</v>
      </c>
      <c r="AJ31" s="31">
        <v>0.2302617110182538</v>
      </c>
      <c r="AK31" s="34">
        <v>10</v>
      </c>
      <c r="AL31" s="31">
        <v>0.94460362941738296</v>
      </c>
      <c r="AM31" s="34">
        <v>1042</v>
      </c>
      <c r="AN31" s="34">
        <v>989</v>
      </c>
      <c r="AO31" s="31">
        <v>0.21750604794369921</v>
      </c>
      <c r="AP31" s="31">
        <v>0.9225746268656716</v>
      </c>
      <c r="AQ31" s="32">
        <v>0.97318007662835249</v>
      </c>
      <c r="AR31" s="34">
        <v>0</v>
      </c>
      <c r="AS31" s="34">
        <v>0</v>
      </c>
      <c r="AT31" s="34">
        <v>201</v>
      </c>
      <c r="AU31" s="34">
        <v>191</v>
      </c>
      <c r="AV31" s="34">
        <v>190</v>
      </c>
      <c r="AW31" s="34">
        <v>86</v>
      </c>
      <c r="AX31" s="31">
        <v>4.2005718055861008E-2</v>
      </c>
      <c r="AY31" s="31">
        <v>4.1785792830437651E-2</v>
      </c>
      <c r="AZ31" s="31">
        <v>1.8913569386408619E-2</v>
      </c>
      <c r="BA31" s="31">
        <v>0.19211324570273</v>
      </c>
      <c r="BB31" s="34">
        <v>0</v>
      </c>
      <c r="BC31" s="34">
        <v>0</v>
      </c>
      <c r="BD31" s="32">
        <v>0.99206349206349209</v>
      </c>
      <c r="BE31" s="32">
        <v>1</v>
      </c>
      <c r="BF31" s="32" t="s">
        <v>335</v>
      </c>
    </row>
    <row r="32" spans="1:58" ht="19.5" customHeight="1">
      <c r="A32" s="35">
        <v>29</v>
      </c>
      <c r="B32" s="30" t="s">
        <v>5</v>
      </c>
      <c r="C32" s="36">
        <v>46089</v>
      </c>
      <c r="D32" s="30" t="s">
        <v>2</v>
      </c>
      <c r="E32" s="30">
        <v>2627</v>
      </c>
      <c r="F32" s="30">
        <v>2382</v>
      </c>
      <c r="G32" s="31">
        <v>0.90673772363913208</v>
      </c>
      <c r="H32" s="30">
        <v>914</v>
      </c>
      <c r="I32" s="32">
        <v>0.34792539017891128</v>
      </c>
      <c r="J32" s="30">
        <v>2386</v>
      </c>
      <c r="K32" s="30">
        <v>2285</v>
      </c>
      <c r="L32" s="31">
        <v>0.95799999999999996</v>
      </c>
      <c r="M32" s="30">
        <v>10287</v>
      </c>
      <c r="N32" s="30">
        <v>10053</v>
      </c>
      <c r="O32" s="30">
        <v>10010</v>
      </c>
      <c r="P32" s="31">
        <v>0.97307281034315152</v>
      </c>
      <c r="Q32" s="30">
        <v>24</v>
      </c>
      <c r="R32" s="30">
        <v>0</v>
      </c>
      <c r="S32" s="30">
        <v>0</v>
      </c>
      <c r="T32" s="31">
        <v>0</v>
      </c>
      <c r="U32" s="30">
        <v>0</v>
      </c>
      <c r="V32" s="31">
        <v>0</v>
      </c>
      <c r="W32" s="30">
        <v>3063</v>
      </c>
      <c r="X32" s="31">
        <v>1.1659687856870951</v>
      </c>
      <c r="Y32" s="30">
        <v>605</v>
      </c>
      <c r="Z32" s="33">
        <v>0.2303007232584697</v>
      </c>
      <c r="AA32" s="30">
        <v>45</v>
      </c>
      <c r="AB32" s="31">
        <v>1.7129805862200229E-2</v>
      </c>
      <c r="AC32" s="30">
        <v>519</v>
      </c>
      <c r="AD32" s="31">
        <v>0.1975637609440426</v>
      </c>
      <c r="AE32" s="30">
        <v>58</v>
      </c>
      <c r="AF32" s="31">
        <v>0.1117533718689788</v>
      </c>
      <c r="AG32" s="30">
        <v>488</v>
      </c>
      <c r="AH32" s="31">
        <v>0.94026974951830444</v>
      </c>
      <c r="AI32" s="34">
        <v>492</v>
      </c>
      <c r="AJ32" s="31">
        <v>0.18728587742672251</v>
      </c>
      <c r="AK32" s="34">
        <v>4</v>
      </c>
      <c r="AL32" s="31">
        <v>0.86382113821138207</v>
      </c>
      <c r="AM32" s="34">
        <v>487</v>
      </c>
      <c r="AN32" s="34">
        <v>425</v>
      </c>
      <c r="AO32" s="31">
        <v>0.1617814998096688</v>
      </c>
      <c r="AP32" s="31">
        <v>0.81888246628131023</v>
      </c>
      <c r="AQ32" s="32">
        <v>0.93064876957494402</v>
      </c>
      <c r="AR32" s="34">
        <v>0</v>
      </c>
      <c r="AS32" s="34">
        <v>0</v>
      </c>
      <c r="AT32" s="34">
        <v>123</v>
      </c>
      <c r="AU32" s="34">
        <v>118</v>
      </c>
      <c r="AV32" s="34">
        <v>117</v>
      </c>
      <c r="AW32" s="34">
        <v>55</v>
      </c>
      <c r="AX32" s="31">
        <v>4.4918157594213942E-2</v>
      </c>
      <c r="AY32" s="31">
        <v>4.4537495241720591E-2</v>
      </c>
      <c r="AZ32" s="31">
        <v>2.0936429387133609E-2</v>
      </c>
      <c r="BA32" s="31">
        <v>0.2752941176470588</v>
      </c>
      <c r="BB32" s="34">
        <v>0</v>
      </c>
      <c r="BC32" s="34">
        <v>0</v>
      </c>
      <c r="BD32" s="32">
        <v>1</v>
      </c>
      <c r="BE32" s="32">
        <v>0.9642857142857143</v>
      </c>
      <c r="BF32" s="32" t="s">
        <v>335</v>
      </c>
    </row>
    <row r="33" spans="1:58" ht="19.5" customHeight="1">
      <c r="A33" s="35">
        <v>30</v>
      </c>
      <c r="B33" s="30" t="s">
        <v>5</v>
      </c>
      <c r="C33" s="36">
        <v>46089</v>
      </c>
      <c r="D33" s="30" t="s">
        <v>285</v>
      </c>
      <c r="E33" s="30">
        <v>2125</v>
      </c>
      <c r="F33" s="30">
        <v>1935</v>
      </c>
      <c r="G33" s="31">
        <v>0.9105882352941177</v>
      </c>
      <c r="H33" s="30">
        <v>915</v>
      </c>
      <c r="I33" s="32">
        <v>0.43058823529411772</v>
      </c>
      <c r="J33" s="30">
        <v>1771</v>
      </c>
      <c r="K33" s="30">
        <v>1699</v>
      </c>
      <c r="L33" s="31">
        <v>0.95899999999999996</v>
      </c>
      <c r="M33" s="30">
        <v>8086</v>
      </c>
      <c r="N33" s="30">
        <v>7870</v>
      </c>
      <c r="O33" s="30">
        <v>7890</v>
      </c>
      <c r="P33" s="31">
        <v>0.97576057383131343</v>
      </c>
      <c r="Q33" s="30">
        <v>23</v>
      </c>
      <c r="R33" s="30">
        <v>0</v>
      </c>
      <c r="S33" s="30">
        <v>0</v>
      </c>
      <c r="T33" s="31">
        <v>0</v>
      </c>
      <c r="U33" s="30">
        <v>0</v>
      </c>
      <c r="V33" s="31">
        <v>0</v>
      </c>
      <c r="W33" s="30">
        <v>3234</v>
      </c>
      <c r="X33" s="31">
        <v>1.521882352941176</v>
      </c>
      <c r="Y33" s="30">
        <v>615</v>
      </c>
      <c r="Z33" s="33">
        <v>0.28941176470588242</v>
      </c>
      <c r="AA33" s="30">
        <v>17</v>
      </c>
      <c r="AB33" s="31">
        <v>8.0000000000000002E-3</v>
      </c>
      <c r="AC33" s="30">
        <v>472</v>
      </c>
      <c r="AD33" s="31">
        <v>0.2221176470588235</v>
      </c>
      <c r="AE33" s="30">
        <v>55</v>
      </c>
      <c r="AF33" s="31">
        <v>0.1165254237288136</v>
      </c>
      <c r="AG33" s="30">
        <v>454</v>
      </c>
      <c r="AH33" s="31">
        <v>0.96186440677966101</v>
      </c>
      <c r="AI33" s="34">
        <v>453</v>
      </c>
      <c r="AJ33" s="31">
        <v>0.2131764705882353</v>
      </c>
      <c r="AK33" s="34">
        <v>4</v>
      </c>
      <c r="AL33" s="31">
        <v>0.84988962472406182</v>
      </c>
      <c r="AM33" s="34">
        <v>448</v>
      </c>
      <c r="AN33" s="34">
        <v>385</v>
      </c>
      <c r="AO33" s="31">
        <v>0.1811764705882353</v>
      </c>
      <c r="AP33" s="31">
        <v>0.81567796610169496</v>
      </c>
      <c r="AQ33" s="32">
        <v>0.95525727069351229</v>
      </c>
      <c r="AR33" s="34">
        <v>0</v>
      </c>
      <c r="AS33" s="34">
        <v>0</v>
      </c>
      <c r="AT33" s="34">
        <v>66</v>
      </c>
      <c r="AU33" s="34">
        <v>65</v>
      </c>
      <c r="AV33" s="34">
        <v>61</v>
      </c>
      <c r="AW33" s="34">
        <v>18</v>
      </c>
      <c r="AX33" s="31">
        <v>3.0588235294117649E-2</v>
      </c>
      <c r="AY33" s="31">
        <v>2.8705882352941171E-2</v>
      </c>
      <c r="AZ33" s="31">
        <v>8.4705882352941169E-3</v>
      </c>
      <c r="BA33" s="31">
        <v>0.15844155844155841</v>
      </c>
      <c r="BB33" s="34">
        <v>0</v>
      </c>
      <c r="BC33" s="34">
        <v>0</v>
      </c>
      <c r="BD33" s="32">
        <v>0.98412698412698407</v>
      </c>
      <c r="BE33" s="32">
        <v>1</v>
      </c>
      <c r="BF33" s="32" t="s">
        <v>335</v>
      </c>
    </row>
    <row r="34" spans="1:58" ht="19.5" customHeight="1">
      <c r="A34" s="35">
        <v>31</v>
      </c>
      <c r="B34" s="30" t="s">
        <v>5</v>
      </c>
      <c r="C34" s="36">
        <v>46089</v>
      </c>
      <c r="D34" s="30" t="s">
        <v>25</v>
      </c>
      <c r="E34" s="30">
        <v>41</v>
      </c>
      <c r="F34" s="30">
        <v>40</v>
      </c>
      <c r="G34" s="31">
        <v>0.97560975609756095</v>
      </c>
      <c r="H34" s="30">
        <v>23</v>
      </c>
      <c r="I34" s="32">
        <v>0.56097560975609762</v>
      </c>
      <c r="J34" s="30">
        <v>26</v>
      </c>
      <c r="K34" s="30">
        <v>26</v>
      </c>
      <c r="L34" s="31">
        <v>1</v>
      </c>
      <c r="M34" s="30">
        <v>144</v>
      </c>
      <c r="N34" s="30">
        <v>153</v>
      </c>
      <c r="O34" s="30">
        <v>142</v>
      </c>
      <c r="P34" s="31">
        <v>0.98611111111111116</v>
      </c>
      <c r="Q34" s="30">
        <v>0</v>
      </c>
      <c r="R34" s="30">
        <v>0</v>
      </c>
      <c r="S34" s="30">
        <v>0</v>
      </c>
      <c r="T34" s="31">
        <v>0</v>
      </c>
      <c r="U34" s="30">
        <v>0</v>
      </c>
      <c r="V34" s="31">
        <v>0</v>
      </c>
      <c r="W34" s="30">
        <v>0</v>
      </c>
      <c r="X34" s="31">
        <v>0</v>
      </c>
      <c r="Y34" s="30">
        <v>1</v>
      </c>
      <c r="Z34" s="33">
        <v>2.4390243902439029E-2</v>
      </c>
      <c r="AA34" s="30">
        <v>0</v>
      </c>
      <c r="AB34" s="31">
        <v>0</v>
      </c>
      <c r="AC34" s="30">
        <v>23</v>
      </c>
      <c r="AD34" s="31">
        <v>0.56097560975609762</v>
      </c>
      <c r="AE34" s="30">
        <v>6</v>
      </c>
      <c r="AF34" s="31">
        <v>0.2608695652173913</v>
      </c>
      <c r="AG34" s="30">
        <v>23</v>
      </c>
      <c r="AH34" s="31">
        <v>1</v>
      </c>
      <c r="AI34" s="34">
        <v>0</v>
      </c>
      <c r="AJ34" s="31">
        <v>0</v>
      </c>
      <c r="AK34" s="34">
        <v>0</v>
      </c>
      <c r="AL34" s="31">
        <v>0</v>
      </c>
      <c r="AM34" s="34">
        <v>0</v>
      </c>
      <c r="AN34" s="34">
        <v>0</v>
      </c>
      <c r="AO34" s="31">
        <v>0</v>
      </c>
      <c r="AP34" s="31">
        <v>0</v>
      </c>
      <c r="AQ34" s="32">
        <v>0.94117647058823528</v>
      </c>
      <c r="AR34" s="34">
        <v>0</v>
      </c>
      <c r="AS34" s="34">
        <v>0</v>
      </c>
      <c r="AT34" s="34">
        <v>0</v>
      </c>
      <c r="AU34" s="34">
        <v>0</v>
      </c>
      <c r="AV34" s="34">
        <v>0</v>
      </c>
      <c r="AW34" s="34">
        <v>0</v>
      </c>
      <c r="AX34" s="31">
        <v>0</v>
      </c>
      <c r="AY34" s="31">
        <v>0</v>
      </c>
      <c r="AZ34" s="31">
        <v>0</v>
      </c>
      <c r="BA34" s="31">
        <v>0</v>
      </c>
      <c r="BB34" s="34">
        <v>0</v>
      </c>
      <c r="BC34" s="34">
        <v>0</v>
      </c>
      <c r="BD34" s="32" t="s">
        <v>335</v>
      </c>
      <c r="BE34" s="32" t="s">
        <v>335</v>
      </c>
      <c r="BF34" s="32" t="s">
        <v>335</v>
      </c>
    </row>
    <row r="35" spans="1:58" ht="19.5" customHeight="1">
      <c r="A35" s="35">
        <v>32</v>
      </c>
      <c r="B35" s="30" t="s">
        <v>5</v>
      </c>
      <c r="C35" s="36">
        <v>46089</v>
      </c>
      <c r="D35" s="30" t="s">
        <v>287</v>
      </c>
      <c r="E35" s="30">
        <v>4120</v>
      </c>
      <c r="F35" s="30">
        <v>3694</v>
      </c>
      <c r="G35" s="31">
        <v>0.89660194174757279</v>
      </c>
      <c r="H35" s="30">
        <v>2794</v>
      </c>
      <c r="I35" s="32">
        <v>0.67815533980582521</v>
      </c>
      <c r="J35" s="30">
        <v>4855</v>
      </c>
      <c r="K35" s="30">
        <v>4742</v>
      </c>
      <c r="L35" s="31">
        <v>0.97699999999999998</v>
      </c>
      <c r="M35" s="30">
        <v>21751</v>
      </c>
      <c r="N35" s="30">
        <v>21057</v>
      </c>
      <c r="O35" s="30">
        <v>21272</v>
      </c>
      <c r="P35" s="31">
        <v>0.97797802399889655</v>
      </c>
      <c r="Q35" s="30">
        <v>20</v>
      </c>
      <c r="R35" s="30">
        <v>0</v>
      </c>
      <c r="S35" s="30">
        <v>0</v>
      </c>
      <c r="T35" s="31">
        <v>0</v>
      </c>
      <c r="U35" s="30">
        <v>0</v>
      </c>
      <c r="V35" s="31">
        <v>0</v>
      </c>
      <c r="W35" s="30">
        <v>4318</v>
      </c>
      <c r="X35" s="31">
        <v>1.048058252427184</v>
      </c>
      <c r="Y35" s="30">
        <v>940</v>
      </c>
      <c r="Z35" s="33">
        <v>0.22815533980582531</v>
      </c>
      <c r="AA35" s="30">
        <v>105</v>
      </c>
      <c r="AB35" s="31">
        <v>2.5485436893203879E-2</v>
      </c>
      <c r="AC35" s="30">
        <v>1067</v>
      </c>
      <c r="AD35" s="31">
        <v>0.25898058252427192</v>
      </c>
      <c r="AE35" s="30">
        <v>88</v>
      </c>
      <c r="AF35" s="31">
        <v>8.247422680412371E-2</v>
      </c>
      <c r="AG35" s="30">
        <v>1009</v>
      </c>
      <c r="AH35" s="31">
        <v>0.94564198687910028</v>
      </c>
      <c r="AI35" s="34">
        <v>1053</v>
      </c>
      <c r="AJ35" s="31">
        <v>0.25558252427184458</v>
      </c>
      <c r="AK35" s="34">
        <v>3</v>
      </c>
      <c r="AL35" s="31">
        <v>0.9145299145299145</v>
      </c>
      <c r="AM35" s="34">
        <v>1041</v>
      </c>
      <c r="AN35" s="34">
        <v>963</v>
      </c>
      <c r="AO35" s="31">
        <v>0.23373786407766989</v>
      </c>
      <c r="AP35" s="31">
        <v>0.90253045923149011</v>
      </c>
      <c r="AQ35" s="32">
        <v>0.94938016528925617</v>
      </c>
      <c r="AR35" s="34">
        <v>0</v>
      </c>
      <c r="AS35" s="34">
        <v>0</v>
      </c>
      <c r="AT35" s="34">
        <v>206</v>
      </c>
      <c r="AU35" s="34">
        <v>201</v>
      </c>
      <c r="AV35" s="34">
        <v>194</v>
      </c>
      <c r="AW35" s="34">
        <v>68</v>
      </c>
      <c r="AX35" s="31">
        <v>4.8786407766990288E-2</v>
      </c>
      <c r="AY35" s="31">
        <v>4.7087378640776702E-2</v>
      </c>
      <c r="AZ35" s="31">
        <v>1.6504854368932041E-2</v>
      </c>
      <c r="BA35" s="31">
        <v>0.201453790238837</v>
      </c>
      <c r="BB35" s="34">
        <v>0</v>
      </c>
      <c r="BC35" s="34">
        <v>0</v>
      </c>
      <c r="BD35" s="32">
        <v>1</v>
      </c>
      <c r="BE35" s="32">
        <v>1</v>
      </c>
      <c r="BF35" s="32" t="s">
        <v>335</v>
      </c>
    </row>
    <row r="36" spans="1:58" ht="19.5" customHeight="1">
      <c r="A36" s="35">
        <v>33</v>
      </c>
      <c r="B36" s="30" t="s">
        <v>5</v>
      </c>
      <c r="C36" s="36">
        <v>46090</v>
      </c>
      <c r="D36" s="30" t="s">
        <v>2</v>
      </c>
      <c r="E36" s="30">
        <v>2309</v>
      </c>
      <c r="F36" s="30">
        <v>2051</v>
      </c>
      <c r="G36" s="31">
        <v>0.888263317453443</v>
      </c>
      <c r="H36" s="30">
        <v>733</v>
      </c>
      <c r="I36" s="32">
        <v>0.31745344304893891</v>
      </c>
      <c r="J36" s="30">
        <v>2293</v>
      </c>
      <c r="K36" s="30">
        <v>2184</v>
      </c>
      <c r="L36" s="31">
        <v>0.95199999999999996</v>
      </c>
      <c r="M36" s="30">
        <v>10159</v>
      </c>
      <c r="N36" s="30">
        <v>9782</v>
      </c>
      <c r="O36" s="30">
        <v>9918</v>
      </c>
      <c r="P36" s="31">
        <v>0.97627719263707058</v>
      </c>
      <c r="Q36" s="30">
        <v>24</v>
      </c>
      <c r="R36" s="30">
        <v>0</v>
      </c>
      <c r="S36" s="30">
        <v>0</v>
      </c>
      <c r="T36" s="31">
        <v>0</v>
      </c>
      <c r="U36" s="30">
        <v>0</v>
      </c>
      <c r="V36" s="31">
        <v>0</v>
      </c>
      <c r="W36" s="30">
        <v>3265</v>
      </c>
      <c r="X36" s="31">
        <v>1.4140320485058471</v>
      </c>
      <c r="Y36" s="30">
        <v>778</v>
      </c>
      <c r="Z36" s="33">
        <v>0.33694239930705933</v>
      </c>
      <c r="AA36" s="30">
        <v>26</v>
      </c>
      <c r="AB36" s="31">
        <v>1.126028583802512E-2</v>
      </c>
      <c r="AC36" s="30">
        <v>286</v>
      </c>
      <c r="AD36" s="31">
        <v>0.12386314421827629</v>
      </c>
      <c r="AE36" s="30">
        <v>51</v>
      </c>
      <c r="AF36" s="31">
        <v>0.17832167832167831</v>
      </c>
      <c r="AG36" s="30">
        <v>261</v>
      </c>
      <c r="AH36" s="31">
        <v>0.91258741258741261</v>
      </c>
      <c r="AI36" s="34">
        <v>290</v>
      </c>
      <c r="AJ36" s="31">
        <v>0.12559549588566479</v>
      </c>
      <c r="AK36" s="34">
        <v>3</v>
      </c>
      <c r="AL36" s="31">
        <v>0.86206896551724133</v>
      </c>
      <c r="AM36" s="34">
        <v>285</v>
      </c>
      <c r="AN36" s="34">
        <v>250</v>
      </c>
      <c r="AO36" s="31">
        <v>0.10827197921178</v>
      </c>
      <c r="AP36" s="31">
        <v>0.87412587412587417</v>
      </c>
      <c r="AQ36" s="32">
        <v>0.97639484978540769</v>
      </c>
      <c r="AR36" s="34">
        <v>0</v>
      </c>
      <c r="AS36" s="34">
        <v>0</v>
      </c>
      <c r="AT36" s="34">
        <v>49</v>
      </c>
      <c r="AU36" s="34">
        <v>44</v>
      </c>
      <c r="AV36" s="34">
        <v>48</v>
      </c>
      <c r="AW36" s="34">
        <v>65</v>
      </c>
      <c r="AX36" s="31">
        <v>1.9055868341273281E-2</v>
      </c>
      <c r="AY36" s="31">
        <v>2.0788220008661758E-2</v>
      </c>
      <c r="AZ36" s="31">
        <v>2.8150714595062801E-2</v>
      </c>
      <c r="BA36" s="31">
        <v>0.192</v>
      </c>
      <c r="BB36" s="34">
        <v>0</v>
      </c>
      <c r="BC36" s="34">
        <v>0</v>
      </c>
      <c r="BD36" s="32">
        <v>0.96969696969696972</v>
      </c>
      <c r="BE36" s="32">
        <v>1</v>
      </c>
      <c r="BF36" s="32" t="s">
        <v>335</v>
      </c>
    </row>
    <row r="37" spans="1:58" ht="19.5" customHeight="1">
      <c r="A37" s="35">
        <v>34</v>
      </c>
      <c r="B37" s="30" t="s">
        <v>5</v>
      </c>
      <c r="C37" s="36">
        <v>46090</v>
      </c>
      <c r="D37" s="30" t="s">
        <v>285</v>
      </c>
      <c r="E37" s="30">
        <v>1791</v>
      </c>
      <c r="F37" s="30">
        <v>1591</v>
      </c>
      <c r="G37" s="31">
        <v>0.8883305415968733</v>
      </c>
      <c r="H37" s="30">
        <v>707</v>
      </c>
      <c r="I37" s="32">
        <v>0.39475153545505298</v>
      </c>
      <c r="J37" s="30">
        <v>1484</v>
      </c>
      <c r="K37" s="30">
        <v>1442</v>
      </c>
      <c r="L37" s="31">
        <v>0.97199999999999998</v>
      </c>
      <c r="M37" s="30">
        <v>7918</v>
      </c>
      <c r="N37" s="30">
        <v>7416</v>
      </c>
      <c r="O37" s="30">
        <v>7776</v>
      </c>
      <c r="P37" s="31">
        <v>0.98206617832786058</v>
      </c>
      <c r="Q37" s="30">
        <v>16</v>
      </c>
      <c r="R37" s="30">
        <v>0</v>
      </c>
      <c r="S37" s="30">
        <v>0</v>
      </c>
      <c r="T37" s="31">
        <v>0</v>
      </c>
      <c r="U37" s="30">
        <v>0</v>
      </c>
      <c r="V37" s="31">
        <v>0</v>
      </c>
      <c r="W37" s="30">
        <v>3312</v>
      </c>
      <c r="X37" s="31">
        <v>1.8492462311557789</v>
      </c>
      <c r="Y37" s="30">
        <v>982</v>
      </c>
      <c r="Z37" s="33">
        <v>0.54829704075935237</v>
      </c>
      <c r="AA37" s="30">
        <v>10</v>
      </c>
      <c r="AB37" s="31">
        <v>5.5834729201563373E-3</v>
      </c>
      <c r="AC37" s="30">
        <v>247</v>
      </c>
      <c r="AD37" s="31">
        <v>0.13791178112786151</v>
      </c>
      <c r="AE37" s="30">
        <v>45</v>
      </c>
      <c r="AF37" s="31">
        <v>0.18218623481781379</v>
      </c>
      <c r="AG37" s="30">
        <v>224</v>
      </c>
      <c r="AH37" s="31">
        <v>0.90688259109311742</v>
      </c>
      <c r="AI37" s="34">
        <v>250</v>
      </c>
      <c r="AJ37" s="31">
        <v>0.1395868230039084</v>
      </c>
      <c r="AK37" s="34">
        <v>3</v>
      </c>
      <c r="AL37" s="31">
        <v>0.81599999999999995</v>
      </c>
      <c r="AM37" s="34">
        <v>243</v>
      </c>
      <c r="AN37" s="34">
        <v>204</v>
      </c>
      <c r="AO37" s="31">
        <v>0.11390284757118931</v>
      </c>
      <c r="AP37" s="31">
        <v>0.82591093117408909</v>
      </c>
      <c r="AQ37" s="32">
        <v>0.97441860465116281</v>
      </c>
      <c r="AR37" s="34">
        <v>0</v>
      </c>
      <c r="AS37" s="34">
        <v>0</v>
      </c>
      <c r="AT37" s="34">
        <v>60</v>
      </c>
      <c r="AU37" s="34">
        <v>52</v>
      </c>
      <c r="AV37" s="34">
        <v>58</v>
      </c>
      <c r="AW37" s="34">
        <v>34</v>
      </c>
      <c r="AX37" s="31">
        <v>2.9034059184812951E-2</v>
      </c>
      <c r="AY37" s="31">
        <v>3.2384142936906758E-2</v>
      </c>
      <c r="AZ37" s="31">
        <v>1.8983807928531549E-2</v>
      </c>
      <c r="BA37" s="31">
        <v>0.28431372549019612</v>
      </c>
      <c r="BB37" s="34">
        <v>0</v>
      </c>
      <c r="BC37" s="34">
        <v>0</v>
      </c>
      <c r="BD37" s="32">
        <v>1</v>
      </c>
      <c r="BE37" s="32">
        <v>1</v>
      </c>
      <c r="BF37" s="32" t="s">
        <v>335</v>
      </c>
    </row>
    <row r="38" spans="1:58" ht="19.5" customHeight="1">
      <c r="A38" s="35">
        <v>35</v>
      </c>
      <c r="B38" s="30" t="s">
        <v>5</v>
      </c>
      <c r="C38" s="36">
        <v>46090</v>
      </c>
      <c r="D38" s="30" t="s">
        <v>25</v>
      </c>
      <c r="E38" s="30">
        <v>48</v>
      </c>
      <c r="F38" s="30">
        <v>47</v>
      </c>
      <c r="G38" s="31">
        <v>0.97916666666666663</v>
      </c>
      <c r="H38" s="30">
        <v>24</v>
      </c>
      <c r="I38" s="32">
        <v>0.5</v>
      </c>
      <c r="J38" s="30">
        <v>35</v>
      </c>
      <c r="K38" s="30">
        <v>33</v>
      </c>
      <c r="L38" s="31">
        <v>0.94299999999999995</v>
      </c>
      <c r="M38" s="30">
        <v>163</v>
      </c>
      <c r="N38" s="30">
        <v>129</v>
      </c>
      <c r="O38" s="30">
        <v>159</v>
      </c>
      <c r="P38" s="31">
        <v>0.97546012269938653</v>
      </c>
      <c r="Q38" s="30">
        <v>1</v>
      </c>
      <c r="R38" s="30">
        <v>0</v>
      </c>
      <c r="S38" s="30">
        <v>0</v>
      </c>
      <c r="T38" s="31">
        <v>0</v>
      </c>
      <c r="U38" s="30">
        <v>0</v>
      </c>
      <c r="V38" s="31">
        <v>0</v>
      </c>
      <c r="W38" s="30">
        <v>0</v>
      </c>
      <c r="X38" s="31">
        <v>0</v>
      </c>
      <c r="Y38" s="30">
        <v>0</v>
      </c>
      <c r="Z38" s="33">
        <v>0</v>
      </c>
      <c r="AA38" s="30">
        <v>0</v>
      </c>
      <c r="AB38" s="31">
        <v>0</v>
      </c>
      <c r="AC38" s="30">
        <v>12</v>
      </c>
      <c r="AD38" s="31">
        <v>0.25</v>
      </c>
      <c r="AE38" s="30">
        <v>22</v>
      </c>
      <c r="AF38" s="31">
        <v>1.833333333333333</v>
      </c>
      <c r="AG38" s="30">
        <v>12</v>
      </c>
      <c r="AH38" s="31">
        <v>1</v>
      </c>
      <c r="AI38" s="34">
        <v>0</v>
      </c>
      <c r="AJ38" s="31">
        <v>0</v>
      </c>
      <c r="AK38" s="34">
        <v>0</v>
      </c>
      <c r="AL38" s="31">
        <v>0</v>
      </c>
      <c r="AM38" s="34">
        <v>0</v>
      </c>
      <c r="AN38" s="34">
        <v>0</v>
      </c>
      <c r="AO38" s="31">
        <v>0</v>
      </c>
      <c r="AP38" s="31">
        <v>0</v>
      </c>
      <c r="AQ38" s="32">
        <v>0.9375</v>
      </c>
      <c r="AR38" s="34">
        <v>0</v>
      </c>
      <c r="AS38" s="34">
        <v>0</v>
      </c>
      <c r="AT38" s="34">
        <v>0</v>
      </c>
      <c r="AU38" s="34">
        <v>0</v>
      </c>
      <c r="AV38" s="34">
        <v>0</v>
      </c>
      <c r="AW38" s="34">
        <v>0</v>
      </c>
      <c r="AX38" s="31">
        <v>0</v>
      </c>
      <c r="AY38" s="31">
        <v>0</v>
      </c>
      <c r="AZ38" s="31">
        <v>0</v>
      </c>
      <c r="BA38" s="31">
        <v>0</v>
      </c>
      <c r="BB38" s="34">
        <v>0</v>
      </c>
      <c r="BC38" s="34">
        <v>0</v>
      </c>
      <c r="BD38" s="32" t="s">
        <v>335</v>
      </c>
      <c r="BE38" s="32" t="s">
        <v>335</v>
      </c>
      <c r="BF38" s="32" t="s">
        <v>335</v>
      </c>
    </row>
    <row r="39" spans="1:58" ht="19.5" customHeight="1">
      <c r="A39" s="35">
        <v>36</v>
      </c>
      <c r="B39" s="30" t="s">
        <v>5</v>
      </c>
      <c r="C39" s="36">
        <v>46090</v>
      </c>
      <c r="D39" s="30" t="s">
        <v>287</v>
      </c>
      <c r="E39" s="30">
        <v>4347</v>
      </c>
      <c r="F39" s="30">
        <v>3841</v>
      </c>
      <c r="G39" s="31">
        <v>0.8835978835978836</v>
      </c>
      <c r="H39" s="30">
        <v>2678</v>
      </c>
      <c r="I39" s="32">
        <v>0.61605705083965956</v>
      </c>
      <c r="J39" s="30">
        <v>5038</v>
      </c>
      <c r="K39" s="30">
        <v>4900</v>
      </c>
      <c r="L39" s="31">
        <v>0.97299999999999998</v>
      </c>
      <c r="M39" s="30">
        <v>21828</v>
      </c>
      <c r="N39" s="30">
        <v>21192</v>
      </c>
      <c r="O39" s="30">
        <v>21332</v>
      </c>
      <c r="P39" s="31">
        <v>0.97727689206523727</v>
      </c>
      <c r="Q39" s="30">
        <v>24</v>
      </c>
      <c r="R39" s="30">
        <v>0</v>
      </c>
      <c r="S39" s="30">
        <v>0</v>
      </c>
      <c r="T39" s="31">
        <v>0</v>
      </c>
      <c r="U39" s="30">
        <v>0</v>
      </c>
      <c r="V39" s="31">
        <v>0</v>
      </c>
      <c r="W39" s="30">
        <v>4573</v>
      </c>
      <c r="X39" s="31">
        <v>1.0519898780768351</v>
      </c>
      <c r="Y39" s="30">
        <v>1262</v>
      </c>
      <c r="Z39" s="33">
        <v>0.29031515988037732</v>
      </c>
      <c r="AA39" s="30">
        <v>82</v>
      </c>
      <c r="AB39" s="31">
        <v>1.8863584080975389E-2</v>
      </c>
      <c r="AC39" s="30">
        <v>529</v>
      </c>
      <c r="AD39" s="31">
        <v>0.1216931216931217</v>
      </c>
      <c r="AE39" s="30">
        <v>78</v>
      </c>
      <c r="AF39" s="31">
        <v>0.14744801512287331</v>
      </c>
      <c r="AG39" s="30">
        <v>493</v>
      </c>
      <c r="AH39" s="31">
        <v>0.93194706994328924</v>
      </c>
      <c r="AI39" s="34">
        <v>529</v>
      </c>
      <c r="AJ39" s="31">
        <v>0.1216931216931217</v>
      </c>
      <c r="AK39" s="34">
        <v>3</v>
      </c>
      <c r="AL39" s="31">
        <v>0.90170132325141772</v>
      </c>
      <c r="AM39" s="34">
        <v>522</v>
      </c>
      <c r="AN39" s="34">
        <v>477</v>
      </c>
      <c r="AO39" s="31">
        <v>0.10973084886128361</v>
      </c>
      <c r="AP39" s="31">
        <v>0.90170132325141772</v>
      </c>
      <c r="AQ39" s="32">
        <v>0.95107033639143734</v>
      </c>
      <c r="AR39" s="34">
        <v>0</v>
      </c>
      <c r="AS39" s="34">
        <v>0</v>
      </c>
      <c r="AT39" s="34">
        <v>106</v>
      </c>
      <c r="AU39" s="34">
        <v>97</v>
      </c>
      <c r="AV39" s="34">
        <v>107</v>
      </c>
      <c r="AW39" s="34">
        <v>134</v>
      </c>
      <c r="AX39" s="31">
        <v>2.231423970554405E-2</v>
      </c>
      <c r="AY39" s="31">
        <v>2.4614676788589831E-2</v>
      </c>
      <c r="AZ39" s="31">
        <v>3.0825856912813431E-2</v>
      </c>
      <c r="BA39" s="31">
        <v>0.2243186582809224</v>
      </c>
      <c r="BB39" s="34">
        <v>0</v>
      </c>
      <c r="BC39" s="34">
        <v>0</v>
      </c>
      <c r="BD39" s="32">
        <v>0.95161290322580649</v>
      </c>
      <c r="BE39" s="32">
        <v>0.96</v>
      </c>
      <c r="BF39" s="32" t="s">
        <v>335</v>
      </c>
    </row>
    <row r="40" spans="1:58" ht="19.5" customHeight="1">
      <c r="A40" s="35">
        <v>37</v>
      </c>
      <c r="B40" s="30" t="s">
        <v>5</v>
      </c>
      <c r="C40" s="36">
        <v>46091</v>
      </c>
      <c r="D40" s="30" t="s">
        <v>2</v>
      </c>
      <c r="E40" s="30">
        <v>2609</v>
      </c>
      <c r="F40" s="30">
        <v>2326</v>
      </c>
      <c r="G40" s="31">
        <v>0.8915293215791491</v>
      </c>
      <c r="H40" s="30">
        <v>792</v>
      </c>
      <c r="I40" s="32">
        <v>0.30356458413185128</v>
      </c>
      <c r="J40" s="30">
        <v>2249</v>
      </c>
      <c r="K40" s="30">
        <v>2141</v>
      </c>
      <c r="L40" s="31">
        <v>0.95199999999999996</v>
      </c>
      <c r="M40" s="30">
        <v>9665</v>
      </c>
      <c r="N40" s="30">
        <v>9651</v>
      </c>
      <c r="O40" s="30">
        <v>9428</v>
      </c>
      <c r="P40" s="31">
        <v>0.9754785307811692</v>
      </c>
      <c r="Q40" s="30">
        <v>21</v>
      </c>
      <c r="R40" s="30">
        <v>0</v>
      </c>
      <c r="S40" s="30">
        <v>0</v>
      </c>
      <c r="T40" s="31">
        <v>0</v>
      </c>
      <c r="U40" s="30">
        <v>0</v>
      </c>
      <c r="V40" s="31">
        <v>0</v>
      </c>
      <c r="W40" s="30">
        <v>2843</v>
      </c>
      <c r="X40" s="31">
        <v>1.0896895362207739</v>
      </c>
      <c r="Y40" s="30">
        <v>327</v>
      </c>
      <c r="Z40" s="33">
        <v>0.12533537753928711</v>
      </c>
      <c r="AA40" s="30">
        <v>28</v>
      </c>
      <c r="AB40" s="31">
        <v>1.073208125718666E-2</v>
      </c>
      <c r="AC40" s="30">
        <v>284</v>
      </c>
      <c r="AD40" s="31">
        <v>0.10885396703717901</v>
      </c>
      <c r="AE40" s="30">
        <v>61</v>
      </c>
      <c r="AF40" s="31">
        <v>0.21478873239436619</v>
      </c>
      <c r="AG40" s="30">
        <v>261</v>
      </c>
      <c r="AH40" s="31">
        <v>0.91901408450704225</v>
      </c>
      <c r="AI40" s="34">
        <v>284</v>
      </c>
      <c r="AJ40" s="31">
        <v>0.10885396703717901</v>
      </c>
      <c r="AK40" s="34">
        <v>1</v>
      </c>
      <c r="AL40" s="31">
        <v>0.8380281690140845</v>
      </c>
      <c r="AM40" s="34">
        <v>281</v>
      </c>
      <c r="AN40" s="34">
        <v>238</v>
      </c>
      <c r="AO40" s="31">
        <v>9.1222690686086627E-2</v>
      </c>
      <c r="AP40" s="31">
        <v>0.8380281690140845</v>
      </c>
      <c r="AQ40" s="32">
        <v>0.96715328467153283</v>
      </c>
      <c r="AR40" s="34">
        <v>0</v>
      </c>
      <c r="AS40" s="34">
        <v>0</v>
      </c>
      <c r="AT40" s="34">
        <v>71</v>
      </c>
      <c r="AU40" s="34">
        <v>64</v>
      </c>
      <c r="AV40" s="34">
        <v>67</v>
      </c>
      <c r="AW40" s="34">
        <v>62</v>
      </c>
      <c r="AX40" s="31">
        <v>2.4530471444998089E-2</v>
      </c>
      <c r="AY40" s="31">
        <v>2.5680337293982371E-2</v>
      </c>
      <c r="AZ40" s="31">
        <v>2.3763894212341891E-2</v>
      </c>
      <c r="BA40" s="31">
        <v>0.28151260504201681</v>
      </c>
      <c r="BB40" s="34">
        <v>0</v>
      </c>
      <c r="BC40" s="34">
        <v>0</v>
      </c>
      <c r="BD40" s="32">
        <v>1</v>
      </c>
      <c r="BE40" s="32">
        <v>1</v>
      </c>
      <c r="BF40" s="32" t="s">
        <v>335</v>
      </c>
    </row>
    <row r="41" spans="1:58" ht="19.5" customHeight="1">
      <c r="A41" s="35">
        <v>38</v>
      </c>
      <c r="B41" s="30" t="s">
        <v>5</v>
      </c>
      <c r="C41" s="36">
        <v>46091</v>
      </c>
      <c r="D41" s="30" t="s">
        <v>285</v>
      </c>
      <c r="E41" s="30">
        <v>1775</v>
      </c>
      <c r="F41" s="30">
        <v>1584</v>
      </c>
      <c r="G41" s="31">
        <v>0.89239436619718315</v>
      </c>
      <c r="H41" s="30">
        <v>753</v>
      </c>
      <c r="I41" s="32">
        <v>0.42422535211267598</v>
      </c>
      <c r="J41" s="30">
        <v>1643</v>
      </c>
      <c r="K41" s="30">
        <v>1568</v>
      </c>
      <c r="L41" s="31">
        <v>0.95399999999999996</v>
      </c>
      <c r="M41" s="30">
        <v>7519</v>
      </c>
      <c r="N41" s="30">
        <v>7562</v>
      </c>
      <c r="O41" s="30">
        <v>7342</v>
      </c>
      <c r="P41" s="31">
        <v>0.97645963558983906</v>
      </c>
      <c r="Q41" s="30">
        <v>17</v>
      </c>
      <c r="R41" s="30">
        <v>0</v>
      </c>
      <c r="S41" s="30">
        <v>0</v>
      </c>
      <c r="T41" s="31">
        <v>0</v>
      </c>
      <c r="U41" s="30">
        <v>0</v>
      </c>
      <c r="V41" s="31">
        <v>0</v>
      </c>
      <c r="W41" s="30">
        <v>2696</v>
      </c>
      <c r="X41" s="31">
        <v>1.51887323943662</v>
      </c>
      <c r="Y41" s="30">
        <v>364</v>
      </c>
      <c r="Z41" s="33">
        <v>0.20507042253521129</v>
      </c>
      <c r="AA41" s="30">
        <v>17</v>
      </c>
      <c r="AB41" s="31">
        <v>9.5774647887323944E-3</v>
      </c>
      <c r="AC41" s="30">
        <v>296</v>
      </c>
      <c r="AD41" s="31">
        <v>0.1667605633802817</v>
      </c>
      <c r="AE41" s="30">
        <v>33</v>
      </c>
      <c r="AF41" s="31">
        <v>0.1114864864864865</v>
      </c>
      <c r="AG41" s="30">
        <v>275</v>
      </c>
      <c r="AH41" s="31">
        <v>0.92905405405405406</v>
      </c>
      <c r="AI41" s="34">
        <v>276</v>
      </c>
      <c r="AJ41" s="31">
        <v>0.15549295774647889</v>
      </c>
      <c r="AK41" s="34">
        <v>3</v>
      </c>
      <c r="AL41" s="31">
        <v>0.85869565217391308</v>
      </c>
      <c r="AM41" s="34">
        <v>276</v>
      </c>
      <c r="AN41" s="34">
        <v>237</v>
      </c>
      <c r="AO41" s="31">
        <v>0.13352112676056341</v>
      </c>
      <c r="AP41" s="31">
        <v>0.80067567567567566</v>
      </c>
      <c r="AQ41" s="32">
        <v>0.98672566371681414</v>
      </c>
      <c r="AR41" s="34">
        <v>0</v>
      </c>
      <c r="AS41" s="34">
        <v>0</v>
      </c>
      <c r="AT41" s="34">
        <v>55</v>
      </c>
      <c r="AU41" s="34">
        <v>50</v>
      </c>
      <c r="AV41" s="34">
        <v>45</v>
      </c>
      <c r="AW41" s="34">
        <v>26</v>
      </c>
      <c r="AX41" s="31">
        <v>2.8169014084507039E-2</v>
      </c>
      <c r="AY41" s="31">
        <v>2.5352112676056339E-2</v>
      </c>
      <c r="AZ41" s="31">
        <v>1.464788732394366E-2</v>
      </c>
      <c r="BA41" s="31">
        <v>0.189873417721519</v>
      </c>
      <c r="BB41" s="34">
        <v>0</v>
      </c>
      <c r="BC41" s="34">
        <v>0</v>
      </c>
      <c r="BD41" s="32">
        <v>0.97142857142857142</v>
      </c>
      <c r="BE41" s="32">
        <v>1</v>
      </c>
      <c r="BF41" s="32" t="s">
        <v>335</v>
      </c>
    </row>
    <row r="42" spans="1:58" ht="19.5" customHeight="1">
      <c r="A42" s="35">
        <v>39</v>
      </c>
      <c r="B42" s="30" t="s">
        <v>5</v>
      </c>
      <c r="C42" s="36">
        <v>46091</v>
      </c>
      <c r="D42" s="30" t="s">
        <v>25</v>
      </c>
      <c r="E42" s="30">
        <v>56</v>
      </c>
      <c r="F42" s="30">
        <v>55</v>
      </c>
      <c r="G42" s="31">
        <v>0.9821428571428571</v>
      </c>
      <c r="H42" s="30">
        <v>30</v>
      </c>
      <c r="I42" s="32">
        <v>0.5357142857142857</v>
      </c>
      <c r="J42" s="30">
        <v>33</v>
      </c>
      <c r="K42" s="30">
        <v>32</v>
      </c>
      <c r="L42" s="31">
        <v>0.97</v>
      </c>
      <c r="M42" s="30">
        <v>167</v>
      </c>
      <c r="N42" s="30">
        <v>159</v>
      </c>
      <c r="O42" s="30">
        <v>165</v>
      </c>
      <c r="P42" s="31">
        <v>0.9880239520958084</v>
      </c>
      <c r="Q42" s="30">
        <v>0</v>
      </c>
      <c r="R42" s="30">
        <v>0</v>
      </c>
      <c r="S42" s="30">
        <v>0</v>
      </c>
      <c r="T42" s="31">
        <v>0</v>
      </c>
      <c r="U42" s="30">
        <v>0</v>
      </c>
      <c r="V42" s="31">
        <v>0</v>
      </c>
      <c r="W42" s="30">
        <v>1</v>
      </c>
      <c r="X42" s="31">
        <v>1.785714285714286E-2</v>
      </c>
      <c r="Y42" s="30">
        <v>0</v>
      </c>
      <c r="Z42" s="33">
        <v>0</v>
      </c>
      <c r="AA42" s="30">
        <v>0</v>
      </c>
      <c r="AB42" s="31">
        <v>0</v>
      </c>
      <c r="AC42" s="30">
        <v>16</v>
      </c>
      <c r="AD42" s="31">
        <v>0.2857142857142857</v>
      </c>
      <c r="AE42" s="30">
        <v>8</v>
      </c>
      <c r="AF42" s="31">
        <v>0.5</v>
      </c>
      <c r="AG42" s="30">
        <v>15</v>
      </c>
      <c r="AH42" s="31">
        <v>0.9375</v>
      </c>
      <c r="AI42" s="34">
        <v>1</v>
      </c>
      <c r="AJ42" s="31">
        <v>1.785714285714286E-2</v>
      </c>
      <c r="AK42" s="34">
        <v>0</v>
      </c>
      <c r="AL42" s="31">
        <v>0</v>
      </c>
      <c r="AM42" s="34">
        <v>0</v>
      </c>
      <c r="AN42" s="34">
        <v>0</v>
      </c>
      <c r="AO42" s="31">
        <v>0</v>
      </c>
      <c r="AP42" s="31">
        <v>0</v>
      </c>
      <c r="AQ42" s="32">
        <v>1</v>
      </c>
      <c r="AR42" s="34">
        <v>0</v>
      </c>
      <c r="AS42" s="34">
        <v>0</v>
      </c>
      <c r="AT42" s="34">
        <v>0</v>
      </c>
      <c r="AU42" s="34">
        <v>0</v>
      </c>
      <c r="AV42" s="34">
        <v>0</v>
      </c>
      <c r="AW42" s="34">
        <v>0</v>
      </c>
      <c r="AX42" s="31">
        <v>0</v>
      </c>
      <c r="AY42" s="31">
        <v>0</v>
      </c>
      <c r="AZ42" s="31">
        <v>0</v>
      </c>
      <c r="BA42" s="31">
        <v>0</v>
      </c>
      <c r="BB42" s="34">
        <v>0</v>
      </c>
      <c r="BC42" s="34">
        <v>0</v>
      </c>
      <c r="BD42" s="32" t="s">
        <v>335</v>
      </c>
      <c r="BE42" s="32" t="s">
        <v>335</v>
      </c>
      <c r="BF42" s="32" t="s">
        <v>335</v>
      </c>
    </row>
    <row r="43" spans="1:58" ht="19.5" customHeight="1">
      <c r="A43" s="35">
        <v>40</v>
      </c>
      <c r="B43" s="30" t="s">
        <v>5</v>
      </c>
      <c r="C43" s="36">
        <v>46091</v>
      </c>
      <c r="D43" s="30" t="s">
        <v>287</v>
      </c>
      <c r="E43" s="30">
        <v>4675</v>
      </c>
      <c r="F43" s="30">
        <v>4070</v>
      </c>
      <c r="G43" s="31">
        <v>0.87058823529411766</v>
      </c>
      <c r="H43" s="30">
        <v>2926</v>
      </c>
      <c r="I43" s="32">
        <v>0.62588235294117645</v>
      </c>
      <c r="J43" s="30">
        <v>4902</v>
      </c>
      <c r="K43" s="30">
        <v>4782</v>
      </c>
      <c r="L43" s="31">
        <v>0.97599999999999998</v>
      </c>
      <c r="M43" s="30">
        <v>21178</v>
      </c>
      <c r="N43" s="30">
        <v>20829</v>
      </c>
      <c r="O43" s="30">
        <v>20769</v>
      </c>
      <c r="P43" s="31">
        <v>0.98068750590235154</v>
      </c>
      <c r="Q43" s="30">
        <v>26</v>
      </c>
      <c r="R43" s="30">
        <v>0</v>
      </c>
      <c r="S43" s="30">
        <v>0</v>
      </c>
      <c r="T43" s="31">
        <v>0</v>
      </c>
      <c r="U43" s="30">
        <v>0</v>
      </c>
      <c r="V43" s="31">
        <v>0</v>
      </c>
      <c r="W43" s="30">
        <v>3374</v>
      </c>
      <c r="X43" s="31">
        <v>0.72171122994652404</v>
      </c>
      <c r="Y43" s="30">
        <v>551</v>
      </c>
      <c r="Z43" s="33">
        <v>0.1178609625668449</v>
      </c>
      <c r="AA43" s="30">
        <v>95</v>
      </c>
      <c r="AB43" s="31">
        <v>2.0320855614973259E-2</v>
      </c>
      <c r="AC43" s="30">
        <v>523</v>
      </c>
      <c r="AD43" s="31">
        <v>0.1118716577540107</v>
      </c>
      <c r="AE43" s="30">
        <v>75</v>
      </c>
      <c r="AF43" s="31">
        <v>0.14340344168260041</v>
      </c>
      <c r="AG43" s="30">
        <v>477</v>
      </c>
      <c r="AH43" s="31">
        <v>0.91204588910133844</v>
      </c>
      <c r="AI43" s="34">
        <v>525</v>
      </c>
      <c r="AJ43" s="31">
        <v>0.1122994652406417</v>
      </c>
      <c r="AK43" s="34">
        <v>1</v>
      </c>
      <c r="AL43" s="31">
        <v>0.92761904761904757</v>
      </c>
      <c r="AM43" s="34">
        <v>516</v>
      </c>
      <c r="AN43" s="34">
        <v>487</v>
      </c>
      <c r="AO43" s="31">
        <v>0.10417112299465239</v>
      </c>
      <c r="AP43" s="31">
        <v>0.93116634799235176</v>
      </c>
      <c r="AQ43" s="32">
        <v>0.97894736842105268</v>
      </c>
      <c r="AR43" s="34">
        <v>0</v>
      </c>
      <c r="AS43" s="34">
        <v>0</v>
      </c>
      <c r="AT43" s="34">
        <v>104</v>
      </c>
      <c r="AU43" s="34">
        <v>98</v>
      </c>
      <c r="AV43" s="34">
        <v>93</v>
      </c>
      <c r="AW43" s="34">
        <v>144</v>
      </c>
      <c r="AX43" s="31">
        <v>2.0962566844919789E-2</v>
      </c>
      <c r="AY43" s="31">
        <v>1.989304812834225E-2</v>
      </c>
      <c r="AZ43" s="31">
        <v>3.080213903743316E-2</v>
      </c>
      <c r="BA43" s="31">
        <v>0.19096509240246409</v>
      </c>
      <c r="BB43" s="34">
        <v>0</v>
      </c>
      <c r="BC43" s="34">
        <v>0</v>
      </c>
      <c r="BD43" s="32">
        <v>0.9838709677419355</v>
      </c>
      <c r="BE43" s="32">
        <v>1</v>
      </c>
      <c r="BF43" s="32" t="s">
        <v>335</v>
      </c>
    </row>
    <row r="44" spans="1:58" ht="19.5" customHeight="1">
      <c r="A44" s="35">
        <v>41</v>
      </c>
      <c r="B44" s="30" t="s">
        <v>5</v>
      </c>
      <c r="C44" s="36">
        <v>46092</v>
      </c>
      <c r="D44" s="30" t="s">
        <v>2</v>
      </c>
      <c r="E44" s="30">
        <v>3616</v>
      </c>
      <c r="F44" s="30">
        <v>3065</v>
      </c>
      <c r="G44" s="31">
        <v>0.8476216814159292</v>
      </c>
      <c r="H44" s="30">
        <v>1911</v>
      </c>
      <c r="I44" s="32">
        <v>0.52848451327433632</v>
      </c>
      <c r="J44" s="30">
        <v>3329</v>
      </c>
      <c r="K44" s="30">
        <v>3228</v>
      </c>
      <c r="L44" s="31">
        <v>0.97</v>
      </c>
      <c r="M44" s="30">
        <v>11598</v>
      </c>
      <c r="N44" s="30">
        <v>11580</v>
      </c>
      <c r="O44" s="30">
        <v>11373</v>
      </c>
      <c r="P44" s="31">
        <v>0.98060010346611481</v>
      </c>
      <c r="Q44" s="30">
        <v>25</v>
      </c>
      <c r="R44" s="30">
        <v>0</v>
      </c>
      <c r="S44" s="30">
        <v>0</v>
      </c>
      <c r="T44" s="31">
        <v>0</v>
      </c>
      <c r="U44" s="30">
        <v>0</v>
      </c>
      <c r="V44" s="31">
        <v>0</v>
      </c>
      <c r="W44" s="30">
        <v>2816</v>
      </c>
      <c r="X44" s="31">
        <v>0.77876106194690264</v>
      </c>
      <c r="Y44" s="30">
        <v>452</v>
      </c>
      <c r="Z44" s="33">
        <v>0.125</v>
      </c>
      <c r="AA44" s="30">
        <v>34</v>
      </c>
      <c r="AB44" s="31">
        <v>9.4026548672566379E-3</v>
      </c>
      <c r="AC44" s="30">
        <v>251</v>
      </c>
      <c r="AD44" s="31">
        <v>6.9413716814159296E-2</v>
      </c>
      <c r="AE44" s="30">
        <v>55</v>
      </c>
      <c r="AF44" s="31">
        <v>0.21912350597609559</v>
      </c>
      <c r="AG44" s="30">
        <v>236</v>
      </c>
      <c r="AH44" s="31">
        <v>0.94023904382470125</v>
      </c>
      <c r="AI44" s="34">
        <v>271</v>
      </c>
      <c r="AJ44" s="31">
        <v>7.4944690265486724E-2</v>
      </c>
      <c r="AK44" s="34">
        <v>0</v>
      </c>
      <c r="AL44" s="31">
        <v>0.8487084870848709</v>
      </c>
      <c r="AM44" s="34">
        <v>267</v>
      </c>
      <c r="AN44" s="34">
        <v>230</v>
      </c>
      <c r="AO44" s="31">
        <v>6.3606194690265488E-2</v>
      </c>
      <c r="AP44" s="31">
        <v>0.91633466135458164</v>
      </c>
      <c r="AQ44" s="32">
        <v>0.97727272727272729</v>
      </c>
      <c r="AR44" s="34">
        <v>0</v>
      </c>
      <c r="AS44" s="34">
        <v>0</v>
      </c>
      <c r="AT44" s="34">
        <v>77</v>
      </c>
      <c r="AU44" s="34">
        <v>73</v>
      </c>
      <c r="AV44" s="34">
        <v>71</v>
      </c>
      <c r="AW44" s="34">
        <v>57</v>
      </c>
      <c r="AX44" s="31">
        <v>2.0188053097345129E-2</v>
      </c>
      <c r="AY44" s="31">
        <v>1.9634955752212389E-2</v>
      </c>
      <c r="AZ44" s="31">
        <v>1.576327433628319E-2</v>
      </c>
      <c r="BA44" s="31">
        <v>0.30869565217391298</v>
      </c>
      <c r="BB44" s="34">
        <v>0</v>
      </c>
      <c r="BC44" s="34">
        <v>0</v>
      </c>
      <c r="BD44" s="32">
        <v>1</v>
      </c>
      <c r="BE44" s="32">
        <v>1</v>
      </c>
      <c r="BF44" s="32" t="s">
        <v>335</v>
      </c>
    </row>
    <row r="45" spans="1:58" ht="19.5" customHeight="1">
      <c r="A45" s="35">
        <v>42</v>
      </c>
      <c r="B45" s="30" t="s">
        <v>5</v>
      </c>
      <c r="C45" s="36">
        <v>46092</v>
      </c>
      <c r="D45" s="30" t="s">
        <v>285</v>
      </c>
      <c r="E45" s="30">
        <v>2056</v>
      </c>
      <c r="F45" s="30">
        <v>1712</v>
      </c>
      <c r="G45" s="31">
        <v>0.83268482490272377</v>
      </c>
      <c r="H45" s="30">
        <v>798</v>
      </c>
      <c r="I45" s="32">
        <v>0.38813229571984442</v>
      </c>
      <c r="J45" s="30">
        <v>1570</v>
      </c>
      <c r="K45" s="30">
        <v>1500</v>
      </c>
      <c r="L45" s="31">
        <v>0.95499999999999996</v>
      </c>
      <c r="M45" s="30">
        <v>8138</v>
      </c>
      <c r="N45" s="30">
        <v>8023</v>
      </c>
      <c r="O45" s="30">
        <v>7949</v>
      </c>
      <c r="P45" s="31">
        <v>0.97677562054558864</v>
      </c>
      <c r="Q45" s="30">
        <v>21</v>
      </c>
      <c r="R45" s="30">
        <v>0</v>
      </c>
      <c r="S45" s="30">
        <v>0</v>
      </c>
      <c r="T45" s="31">
        <v>0</v>
      </c>
      <c r="U45" s="30">
        <v>0</v>
      </c>
      <c r="V45" s="31">
        <v>0</v>
      </c>
      <c r="W45" s="30">
        <v>2931</v>
      </c>
      <c r="X45" s="31">
        <v>1.4255836575875489</v>
      </c>
      <c r="Y45" s="30">
        <v>1834</v>
      </c>
      <c r="Z45" s="33">
        <v>0.892023346303502</v>
      </c>
      <c r="AA45" s="30">
        <v>20</v>
      </c>
      <c r="AB45" s="31">
        <v>9.727626459143969E-3</v>
      </c>
      <c r="AC45" s="30">
        <v>281</v>
      </c>
      <c r="AD45" s="31">
        <v>0.13667315175097269</v>
      </c>
      <c r="AE45" s="30">
        <v>35</v>
      </c>
      <c r="AF45" s="31">
        <v>0.1245551601423488</v>
      </c>
      <c r="AG45" s="30">
        <v>268</v>
      </c>
      <c r="AH45" s="31">
        <v>0.9537366548042705</v>
      </c>
      <c r="AI45" s="34">
        <v>280</v>
      </c>
      <c r="AJ45" s="31">
        <v>0.13618677042801561</v>
      </c>
      <c r="AK45" s="34">
        <v>2</v>
      </c>
      <c r="AL45" s="31">
        <v>0.8928571428571429</v>
      </c>
      <c r="AM45" s="34">
        <v>278</v>
      </c>
      <c r="AN45" s="34">
        <v>250</v>
      </c>
      <c r="AO45" s="31">
        <v>0.1215953307392996</v>
      </c>
      <c r="AP45" s="31">
        <v>0.88967971530249113</v>
      </c>
      <c r="AQ45" s="32">
        <v>0.97744360902255634</v>
      </c>
      <c r="AR45" s="34">
        <v>0</v>
      </c>
      <c r="AS45" s="34">
        <v>0</v>
      </c>
      <c r="AT45" s="34">
        <v>50</v>
      </c>
      <c r="AU45" s="34">
        <v>41</v>
      </c>
      <c r="AV45" s="34">
        <v>39</v>
      </c>
      <c r="AW45" s="34">
        <v>48</v>
      </c>
      <c r="AX45" s="31">
        <v>1.9941634241245131E-2</v>
      </c>
      <c r="AY45" s="31">
        <v>1.8968871595330741E-2</v>
      </c>
      <c r="AZ45" s="31">
        <v>2.3346303501945529E-2</v>
      </c>
      <c r="BA45" s="31">
        <v>0.156</v>
      </c>
      <c r="BB45" s="34">
        <v>0</v>
      </c>
      <c r="BC45" s="34">
        <v>0</v>
      </c>
      <c r="BD45" s="32">
        <v>1</v>
      </c>
      <c r="BE45" s="32">
        <v>1</v>
      </c>
      <c r="BF45" s="32" t="s">
        <v>335</v>
      </c>
    </row>
    <row r="46" spans="1:58" ht="19.5" customHeight="1">
      <c r="A46" s="35">
        <v>43</v>
      </c>
      <c r="B46" s="30" t="s">
        <v>5</v>
      </c>
      <c r="C46" s="36">
        <v>46092</v>
      </c>
      <c r="D46" s="30" t="s">
        <v>25</v>
      </c>
      <c r="E46" s="30">
        <v>49</v>
      </c>
      <c r="F46" s="30">
        <v>49</v>
      </c>
      <c r="G46" s="31">
        <v>1</v>
      </c>
      <c r="H46" s="30">
        <v>27</v>
      </c>
      <c r="I46" s="32">
        <v>0.55102040816326525</v>
      </c>
      <c r="J46" s="30">
        <v>59</v>
      </c>
      <c r="K46" s="30">
        <v>57</v>
      </c>
      <c r="L46" s="31">
        <v>0.96599999999999997</v>
      </c>
      <c r="M46" s="30">
        <v>232</v>
      </c>
      <c r="N46" s="30">
        <v>213</v>
      </c>
      <c r="O46" s="30">
        <v>229</v>
      </c>
      <c r="P46" s="31">
        <v>0.98706896551724133</v>
      </c>
      <c r="Q46" s="30">
        <v>0</v>
      </c>
      <c r="R46" s="30">
        <v>0</v>
      </c>
      <c r="S46" s="30">
        <v>0</v>
      </c>
      <c r="T46" s="31">
        <v>0</v>
      </c>
      <c r="U46" s="30">
        <v>0</v>
      </c>
      <c r="V46" s="31">
        <v>0</v>
      </c>
      <c r="W46" s="30">
        <v>0</v>
      </c>
      <c r="X46" s="31">
        <v>0</v>
      </c>
      <c r="Y46" s="30">
        <v>0</v>
      </c>
      <c r="Z46" s="33">
        <v>0</v>
      </c>
      <c r="AA46" s="30">
        <v>0</v>
      </c>
      <c r="AB46" s="31">
        <v>0</v>
      </c>
      <c r="AC46" s="30">
        <v>10</v>
      </c>
      <c r="AD46" s="31">
        <v>0.2040816326530612</v>
      </c>
      <c r="AE46" s="30">
        <v>11</v>
      </c>
      <c r="AF46" s="31">
        <v>1.1000000000000001</v>
      </c>
      <c r="AG46" s="30">
        <v>10</v>
      </c>
      <c r="AH46" s="31">
        <v>1</v>
      </c>
      <c r="AI46" s="34">
        <v>0</v>
      </c>
      <c r="AJ46" s="31">
        <v>0</v>
      </c>
      <c r="AK46" s="34">
        <v>0</v>
      </c>
      <c r="AL46" s="31">
        <v>0</v>
      </c>
      <c r="AM46" s="34">
        <v>0</v>
      </c>
      <c r="AN46" s="34">
        <v>0</v>
      </c>
      <c r="AO46" s="31">
        <v>0</v>
      </c>
      <c r="AP46" s="31">
        <v>0</v>
      </c>
      <c r="AQ46" s="32">
        <v>1</v>
      </c>
      <c r="AR46" s="34">
        <v>0</v>
      </c>
      <c r="AS46" s="34">
        <v>0</v>
      </c>
      <c r="AT46" s="34">
        <v>0</v>
      </c>
      <c r="AU46" s="34">
        <v>0</v>
      </c>
      <c r="AV46" s="34">
        <v>0</v>
      </c>
      <c r="AW46" s="34">
        <v>0</v>
      </c>
      <c r="AX46" s="31">
        <v>0</v>
      </c>
      <c r="AY46" s="31">
        <v>0</v>
      </c>
      <c r="AZ46" s="31">
        <v>0</v>
      </c>
      <c r="BA46" s="31">
        <v>0</v>
      </c>
      <c r="BB46" s="34">
        <v>0</v>
      </c>
      <c r="BC46" s="34">
        <v>0</v>
      </c>
      <c r="BD46" s="32" t="s">
        <v>335</v>
      </c>
      <c r="BE46" s="32" t="s">
        <v>335</v>
      </c>
      <c r="BF46" s="32" t="s">
        <v>335</v>
      </c>
    </row>
    <row r="47" spans="1:58" ht="19.5" customHeight="1">
      <c r="A47" s="35">
        <v>44</v>
      </c>
      <c r="B47" s="30" t="s">
        <v>5</v>
      </c>
      <c r="C47" s="36">
        <v>46092</v>
      </c>
      <c r="D47" s="30" t="s">
        <v>287</v>
      </c>
      <c r="E47" s="30">
        <v>3744</v>
      </c>
      <c r="F47" s="30">
        <v>3309</v>
      </c>
      <c r="G47" s="31">
        <v>0.88381410256410253</v>
      </c>
      <c r="H47" s="30">
        <v>1892</v>
      </c>
      <c r="I47" s="32">
        <v>0.50534188034188032</v>
      </c>
      <c r="J47" s="30">
        <v>4352</v>
      </c>
      <c r="K47" s="30">
        <v>4243</v>
      </c>
      <c r="L47" s="31">
        <v>0.97499999999999998</v>
      </c>
      <c r="M47" s="30">
        <v>21195</v>
      </c>
      <c r="N47" s="30">
        <v>21102</v>
      </c>
      <c r="O47" s="30">
        <v>20865</v>
      </c>
      <c r="P47" s="31">
        <v>0.98443029016277428</v>
      </c>
      <c r="Q47" s="30">
        <v>35</v>
      </c>
      <c r="R47" s="30">
        <v>0</v>
      </c>
      <c r="S47" s="30">
        <v>0</v>
      </c>
      <c r="T47" s="31">
        <v>0</v>
      </c>
      <c r="U47" s="30">
        <v>0</v>
      </c>
      <c r="V47" s="31">
        <v>0</v>
      </c>
      <c r="W47" s="30">
        <v>3190</v>
      </c>
      <c r="X47" s="31">
        <v>0.8520299145299145</v>
      </c>
      <c r="Y47" s="30">
        <v>666</v>
      </c>
      <c r="Z47" s="33">
        <v>0.17788461538461539</v>
      </c>
      <c r="AA47" s="30">
        <v>96</v>
      </c>
      <c r="AB47" s="31">
        <v>2.564102564102564E-2</v>
      </c>
      <c r="AC47" s="30">
        <v>484</v>
      </c>
      <c r="AD47" s="31">
        <v>0.12927350427350431</v>
      </c>
      <c r="AE47" s="30">
        <v>85</v>
      </c>
      <c r="AF47" s="31">
        <v>0.1756198347107438</v>
      </c>
      <c r="AG47" s="30">
        <v>448</v>
      </c>
      <c r="AH47" s="31">
        <v>0.92561983471074383</v>
      </c>
      <c r="AI47" s="34">
        <v>494</v>
      </c>
      <c r="AJ47" s="31">
        <v>0.13194444444444439</v>
      </c>
      <c r="AK47" s="34">
        <v>4</v>
      </c>
      <c r="AL47" s="31">
        <v>0.93117408906882593</v>
      </c>
      <c r="AM47" s="34">
        <v>491</v>
      </c>
      <c r="AN47" s="34">
        <v>460</v>
      </c>
      <c r="AO47" s="31">
        <v>0.1228632478632479</v>
      </c>
      <c r="AP47" s="31">
        <v>0.95041322314049592</v>
      </c>
      <c r="AQ47" s="32">
        <v>0.96907216494845361</v>
      </c>
      <c r="AR47" s="34">
        <v>0</v>
      </c>
      <c r="AS47" s="34">
        <v>0</v>
      </c>
      <c r="AT47" s="34">
        <v>79</v>
      </c>
      <c r="AU47" s="34">
        <v>69</v>
      </c>
      <c r="AV47" s="34">
        <v>76</v>
      </c>
      <c r="AW47" s="34">
        <v>108</v>
      </c>
      <c r="AX47" s="31">
        <v>1.842948717948718E-2</v>
      </c>
      <c r="AY47" s="31">
        <v>2.02991452991453E-2</v>
      </c>
      <c r="AZ47" s="31">
        <v>2.8846153846153851E-2</v>
      </c>
      <c r="BA47" s="31">
        <v>0.16521739130434779</v>
      </c>
      <c r="BB47" s="34">
        <v>0</v>
      </c>
      <c r="BC47" s="34">
        <v>0</v>
      </c>
      <c r="BD47" s="32">
        <v>0.98181818181818181</v>
      </c>
      <c r="BE47" s="32">
        <v>1</v>
      </c>
      <c r="BF47" s="32" t="s">
        <v>335</v>
      </c>
    </row>
    <row r="48" spans="1:58" ht="19.5" customHeight="1">
      <c r="A48" s="35">
        <v>45</v>
      </c>
      <c r="B48" s="30" t="s">
        <v>5</v>
      </c>
      <c r="C48" s="36">
        <v>46093</v>
      </c>
      <c r="D48" s="30" t="s">
        <v>2</v>
      </c>
      <c r="E48" s="30">
        <v>3448</v>
      </c>
      <c r="F48" s="30">
        <v>2981</v>
      </c>
      <c r="G48" s="31">
        <v>0.86455916473317862</v>
      </c>
      <c r="H48" s="30">
        <v>1612</v>
      </c>
      <c r="I48" s="32">
        <v>0.46751740139211129</v>
      </c>
      <c r="J48" s="30">
        <v>3670</v>
      </c>
      <c r="K48" s="30">
        <v>3510</v>
      </c>
      <c r="L48" s="31">
        <v>0.95599999999999996</v>
      </c>
      <c r="M48" s="30">
        <v>12159</v>
      </c>
      <c r="N48" s="30">
        <v>12129</v>
      </c>
      <c r="O48" s="30">
        <v>11857</v>
      </c>
      <c r="P48" s="31">
        <v>0.97516243112098033</v>
      </c>
      <c r="Q48" s="30">
        <v>28</v>
      </c>
      <c r="R48" s="30">
        <v>0</v>
      </c>
      <c r="S48" s="30">
        <v>0</v>
      </c>
      <c r="T48" s="31">
        <v>0</v>
      </c>
      <c r="U48" s="30">
        <v>0</v>
      </c>
      <c r="V48" s="31">
        <v>0</v>
      </c>
      <c r="W48" s="30">
        <v>2829</v>
      </c>
      <c r="X48" s="31">
        <v>0.82047563805104406</v>
      </c>
      <c r="Y48" s="30">
        <v>681</v>
      </c>
      <c r="Z48" s="33">
        <v>0.1975058004640371</v>
      </c>
      <c r="AA48" s="30">
        <v>38</v>
      </c>
      <c r="AB48" s="31">
        <v>1.102088167053364E-2</v>
      </c>
      <c r="AC48" s="30">
        <v>269</v>
      </c>
      <c r="AD48" s="31">
        <v>7.8016241299303943E-2</v>
      </c>
      <c r="AE48" s="30">
        <v>36</v>
      </c>
      <c r="AF48" s="31">
        <v>0.1338289962825279</v>
      </c>
      <c r="AG48" s="30">
        <v>252</v>
      </c>
      <c r="AH48" s="31">
        <v>0.93680297397769519</v>
      </c>
      <c r="AI48" s="34">
        <v>254</v>
      </c>
      <c r="AJ48" s="31">
        <v>7.366589327146171E-2</v>
      </c>
      <c r="AK48" s="34">
        <v>7</v>
      </c>
      <c r="AL48" s="31">
        <v>0.82283464566929132</v>
      </c>
      <c r="AM48" s="34">
        <v>253</v>
      </c>
      <c r="AN48" s="34">
        <v>209</v>
      </c>
      <c r="AO48" s="31">
        <v>6.0614849187935027E-2</v>
      </c>
      <c r="AP48" s="31">
        <v>0.77695167286245348</v>
      </c>
      <c r="AQ48" s="32">
        <v>0.97435897435897434</v>
      </c>
      <c r="AR48" s="34">
        <v>0</v>
      </c>
      <c r="AS48" s="34">
        <v>0</v>
      </c>
      <c r="AT48" s="34">
        <v>57</v>
      </c>
      <c r="AU48" s="34">
        <v>54</v>
      </c>
      <c r="AV48" s="34">
        <v>52</v>
      </c>
      <c r="AW48" s="34">
        <v>68</v>
      </c>
      <c r="AX48" s="31">
        <v>1.5661252900232021E-2</v>
      </c>
      <c r="AY48" s="31">
        <v>1.5081206496519719E-2</v>
      </c>
      <c r="AZ48" s="31">
        <v>1.97215777262181E-2</v>
      </c>
      <c r="BA48" s="31">
        <v>0.24880382775119619</v>
      </c>
      <c r="BB48" s="34">
        <v>0</v>
      </c>
      <c r="BC48" s="34">
        <v>1</v>
      </c>
      <c r="BD48" s="32">
        <v>0.92307692307692313</v>
      </c>
      <c r="BE48" s="32">
        <v>1</v>
      </c>
      <c r="BF48" s="32" t="s">
        <v>335</v>
      </c>
    </row>
    <row r="49" spans="1:58" ht="19.5" customHeight="1">
      <c r="A49" s="35">
        <v>46</v>
      </c>
      <c r="B49" s="30" t="s">
        <v>5</v>
      </c>
      <c r="C49" s="36">
        <v>46093</v>
      </c>
      <c r="D49" s="30" t="s">
        <v>285</v>
      </c>
      <c r="E49" s="30">
        <v>2935</v>
      </c>
      <c r="F49" s="30">
        <v>2530</v>
      </c>
      <c r="G49" s="31">
        <v>0.86201022146507666</v>
      </c>
      <c r="H49" s="30">
        <v>1460</v>
      </c>
      <c r="I49" s="32">
        <v>0.49744463373083481</v>
      </c>
      <c r="J49" s="30">
        <v>2170</v>
      </c>
      <c r="K49" s="30">
        <v>2038</v>
      </c>
      <c r="L49" s="31">
        <v>0.93899999999999995</v>
      </c>
      <c r="M49" s="30">
        <v>8678</v>
      </c>
      <c r="N49" s="30">
        <v>8701</v>
      </c>
      <c r="O49" s="30">
        <v>8457</v>
      </c>
      <c r="P49" s="31">
        <v>0.97453330260428672</v>
      </c>
      <c r="Q49" s="30">
        <v>21</v>
      </c>
      <c r="R49" s="30">
        <v>0</v>
      </c>
      <c r="S49" s="30">
        <v>0</v>
      </c>
      <c r="T49" s="31">
        <v>0</v>
      </c>
      <c r="U49" s="30">
        <v>0</v>
      </c>
      <c r="V49" s="31">
        <v>0</v>
      </c>
      <c r="W49" s="30">
        <v>2875</v>
      </c>
      <c r="X49" s="31">
        <v>0.97955706984667801</v>
      </c>
      <c r="Y49" s="30">
        <v>760</v>
      </c>
      <c r="Z49" s="33">
        <v>0.25894378194207829</v>
      </c>
      <c r="AA49" s="30">
        <v>12</v>
      </c>
      <c r="AB49" s="31">
        <v>4.0885860306643946E-3</v>
      </c>
      <c r="AC49" s="30">
        <v>290</v>
      </c>
      <c r="AD49" s="31">
        <v>9.8807495741056212E-2</v>
      </c>
      <c r="AE49" s="30">
        <v>35</v>
      </c>
      <c r="AF49" s="31">
        <v>0.1206896551724138</v>
      </c>
      <c r="AG49" s="30">
        <v>276</v>
      </c>
      <c r="AH49" s="31">
        <v>0.9517241379310345</v>
      </c>
      <c r="AI49" s="34">
        <v>282</v>
      </c>
      <c r="AJ49" s="31">
        <v>9.6081771720613288E-2</v>
      </c>
      <c r="AK49" s="34">
        <v>1</v>
      </c>
      <c r="AL49" s="31">
        <v>0.80851063829787229</v>
      </c>
      <c r="AM49" s="34">
        <v>280</v>
      </c>
      <c r="AN49" s="34">
        <v>228</v>
      </c>
      <c r="AO49" s="31">
        <v>7.7683134582623506E-2</v>
      </c>
      <c r="AP49" s="31">
        <v>0.78620689655172415</v>
      </c>
      <c r="AQ49" s="32">
        <v>0.98412698412698407</v>
      </c>
      <c r="AR49" s="34">
        <v>0</v>
      </c>
      <c r="AS49" s="34">
        <v>0</v>
      </c>
      <c r="AT49" s="34">
        <v>50</v>
      </c>
      <c r="AU49" s="34">
        <v>46</v>
      </c>
      <c r="AV49" s="34">
        <v>45</v>
      </c>
      <c r="AW49" s="34">
        <v>32</v>
      </c>
      <c r="AX49" s="31">
        <v>1.5672913117546851E-2</v>
      </c>
      <c r="AY49" s="31">
        <v>1.533219761499148E-2</v>
      </c>
      <c r="AZ49" s="31">
        <v>1.090289608177172E-2</v>
      </c>
      <c r="BA49" s="31">
        <v>0.19736842105263161</v>
      </c>
      <c r="BB49" s="34">
        <v>0</v>
      </c>
      <c r="BC49" s="34">
        <v>0</v>
      </c>
      <c r="BD49" s="32">
        <v>1</v>
      </c>
      <c r="BE49" s="32">
        <v>1</v>
      </c>
      <c r="BF49" s="32" t="s">
        <v>335</v>
      </c>
    </row>
    <row r="50" spans="1:58" ht="19.5" customHeight="1">
      <c r="A50" s="35">
        <v>47</v>
      </c>
      <c r="B50" s="30" t="s">
        <v>5</v>
      </c>
      <c r="C50" s="36">
        <v>46093</v>
      </c>
      <c r="D50" s="30" t="s">
        <v>25</v>
      </c>
      <c r="E50" s="30">
        <v>44</v>
      </c>
      <c r="F50" s="30">
        <v>42</v>
      </c>
      <c r="G50" s="31">
        <v>0.95454545454545459</v>
      </c>
      <c r="H50" s="30">
        <v>25</v>
      </c>
      <c r="I50" s="32">
        <v>0.56818181818181823</v>
      </c>
      <c r="J50" s="30">
        <v>44</v>
      </c>
      <c r="K50" s="30">
        <v>42</v>
      </c>
      <c r="L50" s="31">
        <v>0.95499999999999996</v>
      </c>
      <c r="M50" s="30">
        <v>196</v>
      </c>
      <c r="N50" s="30">
        <v>188</v>
      </c>
      <c r="O50" s="30">
        <v>189</v>
      </c>
      <c r="P50" s="31">
        <v>0.9642857142857143</v>
      </c>
      <c r="Q50" s="30">
        <v>0</v>
      </c>
      <c r="R50" s="30">
        <v>0</v>
      </c>
      <c r="S50" s="30">
        <v>0</v>
      </c>
      <c r="T50" s="31">
        <v>0</v>
      </c>
      <c r="U50" s="30">
        <v>0</v>
      </c>
      <c r="V50" s="31">
        <v>0</v>
      </c>
      <c r="W50" s="30">
        <v>0</v>
      </c>
      <c r="X50" s="31">
        <v>0</v>
      </c>
      <c r="Y50" s="30">
        <v>0</v>
      </c>
      <c r="Z50" s="33">
        <v>0</v>
      </c>
      <c r="AA50" s="30">
        <v>0</v>
      </c>
      <c r="AB50" s="31">
        <v>0</v>
      </c>
      <c r="AC50" s="30">
        <v>13</v>
      </c>
      <c r="AD50" s="31">
        <v>0.29545454545454553</v>
      </c>
      <c r="AE50" s="30">
        <v>8</v>
      </c>
      <c r="AF50" s="31">
        <v>0.61538461538461542</v>
      </c>
      <c r="AG50" s="30">
        <v>13</v>
      </c>
      <c r="AH50" s="31">
        <v>1</v>
      </c>
      <c r="AI50" s="34">
        <v>0</v>
      </c>
      <c r="AJ50" s="31">
        <v>0</v>
      </c>
      <c r="AK50" s="34">
        <v>0</v>
      </c>
      <c r="AL50" s="31">
        <v>0</v>
      </c>
      <c r="AM50" s="34">
        <v>0</v>
      </c>
      <c r="AN50" s="34">
        <v>0</v>
      </c>
      <c r="AO50" s="31">
        <v>0</v>
      </c>
      <c r="AP50" s="31">
        <v>0</v>
      </c>
      <c r="AQ50" s="32">
        <v>1</v>
      </c>
      <c r="AR50" s="34">
        <v>0</v>
      </c>
      <c r="AS50" s="34">
        <v>0</v>
      </c>
      <c r="AT50" s="34">
        <v>0</v>
      </c>
      <c r="AU50" s="34">
        <v>0</v>
      </c>
      <c r="AV50" s="34">
        <v>0</v>
      </c>
      <c r="AW50" s="34">
        <v>0</v>
      </c>
      <c r="AX50" s="31">
        <v>0</v>
      </c>
      <c r="AY50" s="31">
        <v>0</v>
      </c>
      <c r="AZ50" s="31">
        <v>0</v>
      </c>
      <c r="BA50" s="31">
        <v>0</v>
      </c>
      <c r="BB50" s="34">
        <v>0</v>
      </c>
      <c r="BC50" s="34">
        <v>0</v>
      </c>
      <c r="BD50" s="32" t="s">
        <v>335</v>
      </c>
      <c r="BE50" s="32" t="s">
        <v>335</v>
      </c>
      <c r="BF50" s="32" t="s">
        <v>335</v>
      </c>
    </row>
    <row r="51" spans="1:58" ht="19.5" customHeight="1">
      <c r="A51" s="35">
        <v>48</v>
      </c>
      <c r="B51" s="30" t="s">
        <v>5</v>
      </c>
      <c r="C51" s="36">
        <v>46093</v>
      </c>
      <c r="D51" s="30" t="s">
        <v>287</v>
      </c>
      <c r="E51" s="30">
        <v>3492</v>
      </c>
      <c r="F51" s="30">
        <v>3156</v>
      </c>
      <c r="G51" s="31">
        <v>0.90378006872852235</v>
      </c>
      <c r="H51" s="30">
        <v>1897</v>
      </c>
      <c r="I51" s="32">
        <v>0.54324169530355093</v>
      </c>
      <c r="J51" s="30">
        <v>4203</v>
      </c>
      <c r="K51" s="30">
        <v>4074</v>
      </c>
      <c r="L51" s="31">
        <v>0.96899999999999997</v>
      </c>
      <c r="M51" s="30">
        <v>21503</v>
      </c>
      <c r="N51" s="30">
        <v>21439</v>
      </c>
      <c r="O51" s="30">
        <v>21151</v>
      </c>
      <c r="P51" s="31">
        <v>0.98363019113612049</v>
      </c>
      <c r="Q51" s="30">
        <v>17</v>
      </c>
      <c r="R51" s="30">
        <v>0</v>
      </c>
      <c r="S51" s="30">
        <v>0</v>
      </c>
      <c r="T51" s="31">
        <v>0</v>
      </c>
      <c r="U51" s="30">
        <v>0</v>
      </c>
      <c r="V51" s="31">
        <v>0</v>
      </c>
      <c r="W51" s="30">
        <v>3361</v>
      </c>
      <c r="X51" s="31">
        <v>0.96248568155784653</v>
      </c>
      <c r="Y51" s="30">
        <v>1034</v>
      </c>
      <c r="Z51" s="33">
        <v>0.29610538373424972</v>
      </c>
      <c r="AA51" s="30">
        <v>93</v>
      </c>
      <c r="AB51" s="31">
        <v>2.6632302405498281E-2</v>
      </c>
      <c r="AC51" s="30">
        <v>517</v>
      </c>
      <c r="AD51" s="31">
        <v>0.14805269186712491</v>
      </c>
      <c r="AE51" s="30">
        <v>97</v>
      </c>
      <c r="AF51" s="31">
        <v>0.18762088974854929</v>
      </c>
      <c r="AG51" s="30">
        <v>482</v>
      </c>
      <c r="AH51" s="31">
        <v>0.93230174081237915</v>
      </c>
      <c r="AI51" s="34">
        <v>505</v>
      </c>
      <c r="AJ51" s="31">
        <v>0.14461626575028641</v>
      </c>
      <c r="AK51" s="34">
        <v>4</v>
      </c>
      <c r="AL51" s="31">
        <v>0.86138613861386137</v>
      </c>
      <c r="AM51" s="34">
        <v>498</v>
      </c>
      <c r="AN51" s="34">
        <v>435</v>
      </c>
      <c r="AO51" s="31">
        <v>0.1245704467353952</v>
      </c>
      <c r="AP51" s="31">
        <v>0.84139264990328821</v>
      </c>
      <c r="AQ51" s="32">
        <v>0.967741935483871</v>
      </c>
      <c r="AR51" s="34">
        <v>0</v>
      </c>
      <c r="AS51" s="34">
        <v>0</v>
      </c>
      <c r="AT51" s="34">
        <v>79</v>
      </c>
      <c r="AU51" s="34">
        <v>76</v>
      </c>
      <c r="AV51" s="34">
        <v>76</v>
      </c>
      <c r="AW51" s="34">
        <v>128</v>
      </c>
      <c r="AX51" s="31">
        <v>2.1764032073310419E-2</v>
      </c>
      <c r="AY51" s="31">
        <v>2.1764032073310419E-2</v>
      </c>
      <c r="AZ51" s="31">
        <v>3.6655211912943873E-2</v>
      </c>
      <c r="BA51" s="31">
        <v>0.17471264367816089</v>
      </c>
      <c r="BB51" s="34">
        <v>0</v>
      </c>
      <c r="BC51" s="34">
        <v>0</v>
      </c>
      <c r="BD51" s="32">
        <v>0.98148148148148151</v>
      </c>
      <c r="BE51" s="32">
        <v>1</v>
      </c>
      <c r="BF51" s="32" t="s">
        <v>335</v>
      </c>
    </row>
    <row r="52" spans="1:58" ht="19.5" customHeight="1">
      <c r="A52" s="35">
        <v>49</v>
      </c>
      <c r="B52" s="30" t="s">
        <v>5</v>
      </c>
      <c r="C52" s="36">
        <v>46094</v>
      </c>
      <c r="D52" s="30" t="s">
        <v>2</v>
      </c>
      <c r="E52" s="30">
        <v>2359</v>
      </c>
      <c r="F52" s="30">
        <v>2060</v>
      </c>
      <c r="G52" s="31">
        <v>0.87325137770241623</v>
      </c>
      <c r="H52" s="30">
        <v>743</v>
      </c>
      <c r="I52" s="32">
        <v>0.31496396778295888</v>
      </c>
      <c r="J52" s="30">
        <v>1930</v>
      </c>
      <c r="K52" s="30">
        <v>1847</v>
      </c>
      <c r="L52" s="31">
        <v>0.95699999999999996</v>
      </c>
      <c r="M52" s="30">
        <v>10100</v>
      </c>
      <c r="N52" s="30">
        <v>10409</v>
      </c>
      <c r="O52" s="30">
        <v>9906</v>
      </c>
      <c r="P52" s="31">
        <v>0.98079207920792078</v>
      </c>
      <c r="Q52" s="30">
        <v>14</v>
      </c>
      <c r="R52" s="30">
        <v>0</v>
      </c>
      <c r="S52" s="30">
        <v>0</v>
      </c>
      <c r="T52" s="31">
        <v>0</v>
      </c>
      <c r="U52" s="30">
        <v>0</v>
      </c>
      <c r="V52" s="31">
        <v>0</v>
      </c>
      <c r="W52" s="30">
        <v>2484</v>
      </c>
      <c r="X52" s="31">
        <v>1.0529885544722339</v>
      </c>
      <c r="Y52" s="30">
        <v>476</v>
      </c>
      <c r="Z52" s="33">
        <v>0.20178041543026709</v>
      </c>
      <c r="AA52" s="30">
        <v>27</v>
      </c>
      <c r="AB52" s="31">
        <v>1.144552776600254E-2</v>
      </c>
      <c r="AC52" s="30">
        <v>289</v>
      </c>
      <c r="AD52" s="31">
        <v>0.122509537939805</v>
      </c>
      <c r="AE52" s="30">
        <v>59</v>
      </c>
      <c r="AF52" s="31">
        <v>0.20415224913494809</v>
      </c>
      <c r="AG52" s="30">
        <v>270</v>
      </c>
      <c r="AH52" s="31">
        <v>0.93425605536332179</v>
      </c>
      <c r="AI52" s="34">
        <v>293</v>
      </c>
      <c r="AJ52" s="31">
        <v>0.1242051716829165</v>
      </c>
      <c r="AK52" s="34">
        <v>4</v>
      </c>
      <c r="AL52" s="31">
        <v>0.83276450511945388</v>
      </c>
      <c r="AM52" s="34">
        <v>292</v>
      </c>
      <c r="AN52" s="34">
        <v>244</v>
      </c>
      <c r="AO52" s="31">
        <v>0.1034336583298008</v>
      </c>
      <c r="AP52" s="31">
        <v>0.84429065743944631</v>
      </c>
      <c r="AQ52" s="32">
        <v>0.97356828193832601</v>
      </c>
      <c r="AR52" s="34">
        <v>0</v>
      </c>
      <c r="AS52" s="34">
        <v>0</v>
      </c>
      <c r="AT52" s="34">
        <v>58</v>
      </c>
      <c r="AU52" s="34">
        <v>53</v>
      </c>
      <c r="AV52" s="34">
        <v>53</v>
      </c>
      <c r="AW52" s="34">
        <v>66</v>
      </c>
      <c r="AX52" s="31">
        <v>2.246714709622721E-2</v>
      </c>
      <c r="AY52" s="31">
        <v>2.246714709622721E-2</v>
      </c>
      <c r="AZ52" s="31">
        <v>2.7977956761339549E-2</v>
      </c>
      <c r="BA52" s="31">
        <v>0.21721311475409841</v>
      </c>
      <c r="BB52" s="34">
        <v>0</v>
      </c>
      <c r="BC52" s="34">
        <v>0</v>
      </c>
      <c r="BD52" s="32">
        <v>0.94594594594594594</v>
      </c>
      <c r="BE52" s="32">
        <v>1</v>
      </c>
      <c r="BF52" s="32" t="s">
        <v>335</v>
      </c>
    </row>
    <row r="53" spans="1:58" ht="19.5" customHeight="1">
      <c r="A53" s="35">
        <v>50</v>
      </c>
      <c r="B53" s="30" t="s">
        <v>5</v>
      </c>
      <c r="C53" s="36">
        <v>46094</v>
      </c>
      <c r="D53" s="30" t="s">
        <v>285</v>
      </c>
      <c r="E53" s="30">
        <v>3262</v>
      </c>
      <c r="F53" s="30">
        <v>2761</v>
      </c>
      <c r="G53" s="31">
        <v>0.84641324340895152</v>
      </c>
      <c r="H53" s="30">
        <v>1909</v>
      </c>
      <c r="I53" s="32">
        <v>0.58522378908645001</v>
      </c>
      <c r="J53" s="30">
        <v>3107</v>
      </c>
      <c r="K53" s="30">
        <v>2992</v>
      </c>
      <c r="L53" s="31">
        <v>0.96299999999999997</v>
      </c>
      <c r="M53" s="30">
        <v>10389</v>
      </c>
      <c r="N53" s="30">
        <v>10658</v>
      </c>
      <c r="O53" s="30">
        <v>10178</v>
      </c>
      <c r="P53" s="31">
        <v>0.97969005679083643</v>
      </c>
      <c r="Q53" s="30">
        <v>28</v>
      </c>
      <c r="R53" s="30">
        <v>0</v>
      </c>
      <c r="S53" s="30">
        <v>0</v>
      </c>
      <c r="T53" s="31">
        <v>0</v>
      </c>
      <c r="U53" s="30">
        <v>0</v>
      </c>
      <c r="V53" s="31">
        <v>0</v>
      </c>
      <c r="W53" s="30">
        <v>2956</v>
      </c>
      <c r="X53" s="31">
        <v>0.90619251992642547</v>
      </c>
      <c r="Y53" s="30">
        <v>539</v>
      </c>
      <c r="Z53" s="33">
        <v>0.1652360515021459</v>
      </c>
      <c r="AA53" s="30">
        <v>17</v>
      </c>
      <c r="AB53" s="31">
        <v>5.2115266707541382E-3</v>
      </c>
      <c r="AC53" s="30">
        <v>289</v>
      </c>
      <c r="AD53" s="31">
        <v>8.8595953402820352E-2</v>
      </c>
      <c r="AE53" s="30">
        <v>54</v>
      </c>
      <c r="AF53" s="31">
        <v>0.18685121107266439</v>
      </c>
      <c r="AG53" s="30">
        <v>278</v>
      </c>
      <c r="AH53" s="31">
        <v>0.96193771626297575</v>
      </c>
      <c r="AI53" s="34">
        <v>276</v>
      </c>
      <c r="AJ53" s="31">
        <v>8.4610668301655423E-2</v>
      </c>
      <c r="AK53" s="34">
        <v>5</v>
      </c>
      <c r="AL53" s="31">
        <v>0.87681159420289856</v>
      </c>
      <c r="AM53" s="34">
        <v>275</v>
      </c>
      <c r="AN53" s="34">
        <v>242</v>
      </c>
      <c r="AO53" s="31">
        <v>7.4187614960147155E-2</v>
      </c>
      <c r="AP53" s="31">
        <v>0.83737024221453282</v>
      </c>
      <c r="AQ53" s="32">
        <v>0.98148148148148151</v>
      </c>
      <c r="AR53" s="34">
        <v>0</v>
      </c>
      <c r="AS53" s="34">
        <v>0</v>
      </c>
      <c r="AT53" s="34">
        <v>59</v>
      </c>
      <c r="AU53" s="34">
        <v>52</v>
      </c>
      <c r="AV53" s="34">
        <v>59</v>
      </c>
      <c r="AW53" s="34">
        <v>34</v>
      </c>
      <c r="AX53" s="31">
        <v>1.5941140404659718E-2</v>
      </c>
      <c r="AY53" s="31">
        <v>1.8087063151440829E-2</v>
      </c>
      <c r="AZ53" s="31">
        <v>1.042305334150828E-2</v>
      </c>
      <c r="BA53" s="31">
        <v>0.243801652892562</v>
      </c>
      <c r="BB53" s="34">
        <v>0</v>
      </c>
      <c r="BC53" s="34">
        <v>0</v>
      </c>
      <c r="BD53" s="32">
        <v>1</v>
      </c>
      <c r="BE53" s="32">
        <v>1</v>
      </c>
      <c r="BF53" s="32" t="s">
        <v>335</v>
      </c>
    </row>
    <row r="54" spans="1:58" ht="19.5" customHeight="1">
      <c r="A54" s="35">
        <v>51</v>
      </c>
      <c r="B54" s="30" t="s">
        <v>5</v>
      </c>
      <c r="C54" s="36">
        <v>46094</v>
      </c>
      <c r="D54" s="30" t="s">
        <v>25</v>
      </c>
      <c r="E54" s="30">
        <v>44</v>
      </c>
      <c r="F54" s="30">
        <v>43</v>
      </c>
      <c r="G54" s="31">
        <v>0.97727272727272729</v>
      </c>
      <c r="H54" s="30">
        <v>23</v>
      </c>
      <c r="I54" s="32">
        <v>0.52272727272727271</v>
      </c>
      <c r="J54" s="30">
        <v>38</v>
      </c>
      <c r="K54" s="30">
        <v>35</v>
      </c>
      <c r="L54" s="31">
        <v>0.92100000000000004</v>
      </c>
      <c r="M54" s="30">
        <v>212</v>
      </c>
      <c r="N54" s="30">
        <v>210</v>
      </c>
      <c r="O54" s="30">
        <v>205</v>
      </c>
      <c r="P54" s="31">
        <v>0.96698113207547165</v>
      </c>
      <c r="Q54" s="30">
        <v>0</v>
      </c>
      <c r="R54" s="30">
        <v>0</v>
      </c>
      <c r="S54" s="30">
        <v>0</v>
      </c>
      <c r="T54" s="31">
        <v>0</v>
      </c>
      <c r="U54" s="30">
        <v>0</v>
      </c>
      <c r="V54" s="31">
        <v>0</v>
      </c>
      <c r="W54" s="30">
        <v>0</v>
      </c>
      <c r="X54" s="31">
        <v>0</v>
      </c>
      <c r="Y54" s="30">
        <v>1</v>
      </c>
      <c r="Z54" s="33">
        <v>2.2727272727272731E-2</v>
      </c>
      <c r="AA54" s="30">
        <v>0</v>
      </c>
      <c r="AB54" s="31">
        <v>0</v>
      </c>
      <c r="AC54" s="30">
        <v>17</v>
      </c>
      <c r="AD54" s="31">
        <v>0.38636363636363641</v>
      </c>
      <c r="AE54" s="30">
        <v>8</v>
      </c>
      <c r="AF54" s="31">
        <v>0.47058823529411759</v>
      </c>
      <c r="AG54" s="30">
        <v>16</v>
      </c>
      <c r="AH54" s="31">
        <v>0.94117647058823528</v>
      </c>
      <c r="AI54" s="34">
        <v>0</v>
      </c>
      <c r="AJ54" s="31">
        <v>0</v>
      </c>
      <c r="AK54" s="34">
        <v>0</v>
      </c>
      <c r="AL54" s="31">
        <v>0</v>
      </c>
      <c r="AM54" s="34">
        <v>0</v>
      </c>
      <c r="AN54" s="34">
        <v>0</v>
      </c>
      <c r="AO54" s="31">
        <v>0</v>
      </c>
      <c r="AP54" s="31">
        <v>0</v>
      </c>
      <c r="AQ54" s="32">
        <v>1</v>
      </c>
      <c r="AR54" s="34">
        <v>0</v>
      </c>
      <c r="AS54" s="34">
        <v>0</v>
      </c>
      <c r="AT54" s="34">
        <v>0</v>
      </c>
      <c r="AU54" s="34">
        <v>0</v>
      </c>
      <c r="AV54" s="34">
        <v>0</v>
      </c>
      <c r="AW54" s="34">
        <v>0</v>
      </c>
      <c r="AX54" s="31">
        <v>0</v>
      </c>
      <c r="AY54" s="31">
        <v>0</v>
      </c>
      <c r="AZ54" s="31">
        <v>0</v>
      </c>
      <c r="BA54" s="31">
        <v>0</v>
      </c>
      <c r="BB54" s="34">
        <v>0</v>
      </c>
      <c r="BC54" s="34">
        <v>0</v>
      </c>
      <c r="BD54" s="32" t="s">
        <v>335</v>
      </c>
      <c r="BE54" s="32" t="s">
        <v>335</v>
      </c>
      <c r="BF54" s="32" t="s">
        <v>335</v>
      </c>
    </row>
    <row r="55" spans="1:58" ht="19.5" customHeight="1">
      <c r="A55" s="35">
        <v>52</v>
      </c>
      <c r="B55" s="30" t="s">
        <v>5</v>
      </c>
      <c r="C55" s="36">
        <v>46094</v>
      </c>
      <c r="D55" s="30" t="s">
        <v>287</v>
      </c>
      <c r="E55" s="30">
        <v>4009</v>
      </c>
      <c r="F55" s="30">
        <v>3582</v>
      </c>
      <c r="G55" s="31">
        <v>0.89348964829134447</v>
      </c>
      <c r="H55" s="30">
        <v>2453</v>
      </c>
      <c r="I55" s="32">
        <v>0.61187328510850592</v>
      </c>
      <c r="J55" s="30">
        <v>4177</v>
      </c>
      <c r="K55" s="30">
        <v>4072</v>
      </c>
      <c r="L55" s="31">
        <v>0.97499999999999998</v>
      </c>
      <c r="M55" s="30">
        <v>22116</v>
      </c>
      <c r="N55" s="30">
        <v>22918</v>
      </c>
      <c r="O55" s="30">
        <v>21826</v>
      </c>
      <c r="P55" s="31">
        <v>0.98688732139627422</v>
      </c>
      <c r="Q55" s="30">
        <v>7</v>
      </c>
      <c r="R55" s="30">
        <v>0</v>
      </c>
      <c r="S55" s="30">
        <v>0</v>
      </c>
      <c r="T55" s="31">
        <v>0</v>
      </c>
      <c r="U55" s="30">
        <v>0</v>
      </c>
      <c r="V55" s="31">
        <v>0</v>
      </c>
      <c r="W55" s="30">
        <v>3145</v>
      </c>
      <c r="X55" s="31">
        <v>0.78448490895485157</v>
      </c>
      <c r="Y55" s="30">
        <v>839</v>
      </c>
      <c r="Z55" s="33">
        <v>0.20927912197555501</v>
      </c>
      <c r="AA55" s="30">
        <v>80</v>
      </c>
      <c r="AB55" s="31">
        <v>1.9955101022698929E-2</v>
      </c>
      <c r="AC55" s="30">
        <v>548</v>
      </c>
      <c r="AD55" s="31">
        <v>0.13669244200548769</v>
      </c>
      <c r="AE55" s="30">
        <v>104</v>
      </c>
      <c r="AF55" s="31">
        <v>0.18978102189781021</v>
      </c>
      <c r="AG55" s="30">
        <v>510</v>
      </c>
      <c r="AH55" s="31">
        <v>0.93065693430656937</v>
      </c>
      <c r="AI55" s="34">
        <v>543</v>
      </c>
      <c r="AJ55" s="31">
        <v>0.135445248191569</v>
      </c>
      <c r="AK55" s="34">
        <v>2</v>
      </c>
      <c r="AL55" s="31">
        <v>0.91344383057090239</v>
      </c>
      <c r="AM55" s="34">
        <v>537</v>
      </c>
      <c r="AN55" s="34">
        <v>496</v>
      </c>
      <c r="AO55" s="31">
        <v>0.1237216263407333</v>
      </c>
      <c r="AP55" s="31">
        <v>0.9051094890510949</v>
      </c>
      <c r="AQ55" s="32">
        <v>0.95081967213114749</v>
      </c>
      <c r="AR55" s="34">
        <v>0</v>
      </c>
      <c r="AS55" s="34">
        <v>0</v>
      </c>
      <c r="AT55" s="34">
        <v>91</v>
      </c>
      <c r="AU55" s="34">
        <v>86</v>
      </c>
      <c r="AV55" s="34">
        <v>88</v>
      </c>
      <c r="AW55" s="34">
        <v>138</v>
      </c>
      <c r="AX55" s="31">
        <v>2.1451733599401349E-2</v>
      </c>
      <c r="AY55" s="31">
        <v>2.1950611124968818E-2</v>
      </c>
      <c r="AZ55" s="31">
        <v>3.4422549264155652E-2</v>
      </c>
      <c r="BA55" s="31">
        <v>0.17741935483870969</v>
      </c>
      <c r="BB55" s="34">
        <v>0</v>
      </c>
      <c r="BC55" s="34">
        <v>0</v>
      </c>
      <c r="BD55" s="32">
        <v>1</v>
      </c>
      <c r="BE55" s="32">
        <v>1</v>
      </c>
      <c r="BF55" s="32" t="s">
        <v>335</v>
      </c>
    </row>
    <row r="56" spans="1:58" ht="19.5" customHeight="1">
      <c r="A56" s="35">
        <v>53</v>
      </c>
      <c r="B56" s="30" t="s">
        <v>5</v>
      </c>
      <c r="C56" s="36">
        <v>46095</v>
      </c>
      <c r="D56" s="30" t="s">
        <v>2</v>
      </c>
      <c r="E56" s="30">
        <v>2516</v>
      </c>
      <c r="F56" s="30">
        <v>2226</v>
      </c>
      <c r="G56" s="31">
        <v>0.88473767885532595</v>
      </c>
      <c r="H56" s="30">
        <v>811</v>
      </c>
      <c r="I56" s="32">
        <v>0.32233704292527821</v>
      </c>
      <c r="J56" s="30">
        <v>2361</v>
      </c>
      <c r="K56" s="30">
        <v>2244</v>
      </c>
      <c r="L56" s="31">
        <v>0.95</v>
      </c>
      <c r="M56" s="30">
        <v>11016</v>
      </c>
      <c r="N56" s="30">
        <v>11328</v>
      </c>
      <c r="O56" s="30">
        <v>10793</v>
      </c>
      <c r="P56" s="31">
        <v>0.97975671750181559</v>
      </c>
      <c r="Q56" s="30">
        <v>18</v>
      </c>
      <c r="R56" s="30">
        <v>0</v>
      </c>
      <c r="S56" s="30">
        <v>0</v>
      </c>
      <c r="T56" s="31">
        <v>0</v>
      </c>
      <c r="U56" s="30">
        <v>0</v>
      </c>
      <c r="V56" s="31">
        <v>0</v>
      </c>
      <c r="W56" s="30">
        <v>2192</v>
      </c>
      <c r="X56" s="31">
        <v>0.87122416534181235</v>
      </c>
      <c r="Y56" s="30">
        <v>528</v>
      </c>
      <c r="Z56" s="33">
        <v>0.20985691573926871</v>
      </c>
      <c r="AA56" s="30">
        <v>29</v>
      </c>
      <c r="AB56" s="31">
        <v>1.152623211446741E-2</v>
      </c>
      <c r="AC56" s="30">
        <v>431</v>
      </c>
      <c r="AD56" s="31">
        <v>0.17130365659777419</v>
      </c>
      <c r="AE56" s="30">
        <v>59</v>
      </c>
      <c r="AF56" s="31">
        <v>0.1368909512761021</v>
      </c>
      <c r="AG56" s="30">
        <v>411</v>
      </c>
      <c r="AH56" s="31">
        <v>0.95359628770301619</v>
      </c>
      <c r="AI56" s="34">
        <v>415</v>
      </c>
      <c r="AJ56" s="31">
        <v>0.1649443561208267</v>
      </c>
      <c r="AK56" s="34">
        <v>1</v>
      </c>
      <c r="AL56" s="31">
        <v>0.87228915662650608</v>
      </c>
      <c r="AM56" s="34">
        <v>406</v>
      </c>
      <c r="AN56" s="34">
        <v>362</v>
      </c>
      <c r="AO56" s="31">
        <v>0.143879173290938</v>
      </c>
      <c r="AP56" s="31">
        <v>0.83990719257540603</v>
      </c>
      <c r="AQ56" s="32">
        <v>0.95167286245353155</v>
      </c>
      <c r="AR56" s="34">
        <v>0</v>
      </c>
      <c r="AS56" s="34">
        <v>0</v>
      </c>
      <c r="AT56" s="34">
        <v>106</v>
      </c>
      <c r="AU56" s="34">
        <v>101</v>
      </c>
      <c r="AV56" s="34">
        <v>99</v>
      </c>
      <c r="AW56" s="34">
        <v>62</v>
      </c>
      <c r="AX56" s="31">
        <v>4.0143084260731321E-2</v>
      </c>
      <c r="AY56" s="31">
        <v>3.9348171701112877E-2</v>
      </c>
      <c r="AZ56" s="31">
        <v>2.4642289348171701E-2</v>
      </c>
      <c r="BA56" s="31">
        <v>0.27348066298342538</v>
      </c>
      <c r="BB56" s="34">
        <v>0</v>
      </c>
      <c r="BC56" s="34">
        <v>0</v>
      </c>
      <c r="BD56" s="32">
        <v>0.98</v>
      </c>
      <c r="BE56" s="32">
        <v>1</v>
      </c>
      <c r="BF56" s="32" t="s">
        <v>335</v>
      </c>
    </row>
    <row r="57" spans="1:58" ht="19.5" customHeight="1">
      <c r="A57" s="35">
        <v>54</v>
      </c>
      <c r="B57" s="30" t="s">
        <v>5</v>
      </c>
      <c r="C57" s="36">
        <v>46095</v>
      </c>
      <c r="D57" s="30" t="s">
        <v>285</v>
      </c>
      <c r="E57" s="30">
        <v>2405</v>
      </c>
      <c r="F57" s="30">
        <v>2006</v>
      </c>
      <c r="G57" s="31">
        <v>0.83409563409563414</v>
      </c>
      <c r="H57" s="30">
        <v>908</v>
      </c>
      <c r="I57" s="32">
        <v>0.37754677754677762</v>
      </c>
      <c r="J57" s="30">
        <v>1637</v>
      </c>
      <c r="K57" s="30">
        <v>1554</v>
      </c>
      <c r="L57" s="31">
        <v>0.94899999999999995</v>
      </c>
      <c r="M57" s="30">
        <v>8437</v>
      </c>
      <c r="N57" s="30">
        <v>8904</v>
      </c>
      <c r="O57" s="30">
        <v>8284</v>
      </c>
      <c r="P57" s="31">
        <v>0.98186559203508361</v>
      </c>
      <c r="Q57" s="30">
        <v>12</v>
      </c>
      <c r="R57" s="30">
        <v>0</v>
      </c>
      <c r="S57" s="30">
        <v>0</v>
      </c>
      <c r="T57" s="31">
        <v>0</v>
      </c>
      <c r="U57" s="30">
        <v>0</v>
      </c>
      <c r="V57" s="31">
        <v>0</v>
      </c>
      <c r="W57" s="30">
        <v>2685</v>
      </c>
      <c r="X57" s="31">
        <v>1.116424116424116</v>
      </c>
      <c r="Y57" s="30">
        <v>555</v>
      </c>
      <c r="Z57" s="33">
        <v>0.23076923076923081</v>
      </c>
      <c r="AA57" s="30">
        <v>18</v>
      </c>
      <c r="AB57" s="31">
        <v>7.4844074844074848E-3</v>
      </c>
      <c r="AC57" s="30">
        <v>471</v>
      </c>
      <c r="AD57" s="31">
        <v>0.19584199584199591</v>
      </c>
      <c r="AE57" s="30">
        <v>73</v>
      </c>
      <c r="AF57" s="31">
        <v>0.15498938428874731</v>
      </c>
      <c r="AG57" s="30">
        <v>447</v>
      </c>
      <c r="AH57" s="31">
        <v>0.94904458598726116</v>
      </c>
      <c r="AI57" s="34">
        <v>479</v>
      </c>
      <c r="AJ57" s="31">
        <v>0.19916839916839921</v>
      </c>
      <c r="AK57" s="34">
        <v>7</v>
      </c>
      <c r="AL57" s="31">
        <v>0.86221294363256784</v>
      </c>
      <c r="AM57" s="34">
        <v>477</v>
      </c>
      <c r="AN57" s="34">
        <v>413</v>
      </c>
      <c r="AO57" s="31">
        <v>0.17172557172557171</v>
      </c>
      <c r="AP57" s="31">
        <v>0.87685774946921446</v>
      </c>
      <c r="AQ57" s="32">
        <v>0.96654275092936803</v>
      </c>
      <c r="AR57" s="34">
        <v>0</v>
      </c>
      <c r="AS57" s="34">
        <v>0</v>
      </c>
      <c r="AT57" s="34">
        <v>81</v>
      </c>
      <c r="AU57" s="34">
        <v>76</v>
      </c>
      <c r="AV57" s="34">
        <v>75</v>
      </c>
      <c r="AW57" s="34">
        <v>28</v>
      </c>
      <c r="AX57" s="31">
        <v>3.1600831600831603E-2</v>
      </c>
      <c r="AY57" s="31">
        <v>3.118503118503119E-2</v>
      </c>
      <c r="AZ57" s="31">
        <v>1.164241164241164E-2</v>
      </c>
      <c r="BA57" s="31">
        <v>0.18159806295399519</v>
      </c>
      <c r="BB57" s="34">
        <v>0</v>
      </c>
      <c r="BC57" s="34">
        <v>0</v>
      </c>
      <c r="BD57" s="32">
        <v>1</v>
      </c>
      <c r="BE57" s="32">
        <v>1</v>
      </c>
      <c r="BF57" s="32" t="s">
        <v>335</v>
      </c>
    </row>
    <row r="58" spans="1:58" ht="19.5" customHeight="1">
      <c r="A58" s="35">
        <v>55</v>
      </c>
      <c r="B58" s="30" t="s">
        <v>5</v>
      </c>
      <c r="C58" s="36">
        <v>46095</v>
      </c>
      <c r="D58" s="30" t="s">
        <v>25</v>
      </c>
      <c r="E58" s="30">
        <v>56</v>
      </c>
      <c r="F58" s="30">
        <v>54</v>
      </c>
      <c r="G58" s="31">
        <v>0.9642857142857143</v>
      </c>
      <c r="H58" s="30">
        <v>31</v>
      </c>
      <c r="I58" s="32">
        <v>0.5535714285714286</v>
      </c>
      <c r="J58" s="30">
        <v>56</v>
      </c>
      <c r="K58" s="30">
        <v>55</v>
      </c>
      <c r="L58" s="31">
        <v>0.98199999999999998</v>
      </c>
      <c r="M58" s="30">
        <v>226</v>
      </c>
      <c r="N58" s="30">
        <v>231</v>
      </c>
      <c r="O58" s="30">
        <v>223</v>
      </c>
      <c r="P58" s="31">
        <v>0.98672566371681414</v>
      </c>
      <c r="Q58" s="30">
        <v>0</v>
      </c>
      <c r="R58" s="30">
        <v>0</v>
      </c>
      <c r="S58" s="30">
        <v>0</v>
      </c>
      <c r="T58" s="31">
        <v>0</v>
      </c>
      <c r="U58" s="30">
        <v>0</v>
      </c>
      <c r="V58" s="31">
        <v>0</v>
      </c>
      <c r="W58" s="30">
        <v>0</v>
      </c>
      <c r="X58" s="31">
        <v>0</v>
      </c>
      <c r="Y58" s="30">
        <v>1</v>
      </c>
      <c r="Z58" s="33">
        <v>1.785714285714286E-2</v>
      </c>
      <c r="AA58" s="30">
        <v>0</v>
      </c>
      <c r="AB58" s="31">
        <v>0</v>
      </c>
      <c r="AC58" s="30">
        <v>25</v>
      </c>
      <c r="AD58" s="31">
        <v>0.44642857142857151</v>
      </c>
      <c r="AE58" s="30">
        <v>10</v>
      </c>
      <c r="AF58" s="31">
        <v>0.4</v>
      </c>
      <c r="AG58" s="30">
        <v>24</v>
      </c>
      <c r="AH58" s="31">
        <v>0.96</v>
      </c>
      <c r="AI58" s="34">
        <v>0</v>
      </c>
      <c r="AJ58" s="31">
        <v>0</v>
      </c>
      <c r="AK58" s="34">
        <v>0</v>
      </c>
      <c r="AL58" s="31">
        <v>0</v>
      </c>
      <c r="AM58" s="34">
        <v>0</v>
      </c>
      <c r="AN58" s="34">
        <v>0</v>
      </c>
      <c r="AO58" s="31">
        <v>0</v>
      </c>
      <c r="AP58" s="31">
        <v>0</v>
      </c>
      <c r="AQ58" s="32">
        <v>1</v>
      </c>
      <c r="AR58" s="34">
        <v>0</v>
      </c>
      <c r="AS58" s="34">
        <v>0</v>
      </c>
      <c r="AT58" s="34">
        <v>0</v>
      </c>
      <c r="AU58" s="34">
        <v>0</v>
      </c>
      <c r="AV58" s="34">
        <v>0</v>
      </c>
      <c r="AW58" s="34">
        <v>0</v>
      </c>
      <c r="AX58" s="31">
        <v>0</v>
      </c>
      <c r="AY58" s="31">
        <v>0</v>
      </c>
      <c r="AZ58" s="31">
        <v>0</v>
      </c>
      <c r="BA58" s="31">
        <v>0</v>
      </c>
      <c r="BB58" s="34">
        <v>0</v>
      </c>
      <c r="BC58" s="34">
        <v>0</v>
      </c>
      <c r="BD58" s="32" t="s">
        <v>335</v>
      </c>
      <c r="BE58" s="32" t="s">
        <v>335</v>
      </c>
      <c r="BF58" s="32" t="s">
        <v>335</v>
      </c>
    </row>
    <row r="59" spans="1:58" ht="19.5" customHeight="1">
      <c r="A59" s="35">
        <v>56</v>
      </c>
      <c r="B59" s="30" t="s">
        <v>5</v>
      </c>
      <c r="C59" s="36">
        <v>46095</v>
      </c>
      <c r="D59" s="30" t="s">
        <v>287</v>
      </c>
      <c r="E59" s="30">
        <v>5356</v>
      </c>
      <c r="F59" s="30">
        <v>4568</v>
      </c>
      <c r="G59" s="31">
        <v>0.85287528005974611</v>
      </c>
      <c r="H59" s="30">
        <v>4007</v>
      </c>
      <c r="I59" s="32">
        <v>0.74813293502613887</v>
      </c>
      <c r="J59" s="30">
        <v>5992</v>
      </c>
      <c r="K59" s="30">
        <v>5842</v>
      </c>
      <c r="L59" s="31">
        <v>0.97499999999999998</v>
      </c>
      <c r="M59" s="30">
        <v>24220</v>
      </c>
      <c r="N59" s="30">
        <v>24829</v>
      </c>
      <c r="O59" s="30">
        <v>23881</v>
      </c>
      <c r="P59" s="31">
        <v>0.98600330305532613</v>
      </c>
      <c r="Q59" s="30">
        <v>31</v>
      </c>
      <c r="R59" s="30">
        <v>0</v>
      </c>
      <c r="S59" s="30">
        <v>0</v>
      </c>
      <c r="T59" s="31">
        <v>0</v>
      </c>
      <c r="U59" s="30">
        <v>0</v>
      </c>
      <c r="V59" s="31">
        <v>0</v>
      </c>
      <c r="W59" s="30">
        <v>2974</v>
      </c>
      <c r="X59" s="31">
        <v>0.55526512322628829</v>
      </c>
      <c r="Y59" s="30">
        <v>865</v>
      </c>
      <c r="Z59" s="33">
        <v>0.1615011202389843</v>
      </c>
      <c r="AA59" s="30">
        <v>95</v>
      </c>
      <c r="AB59" s="31">
        <v>1.7737117251680361E-2</v>
      </c>
      <c r="AC59" s="30">
        <v>895</v>
      </c>
      <c r="AD59" s="31">
        <v>0.16710231516056759</v>
      </c>
      <c r="AE59" s="30">
        <v>106</v>
      </c>
      <c r="AF59" s="31">
        <v>0.11843575418994411</v>
      </c>
      <c r="AG59" s="30">
        <v>848</v>
      </c>
      <c r="AH59" s="31">
        <v>0.94748603351955307</v>
      </c>
      <c r="AI59" s="34">
        <v>879</v>
      </c>
      <c r="AJ59" s="31">
        <v>0.1641150112023898</v>
      </c>
      <c r="AK59" s="34">
        <v>3</v>
      </c>
      <c r="AL59" s="31">
        <v>0.91808873720136519</v>
      </c>
      <c r="AM59" s="34">
        <v>865</v>
      </c>
      <c r="AN59" s="34">
        <v>807</v>
      </c>
      <c r="AO59" s="31">
        <v>0.15067214339059001</v>
      </c>
      <c r="AP59" s="31">
        <v>0.90167597765363128</v>
      </c>
      <c r="AQ59" s="32">
        <v>0.96730769230769231</v>
      </c>
      <c r="AR59" s="34">
        <v>0</v>
      </c>
      <c r="AS59" s="34">
        <v>0</v>
      </c>
      <c r="AT59" s="34">
        <v>165</v>
      </c>
      <c r="AU59" s="34">
        <v>160</v>
      </c>
      <c r="AV59" s="34">
        <v>157</v>
      </c>
      <c r="AW59" s="34">
        <v>119</v>
      </c>
      <c r="AX59" s="31">
        <v>2.987303958177745E-2</v>
      </c>
      <c r="AY59" s="31">
        <v>2.931292008961912E-2</v>
      </c>
      <c r="AZ59" s="31">
        <v>2.2218073188946971E-2</v>
      </c>
      <c r="BA59" s="31">
        <v>0.19454770755886</v>
      </c>
      <c r="BB59" s="34">
        <v>0</v>
      </c>
      <c r="BC59" s="34">
        <v>0</v>
      </c>
      <c r="BD59" s="32">
        <v>0.96470588235294119</v>
      </c>
      <c r="BE59" s="32">
        <v>1</v>
      </c>
      <c r="BF59" s="32" t="s">
        <v>335</v>
      </c>
    </row>
    <row r="60" spans="1:58" ht="19.5" customHeight="1">
      <c r="A60" s="35">
        <v>57</v>
      </c>
      <c r="B60" s="30" t="s">
        <v>5</v>
      </c>
      <c r="C60" s="36">
        <v>46096</v>
      </c>
      <c r="D60" s="30" t="s">
        <v>2</v>
      </c>
      <c r="E60" s="30">
        <v>2440</v>
      </c>
      <c r="F60" s="30">
        <v>2174</v>
      </c>
      <c r="G60" s="31">
        <v>0.89098360655737707</v>
      </c>
      <c r="H60" s="30">
        <v>885</v>
      </c>
      <c r="I60" s="32">
        <v>0.36270491803278693</v>
      </c>
      <c r="J60" s="30">
        <v>2446</v>
      </c>
      <c r="K60" s="30">
        <v>2307</v>
      </c>
      <c r="L60" s="31">
        <v>0.94299999999999995</v>
      </c>
      <c r="M60" s="30">
        <v>11785</v>
      </c>
      <c r="N60" s="30">
        <v>11394</v>
      </c>
      <c r="O60" s="30">
        <v>11527</v>
      </c>
      <c r="P60" s="31">
        <v>0.97810776410691558</v>
      </c>
      <c r="Q60" s="30">
        <v>33</v>
      </c>
      <c r="R60" s="30">
        <v>0</v>
      </c>
      <c r="S60" s="30">
        <v>0</v>
      </c>
      <c r="T60" s="31">
        <v>0</v>
      </c>
      <c r="U60" s="30">
        <v>0</v>
      </c>
      <c r="V60" s="31">
        <v>0</v>
      </c>
      <c r="W60" s="30">
        <v>2144</v>
      </c>
      <c r="X60" s="31">
        <v>0.87868852459016389</v>
      </c>
      <c r="Y60" s="30">
        <v>491</v>
      </c>
      <c r="Z60" s="33">
        <v>0.20122950819672131</v>
      </c>
      <c r="AA60" s="30">
        <v>31</v>
      </c>
      <c r="AB60" s="31">
        <v>1.270491803278689E-2</v>
      </c>
      <c r="AC60" s="30">
        <v>452</v>
      </c>
      <c r="AD60" s="31">
        <v>0.18524590163934429</v>
      </c>
      <c r="AE60" s="30">
        <v>65</v>
      </c>
      <c r="AF60" s="31">
        <v>0.1438053097345133</v>
      </c>
      <c r="AG60" s="30">
        <v>421</v>
      </c>
      <c r="AH60" s="31">
        <v>0.93141592920353977</v>
      </c>
      <c r="AI60" s="34">
        <v>434</v>
      </c>
      <c r="AJ60" s="31">
        <v>0.1778688524590164</v>
      </c>
      <c r="AK60" s="34">
        <v>3</v>
      </c>
      <c r="AL60" s="31">
        <v>0.82718894009216593</v>
      </c>
      <c r="AM60" s="34">
        <v>434</v>
      </c>
      <c r="AN60" s="34">
        <v>359</v>
      </c>
      <c r="AO60" s="31">
        <v>0.14713114754098361</v>
      </c>
      <c r="AP60" s="31">
        <v>0.79424778761061943</v>
      </c>
      <c r="AQ60" s="32">
        <v>0.96464646464646464</v>
      </c>
      <c r="AR60" s="34">
        <v>0</v>
      </c>
      <c r="AS60" s="34">
        <v>0</v>
      </c>
      <c r="AT60" s="34">
        <v>109</v>
      </c>
      <c r="AU60" s="34">
        <v>106</v>
      </c>
      <c r="AV60" s="34">
        <v>106</v>
      </c>
      <c r="AW60" s="34">
        <v>56</v>
      </c>
      <c r="AX60" s="31">
        <v>4.3442622950819673E-2</v>
      </c>
      <c r="AY60" s="31">
        <v>4.3442622950819673E-2</v>
      </c>
      <c r="AZ60" s="31">
        <v>2.295081967213115E-2</v>
      </c>
      <c r="BA60" s="31">
        <v>0.29526462395543168</v>
      </c>
      <c r="BB60" s="34">
        <v>0</v>
      </c>
      <c r="BC60" s="34">
        <v>0</v>
      </c>
      <c r="BD60" s="32">
        <v>1</v>
      </c>
      <c r="BE60" s="32">
        <v>1</v>
      </c>
      <c r="BF60" s="32" t="s">
        <v>335</v>
      </c>
    </row>
    <row r="61" spans="1:58" ht="19.5" customHeight="1">
      <c r="A61" s="35">
        <v>58</v>
      </c>
      <c r="B61" s="30" t="s">
        <v>5</v>
      </c>
      <c r="C61" s="36">
        <v>46096</v>
      </c>
      <c r="D61" s="30" t="s">
        <v>285</v>
      </c>
      <c r="E61" s="30">
        <v>2194</v>
      </c>
      <c r="F61" s="30">
        <v>1985</v>
      </c>
      <c r="G61" s="31">
        <v>0.90474020054694626</v>
      </c>
      <c r="H61" s="30">
        <v>1072</v>
      </c>
      <c r="I61" s="32">
        <v>0.48860528714676388</v>
      </c>
      <c r="J61" s="30">
        <v>2056</v>
      </c>
      <c r="K61" s="30">
        <v>1847</v>
      </c>
      <c r="L61" s="31">
        <v>0.89800000000000002</v>
      </c>
      <c r="M61" s="30">
        <v>9181</v>
      </c>
      <c r="N61" s="30">
        <v>9145</v>
      </c>
      <c r="O61" s="30">
        <v>8869</v>
      </c>
      <c r="P61" s="31">
        <v>0.9660167737719203</v>
      </c>
      <c r="Q61" s="30">
        <v>28</v>
      </c>
      <c r="R61" s="30">
        <v>0</v>
      </c>
      <c r="S61" s="30">
        <v>0</v>
      </c>
      <c r="T61" s="31">
        <v>0</v>
      </c>
      <c r="U61" s="30">
        <v>0</v>
      </c>
      <c r="V61" s="31">
        <v>0</v>
      </c>
      <c r="W61" s="30">
        <v>2837</v>
      </c>
      <c r="X61" s="31">
        <v>1.2930720145852319</v>
      </c>
      <c r="Y61" s="30">
        <v>519</v>
      </c>
      <c r="Z61" s="33">
        <v>0.23655423883318141</v>
      </c>
      <c r="AA61" s="30">
        <v>15</v>
      </c>
      <c r="AB61" s="31">
        <v>6.8368277119416586E-3</v>
      </c>
      <c r="AC61" s="30">
        <v>541</v>
      </c>
      <c r="AD61" s="31">
        <v>0.2465815861440292</v>
      </c>
      <c r="AE61" s="30">
        <v>68</v>
      </c>
      <c r="AF61" s="31">
        <v>0.1256931608133087</v>
      </c>
      <c r="AG61" s="30">
        <v>505</v>
      </c>
      <c r="AH61" s="31">
        <v>0.93345656192236603</v>
      </c>
      <c r="AI61" s="34">
        <v>518</v>
      </c>
      <c r="AJ61" s="31">
        <v>0.23609845031905199</v>
      </c>
      <c r="AK61" s="34">
        <v>4</v>
      </c>
      <c r="AL61" s="31">
        <v>0.86100386100386095</v>
      </c>
      <c r="AM61" s="34">
        <v>515</v>
      </c>
      <c r="AN61" s="34">
        <v>446</v>
      </c>
      <c r="AO61" s="31">
        <v>0.20328167730173199</v>
      </c>
      <c r="AP61" s="31">
        <v>0.8243992606284658</v>
      </c>
      <c r="AQ61" s="32">
        <v>0.97977528089887644</v>
      </c>
      <c r="AR61" s="34">
        <v>0</v>
      </c>
      <c r="AS61" s="34">
        <v>0</v>
      </c>
      <c r="AT61" s="34">
        <v>85</v>
      </c>
      <c r="AU61" s="34">
        <v>84</v>
      </c>
      <c r="AV61" s="34">
        <v>80</v>
      </c>
      <c r="AW61" s="34">
        <v>29</v>
      </c>
      <c r="AX61" s="31">
        <v>3.8286235186873289E-2</v>
      </c>
      <c r="AY61" s="31">
        <v>3.6463081130355512E-2</v>
      </c>
      <c r="AZ61" s="31">
        <v>1.3217866909753869E-2</v>
      </c>
      <c r="BA61" s="31">
        <v>0.179372197309417</v>
      </c>
      <c r="BB61" s="34">
        <v>0</v>
      </c>
      <c r="BC61" s="34">
        <v>1</v>
      </c>
      <c r="BD61" s="32">
        <v>1</v>
      </c>
      <c r="BE61" s="32">
        <v>0.91666666666666663</v>
      </c>
      <c r="BF61" s="32" t="s">
        <v>335</v>
      </c>
    </row>
    <row r="62" spans="1:58" ht="19.5" customHeight="1">
      <c r="A62" s="35">
        <v>59</v>
      </c>
      <c r="B62" s="30" t="s">
        <v>5</v>
      </c>
      <c r="C62" s="36">
        <v>46096</v>
      </c>
      <c r="D62" s="30" t="s">
        <v>25</v>
      </c>
      <c r="E62" s="30">
        <v>64</v>
      </c>
      <c r="F62" s="30">
        <v>62</v>
      </c>
      <c r="G62" s="31">
        <v>0.96875</v>
      </c>
      <c r="H62" s="30">
        <v>39</v>
      </c>
      <c r="I62" s="32">
        <v>0.609375</v>
      </c>
      <c r="J62" s="30">
        <v>57</v>
      </c>
      <c r="K62" s="30">
        <v>56</v>
      </c>
      <c r="L62" s="31">
        <v>0.98199999999999998</v>
      </c>
      <c r="M62" s="30">
        <v>261</v>
      </c>
      <c r="N62" s="30">
        <v>253</v>
      </c>
      <c r="O62" s="30">
        <v>255</v>
      </c>
      <c r="P62" s="31">
        <v>0.97701149425287359</v>
      </c>
      <c r="Q62" s="30">
        <v>0</v>
      </c>
      <c r="R62" s="30">
        <v>0</v>
      </c>
      <c r="S62" s="30">
        <v>0</v>
      </c>
      <c r="T62" s="31">
        <v>0</v>
      </c>
      <c r="U62" s="30">
        <v>0</v>
      </c>
      <c r="V62" s="31">
        <v>0</v>
      </c>
      <c r="W62" s="30">
        <v>0</v>
      </c>
      <c r="X62" s="31">
        <v>0</v>
      </c>
      <c r="Y62" s="30">
        <v>0</v>
      </c>
      <c r="Z62" s="33">
        <v>0</v>
      </c>
      <c r="AA62" s="30">
        <v>0</v>
      </c>
      <c r="AB62" s="31">
        <v>0</v>
      </c>
      <c r="AC62" s="30">
        <v>24</v>
      </c>
      <c r="AD62" s="31">
        <v>0.375</v>
      </c>
      <c r="AE62" s="30">
        <v>12</v>
      </c>
      <c r="AF62" s="31">
        <v>0.5</v>
      </c>
      <c r="AG62" s="30">
        <v>23</v>
      </c>
      <c r="AH62" s="31">
        <v>0.95833333333333337</v>
      </c>
      <c r="AI62" s="34">
        <v>0</v>
      </c>
      <c r="AJ62" s="31">
        <v>0</v>
      </c>
      <c r="AK62" s="34">
        <v>0</v>
      </c>
      <c r="AL62" s="31">
        <v>0</v>
      </c>
      <c r="AM62" s="34">
        <v>0</v>
      </c>
      <c r="AN62" s="34">
        <v>0</v>
      </c>
      <c r="AO62" s="31">
        <v>0</v>
      </c>
      <c r="AP62" s="31">
        <v>0</v>
      </c>
      <c r="AQ62" s="32">
        <v>1</v>
      </c>
      <c r="AR62" s="34">
        <v>0</v>
      </c>
      <c r="AS62" s="34">
        <v>0</v>
      </c>
      <c r="AT62" s="34">
        <v>0</v>
      </c>
      <c r="AU62" s="34">
        <v>0</v>
      </c>
      <c r="AV62" s="34">
        <v>0</v>
      </c>
      <c r="AW62" s="34">
        <v>0</v>
      </c>
      <c r="AX62" s="31">
        <v>0</v>
      </c>
      <c r="AY62" s="31">
        <v>0</v>
      </c>
      <c r="AZ62" s="31">
        <v>0</v>
      </c>
      <c r="BA62" s="31">
        <v>0</v>
      </c>
      <c r="BB62" s="34">
        <v>0</v>
      </c>
      <c r="BC62" s="34">
        <v>0</v>
      </c>
      <c r="BD62" s="32" t="s">
        <v>335</v>
      </c>
      <c r="BE62" s="32" t="s">
        <v>335</v>
      </c>
      <c r="BF62" s="32" t="s">
        <v>335</v>
      </c>
    </row>
    <row r="63" spans="1:58" ht="19.5" customHeight="1">
      <c r="A63" s="35">
        <v>60</v>
      </c>
      <c r="B63" s="30" t="s">
        <v>5</v>
      </c>
      <c r="C63" s="36">
        <v>46096</v>
      </c>
      <c r="D63" s="30" t="s">
        <v>287</v>
      </c>
      <c r="E63" s="30">
        <v>5823</v>
      </c>
      <c r="F63" s="30">
        <v>5059</v>
      </c>
      <c r="G63" s="31">
        <v>0.86879615318564318</v>
      </c>
      <c r="H63" s="30">
        <v>4403</v>
      </c>
      <c r="I63" s="32">
        <v>0.75613944702043623</v>
      </c>
      <c r="J63" s="30">
        <v>6682</v>
      </c>
      <c r="K63" s="30">
        <v>6390</v>
      </c>
      <c r="L63" s="31">
        <v>0.95599999999999996</v>
      </c>
      <c r="M63" s="30">
        <v>25077</v>
      </c>
      <c r="N63" s="30">
        <v>25420</v>
      </c>
      <c r="O63" s="30">
        <v>24573</v>
      </c>
      <c r="P63" s="31">
        <v>0.97990190214140449</v>
      </c>
      <c r="Q63" s="30">
        <v>36</v>
      </c>
      <c r="R63" s="30">
        <v>0</v>
      </c>
      <c r="S63" s="30">
        <v>0</v>
      </c>
      <c r="T63" s="31">
        <v>0</v>
      </c>
      <c r="U63" s="30">
        <v>0</v>
      </c>
      <c r="V63" s="31">
        <v>0</v>
      </c>
      <c r="W63" s="30">
        <v>3474</v>
      </c>
      <c r="X63" s="31">
        <v>0.59659969088098919</v>
      </c>
      <c r="Y63" s="30">
        <v>703</v>
      </c>
      <c r="Z63" s="33">
        <v>0.1207281470032629</v>
      </c>
      <c r="AA63" s="30">
        <v>82</v>
      </c>
      <c r="AB63" s="31">
        <v>1.4082088270650869E-2</v>
      </c>
      <c r="AC63" s="30">
        <v>1013</v>
      </c>
      <c r="AD63" s="31">
        <v>0.1739653099776747</v>
      </c>
      <c r="AE63" s="30">
        <v>141</v>
      </c>
      <c r="AF63" s="31">
        <v>0.13919052319842051</v>
      </c>
      <c r="AG63" s="30">
        <v>956</v>
      </c>
      <c r="AH63" s="31">
        <v>0.94373149062191508</v>
      </c>
      <c r="AI63" s="34">
        <v>996</v>
      </c>
      <c r="AJ63" s="31">
        <v>0.17104585265327149</v>
      </c>
      <c r="AK63" s="34">
        <v>10</v>
      </c>
      <c r="AL63" s="31">
        <v>0.92871485943775101</v>
      </c>
      <c r="AM63" s="34">
        <v>989</v>
      </c>
      <c r="AN63" s="34">
        <v>925</v>
      </c>
      <c r="AO63" s="31">
        <v>0.15885282500429329</v>
      </c>
      <c r="AP63" s="31">
        <v>0.91312931885488646</v>
      </c>
      <c r="AQ63" s="32">
        <v>0.96819787985865724</v>
      </c>
      <c r="AR63" s="34">
        <v>0</v>
      </c>
      <c r="AS63" s="34">
        <v>0</v>
      </c>
      <c r="AT63" s="34">
        <v>196</v>
      </c>
      <c r="AU63" s="34">
        <v>189</v>
      </c>
      <c r="AV63" s="34">
        <v>182</v>
      </c>
      <c r="AW63" s="34">
        <v>88</v>
      </c>
      <c r="AX63" s="31">
        <v>3.2457496136012363E-2</v>
      </c>
      <c r="AY63" s="31">
        <v>3.1255366649493389E-2</v>
      </c>
      <c r="AZ63" s="31">
        <v>1.511248497338142E-2</v>
      </c>
      <c r="BA63" s="31">
        <v>0.19675675675675669</v>
      </c>
      <c r="BB63" s="34">
        <v>0</v>
      </c>
      <c r="BC63" s="34">
        <v>0</v>
      </c>
      <c r="BD63" s="32">
        <v>0.98305084745762716</v>
      </c>
      <c r="BE63" s="32">
        <v>1</v>
      </c>
      <c r="BF63" s="32" t="s">
        <v>335</v>
      </c>
    </row>
    <row r="64" spans="1:58" ht="19.5" customHeight="1">
      <c r="A64" s="35">
        <v>61</v>
      </c>
      <c r="B64" s="30" t="s">
        <v>5</v>
      </c>
      <c r="C64" s="36">
        <v>46097</v>
      </c>
      <c r="D64" s="30" t="s">
        <v>2</v>
      </c>
      <c r="E64" s="30">
        <v>4278</v>
      </c>
      <c r="F64" s="30">
        <v>3681</v>
      </c>
      <c r="G64" s="31">
        <v>0.86044880785413747</v>
      </c>
      <c r="H64" s="30">
        <v>2387</v>
      </c>
      <c r="I64" s="32">
        <v>0.55797101449275366</v>
      </c>
      <c r="J64" s="30">
        <v>3500</v>
      </c>
      <c r="K64" s="30">
        <v>3350</v>
      </c>
      <c r="L64" s="31">
        <v>0.95699999999999996</v>
      </c>
      <c r="M64" s="30">
        <v>11834</v>
      </c>
      <c r="N64" s="30">
        <v>11844</v>
      </c>
      <c r="O64" s="30">
        <v>11543</v>
      </c>
      <c r="P64" s="31">
        <v>0.97540983606557374</v>
      </c>
      <c r="Q64" s="30">
        <v>57</v>
      </c>
      <c r="R64" s="30">
        <v>0</v>
      </c>
      <c r="S64" s="30">
        <v>0</v>
      </c>
      <c r="T64" s="31">
        <v>0</v>
      </c>
      <c r="U64" s="30">
        <v>0</v>
      </c>
      <c r="V64" s="31">
        <v>0</v>
      </c>
      <c r="W64" s="30">
        <v>2793</v>
      </c>
      <c r="X64" s="31">
        <v>0.65287517531556805</v>
      </c>
      <c r="Y64" s="30">
        <v>446</v>
      </c>
      <c r="Z64" s="33">
        <v>0.10425432445067789</v>
      </c>
      <c r="AA64" s="30">
        <v>32</v>
      </c>
      <c r="AB64" s="31">
        <v>7.4801309022907896E-3</v>
      </c>
      <c r="AC64" s="30">
        <v>299</v>
      </c>
      <c r="AD64" s="31">
        <v>6.9892473118279563E-2</v>
      </c>
      <c r="AE64" s="30">
        <v>50</v>
      </c>
      <c r="AF64" s="31">
        <v>0.1672240802675585</v>
      </c>
      <c r="AG64" s="30">
        <v>269</v>
      </c>
      <c r="AH64" s="31">
        <v>0.89966555183946484</v>
      </c>
      <c r="AI64" s="34">
        <v>296</v>
      </c>
      <c r="AJ64" s="31">
        <v>6.9191210846189802E-2</v>
      </c>
      <c r="AK64" s="34">
        <v>1</v>
      </c>
      <c r="AL64" s="31">
        <v>0.8783783783783784</v>
      </c>
      <c r="AM64" s="34">
        <v>293</v>
      </c>
      <c r="AN64" s="34">
        <v>260</v>
      </c>
      <c r="AO64" s="31">
        <v>6.077606358111267E-2</v>
      </c>
      <c r="AP64" s="31">
        <v>0.86956521739130432</v>
      </c>
      <c r="AQ64" s="32">
        <v>0.96287128712871284</v>
      </c>
      <c r="AR64" s="34">
        <v>0</v>
      </c>
      <c r="AS64" s="34">
        <v>0</v>
      </c>
      <c r="AT64" s="34">
        <v>80</v>
      </c>
      <c r="AU64" s="34">
        <v>74</v>
      </c>
      <c r="AV64" s="34">
        <v>75</v>
      </c>
      <c r="AW64" s="34">
        <v>116</v>
      </c>
      <c r="AX64" s="31">
        <v>1.729780271154745E-2</v>
      </c>
      <c r="AY64" s="31">
        <v>1.7531556802244039E-2</v>
      </c>
      <c r="AZ64" s="31">
        <v>2.7115474520804119E-2</v>
      </c>
      <c r="BA64" s="31">
        <v>0.28846153846153838</v>
      </c>
      <c r="BB64" s="34">
        <v>0</v>
      </c>
      <c r="BC64" s="34">
        <v>0</v>
      </c>
      <c r="BD64" s="32">
        <v>1</v>
      </c>
      <c r="BE64" s="32">
        <v>1</v>
      </c>
      <c r="BF64" s="32" t="s">
        <v>335</v>
      </c>
    </row>
    <row r="65" spans="1:58" ht="19.5" customHeight="1">
      <c r="A65" s="35">
        <v>62</v>
      </c>
      <c r="B65" s="30" t="s">
        <v>5</v>
      </c>
      <c r="C65" s="36">
        <v>46097</v>
      </c>
      <c r="D65" s="30" t="s">
        <v>285</v>
      </c>
      <c r="E65" s="30">
        <v>2068</v>
      </c>
      <c r="F65" s="30">
        <v>1832</v>
      </c>
      <c r="G65" s="31">
        <v>0.88588007736943908</v>
      </c>
      <c r="H65" s="30">
        <v>763</v>
      </c>
      <c r="I65" s="32">
        <v>0.36895551257253378</v>
      </c>
      <c r="J65" s="30">
        <v>1670</v>
      </c>
      <c r="K65" s="30">
        <v>1575</v>
      </c>
      <c r="L65" s="31">
        <v>0.94299999999999995</v>
      </c>
      <c r="M65" s="30">
        <v>9045</v>
      </c>
      <c r="N65" s="30">
        <v>8344</v>
      </c>
      <c r="O65" s="30">
        <v>8827</v>
      </c>
      <c r="P65" s="31">
        <v>0.97589828634604758</v>
      </c>
      <c r="Q65" s="30">
        <v>24</v>
      </c>
      <c r="R65" s="30">
        <v>0</v>
      </c>
      <c r="S65" s="30">
        <v>0</v>
      </c>
      <c r="T65" s="31">
        <v>0</v>
      </c>
      <c r="U65" s="30">
        <v>0</v>
      </c>
      <c r="V65" s="31">
        <v>0</v>
      </c>
      <c r="W65" s="30">
        <v>3176</v>
      </c>
      <c r="X65" s="31">
        <v>1.5357833655705999</v>
      </c>
      <c r="Y65" s="30">
        <v>977</v>
      </c>
      <c r="Z65" s="33">
        <v>0.47243713733075438</v>
      </c>
      <c r="AA65" s="30">
        <v>10</v>
      </c>
      <c r="AB65" s="31">
        <v>4.8355899419729211E-3</v>
      </c>
      <c r="AC65" s="30">
        <v>249</v>
      </c>
      <c r="AD65" s="31">
        <v>0.12040618955512571</v>
      </c>
      <c r="AE65" s="30">
        <v>37</v>
      </c>
      <c r="AF65" s="31">
        <v>0.14859437751004009</v>
      </c>
      <c r="AG65" s="30">
        <v>236</v>
      </c>
      <c r="AH65" s="31">
        <v>0.94779116465863456</v>
      </c>
      <c r="AI65" s="34">
        <v>245</v>
      </c>
      <c r="AJ65" s="31">
        <v>0.11847195357833661</v>
      </c>
      <c r="AK65" s="34">
        <v>0</v>
      </c>
      <c r="AL65" s="31">
        <v>0.87346938775510208</v>
      </c>
      <c r="AM65" s="34">
        <v>242</v>
      </c>
      <c r="AN65" s="34">
        <v>214</v>
      </c>
      <c r="AO65" s="31">
        <v>0.10348162475822049</v>
      </c>
      <c r="AP65" s="31">
        <v>0.85943775100401609</v>
      </c>
      <c r="AQ65" s="32">
        <v>0.96993987975951901</v>
      </c>
      <c r="AR65" s="34">
        <v>0</v>
      </c>
      <c r="AS65" s="34">
        <v>0</v>
      </c>
      <c r="AT65" s="34">
        <v>56</v>
      </c>
      <c r="AU65" s="34">
        <v>41</v>
      </c>
      <c r="AV65" s="34">
        <v>42</v>
      </c>
      <c r="AW65" s="34">
        <v>47</v>
      </c>
      <c r="AX65" s="31">
        <v>1.982591876208897E-2</v>
      </c>
      <c r="AY65" s="31">
        <v>2.0309477756286269E-2</v>
      </c>
      <c r="AZ65" s="31">
        <v>2.2727272727272731E-2</v>
      </c>
      <c r="BA65" s="31">
        <v>0.19626168224299059</v>
      </c>
      <c r="BB65" s="34">
        <v>0</v>
      </c>
      <c r="BC65" s="34">
        <v>0</v>
      </c>
      <c r="BD65" s="32">
        <v>0.97142857142857142</v>
      </c>
      <c r="BE65" s="32">
        <v>1</v>
      </c>
      <c r="BF65" s="32" t="s">
        <v>335</v>
      </c>
    </row>
    <row r="66" spans="1:58" ht="19.5" customHeight="1">
      <c r="A66" s="35">
        <v>63</v>
      </c>
      <c r="B66" s="30" t="s">
        <v>5</v>
      </c>
      <c r="C66" s="36">
        <v>46097</v>
      </c>
      <c r="D66" s="30" t="s">
        <v>25</v>
      </c>
      <c r="E66" s="30">
        <v>54</v>
      </c>
      <c r="F66" s="30">
        <v>53</v>
      </c>
      <c r="G66" s="31">
        <v>0.98148148148148151</v>
      </c>
      <c r="H66" s="30">
        <v>25</v>
      </c>
      <c r="I66" s="32">
        <v>0.46296296296296302</v>
      </c>
      <c r="J66" s="30">
        <v>49</v>
      </c>
      <c r="K66" s="30">
        <v>47</v>
      </c>
      <c r="L66" s="31">
        <v>0.95899999999999996</v>
      </c>
      <c r="M66" s="30">
        <v>225</v>
      </c>
      <c r="N66" s="30">
        <v>199</v>
      </c>
      <c r="O66" s="30">
        <v>220</v>
      </c>
      <c r="P66" s="31">
        <v>0.97777777777777775</v>
      </c>
      <c r="Q66" s="30">
        <v>1</v>
      </c>
      <c r="R66" s="30">
        <v>0</v>
      </c>
      <c r="S66" s="30">
        <v>0</v>
      </c>
      <c r="T66" s="31">
        <v>0</v>
      </c>
      <c r="U66" s="30">
        <v>0</v>
      </c>
      <c r="V66" s="31">
        <v>0</v>
      </c>
      <c r="W66" s="30">
        <v>1</v>
      </c>
      <c r="X66" s="31">
        <v>1.8518518518518521E-2</v>
      </c>
      <c r="Y66" s="30">
        <v>1</v>
      </c>
      <c r="Z66" s="33">
        <v>1.8518518518518521E-2</v>
      </c>
      <c r="AA66" s="30">
        <v>0</v>
      </c>
      <c r="AB66" s="31">
        <v>0</v>
      </c>
      <c r="AC66" s="30">
        <v>11</v>
      </c>
      <c r="AD66" s="31">
        <v>0.20370370370370369</v>
      </c>
      <c r="AE66" s="30">
        <v>13</v>
      </c>
      <c r="AF66" s="31">
        <v>1.1818181818181821</v>
      </c>
      <c r="AG66" s="30">
        <v>10</v>
      </c>
      <c r="AH66" s="31">
        <v>0.90909090909090906</v>
      </c>
      <c r="AI66" s="34">
        <v>0</v>
      </c>
      <c r="AJ66" s="31">
        <v>0</v>
      </c>
      <c r="AK66" s="34">
        <v>0</v>
      </c>
      <c r="AL66" s="31">
        <v>0</v>
      </c>
      <c r="AM66" s="34">
        <v>0</v>
      </c>
      <c r="AN66" s="34">
        <v>0</v>
      </c>
      <c r="AO66" s="31">
        <v>0</v>
      </c>
      <c r="AP66" s="31">
        <v>0</v>
      </c>
      <c r="AQ66" s="32">
        <v>1</v>
      </c>
      <c r="AR66" s="34">
        <v>0</v>
      </c>
      <c r="AS66" s="34">
        <v>0</v>
      </c>
      <c r="AT66" s="34">
        <v>0</v>
      </c>
      <c r="AU66" s="34">
        <v>0</v>
      </c>
      <c r="AV66" s="34">
        <v>0</v>
      </c>
      <c r="AW66" s="34">
        <v>0</v>
      </c>
      <c r="AX66" s="31">
        <v>0</v>
      </c>
      <c r="AY66" s="31">
        <v>0</v>
      </c>
      <c r="AZ66" s="31">
        <v>0</v>
      </c>
      <c r="BA66" s="31">
        <v>0</v>
      </c>
      <c r="BB66" s="34">
        <v>0</v>
      </c>
      <c r="BC66" s="34">
        <v>0</v>
      </c>
      <c r="BD66" s="32" t="s">
        <v>335</v>
      </c>
      <c r="BE66" s="32" t="s">
        <v>335</v>
      </c>
      <c r="BF66" s="32" t="s">
        <v>335</v>
      </c>
    </row>
    <row r="67" spans="1:58" ht="19.5" customHeight="1">
      <c r="A67" s="35">
        <v>64</v>
      </c>
      <c r="B67" s="30" t="s">
        <v>5</v>
      </c>
      <c r="C67" s="36">
        <v>46097</v>
      </c>
      <c r="D67" s="30" t="s">
        <v>287</v>
      </c>
      <c r="E67" s="30">
        <v>3983</v>
      </c>
      <c r="F67" s="30">
        <v>3602</v>
      </c>
      <c r="G67" s="31">
        <v>0.90434345970374086</v>
      </c>
      <c r="H67" s="30">
        <v>2440</v>
      </c>
      <c r="I67" s="32">
        <v>0.61260356515189551</v>
      </c>
      <c r="J67" s="30">
        <v>5222</v>
      </c>
      <c r="K67" s="30">
        <v>5106</v>
      </c>
      <c r="L67" s="31">
        <v>0.97799999999999998</v>
      </c>
      <c r="M67" s="30">
        <v>23294</v>
      </c>
      <c r="N67" s="30">
        <v>23077</v>
      </c>
      <c r="O67" s="30">
        <v>22939</v>
      </c>
      <c r="P67" s="31">
        <v>0.98476002404052543</v>
      </c>
      <c r="Q67" s="30">
        <v>22</v>
      </c>
      <c r="R67" s="30">
        <v>0</v>
      </c>
      <c r="S67" s="30">
        <v>0</v>
      </c>
      <c r="T67" s="31">
        <v>0</v>
      </c>
      <c r="U67" s="30">
        <v>0</v>
      </c>
      <c r="V67" s="31">
        <v>0</v>
      </c>
      <c r="W67" s="30">
        <v>4105</v>
      </c>
      <c r="X67" s="31">
        <v>1.0306301782575951</v>
      </c>
      <c r="Y67" s="30">
        <v>663</v>
      </c>
      <c r="Z67" s="33">
        <v>0.1664574441375847</v>
      </c>
      <c r="AA67" s="30">
        <v>82</v>
      </c>
      <c r="AB67" s="31">
        <v>2.0587496861662061E-2</v>
      </c>
      <c r="AC67" s="30">
        <v>528</v>
      </c>
      <c r="AD67" s="31">
        <v>0.13256339442631179</v>
      </c>
      <c r="AE67" s="30">
        <v>92</v>
      </c>
      <c r="AF67" s="31">
        <v>0.17424242424242431</v>
      </c>
      <c r="AG67" s="30">
        <v>491</v>
      </c>
      <c r="AH67" s="31">
        <v>0.92992424242424243</v>
      </c>
      <c r="AI67" s="34">
        <v>526</v>
      </c>
      <c r="AJ67" s="31">
        <v>0.13206126035651519</v>
      </c>
      <c r="AK67" s="34">
        <v>2</v>
      </c>
      <c r="AL67" s="31">
        <v>0.94296577946768056</v>
      </c>
      <c r="AM67" s="34">
        <v>520</v>
      </c>
      <c r="AN67" s="34">
        <v>496</v>
      </c>
      <c r="AO67" s="31">
        <v>0.1245292493095657</v>
      </c>
      <c r="AP67" s="31">
        <v>0.93939393939393945</v>
      </c>
      <c r="AQ67" s="32">
        <v>0.96617336152219868</v>
      </c>
      <c r="AR67" s="34">
        <v>0</v>
      </c>
      <c r="AS67" s="34">
        <v>0</v>
      </c>
      <c r="AT67" s="34">
        <v>106</v>
      </c>
      <c r="AU67" s="34">
        <v>88</v>
      </c>
      <c r="AV67" s="34">
        <v>92</v>
      </c>
      <c r="AW67" s="34">
        <v>167</v>
      </c>
      <c r="AX67" s="31">
        <v>2.209389907105197E-2</v>
      </c>
      <c r="AY67" s="31">
        <v>2.309816721064524E-2</v>
      </c>
      <c r="AZ67" s="31">
        <v>4.1928194828019079E-2</v>
      </c>
      <c r="BA67" s="31">
        <v>0.18548387096774191</v>
      </c>
      <c r="BB67" s="34">
        <v>0</v>
      </c>
      <c r="BC67" s="34">
        <v>1</v>
      </c>
      <c r="BD67" s="32">
        <v>0.98484848484848486</v>
      </c>
      <c r="BE67" s="32">
        <v>0.95454545454545459</v>
      </c>
      <c r="BF67" s="32" t="s">
        <v>335</v>
      </c>
    </row>
    <row r="68" spans="1:58" ht="19.5" customHeight="1">
      <c r="A68" s="35">
        <v>65</v>
      </c>
      <c r="B68" s="30" t="s">
        <v>5</v>
      </c>
      <c r="C68" s="36">
        <v>46098</v>
      </c>
      <c r="D68" s="30" t="s">
        <v>2</v>
      </c>
      <c r="E68" s="30">
        <v>3770</v>
      </c>
      <c r="F68" s="30">
        <v>3252</v>
      </c>
      <c r="G68" s="31">
        <v>0.86259946949602118</v>
      </c>
      <c r="H68" s="30">
        <v>2008</v>
      </c>
      <c r="I68" s="32">
        <v>0.53262599469496019</v>
      </c>
      <c r="J68" s="30">
        <v>3618</v>
      </c>
      <c r="K68" s="30">
        <v>3520</v>
      </c>
      <c r="L68" s="31">
        <v>0.97299999999999998</v>
      </c>
      <c r="M68" s="30">
        <v>13367</v>
      </c>
      <c r="N68" s="30">
        <v>13604</v>
      </c>
      <c r="O68" s="30">
        <v>13159</v>
      </c>
      <c r="P68" s="31">
        <v>0.98443929079075332</v>
      </c>
      <c r="Q68" s="30">
        <v>38</v>
      </c>
      <c r="R68" s="30">
        <v>0</v>
      </c>
      <c r="S68" s="30">
        <v>0</v>
      </c>
      <c r="T68" s="31">
        <v>0</v>
      </c>
      <c r="U68" s="30">
        <v>0</v>
      </c>
      <c r="V68" s="31">
        <v>0</v>
      </c>
      <c r="W68" s="30">
        <v>2828</v>
      </c>
      <c r="X68" s="31">
        <v>0.75013262599469499</v>
      </c>
      <c r="Y68" s="30">
        <v>331</v>
      </c>
      <c r="Z68" s="33">
        <v>8.7798408488063667E-2</v>
      </c>
      <c r="AA68" s="30">
        <v>35</v>
      </c>
      <c r="AB68" s="31">
        <v>9.2838196286472146E-3</v>
      </c>
      <c r="AC68" s="30">
        <v>261</v>
      </c>
      <c r="AD68" s="31">
        <v>6.9230769230769235E-2</v>
      </c>
      <c r="AE68" s="30">
        <v>49</v>
      </c>
      <c r="AF68" s="31">
        <v>0.1877394636015326</v>
      </c>
      <c r="AG68" s="30">
        <v>228</v>
      </c>
      <c r="AH68" s="31">
        <v>0.87356321839080464</v>
      </c>
      <c r="AI68" s="34">
        <v>255</v>
      </c>
      <c r="AJ68" s="31">
        <v>6.7639257294429711E-2</v>
      </c>
      <c r="AK68" s="34">
        <v>3</v>
      </c>
      <c r="AL68" s="31">
        <v>0.83529411764705885</v>
      </c>
      <c r="AM68" s="34">
        <v>255</v>
      </c>
      <c r="AN68" s="34">
        <v>213</v>
      </c>
      <c r="AO68" s="31">
        <v>5.6498673740053053E-2</v>
      </c>
      <c r="AP68" s="31">
        <v>0.81609195402298851</v>
      </c>
      <c r="AQ68" s="32">
        <v>0.97397769516728627</v>
      </c>
      <c r="AR68" s="34">
        <v>0</v>
      </c>
      <c r="AS68" s="34">
        <v>0</v>
      </c>
      <c r="AT68" s="34">
        <v>50</v>
      </c>
      <c r="AU68" s="34">
        <v>46</v>
      </c>
      <c r="AV68" s="34">
        <v>46</v>
      </c>
      <c r="AW68" s="34">
        <v>71</v>
      </c>
      <c r="AX68" s="31">
        <v>1.220159151193634E-2</v>
      </c>
      <c r="AY68" s="31">
        <v>1.220159151193634E-2</v>
      </c>
      <c r="AZ68" s="31">
        <v>1.8832891246684351E-2</v>
      </c>
      <c r="BA68" s="31">
        <v>0.215962441314554</v>
      </c>
      <c r="BB68" s="34">
        <v>0</v>
      </c>
      <c r="BC68" s="34">
        <v>1</v>
      </c>
      <c r="BD68" s="32">
        <v>0.95238095238095233</v>
      </c>
      <c r="BE68" s="32">
        <v>1</v>
      </c>
      <c r="BF68" s="32" t="s">
        <v>335</v>
      </c>
    </row>
    <row r="69" spans="1:58" ht="19.5" customHeight="1">
      <c r="A69" s="35">
        <v>66</v>
      </c>
      <c r="B69" s="30" t="s">
        <v>5</v>
      </c>
      <c r="C69" s="36">
        <v>46098</v>
      </c>
      <c r="D69" s="30" t="s">
        <v>285</v>
      </c>
      <c r="E69" s="30">
        <v>2381</v>
      </c>
      <c r="F69" s="30">
        <v>2079</v>
      </c>
      <c r="G69" s="31">
        <v>0.87316253674926503</v>
      </c>
      <c r="H69" s="30">
        <v>1415</v>
      </c>
      <c r="I69" s="32">
        <v>0.59428811423771521</v>
      </c>
      <c r="J69" s="30">
        <v>2232</v>
      </c>
      <c r="K69" s="30">
        <v>2179</v>
      </c>
      <c r="L69" s="31">
        <v>0.97599999999999998</v>
      </c>
      <c r="M69" s="30">
        <v>8675</v>
      </c>
      <c r="N69" s="30">
        <v>8743</v>
      </c>
      <c r="O69" s="30">
        <v>8531</v>
      </c>
      <c r="P69" s="31">
        <v>0.98340057636887612</v>
      </c>
      <c r="Q69" s="30">
        <v>19</v>
      </c>
      <c r="R69" s="30">
        <v>0</v>
      </c>
      <c r="S69" s="30">
        <v>0</v>
      </c>
      <c r="T69" s="31">
        <v>0</v>
      </c>
      <c r="U69" s="30">
        <v>0</v>
      </c>
      <c r="V69" s="31">
        <v>0</v>
      </c>
      <c r="W69" s="30">
        <v>3436</v>
      </c>
      <c r="X69" s="31">
        <v>1.443091138177236</v>
      </c>
      <c r="Y69" s="30">
        <v>319</v>
      </c>
      <c r="Z69" s="33">
        <v>0.1339773204535909</v>
      </c>
      <c r="AA69" s="30">
        <v>9</v>
      </c>
      <c r="AB69" s="31">
        <v>3.77992440151197E-3</v>
      </c>
      <c r="AC69" s="30">
        <v>287</v>
      </c>
      <c r="AD69" s="31">
        <v>0.120537589248215</v>
      </c>
      <c r="AE69" s="30">
        <v>46</v>
      </c>
      <c r="AF69" s="31">
        <v>0.16027874564459929</v>
      </c>
      <c r="AG69" s="30">
        <v>269</v>
      </c>
      <c r="AH69" s="31">
        <v>0.93728222996515675</v>
      </c>
      <c r="AI69" s="34">
        <v>284</v>
      </c>
      <c r="AJ69" s="31">
        <v>0.119277614447711</v>
      </c>
      <c r="AK69" s="34">
        <v>3</v>
      </c>
      <c r="AL69" s="31">
        <v>0.83098591549295775</v>
      </c>
      <c r="AM69" s="34">
        <v>282</v>
      </c>
      <c r="AN69" s="34">
        <v>236</v>
      </c>
      <c r="AO69" s="31">
        <v>9.9118017639647213E-2</v>
      </c>
      <c r="AP69" s="31">
        <v>0.82229965156794427</v>
      </c>
      <c r="AQ69" s="32">
        <v>0.96035242290748901</v>
      </c>
      <c r="AR69" s="34">
        <v>0</v>
      </c>
      <c r="AS69" s="34">
        <v>0</v>
      </c>
      <c r="AT69" s="34">
        <v>49</v>
      </c>
      <c r="AU69" s="34">
        <v>41</v>
      </c>
      <c r="AV69" s="34">
        <v>41</v>
      </c>
      <c r="AW69" s="34">
        <v>40</v>
      </c>
      <c r="AX69" s="31">
        <v>1.721965560688786E-2</v>
      </c>
      <c r="AY69" s="31">
        <v>1.721965560688786E-2</v>
      </c>
      <c r="AZ69" s="31">
        <v>1.679966400671987E-2</v>
      </c>
      <c r="BA69" s="31">
        <v>0.17372881355932199</v>
      </c>
      <c r="BB69" s="34">
        <v>0</v>
      </c>
      <c r="BC69" s="34">
        <v>0</v>
      </c>
      <c r="BD69" s="32">
        <v>1</v>
      </c>
      <c r="BE69" s="32">
        <v>1</v>
      </c>
      <c r="BF69" s="32" t="s">
        <v>335</v>
      </c>
    </row>
    <row r="70" spans="1:58" ht="19.5" customHeight="1">
      <c r="A70" s="35">
        <v>67</v>
      </c>
      <c r="B70" s="30" t="s">
        <v>5</v>
      </c>
      <c r="C70" s="36">
        <v>46098</v>
      </c>
      <c r="D70" s="30" t="s">
        <v>25</v>
      </c>
      <c r="E70" s="30">
        <v>102</v>
      </c>
      <c r="F70" s="30">
        <v>99</v>
      </c>
      <c r="G70" s="31">
        <v>0.97058823529411764</v>
      </c>
      <c r="H70" s="30">
        <v>44</v>
      </c>
      <c r="I70" s="32">
        <v>0.43137254901960792</v>
      </c>
      <c r="J70" s="30">
        <v>136</v>
      </c>
      <c r="K70" s="30">
        <v>131</v>
      </c>
      <c r="L70" s="31">
        <v>0.96299999999999997</v>
      </c>
      <c r="M70" s="30">
        <v>377</v>
      </c>
      <c r="N70" s="30">
        <v>406</v>
      </c>
      <c r="O70" s="30">
        <v>368</v>
      </c>
      <c r="P70" s="31">
        <v>0.97612732095490717</v>
      </c>
      <c r="Q70" s="30">
        <v>2</v>
      </c>
      <c r="R70" s="30">
        <v>0</v>
      </c>
      <c r="S70" s="30">
        <v>0</v>
      </c>
      <c r="T70" s="31">
        <v>0</v>
      </c>
      <c r="U70" s="30">
        <v>0</v>
      </c>
      <c r="V70" s="31">
        <v>0</v>
      </c>
      <c r="W70" s="30">
        <v>1</v>
      </c>
      <c r="X70" s="31">
        <v>9.8039215686274508E-3</v>
      </c>
      <c r="Y70" s="30">
        <v>1</v>
      </c>
      <c r="Z70" s="33">
        <v>9.8039215686274508E-3</v>
      </c>
      <c r="AA70" s="30">
        <v>0</v>
      </c>
      <c r="AB70" s="31">
        <v>0</v>
      </c>
      <c r="AC70" s="30">
        <v>15</v>
      </c>
      <c r="AD70" s="31">
        <v>0.1470588235294118</v>
      </c>
      <c r="AE70" s="30">
        <v>11</v>
      </c>
      <c r="AF70" s="31">
        <v>0.73333333333333328</v>
      </c>
      <c r="AG70" s="30">
        <v>15</v>
      </c>
      <c r="AH70" s="31">
        <v>1</v>
      </c>
      <c r="AI70" s="34">
        <v>0</v>
      </c>
      <c r="AJ70" s="31">
        <v>0</v>
      </c>
      <c r="AK70" s="34">
        <v>0</v>
      </c>
      <c r="AL70" s="31">
        <v>0</v>
      </c>
      <c r="AM70" s="34">
        <v>0</v>
      </c>
      <c r="AN70" s="34">
        <v>0</v>
      </c>
      <c r="AO70" s="31">
        <v>0</v>
      </c>
      <c r="AP70" s="31">
        <v>0</v>
      </c>
      <c r="AQ70" s="32">
        <v>1</v>
      </c>
      <c r="AR70" s="34">
        <v>0</v>
      </c>
      <c r="AS70" s="34">
        <v>0</v>
      </c>
      <c r="AT70" s="34">
        <v>0</v>
      </c>
      <c r="AU70" s="34">
        <v>0</v>
      </c>
      <c r="AV70" s="34">
        <v>0</v>
      </c>
      <c r="AW70" s="34">
        <v>0</v>
      </c>
      <c r="AX70" s="31">
        <v>0</v>
      </c>
      <c r="AY70" s="31">
        <v>0</v>
      </c>
      <c r="AZ70" s="31">
        <v>0</v>
      </c>
      <c r="BA70" s="31">
        <v>0</v>
      </c>
      <c r="BB70" s="34">
        <v>0</v>
      </c>
      <c r="BC70" s="34">
        <v>0</v>
      </c>
      <c r="BD70" s="32" t="s">
        <v>335</v>
      </c>
      <c r="BE70" s="32" t="s">
        <v>335</v>
      </c>
      <c r="BF70" s="32" t="s">
        <v>335</v>
      </c>
    </row>
    <row r="71" spans="1:58" ht="19.5" customHeight="1">
      <c r="A71" s="35">
        <v>68</v>
      </c>
      <c r="B71" s="30" t="s">
        <v>5</v>
      </c>
      <c r="C71" s="36">
        <v>46098</v>
      </c>
      <c r="D71" s="30" t="s">
        <v>287</v>
      </c>
      <c r="E71" s="30">
        <v>3342</v>
      </c>
      <c r="F71" s="30">
        <v>3044</v>
      </c>
      <c r="G71" s="31">
        <v>0.91083183722321959</v>
      </c>
      <c r="H71" s="30">
        <v>1762</v>
      </c>
      <c r="I71" s="32">
        <v>0.52722920406941953</v>
      </c>
      <c r="J71" s="30">
        <v>4145</v>
      </c>
      <c r="K71" s="30">
        <v>4047</v>
      </c>
      <c r="L71" s="31">
        <v>0.97599999999999998</v>
      </c>
      <c r="M71" s="30">
        <v>22261</v>
      </c>
      <c r="N71" s="30">
        <v>21729</v>
      </c>
      <c r="O71" s="30">
        <v>21988</v>
      </c>
      <c r="P71" s="31">
        <v>0.98773639998203133</v>
      </c>
      <c r="Q71" s="30">
        <v>20</v>
      </c>
      <c r="R71" s="30">
        <v>0</v>
      </c>
      <c r="S71" s="30">
        <v>0</v>
      </c>
      <c r="T71" s="31">
        <v>0</v>
      </c>
      <c r="U71" s="30">
        <v>0</v>
      </c>
      <c r="V71" s="31">
        <v>0</v>
      </c>
      <c r="W71" s="30">
        <v>4846</v>
      </c>
      <c r="X71" s="31">
        <v>1.4500299222022739</v>
      </c>
      <c r="Y71" s="30">
        <v>513</v>
      </c>
      <c r="Z71" s="33">
        <v>0.1535008976660682</v>
      </c>
      <c r="AA71" s="30">
        <v>90</v>
      </c>
      <c r="AB71" s="31">
        <v>2.6929982046678631E-2</v>
      </c>
      <c r="AC71" s="30">
        <v>493</v>
      </c>
      <c r="AD71" s="31">
        <v>0.14751645721125081</v>
      </c>
      <c r="AE71" s="30">
        <v>67</v>
      </c>
      <c r="AF71" s="31">
        <v>0.13590263691683571</v>
      </c>
      <c r="AG71" s="30">
        <v>456</v>
      </c>
      <c r="AH71" s="31">
        <v>0.92494929006085191</v>
      </c>
      <c r="AI71" s="34">
        <v>492</v>
      </c>
      <c r="AJ71" s="31">
        <v>0.1472172351885099</v>
      </c>
      <c r="AK71" s="34">
        <v>3</v>
      </c>
      <c r="AL71" s="31">
        <v>0.9065040650406504</v>
      </c>
      <c r="AM71" s="34">
        <v>483</v>
      </c>
      <c r="AN71" s="34">
        <v>446</v>
      </c>
      <c r="AO71" s="31">
        <v>0.13345302214242971</v>
      </c>
      <c r="AP71" s="31">
        <v>0.90466531440162268</v>
      </c>
      <c r="AQ71" s="32">
        <v>0.96926229508196726</v>
      </c>
      <c r="AR71" s="34">
        <v>0</v>
      </c>
      <c r="AS71" s="34">
        <v>0</v>
      </c>
      <c r="AT71" s="34">
        <v>87</v>
      </c>
      <c r="AU71" s="34">
        <v>83</v>
      </c>
      <c r="AV71" s="34">
        <v>81</v>
      </c>
      <c r="AW71" s="34">
        <v>127</v>
      </c>
      <c r="AX71" s="31">
        <v>2.4835427887492521E-2</v>
      </c>
      <c r="AY71" s="31">
        <v>2.423698384201077E-2</v>
      </c>
      <c r="AZ71" s="31">
        <v>3.8001196888090963E-2</v>
      </c>
      <c r="BA71" s="31">
        <v>0.18161434977578481</v>
      </c>
      <c r="BB71" s="34">
        <v>0</v>
      </c>
      <c r="BC71" s="34">
        <v>0</v>
      </c>
      <c r="BD71" s="32">
        <v>1</v>
      </c>
      <c r="BE71" s="32">
        <v>1</v>
      </c>
      <c r="BF71" s="32" t="s">
        <v>335</v>
      </c>
    </row>
    <row r="72" spans="1:58" ht="19.5" customHeight="1">
      <c r="A72" s="35">
        <v>69</v>
      </c>
      <c r="B72" s="30" t="s">
        <v>5</v>
      </c>
      <c r="C72" s="36">
        <v>46099</v>
      </c>
      <c r="D72" s="30" t="s">
        <v>2</v>
      </c>
      <c r="E72" s="30">
        <v>2621</v>
      </c>
      <c r="F72" s="30">
        <v>2307</v>
      </c>
      <c r="G72" s="31">
        <v>0.88019839755818385</v>
      </c>
      <c r="H72" s="30">
        <v>949</v>
      </c>
      <c r="I72" s="32">
        <v>0.36207554368561617</v>
      </c>
      <c r="J72" s="30">
        <v>3111</v>
      </c>
      <c r="K72" s="30">
        <v>3037</v>
      </c>
      <c r="L72" s="31">
        <v>0.97599999999999998</v>
      </c>
      <c r="M72" s="30">
        <v>12002</v>
      </c>
      <c r="N72" s="30">
        <v>11994</v>
      </c>
      <c r="O72" s="30">
        <v>11838</v>
      </c>
      <c r="P72" s="31">
        <v>0.98633561073154474</v>
      </c>
      <c r="Q72" s="30">
        <v>19</v>
      </c>
      <c r="R72" s="30">
        <v>0</v>
      </c>
      <c r="S72" s="30">
        <v>0</v>
      </c>
      <c r="T72" s="31">
        <v>0</v>
      </c>
      <c r="U72" s="30">
        <v>0</v>
      </c>
      <c r="V72" s="31">
        <v>0</v>
      </c>
      <c r="W72" s="30">
        <v>3010</v>
      </c>
      <c r="X72" s="31">
        <v>1.148416634872186</v>
      </c>
      <c r="Y72" s="30">
        <v>398</v>
      </c>
      <c r="Z72" s="33">
        <v>0.15185043876383059</v>
      </c>
      <c r="AA72" s="30">
        <v>30</v>
      </c>
      <c r="AB72" s="31">
        <v>1.1446012972148039E-2</v>
      </c>
      <c r="AC72" s="30">
        <v>232</v>
      </c>
      <c r="AD72" s="31">
        <v>8.8515833651278145E-2</v>
      </c>
      <c r="AE72" s="30">
        <v>48</v>
      </c>
      <c r="AF72" s="31">
        <v>0.2068965517241379</v>
      </c>
      <c r="AG72" s="30">
        <v>208</v>
      </c>
      <c r="AH72" s="31">
        <v>0.89655172413793105</v>
      </c>
      <c r="AI72" s="34">
        <v>248</v>
      </c>
      <c r="AJ72" s="31">
        <v>9.462037390309043E-2</v>
      </c>
      <c r="AK72" s="34">
        <v>0</v>
      </c>
      <c r="AL72" s="31">
        <v>0.85483870967741937</v>
      </c>
      <c r="AM72" s="34">
        <v>242</v>
      </c>
      <c r="AN72" s="34">
        <v>212</v>
      </c>
      <c r="AO72" s="31">
        <v>8.0885158336512775E-2</v>
      </c>
      <c r="AP72" s="31">
        <v>0.91379310344827591</v>
      </c>
      <c r="AQ72" s="32">
        <v>0.97787610619469023</v>
      </c>
      <c r="AR72" s="34">
        <v>0</v>
      </c>
      <c r="AS72" s="34">
        <v>0</v>
      </c>
      <c r="AT72" s="34">
        <v>57</v>
      </c>
      <c r="AU72" s="34">
        <v>53</v>
      </c>
      <c r="AV72" s="34">
        <v>54</v>
      </c>
      <c r="AW72" s="34">
        <v>79</v>
      </c>
      <c r="AX72" s="31">
        <v>2.022128958412819E-2</v>
      </c>
      <c r="AY72" s="31">
        <v>2.0602823349866461E-2</v>
      </c>
      <c r="AZ72" s="31">
        <v>3.014116749332316E-2</v>
      </c>
      <c r="BA72" s="31">
        <v>0.25471698113207553</v>
      </c>
      <c r="BB72" s="34">
        <v>0</v>
      </c>
      <c r="BC72" s="34">
        <v>2</v>
      </c>
      <c r="BD72" s="32">
        <v>0.8666666666666667</v>
      </c>
      <c r="BE72" s="32">
        <v>0.94736842105263153</v>
      </c>
      <c r="BF72" s="32" t="s">
        <v>335</v>
      </c>
    </row>
    <row r="73" spans="1:58" ht="19.5" customHeight="1">
      <c r="A73" s="35">
        <v>70</v>
      </c>
      <c r="B73" s="30" t="s">
        <v>5</v>
      </c>
      <c r="C73" s="36">
        <v>46099</v>
      </c>
      <c r="D73" s="30" t="s">
        <v>285</v>
      </c>
      <c r="E73" s="30">
        <v>3674</v>
      </c>
      <c r="F73" s="30">
        <v>3122</v>
      </c>
      <c r="G73" s="31">
        <v>0.84975503538377795</v>
      </c>
      <c r="H73" s="30">
        <v>2705</v>
      </c>
      <c r="I73" s="32">
        <v>0.73625476320087102</v>
      </c>
      <c r="J73" s="30">
        <v>2975</v>
      </c>
      <c r="K73" s="30">
        <v>2901</v>
      </c>
      <c r="L73" s="31">
        <v>0.97499999999999998</v>
      </c>
      <c r="M73" s="30">
        <v>9376</v>
      </c>
      <c r="N73" s="30">
        <v>9795</v>
      </c>
      <c r="O73" s="30">
        <v>9195</v>
      </c>
      <c r="P73" s="31">
        <v>0.98069539249146753</v>
      </c>
      <c r="Q73" s="30">
        <v>17</v>
      </c>
      <c r="R73" s="30">
        <v>0</v>
      </c>
      <c r="S73" s="30">
        <v>0</v>
      </c>
      <c r="T73" s="31">
        <v>0</v>
      </c>
      <c r="U73" s="30">
        <v>0</v>
      </c>
      <c r="V73" s="31">
        <v>0</v>
      </c>
      <c r="W73" s="30">
        <v>3536</v>
      </c>
      <c r="X73" s="31">
        <v>0.96243875884594443</v>
      </c>
      <c r="Y73" s="30">
        <v>459</v>
      </c>
      <c r="Z73" s="33">
        <v>0.1249319542732716</v>
      </c>
      <c r="AA73" s="30">
        <v>16</v>
      </c>
      <c r="AB73" s="31">
        <v>4.3549265106151338E-3</v>
      </c>
      <c r="AC73" s="30">
        <v>264</v>
      </c>
      <c r="AD73" s="31">
        <v>7.1856287425149698E-2</v>
      </c>
      <c r="AE73" s="30">
        <v>40</v>
      </c>
      <c r="AF73" s="31">
        <v>0.15151515151515149</v>
      </c>
      <c r="AG73" s="30">
        <v>248</v>
      </c>
      <c r="AH73" s="31">
        <v>0.93939393939393945</v>
      </c>
      <c r="AI73" s="34">
        <v>270</v>
      </c>
      <c r="AJ73" s="31">
        <v>7.348938486663037E-2</v>
      </c>
      <c r="AK73" s="34">
        <v>0</v>
      </c>
      <c r="AL73" s="31">
        <v>0.85185185185185186</v>
      </c>
      <c r="AM73" s="34">
        <v>267</v>
      </c>
      <c r="AN73" s="34">
        <v>230</v>
      </c>
      <c r="AO73" s="31">
        <v>6.2602068590092541E-2</v>
      </c>
      <c r="AP73" s="31">
        <v>0.87121212121212122</v>
      </c>
      <c r="AQ73" s="32">
        <v>0.98148148148148151</v>
      </c>
      <c r="AR73" s="34">
        <v>0</v>
      </c>
      <c r="AS73" s="34">
        <v>0</v>
      </c>
      <c r="AT73" s="34">
        <v>38</v>
      </c>
      <c r="AU73" s="34">
        <v>28</v>
      </c>
      <c r="AV73" s="34">
        <v>29</v>
      </c>
      <c r="AW73" s="34">
        <v>38</v>
      </c>
      <c r="AX73" s="31">
        <v>7.6211213935764837E-3</v>
      </c>
      <c r="AY73" s="31">
        <v>7.8933043004899284E-3</v>
      </c>
      <c r="AZ73" s="31">
        <v>1.0342950462710941E-2</v>
      </c>
      <c r="BA73" s="31">
        <v>0.1260869565217391</v>
      </c>
      <c r="BB73" s="34">
        <v>0</v>
      </c>
      <c r="BC73" s="34">
        <v>0</v>
      </c>
      <c r="BD73" s="32">
        <v>1</v>
      </c>
      <c r="BE73" s="32">
        <v>1</v>
      </c>
      <c r="BF73" s="32" t="s">
        <v>335</v>
      </c>
    </row>
    <row r="74" spans="1:58" ht="19.5" customHeight="1">
      <c r="A74" s="35">
        <v>71</v>
      </c>
      <c r="B74" s="30" t="s">
        <v>5</v>
      </c>
      <c r="C74" s="36">
        <v>46099</v>
      </c>
      <c r="D74" s="30" t="s">
        <v>25</v>
      </c>
      <c r="E74" s="30">
        <v>197</v>
      </c>
      <c r="F74" s="30">
        <v>182</v>
      </c>
      <c r="G74" s="31">
        <v>0.92385786802030456</v>
      </c>
      <c r="H74" s="30">
        <v>100</v>
      </c>
      <c r="I74" s="32">
        <v>0.50761421319796951</v>
      </c>
      <c r="J74" s="30">
        <v>203</v>
      </c>
      <c r="K74" s="30">
        <v>197</v>
      </c>
      <c r="L74" s="31">
        <v>0.97</v>
      </c>
      <c r="M74" s="30">
        <v>471</v>
      </c>
      <c r="N74" s="30">
        <v>753</v>
      </c>
      <c r="O74" s="30">
        <v>462</v>
      </c>
      <c r="P74" s="31">
        <v>0.98089171974522293</v>
      </c>
      <c r="Q74" s="30">
        <v>1</v>
      </c>
      <c r="R74" s="30">
        <v>0</v>
      </c>
      <c r="S74" s="30">
        <v>0</v>
      </c>
      <c r="T74" s="31">
        <v>0</v>
      </c>
      <c r="U74" s="30">
        <v>0</v>
      </c>
      <c r="V74" s="31">
        <v>0</v>
      </c>
      <c r="W74" s="30">
        <v>2</v>
      </c>
      <c r="X74" s="31">
        <v>1.015228426395939E-2</v>
      </c>
      <c r="Y74" s="30">
        <v>0</v>
      </c>
      <c r="Z74" s="33">
        <v>0</v>
      </c>
      <c r="AA74" s="30">
        <v>0</v>
      </c>
      <c r="AB74" s="31">
        <v>0</v>
      </c>
      <c r="AC74" s="30">
        <v>17</v>
      </c>
      <c r="AD74" s="31">
        <v>8.6294416243654817E-2</v>
      </c>
      <c r="AE74" s="30">
        <v>15</v>
      </c>
      <c r="AF74" s="31">
        <v>0.88235294117647056</v>
      </c>
      <c r="AG74" s="30">
        <v>16</v>
      </c>
      <c r="AH74" s="31">
        <v>0.94117647058823528</v>
      </c>
      <c r="AI74" s="34">
        <v>0</v>
      </c>
      <c r="AJ74" s="31">
        <v>0</v>
      </c>
      <c r="AK74" s="34">
        <v>0</v>
      </c>
      <c r="AL74" s="31">
        <v>0</v>
      </c>
      <c r="AM74" s="34">
        <v>0</v>
      </c>
      <c r="AN74" s="34">
        <v>0</v>
      </c>
      <c r="AO74" s="31">
        <v>0</v>
      </c>
      <c r="AP74" s="31">
        <v>0</v>
      </c>
      <c r="AQ74" s="32">
        <v>1</v>
      </c>
      <c r="AR74" s="34">
        <v>0</v>
      </c>
      <c r="AS74" s="34">
        <v>0</v>
      </c>
      <c r="AT74" s="34">
        <v>0</v>
      </c>
      <c r="AU74" s="34">
        <v>0</v>
      </c>
      <c r="AV74" s="34">
        <v>0</v>
      </c>
      <c r="AW74" s="34">
        <v>0</v>
      </c>
      <c r="AX74" s="31">
        <v>0</v>
      </c>
      <c r="AY74" s="31">
        <v>0</v>
      </c>
      <c r="AZ74" s="31">
        <v>0</v>
      </c>
      <c r="BA74" s="31">
        <v>0</v>
      </c>
      <c r="BB74" s="34">
        <v>0</v>
      </c>
      <c r="BC74" s="34">
        <v>0</v>
      </c>
      <c r="BD74" s="32" t="s">
        <v>335</v>
      </c>
      <c r="BE74" s="32" t="s">
        <v>335</v>
      </c>
      <c r="BF74" s="32" t="s">
        <v>335</v>
      </c>
    </row>
    <row r="75" spans="1:58" ht="19.5" customHeight="1">
      <c r="A75" s="35">
        <v>72</v>
      </c>
      <c r="B75" s="30" t="s">
        <v>5</v>
      </c>
      <c r="C75" s="36">
        <v>46099</v>
      </c>
      <c r="D75" s="30" t="s">
        <v>287</v>
      </c>
      <c r="E75" s="30">
        <v>3514</v>
      </c>
      <c r="F75" s="30">
        <v>3179</v>
      </c>
      <c r="G75" s="31">
        <v>0.9046670461013091</v>
      </c>
      <c r="H75" s="30">
        <v>1796</v>
      </c>
      <c r="I75" s="32">
        <v>0.51109846328969832</v>
      </c>
      <c r="J75" s="30">
        <v>3975</v>
      </c>
      <c r="K75" s="30">
        <v>3905</v>
      </c>
      <c r="L75" s="31">
        <v>0.98199999999999998</v>
      </c>
      <c r="M75" s="30">
        <v>22011</v>
      </c>
      <c r="N75" s="30">
        <v>21465</v>
      </c>
      <c r="O75" s="30">
        <v>21745</v>
      </c>
      <c r="P75" s="31">
        <v>0.98791513334241965</v>
      </c>
      <c r="Q75" s="30">
        <v>20</v>
      </c>
      <c r="R75" s="30">
        <v>0</v>
      </c>
      <c r="S75" s="30">
        <v>0</v>
      </c>
      <c r="T75" s="31">
        <v>0</v>
      </c>
      <c r="U75" s="30">
        <v>0</v>
      </c>
      <c r="V75" s="31">
        <v>0</v>
      </c>
      <c r="W75" s="30">
        <v>5504</v>
      </c>
      <c r="X75" s="31">
        <v>1.5663062037564031</v>
      </c>
      <c r="Y75" s="30">
        <v>669</v>
      </c>
      <c r="Z75" s="33">
        <v>0.1903813318155948</v>
      </c>
      <c r="AA75" s="30">
        <v>70</v>
      </c>
      <c r="AB75" s="31">
        <v>1.9920318725099601E-2</v>
      </c>
      <c r="AC75" s="30">
        <v>507</v>
      </c>
      <c r="AD75" s="31">
        <v>0.14428002276607849</v>
      </c>
      <c r="AE75" s="30">
        <v>78</v>
      </c>
      <c r="AF75" s="31">
        <v>0.15384615384615391</v>
      </c>
      <c r="AG75" s="30">
        <v>453</v>
      </c>
      <c r="AH75" s="31">
        <v>0.89349112426035504</v>
      </c>
      <c r="AI75" s="34">
        <v>490</v>
      </c>
      <c r="AJ75" s="31">
        <v>0.1394422310756972</v>
      </c>
      <c r="AK75" s="34">
        <v>1</v>
      </c>
      <c r="AL75" s="31">
        <v>0.89387755102040811</v>
      </c>
      <c r="AM75" s="34">
        <v>484</v>
      </c>
      <c r="AN75" s="34">
        <v>438</v>
      </c>
      <c r="AO75" s="31">
        <v>0.1246442800227661</v>
      </c>
      <c r="AP75" s="31">
        <v>0.86390532544378695</v>
      </c>
      <c r="AQ75" s="32">
        <v>0.97161572052401746</v>
      </c>
      <c r="AR75" s="34">
        <v>0</v>
      </c>
      <c r="AS75" s="34">
        <v>0</v>
      </c>
      <c r="AT75" s="34">
        <v>100</v>
      </c>
      <c r="AU75" s="34">
        <v>94</v>
      </c>
      <c r="AV75" s="34">
        <v>100</v>
      </c>
      <c r="AW75" s="34">
        <v>138</v>
      </c>
      <c r="AX75" s="31">
        <v>2.6750142287990889E-2</v>
      </c>
      <c r="AY75" s="31">
        <v>2.8457598178713722E-2</v>
      </c>
      <c r="AZ75" s="31">
        <v>3.927148548662493E-2</v>
      </c>
      <c r="BA75" s="31">
        <v>0.22831050228310501</v>
      </c>
      <c r="BB75" s="34">
        <v>0</v>
      </c>
      <c r="BC75" s="34">
        <v>0</v>
      </c>
      <c r="BD75" s="32">
        <v>0.98360655737704916</v>
      </c>
      <c r="BE75" s="32">
        <v>1</v>
      </c>
      <c r="BF75" s="32" t="s">
        <v>335</v>
      </c>
    </row>
    <row r="76" spans="1:58" ht="19.5" customHeight="1">
      <c r="A76" s="35">
        <v>73</v>
      </c>
      <c r="B76" s="30" t="s">
        <v>5</v>
      </c>
      <c r="C76" s="36">
        <v>46100</v>
      </c>
      <c r="D76" s="30" t="s">
        <v>2</v>
      </c>
      <c r="E76" s="30">
        <v>2048</v>
      </c>
      <c r="F76" s="30">
        <v>1833</v>
      </c>
      <c r="G76" s="31">
        <v>0.89501953125</v>
      </c>
      <c r="H76" s="30">
        <v>674</v>
      </c>
      <c r="I76" s="32">
        <v>0.3291015625</v>
      </c>
      <c r="J76" s="30">
        <v>2720</v>
      </c>
      <c r="K76" s="30">
        <v>2624</v>
      </c>
      <c r="L76" s="31">
        <v>0.96499999999999997</v>
      </c>
      <c r="M76" s="30">
        <v>11320</v>
      </c>
      <c r="N76" s="30">
        <v>11147</v>
      </c>
      <c r="O76" s="30">
        <v>11100</v>
      </c>
      <c r="P76" s="31">
        <v>0.98056537102473496</v>
      </c>
      <c r="Q76" s="30">
        <v>18</v>
      </c>
      <c r="R76" s="30">
        <v>0</v>
      </c>
      <c r="S76" s="30">
        <v>0</v>
      </c>
      <c r="T76" s="31">
        <v>0</v>
      </c>
      <c r="U76" s="30">
        <v>0</v>
      </c>
      <c r="V76" s="31">
        <v>0</v>
      </c>
      <c r="W76" s="30">
        <v>3361</v>
      </c>
      <c r="X76" s="31">
        <v>1.64111328125</v>
      </c>
      <c r="Y76" s="30">
        <v>574</v>
      </c>
      <c r="Z76" s="33">
        <v>0.2802734375</v>
      </c>
      <c r="AA76" s="30">
        <v>13</v>
      </c>
      <c r="AB76" s="31">
        <v>6.34765625E-3</v>
      </c>
      <c r="AC76" s="30">
        <v>242</v>
      </c>
      <c r="AD76" s="31">
        <v>0.1181640625</v>
      </c>
      <c r="AE76" s="30">
        <v>49</v>
      </c>
      <c r="AF76" s="31">
        <v>0.2024793388429752</v>
      </c>
      <c r="AG76" s="30">
        <v>230</v>
      </c>
      <c r="AH76" s="31">
        <v>0.95041322314049592</v>
      </c>
      <c r="AI76" s="34">
        <v>251</v>
      </c>
      <c r="AJ76" s="31">
        <v>0.12255859375</v>
      </c>
      <c r="AK76" s="34">
        <v>1</v>
      </c>
      <c r="AL76" s="31">
        <v>0.87649402390438247</v>
      </c>
      <c r="AM76" s="34">
        <v>247</v>
      </c>
      <c r="AN76" s="34">
        <v>220</v>
      </c>
      <c r="AO76" s="31">
        <v>0.107421875</v>
      </c>
      <c r="AP76" s="31">
        <v>0.90909090909090906</v>
      </c>
      <c r="AQ76" s="32">
        <v>0.94907407407407407</v>
      </c>
      <c r="AR76" s="34">
        <v>0</v>
      </c>
      <c r="AS76" s="34">
        <v>0</v>
      </c>
      <c r="AT76" s="34">
        <v>55</v>
      </c>
      <c r="AU76" s="34">
        <v>48</v>
      </c>
      <c r="AV76" s="34">
        <v>52</v>
      </c>
      <c r="AW76" s="34">
        <v>77</v>
      </c>
      <c r="AX76" s="31">
        <v>2.34375E-2</v>
      </c>
      <c r="AY76" s="31">
        <v>2.5390625E-2</v>
      </c>
      <c r="AZ76" s="31">
        <v>3.759765625E-2</v>
      </c>
      <c r="BA76" s="31">
        <v>0.23636363636363639</v>
      </c>
      <c r="BB76" s="34">
        <v>0</v>
      </c>
      <c r="BC76" s="34">
        <v>0</v>
      </c>
      <c r="BD76" s="32">
        <v>1</v>
      </c>
      <c r="BE76" s="32">
        <v>1</v>
      </c>
      <c r="BF76" s="32" t="s">
        <v>335</v>
      </c>
    </row>
    <row r="77" spans="1:58" ht="19.5" customHeight="1">
      <c r="A77" s="35">
        <v>74</v>
      </c>
      <c r="B77" s="30" t="s">
        <v>5</v>
      </c>
      <c r="C77" s="36">
        <v>46100</v>
      </c>
      <c r="D77" s="30" t="s">
        <v>285</v>
      </c>
      <c r="E77" s="30">
        <v>1811</v>
      </c>
      <c r="F77" s="30">
        <v>1595</v>
      </c>
      <c r="G77" s="31">
        <v>0.88072887907233577</v>
      </c>
      <c r="H77" s="30">
        <v>920</v>
      </c>
      <c r="I77" s="32">
        <v>0.50800662617338488</v>
      </c>
      <c r="J77" s="30">
        <v>2486</v>
      </c>
      <c r="K77" s="30">
        <v>2421</v>
      </c>
      <c r="L77" s="31">
        <v>0.97399999999999998</v>
      </c>
      <c r="M77" s="30">
        <v>9159</v>
      </c>
      <c r="N77" s="30">
        <v>9362</v>
      </c>
      <c r="O77" s="30">
        <v>9005</v>
      </c>
      <c r="P77" s="31">
        <v>0.98318593732940274</v>
      </c>
      <c r="Q77" s="30">
        <v>24</v>
      </c>
      <c r="R77" s="30">
        <v>0</v>
      </c>
      <c r="S77" s="30">
        <v>0</v>
      </c>
      <c r="T77" s="31">
        <v>0</v>
      </c>
      <c r="U77" s="30">
        <v>0</v>
      </c>
      <c r="V77" s="31">
        <v>0</v>
      </c>
      <c r="W77" s="30">
        <v>4467</v>
      </c>
      <c r="X77" s="31">
        <v>2.4665930425179461</v>
      </c>
      <c r="Y77" s="30">
        <v>951</v>
      </c>
      <c r="Z77" s="33">
        <v>0.52512424075096631</v>
      </c>
      <c r="AA77" s="30">
        <v>7</v>
      </c>
      <c r="AB77" s="31">
        <v>3.865267807840972E-3</v>
      </c>
      <c r="AC77" s="30">
        <v>295</v>
      </c>
      <c r="AD77" s="31">
        <v>0.1628934290447267</v>
      </c>
      <c r="AE77" s="30">
        <v>38</v>
      </c>
      <c r="AF77" s="31">
        <v>0.12881355932203389</v>
      </c>
      <c r="AG77" s="30">
        <v>268</v>
      </c>
      <c r="AH77" s="31">
        <v>0.90847457627118644</v>
      </c>
      <c r="AI77" s="34">
        <v>283</v>
      </c>
      <c r="AJ77" s="31">
        <v>0.15626725565985641</v>
      </c>
      <c r="AK77" s="34">
        <v>1</v>
      </c>
      <c r="AL77" s="31">
        <v>0.8127208480565371</v>
      </c>
      <c r="AM77" s="34">
        <v>281</v>
      </c>
      <c r="AN77" s="34">
        <v>230</v>
      </c>
      <c r="AO77" s="31">
        <v>0.12700165654334619</v>
      </c>
      <c r="AP77" s="31">
        <v>0.77966101694915257</v>
      </c>
      <c r="AQ77" s="32">
        <v>0.96525096525096521</v>
      </c>
      <c r="AR77" s="34">
        <v>0</v>
      </c>
      <c r="AS77" s="34">
        <v>0</v>
      </c>
      <c r="AT77" s="34">
        <v>51</v>
      </c>
      <c r="AU77" s="34">
        <v>46</v>
      </c>
      <c r="AV77" s="34">
        <v>46</v>
      </c>
      <c r="AW77" s="34">
        <v>40</v>
      </c>
      <c r="AX77" s="31">
        <v>2.5400331308669241E-2</v>
      </c>
      <c r="AY77" s="31">
        <v>2.5400331308669241E-2</v>
      </c>
      <c r="AZ77" s="31">
        <v>2.2087244616234129E-2</v>
      </c>
      <c r="BA77" s="31">
        <v>0.2</v>
      </c>
      <c r="BB77" s="34">
        <v>0</v>
      </c>
      <c r="BC77" s="34">
        <v>0</v>
      </c>
      <c r="BD77" s="32">
        <v>1</v>
      </c>
      <c r="BE77" s="32">
        <v>1</v>
      </c>
      <c r="BF77" s="32" t="s">
        <v>335</v>
      </c>
    </row>
    <row r="78" spans="1:58" ht="19.5" customHeight="1">
      <c r="A78" s="35">
        <v>75</v>
      </c>
      <c r="B78" s="30" t="s">
        <v>5</v>
      </c>
      <c r="C78" s="36">
        <v>46100</v>
      </c>
      <c r="D78" s="30" t="s">
        <v>25</v>
      </c>
      <c r="E78" s="30">
        <v>212</v>
      </c>
      <c r="F78" s="30">
        <v>190</v>
      </c>
      <c r="G78" s="31">
        <v>0.89622641509433965</v>
      </c>
      <c r="H78" s="30">
        <v>92</v>
      </c>
      <c r="I78" s="32">
        <v>0.43396226415094341</v>
      </c>
      <c r="J78" s="30">
        <v>256</v>
      </c>
      <c r="K78" s="30">
        <v>249</v>
      </c>
      <c r="L78" s="31">
        <v>0.97299999999999998</v>
      </c>
      <c r="M78" s="30">
        <v>806</v>
      </c>
      <c r="N78" s="30">
        <v>609</v>
      </c>
      <c r="O78" s="30">
        <v>798</v>
      </c>
      <c r="P78" s="31">
        <v>0.99007444168734493</v>
      </c>
      <c r="Q78" s="30">
        <v>2</v>
      </c>
      <c r="R78" s="30">
        <v>0</v>
      </c>
      <c r="S78" s="30">
        <v>0</v>
      </c>
      <c r="T78" s="31">
        <v>0</v>
      </c>
      <c r="U78" s="30">
        <v>0</v>
      </c>
      <c r="V78" s="31">
        <v>0</v>
      </c>
      <c r="W78" s="30">
        <v>0</v>
      </c>
      <c r="X78" s="31">
        <v>0</v>
      </c>
      <c r="Y78" s="30">
        <v>3</v>
      </c>
      <c r="Z78" s="33">
        <v>1.4150943396226421E-2</v>
      </c>
      <c r="AA78" s="30">
        <v>0</v>
      </c>
      <c r="AB78" s="31">
        <v>0</v>
      </c>
      <c r="AC78" s="30">
        <v>26</v>
      </c>
      <c r="AD78" s="31">
        <v>0.12264150943396231</v>
      </c>
      <c r="AE78" s="30">
        <v>10</v>
      </c>
      <c r="AF78" s="31">
        <v>0.38461538461538458</v>
      </c>
      <c r="AG78" s="30">
        <v>25</v>
      </c>
      <c r="AH78" s="31">
        <v>0.96153846153846156</v>
      </c>
      <c r="AI78" s="34">
        <v>0</v>
      </c>
      <c r="AJ78" s="31">
        <v>0</v>
      </c>
      <c r="AK78" s="34">
        <v>0</v>
      </c>
      <c r="AL78" s="31">
        <v>0</v>
      </c>
      <c r="AM78" s="34">
        <v>0</v>
      </c>
      <c r="AN78" s="34">
        <v>0</v>
      </c>
      <c r="AO78" s="31">
        <v>0</v>
      </c>
      <c r="AP78" s="31">
        <v>0</v>
      </c>
      <c r="AQ78" s="32">
        <v>0.90909090909090906</v>
      </c>
      <c r="AR78" s="34">
        <v>0</v>
      </c>
      <c r="AS78" s="34">
        <v>0</v>
      </c>
      <c r="AT78" s="34">
        <v>0</v>
      </c>
      <c r="AU78" s="34">
        <v>0</v>
      </c>
      <c r="AV78" s="34">
        <v>0</v>
      </c>
      <c r="AW78" s="34">
        <v>0</v>
      </c>
      <c r="AX78" s="31">
        <v>0</v>
      </c>
      <c r="AY78" s="31">
        <v>0</v>
      </c>
      <c r="AZ78" s="31">
        <v>0</v>
      </c>
      <c r="BA78" s="31">
        <v>0</v>
      </c>
      <c r="BB78" s="34">
        <v>0</v>
      </c>
      <c r="BC78" s="34">
        <v>0</v>
      </c>
      <c r="BD78" s="32" t="s">
        <v>335</v>
      </c>
      <c r="BE78" s="32" t="s">
        <v>335</v>
      </c>
      <c r="BF78" s="32" t="s">
        <v>335</v>
      </c>
    </row>
    <row r="79" spans="1:58" ht="19.5" customHeight="1">
      <c r="A79" s="35">
        <v>76</v>
      </c>
      <c r="B79" s="30" t="s">
        <v>5</v>
      </c>
      <c r="C79" s="36">
        <v>46100</v>
      </c>
      <c r="D79" s="30" t="s">
        <v>287</v>
      </c>
      <c r="E79" s="30">
        <v>5151</v>
      </c>
      <c r="F79" s="30">
        <v>4506</v>
      </c>
      <c r="G79" s="31">
        <v>0.8747815958066395</v>
      </c>
      <c r="H79" s="30">
        <v>3554</v>
      </c>
      <c r="I79" s="32">
        <v>0.68996311395845467</v>
      </c>
      <c r="J79" s="30">
        <v>5499</v>
      </c>
      <c r="K79" s="30">
        <v>5374</v>
      </c>
      <c r="L79" s="31">
        <v>0.97699999999999998</v>
      </c>
      <c r="M79" s="30">
        <v>22970</v>
      </c>
      <c r="N79" s="30">
        <v>22835</v>
      </c>
      <c r="O79" s="30">
        <v>22651</v>
      </c>
      <c r="P79" s="31">
        <v>0.98611232041793639</v>
      </c>
      <c r="Q79" s="30">
        <v>22</v>
      </c>
      <c r="R79" s="30">
        <v>0</v>
      </c>
      <c r="S79" s="30">
        <v>0</v>
      </c>
      <c r="T79" s="31">
        <v>0</v>
      </c>
      <c r="U79" s="30">
        <v>0</v>
      </c>
      <c r="V79" s="31">
        <v>0</v>
      </c>
      <c r="W79" s="30">
        <v>6036</v>
      </c>
      <c r="X79" s="31">
        <v>1.171811298776936</v>
      </c>
      <c r="Y79" s="30">
        <v>847</v>
      </c>
      <c r="Z79" s="33">
        <v>0.1644340904678703</v>
      </c>
      <c r="AA79" s="30">
        <v>61</v>
      </c>
      <c r="AB79" s="31">
        <v>1.1842360706658899E-2</v>
      </c>
      <c r="AC79" s="30">
        <v>471</v>
      </c>
      <c r="AD79" s="31">
        <v>9.1438555620267911E-2</v>
      </c>
      <c r="AE79" s="30">
        <v>86</v>
      </c>
      <c r="AF79" s="31">
        <v>0.18259023354564749</v>
      </c>
      <c r="AG79" s="30">
        <v>438</v>
      </c>
      <c r="AH79" s="31">
        <v>0.92993630573248409</v>
      </c>
      <c r="AI79" s="34">
        <v>484</v>
      </c>
      <c r="AJ79" s="31">
        <v>9.3962337410211608E-2</v>
      </c>
      <c r="AK79" s="34">
        <v>0</v>
      </c>
      <c r="AL79" s="31">
        <v>0.92355371900826444</v>
      </c>
      <c r="AM79" s="34">
        <v>475</v>
      </c>
      <c r="AN79" s="34">
        <v>447</v>
      </c>
      <c r="AO79" s="31">
        <v>8.6779266161910312E-2</v>
      </c>
      <c r="AP79" s="31">
        <v>0.94904458598726116</v>
      </c>
      <c r="AQ79" s="32">
        <v>0.97742663656884876</v>
      </c>
      <c r="AR79" s="34">
        <v>0</v>
      </c>
      <c r="AS79" s="34">
        <v>0</v>
      </c>
      <c r="AT79" s="34">
        <v>77</v>
      </c>
      <c r="AU79" s="34">
        <v>70</v>
      </c>
      <c r="AV79" s="34">
        <v>69</v>
      </c>
      <c r="AW79" s="34">
        <v>133</v>
      </c>
      <c r="AX79" s="31">
        <v>1.3589594253543001E-2</v>
      </c>
      <c r="AY79" s="31">
        <v>1.33954571927781E-2</v>
      </c>
      <c r="AZ79" s="31">
        <v>2.5820229081731701E-2</v>
      </c>
      <c r="BA79" s="31">
        <v>0.15436241610738249</v>
      </c>
      <c r="BB79" s="34">
        <v>0</v>
      </c>
      <c r="BC79" s="34">
        <v>0</v>
      </c>
      <c r="BD79" s="32">
        <v>1</v>
      </c>
      <c r="BE79" s="32">
        <v>1</v>
      </c>
      <c r="BF79" s="32" t="s">
        <v>335</v>
      </c>
    </row>
    <row r="80" spans="1:58" ht="19.5" customHeight="1">
      <c r="A80" s="35">
        <v>77</v>
      </c>
      <c r="B80" s="30" t="s">
        <v>5</v>
      </c>
      <c r="C80" s="36">
        <v>46101</v>
      </c>
      <c r="D80" s="30" t="s">
        <v>2</v>
      </c>
      <c r="E80" s="30">
        <v>1811</v>
      </c>
      <c r="F80" s="30">
        <v>1630</v>
      </c>
      <c r="G80" s="31">
        <v>0.90005521811154054</v>
      </c>
      <c r="H80" s="30">
        <v>644</v>
      </c>
      <c r="I80" s="32">
        <v>0.3556046383213694</v>
      </c>
      <c r="J80" s="30">
        <v>2361</v>
      </c>
      <c r="K80" s="30">
        <v>2279</v>
      </c>
      <c r="L80" s="31">
        <v>0.96499999999999997</v>
      </c>
      <c r="M80" s="30">
        <v>11239</v>
      </c>
      <c r="N80" s="30">
        <v>11477</v>
      </c>
      <c r="O80" s="30">
        <v>11074</v>
      </c>
      <c r="P80" s="31">
        <v>0.98531897855681105</v>
      </c>
      <c r="Q80" s="30">
        <v>24</v>
      </c>
      <c r="R80" s="30">
        <v>0</v>
      </c>
      <c r="S80" s="30">
        <v>0</v>
      </c>
      <c r="T80" s="31">
        <v>0</v>
      </c>
      <c r="U80" s="30">
        <v>0</v>
      </c>
      <c r="V80" s="31">
        <v>0</v>
      </c>
      <c r="W80" s="30">
        <v>2966</v>
      </c>
      <c r="X80" s="31">
        <v>1.6377691882937599</v>
      </c>
      <c r="Y80" s="30">
        <v>516</v>
      </c>
      <c r="Z80" s="33">
        <v>0.28492545554942023</v>
      </c>
      <c r="AA80" s="30">
        <v>14</v>
      </c>
      <c r="AB80" s="31">
        <v>7.730535615681944E-3</v>
      </c>
      <c r="AC80" s="30">
        <v>283</v>
      </c>
      <c r="AD80" s="31">
        <v>0.15626725565985641</v>
      </c>
      <c r="AE80" s="30">
        <v>46</v>
      </c>
      <c r="AF80" s="31">
        <v>0.16254416961130741</v>
      </c>
      <c r="AG80" s="30">
        <v>255</v>
      </c>
      <c r="AH80" s="31">
        <v>0.90106007067137805</v>
      </c>
      <c r="AI80" s="34">
        <v>277</v>
      </c>
      <c r="AJ80" s="31">
        <v>0.15295416896742131</v>
      </c>
      <c r="AK80" s="34">
        <v>3</v>
      </c>
      <c r="AL80" s="31">
        <v>0.87364620938628157</v>
      </c>
      <c r="AM80" s="34">
        <v>273</v>
      </c>
      <c r="AN80" s="34">
        <v>242</v>
      </c>
      <c r="AO80" s="31">
        <v>0.13362782992821651</v>
      </c>
      <c r="AP80" s="31">
        <v>0.85512367491166075</v>
      </c>
      <c r="AQ80" s="32">
        <v>0.9955357142857143</v>
      </c>
      <c r="AR80" s="34">
        <v>0</v>
      </c>
      <c r="AS80" s="34">
        <v>0</v>
      </c>
      <c r="AT80" s="34">
        <v>65</v>
      </c>
      <c r="AU80" s="34">
        <v>61</v>
      </c>
      <c r="AV80" s="34">
        <v>59</v>
      </c>
      <c r="AW80" s="34">
        <v>111</v>
      </c>
      <c r="AX80" s="31">
        <v>3.3683048039757038E-2</v>
      </c>
      <c r="AY80" s="31">
        <v>3.2578685808945337E-2</v>
      </c>
      <c r="AZ80" s="31">
        <v>6.1292103810049688E-2</v>
      </c>
      <c r="BA80" s="31">
        <v>0.243801652892562</v>
      </c>
      <c r="BB80" s="34">
        <v>0</v>
      </c>
      <c r="BC80" s="34">
        <v>0</v>
      </c>
      <c r="BD80" s="32">
        <v>1</v>
      </c>
      <c r="BE80" s="32">
        <v>1</v>
      </c>
      <c r="BF80" s="32" t="s">
        <v>335</v>
      </c>
    </row>
    <row r="81" spans="1:58" ht="19.5" customHeight="1">
      <c r="A81" s="35">
        <v>78</v>
      </c>
      <c r="B81" s="30" t="s">
        <v>5</v>
      </c>
      <c r="C81" s="36">
        <v>46101</v>
      </c>
      <c r="D81" s="30" t="s">
        <v>285</v>
      </c>
      <c r="E81" s="30">
        <v>1759</v>
      </c>
      <c r="F81" s="30">
        <v>1599</v>
      </c>
      <c r="G81" s="31">
        <v>0.90903922683342808</v>
      </c>
      <c r="H81" s="30">
        <v>728</v>
      </c>
      <c r="I81" s="32">
        <v>0.41387151790790222</v>
      </c>
      <c r="J81" s="30">
        <v>1547</v>
      </c>
      <c r="K81" s="30">
        <v>1500</v>
      </c>
      <c r="L81" s="31">
        <v>0.97</v>
      </c>
      <c r="M81" s="30">
        <v>8662</v>
      </c>
      <c r="N81" s="30">
        <v>8902</v>
      </c>
      <c r="O81" s="30">
        <v>8526</v>
      </c>
      <c r="P81" s="31">
        <v>0.98429923805125841</v>
      </c>
      <c r="Q81" s="30">
        <v>24</v>
      </c>
      <c r="R81" s="30">
        <v>0</v>
      </c>
      <c r="S81" s="30">
        <v>0</v>
      </c>
      <c r="T81" s="31">
        <v>0</v>
      </c>
      <c r="U81" s="30">
        <v>0</v>
      </c>
      <c r="V81" s="31">
        <v>0</v>
      </c>
      <c r="W81" s="30">
        <v>4102</v>
      </c>
      <c r="X81" s="31">
        <v>2.3320068220579881</v>
      </c>
      <c r="Y81" s="30">
        <v>605</v>
      </c>
      <c r="Z81" s="33">
        <v>0.34394542353610008</v>
      </c>
      <c r="AA81" s="30">
        <v>8</v>
      </c>
      <c r="AB81" s="31">
        <v>4.5480386583285964E-3</v>
      </c>
      <c r="AC81" s="30">
        <v>277</v>
      </c>
      <c r="AD81" s="31">
        <v>0.1574758385446276</v>
      </c>
      <c r="AE81" s="30">
        <v>42</v>
      </c>
      <c r="AF81" s="31">
        <v>0.15162454873646211</v>
      </c>
      <c r="AG81" s="30">
        <v>252</v>
      </c>
      <c r="AH81" s="31">
        <v>0.90974729241877261</v>
      </c>
      <c r="AI81" s="34">
        <v>278</v>
      </c>
      <c r="AJ81" s="31">
        <v>0.15804434337691869</v>
      </c>
      <c r="AK81" s="34">
        <v>0</v>
      </c>
      <c r="AL81" s="31">
        <v>0.81294964028776984</v>
      </c>
      <c r="AM81" s="34">
        <v>267</v>
      </c>
      <c r="AN81" s="34">
        <v>226</v>
      </c>
      <c r="AO81" s="31">
        <v>0.1284820920977828</v>
      </c>
      <c r="AP81" s="31">
        <v>0.81588447653429608</v>
      </c>
      <c r="AQ81" s="32">
        <v>0.97307692307692306</v>
      </c>
      <c r="AR81" s="34">
        <v>0</v>
      </c>
      <c r="AS81" s="34">
        <v>0</v>
      </c>
      <c r="AT81" s="34">
        <v>42</v>
      </c>
      <c r="AU81" s="34">
        <v>37</v>
      </c>
      <c r="AV81" s="34">
        <v>37</v>
      </c>
      <c r="AW81" s="34">
        <v>58</v>
      </c>
      <c r="AX81" s="31">
        <v>2.1034678794769751E-2</v>
      </c>
      <c r="AY81" s="31">
        <v>2.1034678794769751E-2</v>
      </c>
      <c r="AZ81" s="31">
        <v>3.2973280272882322E-2</v>
      </c>
      <c r="BA81" s="31">
        <v>0.16371681415929201</v>
      </c>
      <c r="BB81" s="34">
        <v>0</v>
      </c>
      <c r="BC81" s="34">
        <v>0</v>
      </c>
      <c r="BD81" s="32">
        <v>1</v>
      </c>
      <c r="BE81" s="32">
        <v>1</v>
      </c>
      <c r="BF81" s="32" t="s">
        <v>335</v>
      </c>
    </row>
    <row r="82" spans="1:58" ht="19.5" customHeight="1">
      <c r="A82" s="35">
        <v>79</v>
      </c>
      <c r="B82" s="30" t="s">
        <v>5</v>
      </c>
      <c r="C82" s="36">
        <v>46101</v>
      </c>
      <c r="D82" s="30" t="s">
        <v>25</v>
      </c>
      <c r="E82" s="30">
        <v>2287</v>
      </c>
      <c r="F82" s="30">
        <v>2027</v>
      </c>
      <c r="G82" s="31">
        <v>0.88631394840402278</v>
      </c>
      <c r="H82" s="30">
        <v>519</v>
      </c>
      <c r="I82" s="32">
        <v>0.22693484914735459</v>
      </c>
      <c r="J82" s="30">
        <v>378</v>
      </c>
      <c r="K82" s="30">
        <v>368</v>
      </c>
      <c r="L82" s="31">
        <v>0.97399999999999998</v>
      </c>
      <c r="M82" s="30">
        <v>944</v>
      </c>
      <c r="N82" s="30">
        <v>1408</v>
      </c>
      <c r="O82" s="30">
        <v>913</v>
      </c>
      <c r="P82" s="31">
        <v>0.96716101694915257</v>
      </c>
      <c r="Q82" s="30">
        <v>0</v>
      </c>
      <c r="R82" s="30">
        <v>0</v>
      </c>
      <c r="S82" s="30">
        <v>0</v>
      </c>
      <c r="T82" s="31">
        <v>0</v>
      </c>
      <c r="U82" s="30">
        <v>0</v>
      </c>
      <c r="V82" s="31">
        <v>0</v>
      </c>
      <c r="W82" s="30">
        <v>7</v>
      </c>
      <c r="X82" s="31">
        <v>3.060778312199388E-3</v>
      </c>
      <c r="Y82" s="30">
        <v>38</v>
      </c>
      <c r="Z82" s="33">
        <v>1.661565369479668E-2</v>
      </c>
      <c r="AA82" s="30">
        <v>0</v>
      </c>
      <c r="AB82" s="31">
        <v>0</v>
      </c>
      <c r="AC82" s="30">
        <v>58</v>
      </c>
      <c r="AD82" s="31">
        <v>2.5360734586794931E-2</v>
      </c>
      <c r="AE82" s="30">
        <v>20</v>
      </c>
      <c r="AF82" s="31">
        <v>0.34482758620689657</v>
      </c>
      <c r="AG82" s="30">
        <v>52</v>
      </c>
      <c r="AH82" s="31">
        <v>0.89655172413793105</v>
      </c>
      <c r="AI82" s="34">
        <v>0</v>
      </c>
      <c r="AJ82" s="31">
        <v>0</v>
      </c>
      <c r="AK82" s="34">
        <v>0</v>
      </c>
      <c r="AL82" s="31">
        <v>0</v>
      </c>
      <c r="AM82" s="34">
        <v>0</v>
      </c>
      <c r="AN82" s="34">
        <v>0</v>
      </c>
      <c r="AO82" s="31">
        <v>0</v>
      </c>
      <c r="AP82" s="31">
        <v>0</v>
      </c>
      <c r="AQ82" s="32">
        <v>1</v>
      </c>
      <c r="AR82" s="34">
        <v>383</v>
      </c>
      <c r="AS82" s="34">
        <v>130</v>
      </c>
      <c r="AT82" s="34">
        <v>0</v>
      </c>
      <c r="AU82" s="34">
        <v>0</v>
      </c>
      <c r="AV82" s="34">
        <v>0</v>
      </c>
      <c r="AW82" s="34">
        <v>0</v>
      </c>
      <c r="AX82" s="31">
        <v>0</v>
      </c>
      <c r="AY82" s="31">
        <v>0</v>
      </c>
      <c r="AZ82" s="31">
        <v>0</v>
      </c>
      <c r="BA82" s="31">
        <v>0</v>
      </c>
      <c r="BB82" s="34">
        <v>0</v>
      </c>
      <c r="BC82" s="34">
        <v>0</v>
      </c>
      <c r="BD82" s="32" t="s">
        <v>335</v>
      </c>
      <c r="BE82" s="32" t="s">
        <v>335</v>
      </c>
      <c r="BF82" s="32" t="s">
        <v>335</v>
      </c>
    </row>
    <row r="83" spans="1:58" ht="19.5" customHeight="1">
      <c r="A83" s="35">
        <v>80</v>
      </c>
      <c r="B83" s="30" t="s">
        <v>5</v>
      </c>
      <c r="C83" s="36">
        <v>46101</v>
      </c>
      <c r="D83" s="30" t="s">
        <v>287</v>
      </c>
      <c r="E83" s="30">
        <v>4830</v>
      </c>
      <c r="F83" s="30">
        <v>4201</v>
      </c>
      <c r="G83" s="31">
        <v>0.86977225672877845</v>
      </c>
      <c r="H83" s="30">
        <v>3618</v>
      </c>
      <c r="I83" s="32">
        <v>0.7490683229813665</v>
      </c>
      <c r="J83" s="30">
        <v>5424</v>
      </c>
      <c r="K83" s="30">
        <v>5312</v>
      </c>
      <c r="L83" s="31">
        <v>0.97899999999999998</v>
      </c>
      <c r="M83" s="30">
        <v>22966</v>
      </c>
      <c r="N83" s="30">
        <v>23875</v>
      </c>
      <c r="O83" s="30">
        <v>22669</v>
      </c>
      <c r="P83" s="31">
        <v>0.98706783941478704</v>
      </c>
      <c r="Q83" s="30">
        <v>39</v>
      </c>
      <c r="R83" s="30">
        <v>0</v>
      </c>
      <c r="S83" s="30">
        <v>0</v>
      </c>
      <c r="T83" s="31">
        <v>0</v>
      </c>
      <c r="U83" s="30">
        <v>0</v>
      </c>
      <c r="V83" s="31">
        <v>0</v>
      </c>
      <c r="W83" s="30">
        <v>5053</v>
      </c>
      <c r="X83" s="31">
        <v>1.0461697722567289</v>
      </c>
      <c r="Y83" s="30">
        <v>765</v>
      </c>
      <c r="Z83" s="33">
        <v>0.15838509316770191</v>
      </c>
      <c r="AA83" s="30">
        <v>58</v>
      </c>
      <c r="AB83" s="31">
        <v>1.2008281573498959E-2</v>
      </c>
      <c r="AC83" s="30">
        <v>539</v>
      </c>
      <c r="AD83" s="31">
        <v>0.1115942028985507</v>
      </c>
      <c r="AE83" s="30">
        <v>71</v>
      </c>
      <c r="AF83" s="31">
        <v>0.13172541743970309</v>
      </c>
      <c r="AG83" s="30">
        <v>489</v>
      </c>
      <c r="AH83" s="31">
        <v>0.90723562152133586</v>
      </c>
      <c r="AI83" s="34">
        <v>535</v>
      </c>
      <c r="AJ83" s="31">
        <v>0.1107660455486542</v>
      </c>
      <c r="AK83" s="34">
        <v>2</v>
      </c>
      <c r="AL83" s="31">
        <v>0.92523364485981308</v>
      </c>
      <c r="AM83" s="34">
        <v>527</v>
      </c>
      <c r="AN83" s="34">
        <v>495</v>
      </c>
      <c r="AO83" s="31">
        <v>0.1024844720496894</v>
      </c>
      <c r="AP83" s="31">
        <v>0.91836734693877553</v>
      </c>
      <c r="AQ83" s="32">
        <v>0.98672566371681414</v>
      </c>
      <c r="AR83" s="34">
        <v>0</v>
      </c>
      <c r="AS83" s="34">
        <v>0</v>
      </c>
      <c r="AT83" s="34">
        <v>95</v>
      </c>
      <c r="AU83" s="34">
        <v>86</v>
      </c>
      <c r="AV83" s="34">
        <v>85</v>
      </c>
      <c r="AW83" s="34">
        <v>155</v>
      </c>
      <c r="AX83" s="31">
        <v>1.7805383022774329E-2</v>
      </c>
      <c r="AY83" s="31">
        <v>1.7598343685300211E-2</v>
      </c>
      <c r="AZ83" s="31">
        <v>3.2091097308488623E-2</v>
      </c>
      <c r="BA83" s="31">
        <v>0.17171717171717171</v>
      </c>
      <c r="BB83" s="34">
        <v>0</v>
      </c>
      <c r="BC83" s="34">
        <v>0</v>
      </c>
      <c r="BD83" s="32">
        <v>1</v>
      </c>
      <c r="BE83" s="32">
        <v>1</v>
      </c>
      <c r="BF83" s="32" t="s">
        <v>335</v>
      </c>
    </row>
    <row r="84" spans="1:58" ht="19.5" customHeight="1">
      <c r="A84" s="35">
        <v>81</v>
      </c>
      <c r="B84" s="30" t="s">
        <v>5</v>
      </c>
      <c r="C84" s="36">
        <v>46102</v>
      </c>
      <c r="D84" s="30" t="s">
        <v>2</v>
      </c>
      <c r="E84" s="30">
        <v>1918</v>
      </c>
      <c r="F84" s="30">
        <v>1743</v>
      </c>
      <c r="G84" s="31">
        <v>0.90875912408759119</v>
      </c>
      <c r="H84" s="30">
        <v>764</v>
      </c>
      <c r="I84" s="32">
        <v>0.3983315954118874</v>
      </c>
      <c r="J84" s="30">
        <v>2165</v>
      </c>
      <c r="K84" s="30">
        <v>2102</v>
      </c>
      <c r="L84" s="31">
        <v>0.97099999999999997</v>
      </c>
      <c r="M84" s="30">
        <v>10964</v>
      </c>
      <c r="N84" s="30">
        <v>10868</v>
      </c>
      <c r="O84" s="30">
        <v>10804</v>
      </c>
      <c r="P84" s="31">
        <v>0.9854067858445823</v>
      </c>
      <c r="Q84" s="30">
        <v>14</v>
      </c>
      <c r="R84" s="30">
        <v>0</v>
      </c>
      <c r="S84" s="30">
        <v>0</v>
      </c>
      <c r="T84" s="31">
        <v>0</v>
      </c>
      <c r="U84" s="30">
        <v>0</v>
      </c>
      <c r="V84" s="31">
        <v>0</v>
      </c>
      <c r="W84" s="30">
        <v>3230</v>
      </c>
      <c r="X84" s="31">
        <v>1.6840458811261729</v>
      </c>
      <c r="Y84" s="30">
        <v>665</v>
      </c>
      <c r="Z84" s="33">
        <v>0.34671532846715331</v>
      </c>
      <c r="AA84" s="30">
        <v>30</v>
      </c>
      <c r="AB84" s="31">
        <v>1.5641293013555789E-2</v>
      </c>
      <c r="AC84" s="30">
        <v>394</v>
      </c>
      <c r="AD84" s="31">
        <v>0.20542231491136601</v>
      </c>
      <c r="AE84" s="30">
        <v>78</v>
      </c>
      <c r="AF84" s="31">
        <v>0.1979695431472081</v>
      </c>
      <c r="AG84" s="30">
        <v>366</v>
      </c>
      <c r="AH84" s="31">
        <v>0.92893401015228427</v>
      </c>
      <c r="AI84" s="34">
        <v>402</v>
      </c>
      <c r="AJ84" s="31">
        <v>0.20959332638164749</v>
      </c>
      <c r="AK84" s="34">
        <v>1</v>
      </c>
      <c r="AL84" s="31">
        <v>0.85820895522388063</v>
      </c>
      <c r="AM84" s="34">
        <v>400</v>
      </c>
      <c r="AN84" s="34">
        <v>345</v>
      </c>
      <c r="AO84" s="31">
        <v>0.17987486965589161</v>
      </c>
      <c r="AP84" s="31">
        <v>0.87563451776649748</v>
      </c>
      <c r="AQ84" s="32">
        <v>0.96721311475409832</v>
      </c>
      <c r="AR84" s="34">
        <v>0</v>
      </c>
      <c r="AS84" s="34">
        <v>0</v>
      </c>
      <c r="AT84" s="34">
        <v>88</v>
      </c>
      <c r="AU84" s="34">
        <v>82</v>
      </c>
      <c r="AV84" s="34">
        <v>77</v>
      </c>
      <c r="AW84" s="34">
        <v>76</v>
      </c>
      <c r="AX84" s="31">
        <v>4.2752867570385822E-2</v>
      </c>
      <c r="AY84" s="31">
        <v>4.0145985401459847E-2</v>
      </c>
      <c r="AZ84" s="31">
        <v>3.9624608967674661E-2</v>
      </c>
      <c r="BA84" s="31">
        <v>0.22318840579710139</v>
      </c>
      <c r="BB84" s="34">
        <v>0</v>
      </c>
      <c r="BC84" s="34">
        <v>0</v>
      </c>
      <c r="BD84" s="32">
        <v>0.9821428571428571</v>
      </c>
      <c r="BE84" s="32">
        <v>1</v>
      </c>
      <c r="BF84" s="32" t="s">
        <v>335</v>
      </c>
    </row>
    <row r="85" spans="1:58" ht="19.5" customHeight="1">
      <c r="A85" s="35">
        <v>82</v>
      </c>
      <c r="B85" s="30" t="s">
        <v>5</v>
      </c>
      <c r="C85" s="36">
        <v>46102</v>
      </c>
      <c r="D85" s="30" t="s">
        <v>285</v>
      </c>
      <c r="E85" s="30">
        <v>1760</v>
      </c>
      <c r="F85" s="30">
        <v>1628</v>
      </c>
      <c r="G85" s="31">
        <v>0.92500000000000004</v>
      </c>
      <c r="H85" s="30">
        <v>932</v>
      </c>
      <c r="I85" s="32">
        <v>0.52954545454545454</v>
      </c>
      <c r="J85" s="30">
        <v>1585</v>
      </c>
      <c r="K85" s="30">
        <v>1544</v>
      </c>
      <c r="L85" s="31">
        <v>0.97399999999999998</v>
      </c>
      <c r="M85" s="30">
        <v>8852</v>
      </c>
      <c r="N85" s="30">
        <v>8873</v>
      </c>
      <c r="O85" s="30">
        <v>8718</v>
      </c>
      <c r="P85" s="31">
        <v>0.98486217803886122</v>
      </c>
      <c r="Q85" s="30">
        <v>16</v>
      </c>
      <c r="R85" s="30">
        <v>0</v>
      </c>
      <c r="S85" s="30">
        <v>0</v>
      </c>
      <c r="T85" s="31">
        <v>0</v>
      </c>
      <c r="U85" s="30">
        <v>0</v>
      </c>
      <c r="V85" s="31">
        <v>0</v>
      </c>
      <c r="W85" s="30">
        <v>3071</v>
      </c>
      <c r="X85" s="31">
        <v>1.7448863636363641</v>
      </c>
      <c r="Y85" s="30">
        <v>1016</v>
      </c>
      <c r="Z85" s="33">
        <v>0.57727272727272727</v>
      </c>
      <c r="AA85" s="30">
        <v>17</v>
      </c>
      <c r="AB85" s="31">
        <v>9.6590909090909088E-3</v>
      </c>
      <c r="AC85" s="30">
        <v>523</v>
      </c>
      <c r="AD85" s="31">
        <v>0.29715909090909087</v>
      </c>
      <c r="AE85" s="30">
        <v>70</v>
      </c>
      <c r="AF85" s="31">
        <v>0.13384321223709369</v>
      </c>
      <c r="AG85" s="30">
        <v>496</v>
      </c>
      <c r="AH85" s="31">
        <v>0.94837476099426388</v>
      </c>
      <c r="AI85" s="34">
        <v>535</v>
      </c>
      <c r="AJ85" s="31">
        <v>0.30397727272727271</v>
      </c>
      <c r="AK85" s="34">
        <v>3</v>
      </c>
      <c r="AL85" s="31">
        <v>0.82242990654205606</v>
      </c>
      <c r="AM85" s="34">
        <v>532</v>
      </c>
      <c r="AN85" s="34">
        <v>440</v>
      </c>
      <c r="AO85" s="31">
        <v>0.25</v>
      </c>
      <c r="AP85" s="31">
        <v>0.84130019120458888</v>
      </c>
      <c r="AQ85" s="32">
        <v>0.96047430830039526</v>
      </c>
      <c r="AR85" s="34">
        <v>0</v>
      </c>
      <c r="AS85" s="34">
        <v>0</v>
      </c>
      <c r="AT85" s="34">
        <v>74</v>
      </c>
      <c r="AU85" s="34">
        <v>66</v>
      </c>
      <c r="AV85" s="34">
        <v>64</v>
      </c>
      <c r="AW85" s="34">
        <v>44</v>
      </c>
      <c r="AX85" s="31">
        <v>3.7499999999999999E-2</v>
      </c>
      <c r="AY85" s="31">
        <v>3.6363636363636362E-2</v>
      </c>
      <c r="AZ85" s="31">
        <v>2.5000000000000001E-2</v>
      </c>
      <c r="BA85" s="31">
        <v>0.14545454545454539</v>
      </c>
      <c r="BB85" s="34">
        <v>0</v>
      </c>
      <c r="BC85" s="34">
        <v>0</v>
      </c>
      <c r="BD85" s="32">
        <v>1</v>
      </c>
      <c r="BE85" s="32">
        <v>1</v>
      </c>
      <c r="BF85" s="32" t="s">
        <v>335</v>
      </c>
    </row>
    <row r="86" spans="1:58" ht="19.5" customHeight="1">
      <c r="A86" s="35">
        <v>83</v>
      </c>
      <c r="B86" s="30" t="s">
        <v>5</v>
      </c>
      <c r="C86" s="36">
        <v>46102</v>
      </c>
      <c r="D86" s="30" t="s">
        <v>25</v>
      </c>
      <c r="E86" s="30">
        <v>1726</v>
      </c>
      <c r="F86" s="30">
        <v>1596</v>
      </c>
      <c r="G86" s="31">
        <v>0.92468134414831982</v>
      </c>
      <c r="H86" s="30">
        <v>424</v>
      </c>
      <c r="I86" s="32">
        <v>0.24565469293163381</v>
      </c>
      <c r="J86" s="30">
        <v>2531</v>
      </c>
      <c r="K86" s="30">
        <v>2477</v>
      </c>
      <c r="L86" s="31">
        <v>0.97899999999999998</v>
      </c>
      <c r="M86" s="30">
        <v>4217</v>
      </c>
      <c r="N86" s="30">
        <v>4193</v>
      </c>
      <c r="O86" s="30">
        <v>4051</v>
      </c>
      <c r="P86" s="31">
        <v>0.96063552288356646</v>
      </c>
      <c r="Q86" s="30">
        <v>23</v>
      </c>
      <c r="R86" s="30">
        <v>0</v>
      </c>
      <c r="S86" s="30">
        <v>0</v>
      </c>
      <c r="T86" s="31">
        <v>0</v>
      </c>
      <c r="U86" s="30">
        <v>0</v>
      </c>
      <c r="V86" s="31">
        <v>0</v>
      </c>
      <c r="W86" s="30">
        <v>10</v>
      </c>
      <c r="X86" s="31">
        <v>5.7937427578215531E-3</v>
      </c>
      <c r="Y86" s="30">
        <v>74</v>
      </c>
      <c r="Z86" s="33">
        <v>4.287369640787949E-2</v>
      </c>
      <c r="AA86" s="30">
        <v>0</v>
      </c>
      <c r="AB86" s="31">
        <v>0</v>
      </c>
      <c r="AC86" s="30">
        <v>115</v>
      </c>
      <c r="AD86" s="31">
        <v>6.662804171494785E-2</v>
      </c>
      <c r="AE86" s="30">
        <v>26</v>
      </c>
      <c r="AF86" s="31">
        <v>0.2260869565217391</v>
      </c>
      <c r="AG86" s="30">
        <v>99</v>
      </c>
      <c r="AH86" s="31">
        <v>0.86086956521739133</v>
      </c>
      <c r="AI86" s="34">
        <v>0</v>
      </c>
      <c r="AJ86" s="31">
        <v>0</v>
      </c>
      <c r="AK86" s="34">
        <v>0</v>
      </c>
      <c r="AL86" s="31">
        <v>0</v>
      </c>
      <c r="AM86" s="34">
        <v>0</v>
      </c>
      <c r="AN86" s="34">
        <v>0</v>
      </c>
      <c r="AO86" s="31">
        <v>0</v>
      </c>
      <c r="AP86" s="31">
        <v>0</v>
      </c>
      <c r="AQ86" s="32">
        <v>1</v>
      </c>
      <c r="AR86" s="34">
        <v>560</v>
      </c>
      <c r="AS86" s="34">
        <v>208</v>
      </c>
      <c r="AT86" s="34">
        <v>0</v>
      </c>
      <c r="AU86" s="34">
        <v>0</v>
      </c>
      <c r="AV86" s="34">
        <v>0</v>
      </c>
      <c r="AW86" s="34">
        <v>0</v>
      </c>
      <c r="AX86" s="31">
        <v>0</v>
      </c>
      <c r="AY86" s="31">
        <v>0</v>
      </c>
      <c r="AZ86" s="31">
        <v>0</v>
      </c>
      <c r="BA86" s="31">
        <v>0</v>
      </c>
      <c r="BB86" s="34">
        <v>0</v>
      </c>
      <c r="BC86" s="34">
        <v>0</v>
      </c>
      <c r="BD86" s="32" t="s">
        <v>335</v>
      </c>
      <c r="BE86" s="32" t="s">
        <v>335</v>
      </c>
      <c r="BF86" s="32" t="s">
        <v>335</v>
      </c>
    </row>
    <row r="87" spans="1:58" ht="19.5" customHeight="1">
      <c r="A87" s="35">
        <v>84</v>
      </c>
      <c r="B87" s="30" t="s">
        <v>5</v>
      </c>
      <c r="C87" s="36">
        <v>46102</v>
      </c>
      <c r="D87" s="30" t="s">
        <v>287</v>
      </c>
      <c r="E87" s="30">
        <v>4405</v>
      </c>
      <c r="F87" s="30">
        <v>3863</v>
      </c>
      <c r="G87" s="31">
        <v>0.87695800227014753</v>
      </c>
      <c r="H87" s="30">
        <v>3465</v>
      </c>
      <c r="I87" s="32">
        <v>0.7866061293984109</v>
      </c>
      <c r="J87" s="30">
        <v>5801</v>
      </c>
      <c r="K87" s="30">
        <v>5732</v>
      </c>
      <c r="L87" s="31">
        <v>0.98799999999999999</v>
      </c>
      <c r="M87" s="30">
        <v>23309</v>
      </c>
      <c r="N87" s="30">
        <v>23862</v>
      </c>
      <c r="O87" s="30">
        <v>23060</v>
      </c>
      <c r="P87" s="31">
        <v>0.98931743103522241</v>
      </c>
      <c r="Q87" s="30">
        <v>22</v>
      </c>
      <c r="R87" s="30">
        <v>0</v>
      </c>
      <c r="S87" s="30">
        <v>0</v>
      </c>
      <c r="T87" s="31">
        <v>0</v>
      </c>
      <c r="U87" s="30">
        <v>0</v>
      </c>
      <c r="V87" s="31">
        <v>0</v>
      </c>
      <c r="W87" s="30">
        <v>4764</v>
      </c>
      <c r="X87" s="31">
        <v>1.0814982973893299</v>
      </c>
      <c r="Y87" s="30">
        <v>1006</v>
      </c>
      <c r="Z87" s="33">
        <v>0.22837684449489221</v>
      </c>
      <c r="AA87" s="30">
        <v>75</v>
      </c>
      <c r="AB87" s="31">
        <v>1.70261066969353E-2</v>
      </c>
      <c r="AC87" s="30">
        <v>747</v>
      </c>
      <c r="AD87" s="31">
        <v>0.1695800227014756</v>
      </c>
      <c r="AE87" s="30">
        <v>107</v>
      </c>
      <c r="AF87" s="31">
        <v>0.14323962516733599</v>
      </c>
      <c r="AG87" s="30">
        <v>683</v>
      </c>
      <c r="AH87" s="31">
        <v>0.91432396251673365</v>
      </c>
      <c r="AI87" s="34">
        <v>749</v>
      </c>
      <c r="AJ87" s="31">
        <v>0.1700340522133939</v>
      </c>
      <c r="AK87" s="34">
        <v>1</v>
      </c>
      <c r="AL87" s="31">
        <v>0.93190921228304402</v>
      </c>
      <c r="AM87" s="34">
        <v>742</v>
      </c>
      <c r="AN87" s="34">
        <v>698</v>
      </c>
      <c r="AO87" s="31">
        <v>0.15845629965947791</v>
      </c>
      <c r="AP87" s="31">
        <v>0.93440428380187412</v>
      </c>
      <c r="AQ87" s="32">
        <v>0.97455968688845396</v>
      </c>
      <c r="AR87" s="34">
        <v>0</v>
      </c>
      <c r="AS87" s="34">
        <v>0</v>
      </c>
      <c r="AT87" s="34">
        <v>132</v>
      </c>
      <c r="AU87" s="34">
        <v>124</v>
      </c>
      <c r="AV87" s="34">
        <v>123</v>
      </c>
      <c r="AW87" s="34">
        <v>106</v>
      </c>
      <c r="AX87" s="31">
        <v>2.8149829738933031E-2</v>
      </c>
      <c r="AY87" s="31">
        <v>2.792281498297389E-2</v>
      </c>
      <c r="AZ87" s="31">
        <v>2.4063564131668561E-2</v>
      </c>
      <c r="BA87" s="31">
        <v>0.17621776504298001</v>
      </c>
      <c r="BB87" s="34">
        <v>0</v>
      </c>
      <c r="BC87" s="34">
        <v>1</v>
      </c>
      <c r="BD87" s="32">
        <v>0.97402597402597402</v>
      </c>
      <c r="BE87" s="32">
        <v>1</v>
      </c>
      <c r="BF87" s="32" t="s">
        <v>335</v>
      </c>
    </row>
    <row r="88" spans="1:58" ht="19.5" customHeight="1">
      <c r="A88" s="35">
        <v>85</v>
      </c>
      <c r="B88" s="30" t="s">
        <v>5</v>
      </c>
      <c r="C88" s="36">
        <v>46103</v>
      </c>
      <c r="D88" s="30" t="s">
        <v>2</v>
      </c>
      <c r="E88" s="30">
        <v>2138</v>
      </c>
      <c r="F88" s="30">
        <v>1943</v>
      </c>
      <c r="G88" s="31">
        <v>0.90879326473339572</v>
      </c>
      <c r="H88" s="30">
        <v>851</v>
      </c>
      <c r="I88" s="32">
        <v>0.39803554724041162</v>
      </c>
      <c r="J88" s="30">
        <v>2053</v>
      </c>
      <c r="K88" s="30">
        <v>1987</v>
      </c>
      <c r="L88" s="31">
        <v>0.96799999999999997</v>
      </c>
      <c r="M88" s="30">
        <v>10812</v>
      </c>
      <c r="N88" s="30">
        <v>10832</v>
      </c>
      <c r="O88" s="30">
        <v>10683</v>
      </c>
      <c r="P88" s="31">
        <v>0.9880688124306326</v>
      </c>
      <c r="Q88" s="30">
        <v>19</v>
      </c>
      <c r="R88" s="30">
        <v>0</v>
      </c>
      <c r="S88" s="30">
        <v>0</v>
      </c>
      <c r="T88" s="31">
        <v>0</v>
      </c>
      <c r="U88" s="30">
        <v>0</v>
      </c>
      <c r="V88" s="31">
        <v>0</v>
      </c>
      <c r="W88" s="30">
        <v>3478</v>
      </c>
      <c r="X88" s="31">
        <v>1.6267539756782039</v>
      </c>
      <c r="Y88" s="30">
        <v>365</v>
      </c>
      <c r="Z88" s="33">
        <v>0.1707202993451824</v>
      </c>
      <c r="AA88" s="30">
        <v>19</v>
      </c>
      <c r="AB88" s="31">
        <v>8.8868101028999058E-3</v>
      </c>
      <c r="AC88" s="30">
        <v>459</v>
      </c>
      <c r="AD88" s="31">
        <v>0.2146866230121609</v>
      </c>
      <c r="AE88" s="30">
        <v>62</v>
      </c>
      <c r="AF88" s="31">
        <v>0.13507625272331161</v>
      </c>
      <c r="AG88" s="30">
        <v>419</v>
      </c>
      <c r="AH88" s="31">
        <v>0.91285403050108938</v>
      </c>
      <c r="AI88" s="34">
        <v>458</v>
      </c>
      <c r="AJ88" s="31">
        <v>0.21421889616463979</v>
      </c>
      <c r="AK88" s="34">
        <v>3</v>
      </c>
      <c r="AL88" s="31">
        <v>0.83406113537117899</v>
      </c>
      <c r="AM88" s="34">
        <v>456</v>
      </c>
      <c r="AN88" s="34">
        <v>382</v>
      </c>
      <c r="AO88" s="31">
        <v>0.1786716557530402</v>
      </c>
      <c r="AP88" s="31">
        <v>0.83224400871459692</v>
      </c>
      <c r="AQ88" s="32">
        <v>0.97872340425531912</v>
      </c>
      <c r="AR88" s="34">
        <v>0</v>
      </c>
      <c r="AS88" s="34">
        <v>0</v>
      </c>
      <c r="AT88" s="34">
        <v>114</v>
      </c>
      <c r="AU88" s="34">
        <v>107</v>
      </c>
      <c r="AV88" s="34">
        <v>104</v>
      </c>
      <c r="AW88" s="34">
        <v>61</v>
      </c>
      <c r="AX88" s="31">
        <v>5.0046772684752112E-2</v>
      </c>
      <c r="AY88" s="31">
        <v>4.8643592142188961E-2</v>
      </c>
      <c r="AZ88" s="31">
        <v>2.853133769878391E-2</v>
      </c>
      <c r="BA88" s="31">
        <v>0.27225130890052363</v>
      </c>
      <c r="BB88" s="34">
        <v>0</v>
      </c>
      <c r="BC88" s="34">
        <v>0</v>
      </c>
      <c r="BD88" s="32">
        <v>0.98412698412698407</v>
      </c>
      <c r="BE88" s="32">
        <v>1</v>
      </c>
      <c r="BF88" s="32" t="s">
        <v>335</v>
      </c>
    </row>
    <row r="89" spans="1:58" ht="19.5" customHeight="1">
      <c r="A89" s="35">
        <v>86</v>
      </c>
      <c r="B89" s="30" t="s">
        <v>5</v>
      </c>
      <c r="C89" s="36">
        <v>46103</v>
      </c>
      <c r="D89" s="30" t="s">
        <v>285</v>
      </c>
      <c r="E89" s="30">
        <v>1867</v>
      </c>
      <c r="F89" s="30">
        <v>1718</v>
      </c>
      <c r="G89" s="31">
        <v>0.92019282271023028</v>
      </c>
      <c r="H89" s="30">
        <v>1015</v>
      </c>
      <c r="I89" s="32">
        <v>0.54365291912158542</v>
      </c>
      <c r="J89" s="30">
        <v>1574</v>
      </c>
      <c r="K89" s="30">
        <v>1520</v>
      </c>
      <c r="L89" s="31">
        <v>0.96599999999999997</v>
      </c>
      <c r="M89" s="30">
        <v>9158</v>
      </c>
      <c r="N89" s="30">
        <v>9111</v>
      </c>
      <c r="O89" s="30">
        <v>9031</v>
      </c>
      <c r="P89" s="31">
        <v>0.98613234330639876</v>
      </c>
      <c r="Q89" s="30">
        <v>25</v>
      </c>
      <c r="R89" s="30">
        <v>0</v>
      </c>
      <c r="S89" s="30">
        <v>0</v>
      </c>
      <c r="T89" s="31">
        <v>0</v>
      </c>
      <c r="U89" s="30">
        <v>0</v>
      </c>
      <c r="V89" s="31">
        <v>0</v>
      </c>
      <c r="W89" s="30">
        <v>3049</v>
      </c>
      <c r="X89" s="31">
        <v>1.633101231922871</v>
      </c>
      <c r="Y89" s="30">
        <v>409</v>
      </c>
      <c r="Z89" s="33">
        <v>0.2190680235672201</v>
      </c>
      <c r="AA89" s="30">
        <v>14</v>
      </c>
      <c r="AB89" s="31">
        <v>7.4986609534011782E-3</v>
      </c>
      <c r="AC89" s="30">
        <v>537</v>
      </c>
      <c r="AD89" s="31">
        <v>0.28762720942688808</v>
      </c>
      <c r="AE89" s="30">
        <v>75</v>
      </c>
      <c r="AF89" s="31">
        <v>0.13966480446927371</v>
      </c>
      <c r="AG89" s="30">
        <v>496</v>
      </c>
      <c r="AH89" s="31">
        <v>0.92364990689013038</v>
      </c>
      <c r="AI89" s="34">
        <v>529</v>
      </c>
      <c r="AJ89" s="31">
        <v>0.28334226031065879</v>
      </c>
      <c r="AK89" s="34">
        <v>0</v>
      </c>
      <c r="AL89" s="31">
        <v>0.86578449905482047</v>
      </c>
      <c r="AM89" s="34">
        <v>525</v>
      </c>
      <c r="AN89" s="34">
        <v>458</v>
      </c>
      <c r="AO89" s="31">
        <v>0.2453133369041243</v>
      </c>
      <c r="AP89" s="31">
        <v>0.85288640595903165</v>
      </c>
      <c r="AQ89" s="32">
        <v>0.98367346938775513</v>
      </c>
      <c r="AR89" s="34">
        <v>0</v>
      </c>
      <c r="AS89" s="34">
        <v>0</v>
      </c>
      <c r="AT89" s="34">
        <v>105</v>
      </c>
      <c r="AU89" s="34">
        <v>98</v>
      </c>
      <c r="AV89" s="34">
        <v>92</v>
      </c>
      <c r="AW89" s="34">
        <v>24</v>
      </c>
      <c r="AX89" s="31">
        <v>5.2490626673808251E-2</v>
      </c>
      <c r="AY89" s="31">
        <v>4.9276914836636307E-2</v>
      </c>
      <c r="AZ89" s="31">
        <v>1.2854847348687731E-2</v>
      </c>
      <c r="BA89" s="31">
        <v>0.20087336244541479</v>
      </c>
      <c r="BB89" s="34">
        <v>0</v>
      </c>
      <c r="BC89" s="34">
        <v>1</v>
      </c>
      <c r="BD89" s="32">
        <v>0.96875</v>
      </c>
      <c r="BE89" s="32">
        <v>1</v>
      </c>
      <c r="BF89" s="32" t="s">
        <v>335</v>
      </c>
    </row>
    <row r="90" spans="1:58" ht="19.5" customHeight="1">
      <c r="A90" s="35">
        <v>87</v>
      </c>
      <c r="B90" s="30" t="s">
        <v>5</v>
      </c>
      <c r="C90" s="36">
        <v>46103</v>
      </c>
      <c r="D90" s="30" t="s">
        <v>25</v>
      </c>
      <c r="E90" s="30">
        <v>1526</v>
      </c>
      <c r="F90" s="30">
        <v>1382</v>
      </c>
      <c r="G90" s="31">
        <v>0.90563564875491476</v>
      </c>
      <c r="H90" s="30">
        <v>464</v>
      </c>
      <c r="I90" s="32">
        <v>0.30406290956749671</v>
      </c>
      <c r="J90" s="30">
        <v>1323</v>
      </c>
      <c r="K90" s="30">
        <v>1275</v>
      </c>
      <c r="L90" s="31">
        <v>0.96399999999999997</v>
      </c>
      <c r="M90" s="30">
        <v>2861</v>
      </c>
      <c r="N90" s="30">
        <v>2976</v>
      </c>
      <c r="O90" s="30">
        <v>2745</v>
      </c>
      <c r="P90" s="31">
        <v>0.95945473610625653</v>
      </c>
      <c r="Q90" s="30">
        <v>10</v>
      </c>
      <c r="R90" s="30">
        <v>0</v>
      </c>
      <c r="S90" s="30">
        <v>0</v>
      </c>
      <c r="T90" s="31">
        <v>0</v>
      </c>
      <c r="U90" s="30">
        <v>0</v>
      </c>
      <c r="V90" s="31">
        <v>0</v>
      </c>
      <c r="W90" s="30">
        <v>9</v>
      </c>
      <c r="X90" s="31">
        <v>5.8977719528178242E-3</v>
      </c>
      <c r="Y90" s="30">
        <v>97</v>
      </c>
      <c r="Z90" s="33">
        <v>6.3564875491481002E-2</v>
      </c>
      <c r="AA90" s="30">
        <v>0</v>
      </c>
      <c r="AB90" s="31">
        <v>0</v>
      </c>
      <c r="AC90" s="30">
        <v>130</v>
      </c>
      <c r="AD90" s="31">
        <v>8.5190039318479682E-2</v>
      </c>
      <c r="AE90" s="30">
        <v>24</v>
      </c>
      <c r="AF90" s="31">
        <v>0.1846153846153846</v>
      </c>
      <c r="AG90" s="30">
        <v>116</v>
      </c>
      <c r="AH90" s="31">
        <v>0.89230769230769236</v>
      </c>
      <c r="AI90" s="34">
        <v>0</v>
      </c>
      <c r="AJ90" s="31">
        <v>0</v>
      </c>
      <c r="AK90" s="34">
        <v>0</v>
      </c>
      <c r="AL90" s="31">
        <v>0</v>
      </c>
      <c r="AM90" s="34">
        <v>0</v>
      </c>
      <c r="AN90" s="34">
        <v>0</v>
      </c>
      <c r="AO90" s="31">
        <v>0</v>
      </c>
      <c r="AP90" s="31">
        <v>0</v>
      </c>
      <c r="AQ90" s="32">
        <v>0.97959183673469385</v>
      </c>
      <c r="AR90" s="34">
        <v>449</v>
      </c>
      <c r="AS90" s="34">
        <v>169</v>
      </c>
      <c r="AT90" s="34">
        <v>0</v>
      </c>
      <c r="AU90" s="34">
        <v>0</v>
      </c>
      <c r="AV90" s="34">
        <v>0</v>
      </c>
      <c r="AW90" s="34">
        <v>0</v>
      </c>
      <c r="AX90" s="31">
        <v>0</v>
      </c>
      <c r="AY90" s="31">
        <v>0</v>
      </c>
      <c r="AZ90" s="31">
        <v>0</v>
      </c>
      <c r="BA90" s="31">
        <v>0</v>
      </c>
      <c r="BB90" s="34">
        <v>0</v>
      </c>
      <c r="BC90" s="34">
        <v>0</v>
      </c>
      <c r="BD90" s="32" t="s">
        <v>335</v>
      </c>
      <c r="BE90" s="32" t="s">
        <v>335</v>
      </c>
      <c r="BF90" s="32" t="s">
        <v>335</v>
      </c>
    </row>
    <row r="91" spans="1:58" ht="19.5" customHeight="1">
      <c r="A91" s="35">
        <v>88</v>
      </c>
      <c r="B91" s="30" t="s">
        <v>5</v>
      </c>
      <c r="C91" s="36">
        <v>46103</v>
      </c>
      <c r="D91" s="30" t="s">
        <v>287</v>
      </c>
      <c r="E91" s="30">
        <v>4720</v>
      </c>
      <c r="F91" s="30">
        <v>4208</v>
      </c>
      <c r="G91" s="31">
        <v>0.8915254237288136</v>
      </c>
      <c r="H91" s="30">
        <v>3629</v>
      </c>
      <c r="I91" s="32">
        <v>0.76885593220338988</v>
      </c>
      <c r="J91" s="30">
        <v>5418</v>
      </c>
      <c r="K91" s="30">
        <v>5325</v>
      </c>
      <c r="L91" s="31">
        <v>0.98299999999999998</v>
      </c>
      <c r="M91" s="30">
        <v>23484</v>
      </c>
      <c r="N91" s="30">
        <v>23782</v>
      </c>
      <c r="O91" s="30">
        <v>23212</v>
      </c>
      <c r="P91" s="31">
        <v>0.98841764605688975</v>
      </c>
      <c r="Q91" s="30">
        <v>27</v>
      </c>
      <c r="R91" s="30">
        <v>0</v>
      </c>
      <c r="S91" s="30">
        <v>0</v>
      </c>
      <c r="T91" s="31">
        <v>0</v>
      </c>
      <c r="U91" s="30">
        <v>0</v>
      </c>
      <c r="V91" s="31">
        <v>0</v>
      </c>
      <c r="W91" s="30">
        <v>4720</v>
      </c>
      <c r="X91" s="31">
        <v>1</v>
      </c>
      <c r="Y91" s="30">
        <v>685</v>
      </c>
      <c r="Z91" s="33">
        <v>0.1451271186440678</v>
      </c>
      <c r="AA91" s="30">
        <v>69</v>
      </c>
      <c r="AB91" s="31">
        <v>1.461864406779661E-2</v>
      </c>
      <c r="AC91" s="30">
        <v>845</v>
      </c>
      <c r="AD91" s="31">
        <v>0.17902542372881361</v>
      </c>
      <c r="AE91" s="30">
        <v>122</v>
      </c>
      <c r="AF91" s="31">
        <v>0.14437869822485211</v>
      </c>
      <c r="AG91" s="30">
        <v>768</v>
      </c>
      <c r="AH91" s="31">
        <v>0.90887573964497037</v>
      </c>
      <c r="AI91" s="34">
        <v>826</v>
      </c>
      <c r="AJ91" s="31">
        <v>0.17499999999999999</v>
      </c>
      <c r="AK91" s="34">
        <v>6</v>
      </c>
      <c r="AL91" s="31">
        <v>0.92736077481840196</v>
      </c>
      <c r="AM91" s="34">
        <v>818</v>
      </c>
      <c r="AN91" s="34">
        <v>766</v>
      </c>
      <c r="AO91" s="31">
        <v>0.16228813559322031</v>
      </c>
      <c r="AP91" s="31">
        <v>0.906508875739645</v>
      </c>
      <c r="AQ91" s="32">
        <v>0.97503467406380029</v>
      </c>
      <c r="AR91" s="34">
        <v>0</v>
      </c>
      <c r="AS91" s="34">
        <v>0</v>
      </c>
      <c r="AT91" s="34">
        <v>177</v>
      </c>
      <c r="AU91" s="34">
        <v>172</v>
      </c>
      <c r="AV91" s="34">
        <v>166</v>
      </c>
      <c r="AW91" s="34">
        <v>83</v>
      </c>
      <c r="AX91" s="31">
        <v>3.6440677966101703E-2</v>
      </c>
      <c r="AY91" s="31">
        <v>3.5169491525423729E-2</v>
      </c>
      <c r="AZ91" s="31">
        <v>1.7584745762711861E-2</v>
      </c>
      <c r="BA91" s="31">
        <v>0.21671018276762399</v>
      </c>
      <c r="BB91" s="34">
        <v>0</v>
      </c>
      <c r="BC91" s="34">
        <v>0</v>
      </c>
      <c r="BD91" s="32">
        <v>0.98979591836734693</v>
      </c>
      <c r="BE91" s="32">
        <v>1</v>
      </c>
      <c r="BF91" s="32" t="s">
        <v>335</v>
      </c>
    </row>
    <row r="92" spans="1:58" ht="19.5" customHeight="1">
      <c r="A92" s="35">
        <v>89</v>
      </c>
      <c r="B92" s="30" t="s">
        <v>5</v>
      </c>
      <c r="C92" s="36">
        <v>46104</v>
      </c>
      <c r="D92" s="30" t="s">
        <v>2</v>
      </c>
      <c r="E92" s="30">
        <v>3400</v>
      </c>
      <c r="F92" s="30">
        <v>2940</v>
      </c>
      <c r="G92" s="31">
        <v>0.86470588235294121</v>
      </c>
      <c r="H92" s="30">
        <v>1825</v>
      </c>
      <c r="I92" s="32">
        <v>0.53676470588235292</v>
      </c>
      <c r="J92" s="30">
        <v>2265</v>
      </c>
      <c r="K92" s="30">
        <v>2199</v>
      </c>
      <c r="L92" s="31">
        <v>0.97099999999999997</v>
      </c>
      <c r="M92" s="30">
        <v>10927</v>
      </c>
      <c r="N92" s="30">
        <v>10781</v>
      </c>
      <c r="O92" s="30">
        <v>10768</v>
      </c>
      <c r="P92" s="31">
        <v>0.98544888807540953</v>
      </c>
      <c r="Q92" s="30">
        <v>22</v>
      </c>
      <c r="R92" s="30">
        <v>0</v>
      </c>
      <c r="S92" s="30">
        <v>0</v>
      </c>
      <c r="T92" s="31">
        <v>0</v>
      </c>
      <c r="U92" s="30">
        <v>0</v>
      </c>
      <c r="V92" s="31">
        <v>0</v>
      </c>
      <c r="W92" s="30">
        <v>3457</v>
      </c>
      <c r="X92" s="31">
        <v>1.016764705882353</v>
      </c>
      <c r="Y92" s="30">
        <v>431</v>
      </c>
      <c r="Z92" s="33">
        <v>0.12676470588235289</v>
      </c>
      <c r="AA92" s="30">
        <v>16</v>
      </c>
      <c r="AB92" s="31">
        <v>4.7058823529411761E-3</v>
      </c>
      <c r="AC92" s="30">
        <v>282</v>
      </c>
      <c r="AD92" s="31">
        <v>8.294117647058824E-2</v>
      </c>
      <c r="AE92" s="30">
        <v>55</v>
      </c>
      <c r="AF92" s="31">
        <v>0.19503546099290781</v>
      </c>
      <c r="AG92" s="30">
        <v>252</v>
      </c>
      <c r="AH92" s="31">
        <v>0.8936170212765957</v>
      </c>
      <c r="AI92" s="34">
        <v>282</v>
      </c>
      <c r="AJ92" s="31">
        <v>8.294117647058824E-2</v>
      </c>
      <c r="AK92" s="34">
        <v>2</v>
      </c>
      <c r="AL92" s="31">
        <v>0.81205673758865249</v>
      </c>
      <c r="AM92" s="34">
        <v>279</v>
      </c>
      <c r="AN92" s="34">
        <v>229</v>
      </c>
      <c r="AO92" s="31">
        <v>6.7352941176470588E-2</v>
      </c>
      <c r="AP92" s="31">
        <v>0.81205673758865249</v>
      </c>
      <c r="AQ92" s="32">
        <v>0.9901719901719902</v>
      </c>
      <c r="AR92" s="34">
        <v>0</v>
      </c>
      <c r="AS92" s="34">
        <v>0</v>
      </c>
      <c r="AT92" s="34">
        <v>74</v>
      </c>
      <c r="AU92" s="34">
        <v>61</v>
      </c>
      <c r="AV92" s="34">
        <v>69</v>
      </c>
      <c r="AW92" s="34">
        <v>108</v>
      </c>
      <c r="AX92" s="31">
        <v>1.7941176470588231E-2</v>
      </c>
      <c r="AY92" s="31">
        <v>2.029411764705882E-2</v>
      </c>
      <c r="AZ92" s="31">
        <v>3.1764705882352938E-2</v>
      </c>
      <c r="BA92" s="31">
        <v>0.30131004366812231</v>
      </c>
      <c r="BB92" s="34">
        <v>0</v>
      </c>
      <c r="BC92" s="34">
        <v>0</v>
      </c>
      <c r="BD92" s="32">
        <v>0.97368421052631582</v>
      </c>
      <c r="BE92" s="32">
        <v>1</v>
      </c>
      <c r="BF92" s="32" t="s">
        <v>335</v>
      </c>
    </row>
    <row r="93" spans="1:58" ht="19.5" customHeight="1">
      <c r="A93" s="35">
        <v>90</v>
      </c>
      <c r="B93" s="30" t="s">
        <v>5</v>
      </c>
      <c r="C93" s="36">
        <v>46104</v>
      </c>
      <c r="D93" s="30" t="s">
        <v>285</v>
      </c>
      <c r="E93" s="30">
        <v>1819</v>
      </c>
      <c r="F93" s="30">
        <v>1643</v>
      </c>
      <c r="G93" s="31">
        <v>0.90324354040681698</v>
      </c>
      <c r="H93" s="30">
        <v>869</v>
      </c>
      <c r="I93" s="32">
        <v>0.47773501924134137</v>
      </c>
      <c r="J93" s="30">
        <v>1287</v>
      </c>
      <c r="K93" s="30">
        <v>1255</v>
      </c>
      <c r="L93" s="31">
        <v>0.97499999999999998</v>
      </c>
      <c r="M93" s="30">
        <v>8511</v>
      </c>
      <c r="N93" s="30">
        <v>8344</v>
      </c>
      <c r="O93" s="30">
        <v>8392</v>
      </c>
      <c r="P93" s="31">
        <v>0.98601809423099518</v>
      </c>
      <c r="Q93" s="30">
        <v>23</v>
      </c>
      <c r="R93" s="30">
        <v>0</v>
      </c>
      <c r="S93" s="30">
        <v>0</v>
      </c>
      <c r="T93" s="31">
        <v>0</v>
      </c>
      <c r="U93" s="30">
        <v>0</v>
      </c>
      <c r="V93" s="31">
        <v>0</v>
      </c>
      <c r="W93" s="30">
        <v>2945</v>
      </c>
      <c r="X93" s="31">
        <v>1.6190214403518419</v>
      </c>
      <c r="Y93" s="30">
        <v>1190</v>
      </c>
      <c r="Z93" s="33">
        <v>0.65420560747663548</v>
      </c>
      <c r="AA93" s="30">
        <v>11</v>
      </c>
      <c r="AB93" s="31">
        <v>6.0472787245739413E-3</v>
      </c>
      <c r="AC93" s="30">
        <v>323</v>
      </c>
      <c r="AD93" s="31">
        <v>0.17757009345794389</v>
      </c>
      <c r="AE93" s="30">
        <v>51</v>
      </c>
      <c r="AF93" s="31">
        <v>0.15789473684210531</v>
      </c>
      <c r="AG93" s="30">
        <v>288</v>
      </c>
      <c r="AH93" s="31">
        <v>0.89164086687306499</v>
      </c>
      <c r="AI93" s="34">
        <v>321</v>
      </c>
      <c r="AJ93" s="31">
        <v>0.1764705882352941</v>
      </c>
      <c r="AK93" s="34">
        <v>1</v>
      </c>
      <c r="AL93" s="31">
        <v>0.85358255451713394</v>
      </c>
      <c r="AM93" s="34">
        <v>317</v>
      </c>
      <c r="AN93" s="34">
        <v>274</v>
      </c>
      <c r="AO93" s="31">
        <v>0.15063221550302361</v>
      </c>
      <c r="AP93" s="31">
        <v>0.84829721362229105</v>
      </c>
      <c r="AQ93" s="32">
        <v>0.98178137651821862</v>
      </c>
      <c r="AR93" s="34">
        <v>0</v>
      </c>
      <c r="AS93" s="34">
        <v>0</v>
      </c>
      <c r="AT93" s="34">
        <v>63</v>
      </c>
      <c r="AU93" s="34">
        <v>51</v>
      </c>
      <c r="AV93" s="34">
        <v>54</v>
      </c>
      <c r="AW93" s="34">
        <v>73</v>
      </c>
      <c r="AX93" s="31">
        <v>2.803738317757009E-2</v>
      </c>
      <c r="AY93" s="31">
        <v>2.968664101154481E-2</v>
      </c>
      <c r="AZ93" s="31">
        <v>4.0131940626717967E-2</v>
      </c>
      <c r="BA93" s="31">
        <v>0.1970802919708029</v>
      </c>
      <c r="BB93" s="34">
        <v>0</v>
      </c>
      <c r="BC93" s="34">
        <v>1</v>
      </c>
      <c r="BD93" s="32">
        <v>0.95652173913043481</v>
      </c>
      <c r="BE93" s="32">
        <v>1</v>
      </c>
      <c r="BF93" s="32" t="s">
        <v>335</v>
      </c>
    </row>
    <row r="94" spans="1:58" ht="19.5" customHeight="1">
      <c r="A94" s="35">
        <v>91</v>
      </c>
      <c r="B94" s="30" t="s">
        <v>5</v>
      </c>
      <c r="C94" s="36">
        <v>46104</v>
      </c>
      <c r="D94" s="30" t="s">
        <v>25</v>
      </c>
      <c r="E94" s="30">
        <v>1931</v>
      </c>
      <c r="F94" s="30">
        <v>1770</v>
      </c>
      <c r="G94" s="31">
        <v>0.91662351113412743</v>
      </c>
      <c r="H94" s="30">
        <v>349</v>
      </c>
      <c r="I94" s="32">
        <v>0.1807353702744692</v>
      </c>
      <c r="J94" s="30">
        <v>1076</v>
      </c>
      <c r="K94" s="30">
        <v>1036</v>
      </c>
      <c r="L94" s="31">
        <v>0.96299999999999997</v>
      </c>
      <c r="M94" s="30">
        <v>2723</v>
      </c>
      <c r="N94" s="30">
        <v>2726</v>
      </c>
      <c r="O94" s="30">
        <v>2644</v>
      </c>
      <c r="P94" s="31">
        <v>0.97098788101358791</v>
      </c>
      <c r="Q94" s="30">
        <v>9</v>
      </c>
      <c r="R94" s="30">
        <v>0</v>
      </c>
      <c r="S94" s="30">
        <v>0</v>
      </c>
      <c r="T94" s="31">
        <v>0</v>
      </c>
      <c r="U94" s="30">
        <v>0</v>
      </c>
      <c r="V94" s="31">
        <v>0</v>
      </c>
      <c r="W94" s="30">
        <v>12</v>
      </c>
      <c r="X94" s="31">
        <v>6.2143966856551009E-3</v>
      </c>
      <c r="Y94" s="30">
        <v>85</v>
      </c>
      <c r="Z94" s="33">
        <v>4.4018643190056973E-2</v>
      </c>
      <c r="AA94" s="30">
        <v>0</v>
      </c>
      <c r="AB94" s="31">
        <v>0</v>
      </c>
      <c r="AC94" s="30">
        <v>75</v>
      </c>
      <c r="AD94" s="31">
        <v>3.8839979285344377E-2</v>
      </c>
      <c r="AE94" s="30">
        <v>24</v>
      </c>
      <c r="AF94" s="31">
        <v>0.32</v>
      </c>
      <c r="AG94" s="30">
        <v>62</v>
      </c>
      <c r="AH94" s="31">
        <v>0.82666666666666666</v>
      </c>
      <c r="AI94" s="34">
        <v>0</v>
      </c>
      <c r="AJ94" s="31">
        <v>0</v>
      </c>
      <c r="AK94" s="34">
        <v>0</v>
      </c>
      <c r="AL94" s="31">
        <v>0</v>
      </c>
      <c r="AM94" s="34">
        <v>0</v>
      </c>
      <c r="AN94" s="34">
        <v>0</v>
      </c>
      <c r="AO94" s="31">
        <v>0</v>
      </c>
      <c r="AP94" s="31">
        <v>0</v>
      </c>
      <c r="AQ94" s="32">
        <v>0.96875</v>
      </c>
      <c r="AR94" s="34">
        <v>252</v>
      </c>
      <c r="AS94" s="34">
        <v>95</v>
      </c>
      <c r="AT94" s="34">
        <v>0</v>
      </c>
      <c r="AU94" s="34">
        <v>0</v>
      </c>
      <c r="AV94" s="34">
        <v>0</v>
      </c>
      <c r="AW94" s="34">
        <v>0</v>
      </c>
      <c r="AX94" s="31">
        <v>0</v>
      </c>
      <c r="AY94" s="31">
        <v>0</v>
      </c>
      <c r="AZ94" s="31">
        <v>0</v>
      </c>
      <c r="BA94" s="31">
        <v>0</v>
      </c>
      <c r="BB94" s="34">
        <v>0</v>
      </c>
      <c r="BC94" s="34">
        <v>0</v>
      </c>
      <c r="BD94" s="32" t="s">
        <v>335</v>
      </c>
      <c r="BE94" s="32" t="s">
        <v>335</v>
      </c>
      <c r="BF94" s="32" t="s">
        <v>335</v>
      </c>
    </row>
    <row r="95" spans="1:58" ht="19.5" customHeight="1">
      <c r="A95" s="35">
        <v>92</v>
      </c>
      <c r="B95" s="30" t="s">
        <v>5</v>
      </c>
      <c r="C95" s="36">
        <v>46104</v>
      </c>
      <c r="D95" s="30" t="s">
        <v>287</v>
      </c>
      <c r="E95" s="30">
        <v>3612</v>
      </c>
      <c r="F95" s="30">
        <v>3220</v>
      </c>
      <c r="G95" s="31">
        <v>0.89147286821705429</v>
      </c>
      <c r="H95" s="30">
        <v>2451</v>
      </c>
      <c r="I95" s="32">
        <v>0.6785714285714286</v>
      </c>
      <c r="J95" s="30">
        <v>3408</v>
      </c>
      <c r="K95" s="30">
        <v>3322</v>
      </c>
      <c r="L95" s="31">
        <v>0.97499999999999998</v>
      </c>
      <c r="M95" s="30">
        <v>20771</v>
      </c>
      <c r="N95" s="30">
        <v>20284</v>
      </c>
      <c r="O95" s="30">
        <v>20470</v>
      </c>
      <c r="P95" s="31">
        <v>0.9855086418564345</v>
      </c>
      <c r="Q95" s="30">
        <v>30</v>
      </c>
      <c r="R95" s="30">
        <v>0</v>
      </c>
      <c r="S95" s="30">
        <v>0</v>
      </c>
      <c r="T95" s="31">
        <v>0</v>
      </c>
      <c r="U95" s="30">
        <v>0</v>
      </c>
      <c r="V95" s="31">
        <v>0</v>
      </c>
      <c r="W95" s="30">
        <v>4596</v>
      </c>
      <c r="X95" s="31">
        <v>1.272425249169435</v>
      </c>
      <c r="Y95" s="30">
        <v>743</v>
      </c>
      <c r="Z95" s="33">
        <v>0.205703211517165</v>
      </c>
      <c r="AA95" s="30">
        <v>98</v>
      </c>
      <c r="AB95" s="31">
        <v>2.713178294573643E-2</v>
      </c>
      <c r="AC95" s="30">
        <v>464</v>
      </c>
      <c r="AD95" s="31">
        <v>0.1284606866002215</v>
      </c>
      <c r="AE95" s="30">
        <v>54</v>
      </c>
      <c r="AF95" s="31">
        <v>0.1163793103448276</v>
      </c>
      <c r="AG95" s="30">
        <v>423</v>
      </c>
      <c r="AH95" s="31">
        <v>0.91163793103448276</v>
      </c>
      <c r="AI95" s="34">
        <v>463</v>
      </c>
      <c r="AJ95" s="31">
        <v>0.12818383167220379</v>
      </c>
      <c r="AK95" s="34">
        <v>4</v>
      </c>
      <c r="AL95" s="31">
        <v>0.92656587473002161</v>
      </c>
      <c r="AM95" s="34">
        <v>456</v>
      </c>
      <c r="AN95" s="34">
        <v>429</v>
      </c>
      <c r="AO95" s="31">
        <v>0.1187707641196013</v>
      </c>
      <c r="AP95" s="31">
        <v>0.92456896551724133</v>
      </c>
      <c r="AQ95" s="32">
        <v>0.96264009962640096</v>
      </c>
      <c r="AR95" s="34">
        <v>0</v>
      </c>
      <c r="AS95" s="34">
        <v>0</v>
      </c>
      <c r="AT95" s="34">
        <v>91</v>
      </c>
      <c r="AU95" s="34">
        <v>79</v>
      </c>
      <c r="AV95" s="34">
        <v>86</v>
      </c>
      <c r="AW95" s="34">
        <v>140</v>
      </c>
      <c r="AX95" s="31">
        <v>2.1871539313399781E-2</v>
      </c>
      <c r="AY95" s="31">
        <v>2.3809523809523812E-2</v>
      </c>
      <c r="AZ95" s="31">
        <v>3.875968992248062E-2</v>
      </c>
      <c r="BA95" s="31">
        <v>0.20046620046620051</v>
      </c>
      <c r="BB95" s="34">
        <v>0</v>
      </c>
      <c r="BC95" s="34">
        <v>0</v>
      </c>
      <c r="BD95" s="32">
        <v>0.96923076923076923</v>
      </c>
      <c r="BE95" s="32">
        <v>1</v>
      </c>
      <c r="BF95" s="32" t="s">
        <v>335</v>
      </c>
    </row>
    <row r="96" spans="1:58" ht="19.5" customHeight="1">
      <c r="A96" s="35">
        <v>93</v>
      </c>
      <c r="B96" s="30" t="s">
        <v>5</v>
      </c>
      <c r="C96" s="36">
        <v>46105</v>
      </c>
      <c r="D96" s="30" t="s">
        <v>2</v>
      </c>
      <c r="E96" s="30">
        <v>3813</v>
      </c>
      <c r="F96" s="30">
        <v>3279</v>
      </c>
      <c r="G96" s="31">
        <v>0.85995279307631789</v>
      </c>
      <c r="H96" s="30">
        <v>2639</v>
      </c>
      <c r="I96" s="32">
        <v>0.69210595331759772</v>
      </c>
      <c r="J96" s="30">
        <v>4160</v>
      </c>
      <c r="K96" s="30">
        <v>4062</v>
      </c>
      <c r="L96" s="31">
        <v>0.97599999999999998</v>
      </c>
      <c r="M96" s="30">
        <v>12618</v>
      </c>
      <c r="N96" s="30">
        <v>12931</v>
      </c>
      <c r="O96" s="30">
        <v>12408</v>
      </c>
      <c r="P96" s="31">
        <v>0.98335710889205896</v>
      </c>
      <c r="Q96" s="30">
        <v>22</v>
      </c>
      <c r="R96" s="30">
        <v>0</v>
      </c>
      <c r="S96" s="30">
        <v>0</v>
      </c>
      <c r="T96" s="31">
        <v>0</v>
      </c>
      <c r="U96" s="30">
        <v>0</v>
      </c>
      <c r="V96" s="31">
        <v>0</v>
      </c>
      <c r="W96" s="30">
        <v>3602</v>
      </c>
      <c r="X96" s="31">
        <v>0.94466299501704698</v>
      </c>
      <c r="Y96" s="30">
        <v>487</v>
      </c>
      <c r="Z96" s="33">
        <v>0.1277209546289011</v>
      </c>
      <c r="AA96" s="30">
        <v>26</v>
      </c>
      <c r="AB96" s="31">
        <v>6.8187778651980068E-3</v>
      </c>
      <c r="AC96" s="30">
        <v>276</v>
      </c>
      <c r="AD96" s="31">
        <v>7.2383949645948076E-2</v>
      </c>
      <c r="AE96" s="30">
        <v>40</v>
      </c>
      <c r="AF96" s="31">
        <v>0.14492753623188409</v>
      </c>
      <c r="AG96" s="30">
        <v>240</v>
      </c>
      <c r="AH96" s="31">
        <v>0.86956521739130432</v>
      </c>
      <c r="AI96" s="34">
        <v>290</v>
      </c>
      <c r="AJ96" s="31">
        <v>7.6055599265670071E-2</v>
      </c>
      <c r="AK96" s="34">
        <v>3</v>
      </c>
      <c r="AL96" s="31">
        <v>0.82413793103448274</v>
      </c>
      <c r="AM96" s="34">
        <v>288</v>
      </c>
      <c r="AN96" s="34">
        <v>239</v>
      </c>
      <c r="AO96" s="31">
        <v>6.2680304222397065E-2</v>
      </c>
      <c r="AP96" s="31">
        <v>0.86594202898550721</v>
      </c>
      <c r="AQ96" s="32">
        <v>0.96850393700787396</v>
      </c>
      <c r="AR96" s="34">
        <v>0</v>
      </c>
      <c r="AS96" s="34">
        <v>0</v>
      </c>
      <c r="AT96" s="34">
        <v>68</v>
      </c>
      <c r="AU96" s="34">
        <v>64</v>
      </c>
      <c r="AV96" s="34">
        <v>64</v>
      </c>
      <c r="AW96" s="34">
        <v>83</v>
      </c>
      <c r="AX96" s="31">
        <v>1.678468397587202E-2</v>
      </c>
      <c r="AY96" s="31">
        <v>1.678468397587202E-2</v>
      </c>
      <c r="AZ96" s="31">
        <v>2.1767637031209021E-2</v>
      </c>
      <c r="BA96" s="31">
        <v>0.26778242677824271</v>
      </c>
      <c r="BB96" s="34">
        <v>0</v>
      </c>
      <c r="BC96" s="34">
        <v>0</v>
      </c>
      <c r="BD96" s="32">
        <v>1</v>
      </c>
      <c r="BE96" s="32">
        <v>1</v>
      </c>
      <c r="BF96" s="32" t="s">
        <v>335</v>
      </c>
    </row>
    <row r="97" spans="1:58" ht="19.5" customHeight="1">
      <c r="A97" s="35">
        <v>94</v>
      </c>
      <c r="B97" s="30" t="s">
        <v>5</v>
      </c>
      <c r="C97" s="36">
        <v>46105</v>
      </c>
      <c r="D97" s="30" t="s">
        <v>285</v>
      </c>
      <c r="E97" s="30">
        <v>1704</v>
      </c>
      <c r="F97" s="30">
        <v>1503</v>
      </c>
      <c r="G97" s="31">
        <v>0.88204225352112675</v>
      </c>
      <c r="H97" s="30">
        <v>891</v>
      </c>
      <c r="I97" s="32">
        <v>0.522887323943662</v>
      </c>
      <c r="J97" s="30">
        <v>1924</v>
      </c>
      <c r="K97" s="30">
        <v>1872</v>
      </c>
      <c r="L97" s="31">
        <v>0.97299999999999998</v>
      </c>
      <c r="M97" s="30">
        <v>8644</v>
      </c>
      <c r="N97" s="30">
        <v>8635</v>
      </c>
      <c r="O97" s="30">
        <v>8490</v>
      </c>
      <c r="P97" s="31">
        <v>0.98218417399352154</v>
      </c>
      <c r="Q97" s="30">
        <v>22</v>
      </c>
      <c r="R97" s="30">
        <v>0</v>
      </c>
      <c r="S97" s="30">
        <v>0</v>
      </c>
      <c r="T97" s="31">
        <v>0</v>
      </c>
      <c r="U97" s="30">
        <v>0</v>
      </c>
      <c r="V97" s="31">
        <v>0</v>
      </c>
      <c r="W97" s="30">
        <v>3367</v>
      </c>
      <c r="X97" s="31">
        <v>1.97593896713615</v>
      </c>
      <c r="Y97" s="30">
        <v>1053</v>
      </c>
      <c r="Z97" s="33">
        <v>0.61795774647887325</v>
      </c>
      <c r="AA97" s="30">
        <v>12</v>
      </c>
      <c r="AB97" s="31">
        <v>7.0422535211267607E-3</v>
      </c>
      <c r="AC97" s="30">
        <v>329</v>
      </c>
      <c r="AD97" s="31">
        <v>0.193075117370892</v>
      </c>
      <c r="AE97" s="30">
        <v>55</v>
      </c>
      <c r="AF97" s="31">
        <v>0.16717325227963531</v>
      </c>
      <c r="AG97" s="30">
        <v>298</v>
      </c>
      <c r="AH97" s="31">
        <v>0.9057750759878419</v>
      </c>
      <c r="AI97" s="34">
        <v>338</v>
      </c>
      <c r="AJ97" s="31">
        <v>0.19835680751173709</v>
      </c>
      <c r="AK97" s="34">
        <v>0</v>
      </c>
      <c r="AL97" s="31">
        <v>0.85207100591715978</v>
      </c>
      <c r="AM97" s="34">
        <v>334</v>
      </c>
      <c r="AN97" s="34">
        <v>288</v>
      </c>
      <c r="AO97" s="31">
        <v>0.16901408450704231</v>
      </c>
      <c r="AP97" s="31">
        <v>0.87537993920972645</v>
      </c>
      <c r="AQ97" s="32">
        <v>0.9700996677740864</v>
      </c>
      <c r="AR97" s="34">
        <v>0</v>
      </c>
      <c r="AS97" s="34">
        <v>0</v>
      </c>
      <c r="AT97" s="34">
        <v>66</v>
      </c>
      <c r="AU97" s="34">
        <v>57</v>
      </c>
      <c r="AV97" s="34">
        <v>60</v>
      </c>
      <c r="AW97" s="34">
        <v>58</v>
      </c>
      <c r="AX97" s="31">
        <v>3.345070422535211E-2</v>
      </c>
      <c r="AY97" s="31">
        <v>3.5211267605633798E-2</v>
      </c>
      <c r="AZ97" s="31">
        <v>3.4037558685446008E-2</v>
      </c>
      <c r="BA97" s="31">
        <v>0.20833333333333329</v>
      </c>
      <c r="BB97" s="34">
        <v>0</v>
      </c>
      <c r="BC97" s="34">
        <v>0</v>
      </c>
      <c r="BD97" s="32">
        <v>1</v>
      </c>
      <c r="BE97" s="32">
        <v>1</v>
      </c>
      <c r="BF97" s="32" t="s">
        <v>335</v>
      </c>
    </row>
    <row r="98" spans="1:58" ht="19.5" customHeight="1">
      <c r="A98" s="35">
        <v>95</v>
      </c>
      <c r="B98" s="30" t="s">
        <v>5</v>
      </c>
      <c r="C98" s="36">
        <v>46105</v>
      </c>
      <c r="D98" s="30" t="s">
        <v>25</v>
      </c>
      <c r="E98" s="30">
        <v>1916</v>
      </c>
      <c r="F98" s="30">
        <v>1711</v>
      </c>
      <c r="G98" s="31">
        <v>0.89300626304801667</v>
      </c>
      <c r="H98" s="30">
        <v>329</v>
      </c>
      <c r="I98" s="32">
        <v>0.17171189979123169</v>
      </c>
      <c r="J98" s="30">
        <v>1292</v>
      </c>
      <c r="K98" s="30">
        <v>1249</v>
      </c>
      <c r="L98" s="31">
        <v>0.96699999999999997</v>
      </c>
      <c r="M98" s="30">
        <v>3948</v>
      </c>
      <c r="N98" s="30">
        <v>3667</v>
      </c>
      <c r="O98" s="30">
        <v>3843</v>
      </c>
      <c r="P98" s="31">
        <v>0.97340425531914898</v>
      </c>
      <c r="Q98" s="30">
        <v>18</v>
      </c>
      <c r="R98" s="30">
        <v>0</v>
      </c>
      <c r="S98" s="30">
        <v>0</v>
      </c>
      <c r="T98" s="31">
        <v>0</v>
      </c>
      <c r="U98" s="30">
        <v>0</v>
      </c>
      <c r="V98" s="31">
        <v>0</v>
      </c>
      <c r="W98" s="30">
        <v>15</v>
      </c>
      <c r="X98" s="31">
        <v>7.8288100208768266E-3</v>
      </c>
      <c r="Y98" s="30">
        <v>119</v>
      </c>
      <c r="Z98" s="33">
        <v>6.2108559498956162E-2</v>
      </c>
      <c r="AA98" s="30">
        <v>0</v>
      </c>
      <c r="AB98" s="31">
        <v>0</v>
      </c>
      <c r="AC98" s="30">
        <v>78</v>
      </c>
      <c r="AD98" s="31">
        <v>4.07098121085595E-2</v>
      </c>
      <c r="AE98" s="30">
        <v>30</v>
      </c>
      <c r="AF98" s="31">
        <v>0.38461538461538458</v>
      </c>
      <c r="AG98" s="30">
        <v>68</v>
      </c>
      <c r="AH98" s="31">
        <v>0.87179487179487181</v>
      </c>
      <c r="AI98" s="34">
        <v>3</v>
      </c>
      <c r="AJ98" s="31">
        <v>1.565762004175365E-3</v>
      </c>
      <c r="AK98" s="34">
        <v>0</v>
      </c>
      <c r="AL98" s="31">
        <v>0.33333333333333331</v>
      </c>
      <c r="AM98" s="34">
        <v>3</v>
      </c>
      <c r="AN98" s="34">
        <v>1</v>
      </c>
      <c r="AO98" s="31">
        <v>5.2192066805845506E-4</v>
      </c>
      <c r="AP98" s="31">
        <v>1.282051282051282E-2</v>
      </c>
      <c r="AQ98" s="32">
        <v>0.89473684210526316</v>
      </c>
      <c r="AR98" s="34">
        <v>225</v>
      </c>
      <c r="AS98" s="34">
        <v>77</v>
      </c>
      <c r="AT98" s="34">
        <v>0</v>
      </c>
      <c r="AU98" s="34">
        <v>0</v>
      </c>
      <c r="AV98" s="34">
        <v>0</v>
      </c>
      <c r="AW98" s="34">
        <v>0</v>
      </c>
      <c r="AX98" s="31">
        <v>0</v>
      </c>
      <c r="AY98" s="31">
        <v>0</v>
      </c>
      <c r="AZ98" s="31">
        <v>0</v>
      </c>
      <c r="BA98" s="31">
        <v>0</v>
      </c>
      <c r="BB98" s="34">
        <v>0</v>
      </c>
      <c r="BC98" s="34">
        <v>0</v>
      </c>
      <c r="BD98" s="32">
        <v>1</v>
      </c>
      <c r="BE98" s="32" t="s">
        <v>335</v>
      </c>
      <c r="BF98" s="32" t="s">
        <v>335</v>
      </c>
    </row>
    <row r="99" spans="1:58" ht="19.5" customHeight="1">
      <c r="A99" s="35">
        <v>96</v>
      </c>
      <c r="B99" s="30" t="s">
        <v>5</v>
      </c>
      <c r="C99" s="36">
        <v>46105</v>
      </c>
      <c r="D99" s="30" t="s">
        <v>287</v>
      </c>
      <c r="E99" s="30">
        <v>2176</v>
      </c>
      <c r="F99" s="30">
        <v>1969</v>
      </c>
      <c r="G99" s="31">
        <v>0.9048713235294118</v>
      </c>
      <c r="H99" s="30">
        <v>1435</v>
      </c>
      <c r="I99" s="32">
        <v>0.65946691176470584</v>
      </c>
      <c r="J99" s="30">
        <v>4519</v>
      </c>
      <c r="K99" s="30">
        <v>4439</v>
      </c>
      <c r="L99" s="31">
        <v>0.98199999999999998</v>
      </c>
      <c r="M99" s="30">
        <v>21375</v>
      </c>
      <c r="N99" s="30">
        <v>20687</v>
      </c>
      <c r="O99" s="30">
        <v>21102</v>
      </c>
      <c r="P99" s="31">
        <v>0.98722807017543857</v>
      </c>
      <c r="Q99" s="30">
        <v>19</v>
      </c>
      <c r="R99" s="30">
        <v>0</v>
      </c>
      <c r="S99" s="30">
        <v>0</v>
      </c>
      <c r="T99" s="31">
        <v>0</v>
      </c>
      <c r="U99" s="30">
        <v>0</v>
      </c>
      <c r="V99" s="31">
        <v>0</v>
      </c>
      <c r="W99" s="30">
        <v>4720</v>
      </c>
      <c r="X99" s="31">
        <v>2.1691176470588229</v>
      </c>
      <c r="Y99" s="30">
        <v>729</v>
      </c>
      <c r="Z99" s="33">
        <v>0.33501838235294118</v>
      </c>
      <c r="AA99" s="30">
        <v>108</v>
      </c>
      <c r="AB99" s="31">
        <v>4.9632352941176468E-2</v>
      </c>
      <c r="AC99" s="30">
        <v>452</v>
      </c>
      <c r="AD99" s="31">
        <v>0.2077205882352941</v>
      </c>
      <c r="AE99" s="30">
        <v>80</v>
      </c>
      <c r="AF99" s="31">
        <v>0.1769911504424779</v>
      </c>
      <c r="AG99" s="30">
        <v>415</v>
      </c>
      <c r="AH99" s="31">
        <v>0.91814159292035402</v>
      </c>
      <c r="AI99" s="34">
        <v>458</v>
      </c>
      <c r="AJ99" s="31">
        <v>0.21047794117647059</v>
      </c>
      <c r="AK99" s="34">
        <v>2</v>
      </c>
      <c r="AL99" s="31">
        <v>0.92139737991266379</v>
      </c>
      <c r="AM99" s="34">
        <v>456</v>
      </c>
      <c r="AN99" s="34">
        <v>422</v>
      </c>
      <c r="AO99" s="31">
        <v>0.1939338235294118</v>
      </c>
      <c r="AP99" s="31">
        <v>0.9336283185840708</v>
      </c>
      <c r="AQ99" s="32">
        <v>0.96270396270396275</v>
      </c>
      <c r="AR99" s="34">
        <v>0</v>
      </c>
      <c r="AS99" s="34">
        <v>0</v>
      </c>
      <c r="AT99" s="34">
        <v>82</v>
      </c>
      <c r="AU99" s="34">
        <v>74</v>
      </c>
      <c r="AV99" s="34">
        <v>76</v>
      </c>
      <c r="AW99" s="34">
        <v>109</v>
      </c>
      <c r="AX99" s="31">
        <v>3.4007352941176468E-2</v>
      </c>
      <c r="AY99" s="31">
        <v>3.4926470588235288E-2</v>
      </c>
      <c r="AZ99" s="31">
        <v>5.0091911764705878E-2</v>
      </c>
      <c r="BA99" s="31">
        <v>0.18009478672985779</v>
      </c>
      <c r="BB99" s="34">
        <v>0</v>
      </c>
      <c r="BC99" s="34">
        <v>0</v>
      </c>
      <c r="BD99" s="32">
        <v>1</v>
      </c>
      <c r="BE99" s="32">
        <v>1</v>
      </c>
      <c r="BF99" s="32" t="s">
        <v>335</v>
      </c>
    </row>
    <row r="100" spans="1:58" ht="19.5" customHeight="1">
      <c r="A100" s="35">
        <v>97</v>
      </c>
      <c r="B100" s="30" t="s">
        <v>5</v>
      </c>
      <c r="C100" s="36">
        <v>46106</v>
      </c>
      <c r="D100" s="30" t="s">
        <v>2</v>
      </c>
      <c r="E100" s="30">
        <v>3381</v>
      </c>
      <c r="F100" s="30">
        <v>2870</v>
      </c>
      <c r="G100" s="31">
        <v>0.84886128364389235</v>
      </c>
      <c r="H100" s="30">
        <v>2248</v>
      </c>
      <c r="I100" s="32">
        <v>0.66489204377403133</v>
      </c>
      <c r="J100" s="30">
        <v>4066</v>
      </c>
      <c r="K100" s="30">
        <v>3968</v>
      </c>
      <c r="L100" s="31">
        <v>0.97599999999999998</v>
      </c>
      <c r="M100" s="30">
        <v>12573</v>
      </c>
      <c r="N100" s="30">
        <v>12768</v>
      </c>
      <c r="O100" s="30">
        <v>12367</v>
      </c>
      <c r="P100" s="31">
        <v>0.983615684403086</v>
      </c>
      <c r="Q100" s="30">
        <v>37</v>
      </c>
      <c r="R100" s="30">
        <v>0</v>
      </c>
      <c r="S100" s="30">
        <v>0</v>
      </c>
      <c r="T100" s="31">
        <v>0</v>
      </c>
      <c r="U100" s="30">
        <v>0</v>
      </c>
      <c r="V100" s="31">
        <v>0</v>
      </c>
      <c r="W100" s="30">
        <v>3550</v>
      </c>
      <c r="X100" s="31">
        <v>1.049985211475895</v>
      </c>
      <c r="Y100" s="30">
        <v>525</v>
      </c>
      <c r="Z100" s="33">
        <v>0.15527950310558999</v>
      </c>
      <c r="AA100" s="30">
        <v>32</v>
      </c>
      <c r="AB100" s="31">
        <v>9.4646554273883458E-3</v>
      </c>
      <c r="AC100" s="30">
        <v>287</v>
      </c>
      <c r="AD100" s="31">
        <v>8.4886128364389232E-2</v>
      </c>
      <c r="AE100" s="30">
        <v>51</v>
      </c>
      <c r="AF100" s="31">
        <v>0.17770034843205579</v>
      </c>
      <c r="AG100" s="30">
        <v>256</v>
      </c>
      <c r="AH100" s="31">
        <v>0.89198606271777003</v>
      </c>
      <c r="AI100" s="34">
        <v>285</v>
      </c>
      <c r="AJ100" s="31">
        <v>8.4294587400177465E-2</v>
      </c>
      <c r="AK100" s="34">
        <v>4</v>
      </c>
      <c r="AL100" s="31">
        <v>0.92982456140350878</v>
      </c>
      <c r="AM100" s="34">
        <v>283</v>
      </c>
      <c r="AN100" s="34">
        <v>265</v>
      </c>
      <c r="AO100" s="31">
        <v>7.8379177758059748E-2</v>
      </c>
      <c r="AP100" s="31">
        <v>0.9233449477351916</v>
      </c>
      <c r="AQ100" s="32">
        <v>0.94594594594594594</v>
      </c>
      <c r="AR100" s="34">
        <v>0</v>
      </c>
      <c r="AS100" s="34">
        <v>0</v>
      </c>
      <c r="AT100" s="34">
        <v>72</v>
      </c>
      <c r="AU100" s="34">
        <v>60</v>
      </c>
      <c r="AV100" s="34">
        <v>62</v>
      </c>
      <c r="AW100" s="34">
        <v>85</v>
      </c>
      <c r="AX100" s="31">
        <v>1.774622892635315E-2</v>
      </c>
      <c r="AY100" s="31">
        <v>1.8337769890564921E-2</v>
      </c>
      <c r="AZ100" s="31">
        <v>2.5140490979000299E-2</v>
      </c>
      <c r="BA100" s="31">
        <v>0.2339622641509434</v>
      </c>
      <c r="BB100" s="34">
        <v>0</v>
      </c>
      <c r="BC100" s="34">
        <v>0</v>
      </c>
      <c r="BD100" s="32">
        <v>0.96875</v>
      </c>
      <c r="BE100" s="32">
        <v>1</v>
      </c>
      <c r="BF100" s="32" t="s">
        <v>335</v>
      </c>
    </row>
    <row r="101" spans="1:58" ht="19.5" customHeight="1">
      <c r="A101" s="35">
        <v>98</v>
      </c>
      <c r="B101" s="30" t="s">
        <v>5</v>
      </c>
      <c r="C101" s="36">
        <v>46106</v>
      </c>
      <c r="D101" s="30" t="s">
        <v>285</v>
      </c>
      <c r="E101" s="30">
        <v>2285</v>
      </c>
      <c r="F101" s="30">
        <v>2022</v>
      </c>
      <c r="G101" s="31">
        <v>0.88490153172866526</v>
      </c>
      <c r="H101" s="30">
        <v>1349</v>
      </c>
      <c r="I101" s="32">
        <v>0.5903719912472648</v>
      </c>
      <c r="J101" s="30">
        <v>1655</v>
      </c>
      <c r="K101" s="30">
        <v>1585</v>
      </c>
      <c r="L101" s="31">
        <v>0.95799999999999996</v>
      </c>
      <c r="M101" s="30">
        <v>8588</v>
      </c>
      <c r="N101" s="30">
        <v>8660</v>
      </c>
      <c r="O101" s="30">
        <v>8425</v>
      </c>
      <c r="P101" s="31">
        <v>0.9810200279459711</v>
      </c>
      <c r="Q101" s="30">
        <v>35</v>
      </c>
      <c r="R101" s="30">
        <v>0</v>
      </c>
      <c r="S101" s="30">
        <v>0</v>
      </c>
      <c r="T101" s="31">
        <v>0</v>
      </c>
      <c r="U101" s="30">
        <v>0</v>
      </c>
      <c r="V101" s="31">
        <v>0</v>
      </c>
      <c r="W101" s="30">
        <v>3282</v>
      </c>
      <c r="X101" s="31">
        <v>1.436323851203501</v>
      </c>
      <c r="Y101" s="30">
        <v>590</v>
      </c>
      <c r="Z101" s="33">
        <v>0.25820568927789928</v>
      </c>
      <c r="AA101" s="30">
        <v>17</v>
      </c>
      <c r="AB101" s="31">
        <v>7.4398249452954047E-3</v>
      </c>
      <c r="AC101" s="30">
        <v>331</v>
      </c>
      <c r="AD101" s="31">
        <v>0.14485776805251641</v>
      </c>
      <c r="AE101" s="30">
        <v>45</v>
      </c>
      <c r="AF101" s="31">
        <v>0.13595166163141989</v>
      </c>
      <c r="AG101" s="30">
        <v>293</v>
      </c>
      <c r="AH101" s="31">
        <v>0.88519637462235645</v>
      </c>
      <c r="AI101" s="34">
        <v>322</v>
      </c>
      <c r="AJ101" s="31">
        <v>0.14091903719912471</v>
      </c>
      <c r="AK101" s="34">
        <v>1</v>
      </c>
      <c r="AL101" s="31">
        <v>0.8571428571428571</v>
      </c>
      <c r="AM101" s="34">
        <v>321</v>
      </c>
      <c r="AN101" s="34">
        <v>276</v>
      </c>
      <c r="AO101" s="31">
        <v>0.12078774617067831</v>
      </c>
      <c r="AP101" s="31">
        <v>0.83383685800604235</v>
      </c>
      <c r="AQ101" s="32">
        <v>0.97151898734177211</v>
      </c>
      <c r="AR101" s="34">
        <v>0</v>
      </c>
      <c r="AS101" s="34">
        <v>0</v>
      </c>
      <c r="AT101" s="34">
        <v>85</v>
      </c>
      <c r="AU101" s="34">
        <v>80</v>
      </c>
      <c r="AV101" s="34">
        <v>77</v>
      </c>
      <c r="AW101" s="34">
        <v>60</v>
      </c>
      <c r="AX101" s="31">
        <v>3.5010940919037198E-2</v>
      </c>
      <c r="AY101" s="31">
        <v>3.3698030634573307E-2</v>
      </c>
      <c r="AZ101" s="31">
        <v>2.6258205689277898E-2</v>
      </c>
      <c r="BA101" s="31">
        <v>0.27898550724637677</v>
      </c>
      <c r="BB101" s="34">
        <v>0</v>
      </c>
      <c r="BC101" s="34">
        <v>1</v>
      </c>
      <c r="BD101" s="32">
        <v>1</v>
      </c>
      <c r="BE101" s="32">
        <v>0.92307692307692313</v>
      </c>
      <c r="BF101" s="32" t="s">
        <v>335</v>
      </c>
    </row>
    <row r="102" spans="1:58" ht="19.5" customHeight="1">
      <c r="A102" s="35">
        <v>99</v>
      </c>
      <c r="B102" s="30" t="s">
        <v>5</v>
      </c>
      <c r="C102" s="36">
        <v>46106</v>
      </c>
      <c r="D102" s="30" t="s">
        <v>25</v>
      </c>
      <c r="E102" s="30">
        <v>1491</v>
      </c>
      <c r="F102" s="30">
        <v>1335</v>
      </c>
      <c r="G102" s="31">
        <v>0.8953722334004024</v>
      </c>
      <c r="H102" s="30">
        <v>326</v>
      </c>
      <c r="I102" s="32">
        <v>0.2186452045606975</v>
      </c>
      <c r="J102" s="30">
        <v>1204</v>
      </c>
      <c r="K102" s="30">
        <v>1161</v>
      </c>
      <c r="L102" s="31">
        <v>0.96399999999999997</v>
      </c>
      <c r="M102" s="30">
        <v>3394</v>
      </c>
      <c r="N102" s="30">
        <v>3373</v>
      </c>
      <c r="O102" s="30">
        <v>3287</v>
      </c>
      <c r="P102" s="31">
        <v>0.96847377725397765</v>
      </c>
      <c r="Q102" s="30">
        <v>15</v>
      </c>
      <c r="R102" s="30">
        <v>0</v>
      </c>
      <c r="S102" s="30">
        <v>0</v>
      </c>
      <c r="T102" s="31">
        <v>0</v>
      </c>
      <c r="U102" s="30">
        <v>0</v>
      </c>
      <c r="V102" s="31">
        <v>0</v>
      </c>
      <c r="W102" s="30">
        <v>31</v>
      </c>
      <c r="X102" s="31">
        <v>2.079141515761234E-2</v>
      </c>
      <c r="Y102" s="30">
        <v>192</v>
      </c>
      <c r="Z102" s="33">
        <v>0.12877263581488929</v>
      </c>
      <c r="AA102" s="30">
        <v>0</v>
      </c>
      <c r="AB102" s="31">
        <v>0</v>
      </c>
      <c r="AC102" s="30">
        <v>64</v>
      </c>
      <c r="AD102" s="31">
        <v>4.2924211938296437E-2</v>
      </c>
      <c r="AE102" s="30">
        <v>15</v>
      </c>
      <c r="AF102" s="31">
        <v>0.234375</v>
      </c>
      <c r="AG102" s="30">
        <v>48</v>
      </c>
      <c r="AH102" s="31">
        <v>0.75</v>
      </c>
      <c r="AI102" s="34">
        <v>2</v>
      </c>
      <c r="AJ102" s="31">
        <v>1.3413816230717641E-3</v>
      </c>
      <c r="AK102" s="34">
        <v>0</v>
      </c>
      <c r="AL102" s="31">
        <v>1</v>
      </c>
      <c r="AM102" s="34">
        <v>2</v>
      </c>
      <c r="AN102" s="34">
        <v>2</v>
      </c>
      <c r="AO102" s="31">
        <v>1.3413816230717641E-3</v>
      </c>
      <c r="AP102" s="31">
        <v>3.125E-2</v>
      </c>
      <c r="AQ102" s="32">
        <v>0.95454545454545459</v>
      </c>
      <c r="AR102" s="34">
        <v>221</v>
      </c>
      <c r="AS102" s="34">
        <v>69</v>
      </c>
      <c r="AT102" s="34">
        <v>0</v>
      </c>
      <c r="AU102" s="34">
        <v>0</v>
      </c>
      <c r="AV102" s="34">
        <v>0</v>
      </c>
      <c r="AW102" s="34">
        <v>0</v>
      </c>
      <c r="AX102" s="31">
        <v>0</v>
      </c>
      <c r="AY102" s="31">
        <v>0</v>
      </c>
      <c r="AZ102" s="31">
        <v>0</v>
      </c>
      <c r="BA102" s="31">
        <v>0</v>
      </c>
      <c r="BB102" s="34">
        <v>0</v>
      </c>
      <c r="BC102" s="34">
        <v>0</v>
      </c>
      <c r="BD102" s="32">
        <v>1</v>
      </c>
      <c r="BE102" s="32" t="s">
        <v>335</v>
      </c>
      <c r="BF102" s="32" t="s">
        <v>335</v>
      </c>
    </row>
    <row r="103" spans="1:58" ht="19.5" customHeight="1">
      <c r="A103" s="35">
        <v>100</v>
      </c>
      <c r="B103" s="30" t="s">
        <v>5</v>
      </c>
      <c r="C103" s="36">
        <v>46106</v>
      </c>
      <c r="D103" s="30" t="s">
        <v>287</v>
      </c>
      <c r="E103" s="30">
        <v>2466</v>
      </c>
      <c r="F103" s="30">
        <v>2288</v>
      </c>
      <c r="G103" s="31">
        <v>0.92781832927818331</v>
      </c>
      <c r="H103" s="30">
        <v>1439</v>
      </c>
      <c r="I103" s="32">
        <v>0.58353609083536095</v>
      </c>
      <c r="J103" s="30">
        <v>3316</v>
      </c>
      <c r="K103" s="30">
        <v>3234</v>
      </c>
      <c r="L103" s="31">
        <v>0.97499999999999998</v>
      </c>
      <c r="M103" s="30">
        <v>19788</v>
      </c>
      <c r="N103" s="30">
        <v>19237</v>
      </c>
      <c r="O103" s="30">
        <v>19525</v>
      </c>
      <c r="P103" s="31">
        <v>0.98670911663634531</v>
      </c>
      <c r="Q103" s="30">
        <v>32</v>
      </c>
      <c r="R103" s="30">
        <v>0</v>
      </c>
      <c r="S103" s="30">
        <v>0</v>
      </c>
      <c r="T103" s="31">
        <v>0</v>
      </c>
      <c r="U103" s="30">
        <v>0</v>
      </c>
      <c r="V103" s="31">
        <v>0</v>
      </c>
      <c r="W103" s="30">
        <v>5172</v>
      </c>
      <c r="X103" s="31">
        <v>2.0973236009732359</v>
      </c>
      <c r="Y103" s="30">
        <v>826</v>
      </c>
      <c r="Z103" s="33">
        <v>0.33495539334955388</v>
      </c>
      <c r="AA103" s="30">
        <v>117</v>
      </c>
      <c r="AB103" s="31">
        <v>4.7445255474452552E-2</v>
      </c>
      <c r="AC103" s="30">
        <v>479</v>
      </c>
      <c r="AD103" s="31">
        <v>0.19424168694241689</v>
      </c>
      <c r="AE103" s="30">
        <v>88</v>
      </c>
      <c r="AF103" s="31">
        <v>0.1837160751565762</v>
      </c>
      <c r="AG103" s="30">
        <v>442</v>
      </c>
      <c r="AH103" s="31">
        <v>0.92275574112734859</v>
      </c>
      <c r="AI103" s="34">
        <v>511</v>
      </c>
      <c r="AJ103" s="31">
        <v>0.20721816707218171</v>
      </c>
      <c r="AK103" s="34">
        <v>1</v>
      </c>
      <c r="AL103" s="31">
        <v>0.9178082191780822</v>
      </c>
      <c r="AM103" s="34">
        <v>505</v>
      </c>
      <c r="AN103" s="34">
        <v>469</v>
      </c>
      <c r="AO103" s="31">
        <v>0.19018653690186541</v>
      </c>
      <c r="AP103" s="31">
        <v>0.97912317327766174</v>
      </c>
      <c r="AQ103" s="32">
        <v>0.96781609195402296</v>
      </c>
      <c r="AR103" s="34">
        <v>0</v>
      </c>
      <c r="AS103" s="34">
        <v>0</v>
      </c>
      <c r="AT103" s="34">
        <v>75</v>
      </c>
      <c r="AU103" s="34">
        <v>66</v>
      </c>
      <c r="AV103" s="34">
        <v>67</v>
      </c>
      <c r="AW103" s="34">
        <v>133</v>
      </c>
      <c r="AX103" s="31">
        <v>2.6763990267639901E-2</v>
      </c>
      <c r="AY103" s="31">
        <v>2.7169505271695048E-2</v>
      </c>
      <c r="AZ103" s="31">
        <v>5.3933495539334957E-2</v>
      </c>
      <c r="BA103" s="31">
        <v>0.14285714285714279</v>
      </c>
      <c r="BB103" s="34">
        <v>0</v>
      </c>
      <c r="BC103" s="34">
        <v>0</v>
      </c>
      <c r="BD103" s="32">
        <v>1</v>
      </c>
      <c r="BE103" s="32">
        <v>1</v>
      </c>
      <c r="BF103" s="32" t="s">
        <v>335</v>
      </c>
    </row>
    <row r="104" spans="1:58" ht="19.5" customHeight="1">
      <c r="A104" s="35">
        <v>101</v>
      </c>
      <c r="B104" s="30" t="s">
        <v>5</v>
      </c>
      <c r="C104" s="36">
        <v>46107</v>
      </c>
      <c r="D104" s="30" t="s">
        <v>2</v>
      </c>
      <c r="E104" s="30">
        <v>3182</v>
      </c>
      <c r="F104" s="30">
        <v>2786</v>
      </c>
      <c r="G104" s="31">
        <v>0.87554996857322442</v>
      </c>
      <c r="H104" s="30">
        <v>1411</v>
      </c>
      <c r="I104" s="32">
        <v>0.44343180389692022</v>
      </c>
      <c r="J104" s="30">
        <v>2262</v>
      </c>
      <c r="K104" s="30">
        <v>2171</v>
      </c>
      <c r="L104" s="31">
        <v>0.96</v>
      </c>
      <c r="M104" s="30">
        <v>11074</v>
      </c>
      <c r="N104" s="30">
        <v>11076</v>
      </c>
      <c r="O104" s="30">
        <v>10903</v>
      </c>
      <c r="P104" s="31">
        <v>0.9845584251399675</v>
      </c>
      <c r="Q104" s="30">
        <v>38</v>
      </c>
      <c r="R104" s="30">
        <v>0</v>
      </c>
      <c r="S104" s="30">
        <v>0</v>
      </c>
      <c r="T104" s="31">
        <v>0</v>
      </c>
      <c r="U104" s="30">
        <v>0</v>
      </c>
      <c r="V104" s="31">
        <v>0</v>
      </c>
      <c r="W104" s="30">
        <v>3390</v>
      </c>
      <c r="X104" s="31">
        <v>1.0653676932746701</v>
      </c>
      <c r="Y104" s="30">
        <v>486</v>
      </c>
      <c r="Z104" s="33">
        <v>0.15273412947831549</v>
      </c>
      <c r="AA104" s="30">
        <v>23</v>
      </c>
      <c r="AB104" s="31">
        <v>7.2281583909490884E-3</v>
      </c>
      <c r="AC104" s="30">
        <v>272</v>
      </c>
      <c r="AD104" s="31">
        <v>8.5480829666876174E-2</v>
      </c>
      <c r="AE104" s="30">
        <v>61</v>
      </c>
      <c r="AF104" s="31">
        <v>0.22426470588235289</v>
      </c>
      <c r="AG104" s="30">
        <v>248</v>
      </c>
      <c r="AH104" s="31">
        <v>0.91176470588235292</v>
      </c>
      <c r="AI104" s="34">
        <v>298</v>
      </c>
      <c r="AJ104" s="31">
        <v>9.3651791326209932E-2</v>
      </c>
      <c r="AK104" s="34">
        <v>2</v>
      </c>
      <c r="AL104" s="31">
        <v>0.79194630872483218</v>
      </c>
      <c r="AM104" s="34">
        <v>283</v>
      </c>
      <c r="AN104" s="34">
        <v>236</v>
      </c>
      <c r="AO104" s="31">
        <v>7.4167190446260217E-2</v>
      </c>
      <c r="AP104" s="31">
        <v>0.86764705882352944</v>
      </c>
      <c r="AQ104" s="32">
        <v>0.94776119402985071</v>
      </c>
      <c r="AR104" s="34">
        <v>0</v>
      </c>
      <c r="AS104" s="34">
        <v>0</v>
      </c>
      <c r="AT104" s="34">
        <v>81</v>
      </c>
      <c r="AU104" s="34">
        <v>77</v>
      </c>
      <c r="AV104" s="34">
        <v>76</v>
      </c>
      <c r="AW104" s="34">
        <v>75</v>
      </c>
      <c r="AX104" s="31">
        <v>2.4198617221873039E-2</v>
      </c>
      <c r="AY104" s="31">
        <v>2.388434946574481E-2</v>
      </c>
      <c r="AZ104" s="31">
        <v>2.3570081709616591E-2</v>
      </c>
      <c r="BA104" s="31">
        <v>0.32203389830508472</v>
      </c>
      <c r="BB104" s="34">
        <v>0</v>
      </c>
      <c r="BC104" s="34">
        <v>0</v>
      </c>
      <c r="BD104" s="32">
        <v>0.96610169491525422</v>
      </c>
      <c r="BE104" s="32">
        <v>1</v>
      </c>
      <c r="BF104" s="32" t="s">
        <v>335</v>
      </c>
    </row>
    <row r="105" spans="1:58" ht="19.5" customHeight="1">
      <c r="A105" s="35">
        <v>102</v>
      </c>
      <c r="B105" s="30" t="s">
        <v>5</v>
      </c>
      <c r="C105" s="36">
        <v>46107</v>
      </c>
      <c r="D105" s="30" t="s">
        <v>285</v>
      </c>
      <c r="E105" s="30">
        <v>3313</v>
      </c>
      <c r="F105" s="30">
        <v>2921</v>
      </c>
      <c r="G105" s="31">
        <v>0.88167823724720795</v>
      </c>
      <c r="H105" s="30">
        <v>2354</v>
      </c>
      <c r="I105" s="32">
        <v>0.71053425897977662</v>
      </c>
      <c r="J105" s="30">
        <v>3735</v>
      </c>
      <c r="K105" s="30">
        <v>3630</v>
      </c>
      <c r="L105" s="31">
        <v>0.97199999999999998</v>
      </c>
      <c r="M105" s="30">
        <v>11223</v>
      </c>
      <c r="N105" s="30">
        <v>11478</v>
      </c>
      <c r="O105" s="30">
        <v>11045</v>
      </c>
      <c r="P105" s="31">
        <v>0.98413971308919179</v>
      </c>
      <c r="Q105" s="30">
        <v>42</v>
      </c>
      <c r="R105" s="30">
        <v>0</v>
      </c>
      <c r="S105" s="30">
        <v>0</v>
      </c>
      <c r="T105" s="31">
        <v>0</v>
      </c>
      <c r="U105" s="30">
        <v>0</v>
      </c>
      <c r="V105" s="31">
        <v>0</v>
      </c>
      <c r="W105" s="30">
        <v>3246</v>
      </c>
      <c r="X105" s="31">
        <v>0.97977663748868093</v>
      </c>
      <c r="Y105" s="30">
        <v>491</v>
      </c>
      <c r="Z105" s="33">
        <v>0.14820404467250231</v>
      </c>
      <c r="AA105" s="30">
        <v>23</v>
      </c>
      <c r="AB105" s="31">
        <v>6.9423483247811647E-3</v>
      </c>
      <c r="AC105" s="30">
        <v>288</v>
      </c>
      <c r="AD105" s="31">
        <v>8.6930274675520683E-2</v>
      </c>
      <c r="AE105" s="30">
        <v>55</v>
      </c>
      <c r="AF105" s="31">
        <v>0.19097222222222221</v>
      </c>
      <c r="AG105" s="30">
        <v>269</v>
      </c>
      <c r="AH105" s="31">
        <v>0.93402777777777779</v>
      </c>
      <c r="AI105" s="34">
        <v>295</v>
      </c>
      <c r="AJ105" s="31">
        <v>8.9043163296106245E-2</v>
      </c>
      <c r="AK105" s="34">
        <v>0</v>
      </c>
      <c r="AL105" s="31">
        <v>0.87118644067796613</v>
      </c>
      <c r="AM105" s="34">
        <v>292</v>
      </c>
      <c r="AN105" s="34">
        <v>257</v>
      </c>
      <c r="AO105" s="31">
        <v>7.7573196498641708E-2</v>
      </c>
      <c r="AP105" s="31">
        <v>0.89236111111111116</v>
      </c>
      <c r="AQ105" s="32">
        <v>0.96896551724137936</v>
      </c>
      <c r="AR105" s="34">
        <v>0</v>
      </c>
      <c r="AS105" s="34">
        <v>0</v>
      </c>
      <c r="AT105" s="34">
        <v>55</v>
      </c>
      <c r="AU105" s="34">
        <v>35</v>
      </c>
      <c r="AV105" s="34">
        <v>39</v>
      </c>
      <c r="AW105" s="34">
        <v>60</v>
      </c>
      <c r="AX105" s="31">
        <v>1.056444310292786E-2</v>
      </c>
      <c r="AY105" s="31">
        <v>1.177180802897676E-2</v>
      </c>
      <c r="AZ105" s="31">
        <v>1.8110473890733478E-2</v>
      </c>
      <c r="BA105" s="31">
        <v>0.1517509727626459</v>
      </c>
      <c r="BB105" s="34">
        <v>0</v>
      </c>
      <c r="BC105" s="34">
        <v>0</v>
      </c>
      <c r="BD105" s="32">
        <v>1</v>
      </c>
      <c r="BE105" s="32">
        <v>1</v>
      </c>
      <c r="BF105" s="32" t="s">
        <v>335</v>
      </c>
    </row>
    <row r="106" spans="1:58" ht="19.5" customHeight="1">
      <c r="A106" s="35">
        <v>103</v>
      </c>
      <c r="B106" s="30" t="s">
        <v>5</v>
      </c>
      <c r="C106" s="36">
        <v>46107</v>
      </c>
      <c r="D106" s="30" t="s">
        <v>25</v>
      </c>
      <c r="E106" s="30">
        <v>1867</v>
      </c>
      <c r="F106" s="30">
        <v>1663</v>
      </c>
      <c r="G106" s="31">
        <v>0.89073379753615423</v>
      </c>
      <c r="H106" s="30">
        <v>364</v>
      </c>
      <c r="I106" s="32">
        <v>0.19496518478843061</v>
      </c>
      <c r="J106" s="30">
        <v>1185</v>
      </c>
      <c r="K106" s="30">
        <v>1143</v>
      </c>
      <c r="L106" s="31">
        <v>0.96499999999999997</v>
      </c>
      <c r="M106" s="30">
        <v>3278</v>
      </c>
      <c r="N106" s="30">
        <v>3406</v>
      </c>
      <c r="O106" s="30">
        <v>3185</v>
      </c>
      <c r="P106" s="31">
        <v>0.97162904209884071</v>
      </c>
      <c r="Q106" s="30">
        <v>15</v>
      </c>
      <c r="R106" s="30">
        <v>0</v>
      </c>
      <c r="S106" s="30">
        <v>0</v>
      </c>
      <c r="T106" s="31">
        <v>0</v>
      </c>
      <c r="U106" s="30">
        <v>0</v>
      </c>
      <c r="V106" s="31">
        <v>0</v>
      </c>
      <c r="W106" s="30">
        <v>37</v>
      </c>
      <c r="X106" s="31">
        <v>1.9817889662560258E-2</v>
      </c>
      <c r="Y106" s="30">
        <v>149</v>
      </c>
      <c r="Z106" s="33">
        <v>7.9807177289769687E-2</v>
      </c>
      <c r="AA106" s="30">
        <v>0</v>
      </c>
      <c r="AB106" s="31">
        <v>0</v>
      </c>
      <c r="AC106" s="30">
        <v>101</v>
      </c>
      <c r="AD106" s="31">
        <v>5.4097482592394212E-2</v>
      </c>
      <c r="AE106" s="30">
        <v>22</v>
      </c>
      <c r="AF106" s="31">
        <v>0.21782178217821779</v>
      </c>
      <c r="AG106" s="30">
        <v>84</v>
      </c>
      <c r="AH106" s="31">
        <v>0.83168316831683164</v>
      </c>
      <c r="AI106" s="34">
        <v>2</v>
      </c>
      <c r="AJ106" s="31">
        <v>1.071237279057311E-3</v>
      </c>
      <c r="AK106" s="34">
        <v>0</v>
      </c>
      <c r="AL106" s="31">
        <v>0.5</v>
      </c>
      <c r="AM106" s="34">
        <v>2</v>
      </c>
      <c r="AN106" s="34">
        <v>1</v>
      </c>
      <c r="AO106" s="31">
        <v>5.3561863952865559E-4</v>
      </c>
      <c r="AP106" s="31">
        <v>9.9009900990099011E-3</v>
      </c>
      <c r="AQ106" s="32">
        <v>0.93333333333333335</v>
      </c>
      <c r="AR106" s="34">
        <v>219</v>
      </c>
      <c r="AS106" s="34">
        <v>85</v>
      </c>
      <c r="AT106" s="34">
        <v>0</v>
      </c>
      <c r="AU106" s="34">
        <v>0</v>
      </c>
      <c r="AV106" s="34">
        <v>0</v>
      </c>
      <c r="AW106" s="34">
        <v>0</v>
      </c>
      <c r="AX106" s="31">
        <v>0</v>
      </c>
      <c r="AY106" s="31">
        <v>0</v>
      </c>
      <c r="AZ106" s="31">
        <v>0</v>
      </c>
      <c r="BA106" s="31">
        <v>0</v>
      </c>
      <c r="BB106" s="34">
        <v>0</v>
      </c>
      <c r="BC106" s="34">
        <v>0</v>
      </c>
      <c r="BD106" s="32">
        <v>1</v>
      </c>
      <c r="BE106" s="32" t="s">
        <v>335</v>
      </c>
      <c r="BF106" s="32" t="s">
        <v>335</v>
      </c>
    </row>
    <row r="107" spans="1:58" ht="19.5" customHeight="1">
      <c r="A107" s="35">
        <v>104</v>
      </c>
      <c r="B107" s="30" t="s">
        <v>5</v>
      </c>
      <c r="C107" s="36">
        <v>46107</v>
      </c>
      <c r="D107" s="30" t="s">
        <v>287</v>
      </c>
      <c r="E107" s="30">
        <v>2688</v>
      </c>
      <c r="F107" s="30">
        <v>2480</v>
      </c>
      <c r="G107" s="31">
        <v>0.92261904761904767</v>
      </c>
      <c r="H107" s="30">
        <v>1559</v>
      </c>
      <c r="I107" s="32">
        <v>0.57998511904761907</v>
      </c>
      <c r="J107" s="30">
        <v>3861</v>
      </c>
      <c r="K107" s="30">
        <v>3775</v>
      </c>
      <c r="L107" s="31">
        <v>0.97799999999999998</v>
      </c>
      <c r="M107" s="30">
        <v>19797</v>
      </c>
      <c r="N107" s="30">
        <v>19643</v>
      </c>
      <c r="O107" s="30">
        <v>19573</v>
      </c>
      <c r="P107" s="31">
        <v>0.98868515431631054</v>
      </c>
      <c r="Q107" s="30">
        <v>33</v>
      </c>
      <c r="R107" s="30">
        <v>0</v>
      </c>
      <c r="S107" s="30">
        <v>0</v>
      </c>
      <c r="T107" s="31">
        <v>0</v>
      </c>
      <c r="U107" s="30">
        <v>0</v>
      </c>
      <c r="V107" s="31">
        <v>0</v>
      </c>
      <c r="W107" s="30">
        <v>5133</v>
      </c>
      <c r="X107" s="31">
        <v>1.909598214285714</v>
      </c>
      <c r="Y107" s="30">
        <v>775</v>
      </c>
      <c r="Z107" s="33">
        <v>0.28831845238095238</v>
      </c>
      <c r="AA107" s="30">
        <v>106</v>
      </c>
      <c r="AB107" s="31">
        <v>3.9434523809523808E-2</v>
      </c>
      <c r="AC107" s="30">
        <v>525</v>
      </c>
      <c r="AD107" s="31">
        <v>0.1953125</v>
      </c>
      <c r="AE107" s="30">
        <v>94</v>
      </c>
      <c r="AF107" s="31">
        <v>0.17904761904761901</v>
      </c>
      <c r="AG107" s="30">
        <v>474</v>
      </c>
      <c r="AH107" s="31">
        <v>0.9028571428571428</v>
      </c>
      <c r="AI107" s="34">
        <v>533</v>
      </c>
      <c r="AJ107" s="31">
        <v>0.19828869047619049</v>
      </c>
      <c r="AK107" s="34">
        <v>4</v>
      </c>
      <c r="AL107" s="31">
        <v>0.90806754221388364</v>
      </c>
      <c r="AM107" s="34">
        <v>525</v>
      </c>
      <c r="AN107" s="34">
        <v>484</v>
      </c>
      <c r="AO107" s="31">
        <v>0.18005952380952381</v>
      </c>
      <c r="AP107" s="31">
        <v>0.92190476190476189</v>
      </c>
      <c r="AQ107" s="32">
        <v>0.97890295358649793</v>
      </c>
      <c r="AR107" s="34">
        <v>0</v>
      </c>
      <c r="AS107" s="34">
        <v>0</v>
      </c>
      <c r="AT107" s="34">
        <v>84</v>
      </c>
      <c r="AU107" s="34">
        <v>82</v>
      </c>
      <c r="AV107" s="34">
        <v>84</v>
      </c>
      <c r="AW107" s="34">
        <v>138</v>
      </c>
      <c r="AX107" s="31">
        <v>3.050595238095238E-2</v>
      </c>
      <c r="AY107" s="31">
        <v>3.125E-2</v>
      </c>
      <c r="AZ107" s="31">
        <v>5.1339285714285712E-2</v>
      </c>
      <c r="BA107" s="31">
        <v>0.1735537190082645</v>
      </c>
      <c r="BB107" s="34">
        <v>0</v>
      </c>
      <c r="BC107" s="34">
        <v>0</v>
      </c>
      <c r="BD107" s="32">
        <v>0.98666666666666669</v>
      </c>
      <c r="BE107" s="32">
        <v>1</v>
      </c>
      <c r="BF107" s="32" t="s">
        <v>335</v>
      </c>
    </row>
    <row r="108" spans="1:58" ht="19.5" customHeight="1">
      <c r="A108" s="35">
        <v>105</v>
      </c>
      <c r="B108" s="30" t="s">
        <v>5</v>
      </c>
      <c r="C108" s="36">
        <v>46108</v>
      </c>
      <c r="D108" s="30" t="s">
        <v>2</v>
      </c>
      <c r="E108" s="30">
        <v>3639</v>
      </c>
      <c r="F108" s="30">
        <v>3136</v>
      </c>
      <c r="G108" s="31">
        <v>0.86177521297059634</v>
      </c>
      <c r="H108" s="30">
        <v>2048</v>
      </c>
      <c r="I108" s="32">
        <v>0.56279197581753226</v>
      </c>
      <c r="J108" s="30">
        <v>4208</v>
      </c>
      <c r="K108" s="30">
        <v>4116</v>
      </c>
      <c r="L108" s="31">
        <v>0.97799999999999998</v>
      </c>
      <c r="M108" s="30">
        <v>14774</v>
      </c>
      <c r="N108" s="30">
        <v>14972</v>
      </c>
      <c r="O108" s="30">
        <v>14532</v>
      </c>
      <c r="P108" s="31">
        <v>0.98361987274942464</v>
      </c>
      <c r="Q108" s="30">
        <v>48</v>
      </c>
      <c r="R108" s="30">
        <v>0</v>
      </c>
      <c r="S108" s="30">
        <v>0</v>
      </c>
      <c r="T108" s="31">
        <v>0</v>
      </c>
      <c r="U108" s="30">
        <v>0</v>
      </c>
      <c r="V108" s="31">
        <v>0</v>
      </c>
      <c r="W108" s="30">
        <v>3019</v>
      </c>
      <c r="X108" s="31">
        <v>0.82962352294586428</v>
      </c>
      <c r="Y108" s="30">
        <v>570</v>
      </c>
      <c r="Z108" s="33">
        <v>0.156636438582028</v>
      </c>
      <c r="AA108" s="30">
        <v>35</v>
      </c>
      <c r="AB108" s="31">
        <v>9.6180269304754051E-3</v>
      </c>
      <c r="AC108" s="30">
        <v>357</v>
      </c>
      <c r="AD108" s="31">
        <v>9.8103874690849135E-2</v>
      </c>
      <c r="AE108" s="30">
        <v>67</v>
      </c>
      <c r="AF108" s="31">
        <v>0.1876750700280112</v>
      </c>
      <c r="AG108" s="30">
        <v>315</v>
      </c>
      <c r="AH108" s="31">
        <v>0.88235294117647056</v>
      </c>
      <c r="AI108" s="34">
        <v>360</v>
      </c>
      <c r="AJ108" s="31">
        <v>9.8928276999175599E-2</v>
      </c>
      <c r="AK108" s="34">
        <v>2</v>
      </c>
      <c r="AL108" s="31">
        <v>0.83333333333333337</v>
      </c>
      <c r="AM108" s="34">
        <v>341</v>
      </c>
      <c r="AN108" s="34">
        <v>300</v>
      </c>
      <c r="AO108" s="31">
        <v>8.244023083264633E-2</v>
      </c>
      <c r="AP108" s="31">
        <v>0.84033613445378152</v>
      </c>
      <c r="AQ108" s="32">
        <v>0.95849056603773586</v>
      </c>
      <c r="AR108" s="34">
        <v>0</v>
      </c>
      <c r="AS108" s="34">
        <v>0</v>
      </c>
      <c r="AT108" s="34">
        <v>67</v>
      </c>
      <c r="AU108" s="34">
        <v>58</v>
      </c>
      <c r="AV108" s="34">
        <v>59</v>
      </c>
      <c r="AW108" s="34">
        <v>92</v>
      </c>
      <c r="AX108" s="31">
        <v>1.593844462764496E-2</v>
      </c>
      <c r="AY108" s="31">
        <v>1.6213245397087111E-2</v>
      </c>
      <c r="AZ108" s="31">
        <v>2.5281670788678209E-2</v>
      </c>
      <c r="BA108" s="31">
        <v>0.19666666666666671</v>
      </c>
      <c r="BB108" s="34">
        <v>0</v>
      </c>
      <c r="BC108" s="34">
        <v>0</v>
      </c>
      <c r="BD108" s="32">
        <v>1</v>
      </c>
      <c r="BE108" s="32">
        <v>1</v>
      </c>
      <c r="BF108" s="32" t="s">
        <v>335</v>
      </c>
    </row>
    <row r="109" spans="1:58" ht="19.5" customHeight="1">
      <c r="A109" s="35">
        <v>106</v>
      </c>
      <c r="B109" s="30" t="s">
        <v>5</v>
      </c>
      <c r="C109" s="36">
        <v>46108</v>
      </c>
      <c r="D109" s="30" t="s">
        <v>285</v>
      </c>
      <c r="E109" s="30">
        <v>1914</v>
      </c>
      <c r="F109" s="30">
        <v>1729</v>
      </c>
      <c r="G109" s="31">
        <v>0.90334378265412751</v>
      </c>
      <c r="H109" s="30">
        <v>850</v>
      </c>
      <c r="I109" s="32">
        <v>0.44409613375130619</v>
      </c>
      <c r="J109" s="30">
        <v>1654</v>
      </c>
      <c r="K109" s="30">
        <v>1581</v>
      </c>
      <c r="L109" s="31">
        <v>0.95599999999999996</v>
      </c>
      <c r="M109" s="30">
        <v>9565</v>
      </c>
      <c r="N109" s="30">
        <v>9625</v>
      </c>
      <c r="O109" s="30">
        <v>9314</v>
      </c>
      <c r="P109" s="31">
        <v>0.97375849451123886</v>
      </c>
      <c r="Q109" s="30">
        <v>50</v>
      </c>
      <c r="R109" s="30">
        <v>0</v>
      </c>
      <c r="S109" s="30">
        <v>0</v>
      </c>
      <c r="T109" s="31">
        <v>0</v>
      </c>
      <c r="U109" s="30">
        <v>0</v>
      </c>
      <c r="V109" s="31">
        <v>0</v>
      </c>
      <c r="W109" s="30">
        <v>3659</v>
      </c>
      <c r="X109" s="31">
        <v>1.911703239289446</v>
      </c>
      <c r="Y109" s="30">
        <v>641</v>
      </c>
      <c r="Z109" s="33">
        <v>0.33490073145245558</v>
      </c>
      <c r="AA109" s="30">
        <v>25</v>
      </c>
      <c r="AB109" s="31">
        <v>1.306165099268547E-2</v>
      </c>
      <c r="AC109" s="30">
        <v>359</v>
      </c>
      <c r="AD109" s="31">
        <v>0.1875653082549634</v>
      </c>
      <c r="AE109" s="30">
        <v>65</v>
      </c>
      <c r="AF109" s="31">
        <v>0.18105849582172701</v>
      </c>
      <c r="AG109" s="30">
        <v>336</v>
      </c>
      <c r="AH109" s="31">
        <v>0.93593314763231195</v>
      </c>
      <c r="AI109" s="34">
        <v>346</v>
      </c>
      <c r="AJ109" s="31">
        <v>0.18077324973876699</v>
      </c>
      <c r="AK109" s="34">
        <v>0</v>
      </c>
      <c r="AL109" s="31">
        <v>0.80346820809248554</v>
      </c>
      <c r="AM109" s="34">
        <v>334</v>
      </c>
      <c r="AN109" s="34">
        <v>278</v>
      </c>
      <c r="AO109" s="31">
        <v>0.14524555903866249</v>
      </c>
      <c r="AP109" s="31">
        <v>0.77437325905292476</v>
      </c>
      <c r="AQ109" s="32">
        <v>0.9595588235294118</v>
      </c>
      <c r="AR109" s="34">
        <v>0</v>
      </c>
      <c r="AS109" s="34">
        <v>0</v>
      </c>
      <c r="AT109" s="34">
        <v>50</v>
      </c>
      <c r="AU109" s="34">
        <v>41</v>
      </c>
      <c r="AV109" s="34">
        <v>41</v>
      </c>
      <c r="AW109" s="34">
        <v>62</v>
      </c>
      <c r="AX109" s="31">
        <v>2.1421107628004182E-2</v>
      </c>
      <c r="AY109" s="31">
        <v>2.1421107628004182E-2</v>
      </c>
      <c r="AZ109" s="31">
        <v>3.2392894461859979E-2</v>
      </c>
      <c r="BA109" s="31">
        <v>0.14748201438848921</v>
      </c>
      <c r="BB109" s="34">
        <v>0</v>
      </c>
      <c r="BC109" s="34">
        <v>0</v>
      </c>
      <c r="BD109" s="32">
        <v>1</v>
      </c>
      <c r="BE109" s="32">
        <v>1</v>
      </c>
      <c r="BF109" s="32" t="s">
        <v>335</v>
      </c>
    </row>
    <row r="110" spans="1:58" ht="19.5" customHeight="1">
      <c r="A110" s="35">
        <v>107</v>
      </c>
      <c r="B110" s="30" t="s">
        <v>5</v>
      </c>
      <c r="C110" s="36">
        <v>46108</v>
      </c>
      <c r="D110" s="30" t="s">
        <v>25</v>
      </c>
      <c r="E110" s="30">
        <v>2033</v>
      </c>
      <c r="F110" s="30">
        <v>1724</v>
      </c>
      <c r="G110" s="31">
        <v>0.84800787014264634</v>
      </c>
      <c r="H110" s="30">
        <v>383</v>
      </c>
      <c r="I110" s="32">
        <v>0.18839153959665519</v>
      </c>
      <c r="J110" s="30">
        <v>1137</v>
      </c>
      <c r="K110" s="30">
        <v>1107</v>
      </c>
      <c r="L110" s="31">
        <v>0.97399999999999998</v>
      </c>
      <c r="M110" s="30">
        <v>3810</v>
      </c>
      <c r="N110" s="30">
        <v>4070</v>
      </c>
      <c r="O110" s="30">
        <v>3728</v>
      </c>
      <c r="P110" s="31">
        <v>0.9784776902887139</v>
      </c>
      <c r="Q110" s="30">
        <v>10</v>
      </c>
      <c r="R110" s="30">
        <v>0</v>
      </c>
      <c r="S110" s="30">
        <v>0</v>
      </c>
      <c r="T110" s="31">
        <v>0</v>
      </c>
      <c r="U110" s="30">
        <v>0</v>
      </c>
      <c r="V110" s="31">
        <v>0</v>
      </c>
      <c r="W110" s="30">
        <v>37</v>
      </c>
      <c r="X110" s="31">
        <v>1.8199704869650762E-2</v>
      </c>
      <c r="Y110" s="30">
        <v>140</v>
      </c>
      <c r="Z110" s="33">
        <v>6.886374815543532E-2</v>
      </c>
      <c r="AA110" s="30">
        <v>0</v>
      </c>
      <c r="AB110" s="31">
        <v>0</v>
      </c>
      <c r="AC110" s="30">
        <v>112</v>
      </c>
      <c r="AD110" s="31">
        <v>5.5090998524348248E-2</v>
      </c>
      <c r="AE110" s="30">
        <v>39</v>
      </c>
      <c r="AF110" s="31">
        <v>0.3482142857142857</v>
      </c>
      <c r="AG110" s="30">
        <v>96</v>
      </c>
      <c r="AH110" s="31">
        <v>0.8571428571428571</v>
      </c>
      <c r="AI110" s="34">
        <v>12</v>
      </c>
      <c r="AJ110" s="31">
        <v>5.9026069847515983E-3</v>
      </c>
      <c r="AK110" s="34">
        <v>0</v>
      </c>
      <c r="AL110" s="31">
        <v>0.58333333333333337</v>
      </c>
      <c r="AM110" s="34">
        <v>11</v>
      </c>
      <c r="AN110" s="34">
        <v>7</v>
      </c>
      <c r="AO110" s="31">
        <v>3.4431874077717659E-3</v>
      </c>
      <c r="AP110" s="31">
        <v>6.25E-2</v>
      </c>
      <c r="AQ110" s="32">
        <v>1</v>
      </c>
      <c r="AR110" s="34">
        <v>206</v>
      </c>
      <c r="AS110" s="34">
        <v>71</v>
      </c>
      <c r="AT110" s="34">
        <v>0</v>
      </c>
      <c r="AU110" s="34">
        <v>0</v>
      </c>
      <c r="AV110" s="34">
        <v>0</v>
      </c>
      <c r="AW110" s="34">
        <v>0</v>
      </c>
      <c r="AX110" s="31">
        <v>0</v>
      </c>
      <c r="AY110" s="31">
        <v>0</v>
      </c>
      <c r="AZ110" s="31">
        <v>0</v>
      </c>
      <c r="BA110" s="31">
        <v>0</v>
      </c>
      <c r="BB110" s="34">
        <v>0</v>
      </c>
      <c r="BC110" s="34">
        <v>0</v>
      </c>
      <c r="BD110" s="32">
        <v>1</v>
      </c>
      <c r="BE110" s="32" t="s">
        <v>335</v>
      </c>
      <c r="BF110" s="32" t="s">
        <v>335</v>
      </c>
    </row>
    <row r="111" spans="1:58" ht="19.5" customHeight="1">
      <c r="A111" s="35">
        <v>108</v>
      </c>
      <c r="B111" s="30" t="s">
        <v>5</v>
      </c>
      <c r="C111" s="36">
        <v>46108</v>
      </c>
      <c r="D111" s="30" t="s">
        <v>287</v>
      </c>
      <c r="E111" s="30">
        <v>2937</v>
      </c>
      <c r="F111" s="30">
        <v>2593</v>
      </c>
      <c r="G111" s="31">
        <v>0.88287368062648963</v>
      </c>
      <c r="H111" s="30">
        <v>1963</v>
      </c>
      <c r="I111" s="32">
        <v>0.6683690840994212</v>
      </c>
      <c r="J111" s="30">
        <v>3409</v>
      </c>
      <c r="K111" s="30">
        <v>3322</v>
      </c>
      <c r="L111" s="31">
        <v>0.97399999999999998</v>
      </c>
      <c r="M111" s="30">
        <v>20729</v>
      </c>
      <c r="N111" s="30">
        <v>20836</v>
      </c>
      <c r="O111" s="30">
        <v>20479</v>
      </c>
      <c r="P111" s="31">
        <v>0.98793960152443439</v>
      </c>
      <c r="Q111" s="30">
        <v>70</v>
      </c>
      <c r="R111" s="30">
        <v>0</v>
      </c>
      <c r="S111" s="30">
        <v>0</v>
      </c>
      <c r="T111" s="31">
        <v>0</v>
      </c>
      <c r="U111" s="30">
        <v>0</v>
      </c>
      <c r="V111" s="31">
        <v>0</v>
      </c>
      <c r="W111" s="30">
        <v>5160</v>
      </c>
      <c r="X111" s="31">
        <v>1.756894790602656</v>
      </c>
      <c r="Y111" s="30">
        <v>842</v>
      </c>
      <c r="Z111" s="33">
        <v>0.2866870956758597</v>
      </c>
      <c r="AA111" s="30">
        <v>126</v>
      </c>
      <c r="AB111" s="31">
        <v>4.290091930541369E-2</v>
      </c>
      <c r="AC111" s="30">
        <v>577</v>
      </c>
      <c r="AD111" s="31">
        <v>0.19645897173987059</v>
      </c>
      <c r="AE111" s="30">
        <v>85</v>
      </c>
      <c r="AF111" s="31">
        <v>0.14731369150779899</v>
      </c>
      <c r="AG111" s="30">
        <v>520</v>
      </c>
      <c r="AH111" s="31">
        <v>0.901213171577123</v>
      </c>
      <c r="AI111" s="34">
        <v>600</v>
      </c>
      <c r="AJ111" s="31">
        <v>0.2042900919305414</v>
      </c>
      <c r="AK111" s="34">
        <v>9</v>
      </c>
      <c r="AL111" s="31">
        <v>0.91833333333333333</v>
      </c>
      <c r="AM111" s="34">
        <v>584</v>
      </c>
      <c r="AN111" s="34">
        <v>551</v>
      </c>
      <c r="AO111" s="31">
        <v>0.18760640108954721</v>
      </c>
      <c r="AP111" s="31">
        <v>0.95493934142114389</v>
      </c>
      <c r="AQ111" s="32">
        <v>0.96192384769539074</v>
      </c>
      <c r="AR111" s="34">
        <v>0</v>
      </c>
      <c r="AS111" s="34">
        <v>0</v>
      </c>
      <c r="AT111" s="34">
        <v>93</v>
      </c>
      <c r="AU111" s="34">
        <v>83</v>
      </c>
      <c r="AV111" s="34">
        <v>82</v>
      </c>
      <c r="AW111" s="34">
        <v>131</v>
      </c>
      <c r="AX111" s="31">
        <v>2.8260129383724891E-2</v>
      </c>
      <c r="AY111" s="31">
        <v>2.7919645897173991E-2</v>
      </c>
      <c r="AZ111" s="31">
        <v>4.4603336738168201E-2</v>
      </c>
      <c r="BA111" s="31">
        <v>0.14882032667876591</v>
      </c>
      <c r="BB111" s="34">
        <v>0</v>
      </c>
      <c r="BC111" s="34">
        <v>0</v>
      </c>
      <c r="BD111" s="32">
        <v>0.97701149425287359</v>
      </c>
      <c r="BE111" s="32">
        <v>1</v>
      </c>
      <c r="BF111" s="32" t="s">
        <v>335</v>
      </c>
    </row>
    <row r="112" spans="1:58" ht="19.5" customHeight="1">
      <c r="A112" s="35">
        <v>109</v>
      </c>
      <c r="B112" s="30" t="s">
        <v>5</v>
      </c>
      <c r="C112" s="36">
        <v>46109</v>
      </c>
      <c r="D112" s="30" t="s">
        <v>2</v>
      </c>
      <c r="E112" s="30">
        <v>2268</v>
      </c>
      <c r="F112" s="30">
        <v>2009</v>
      </c>
      <c r="G112" s="31">
        <v>0.88580246913580252</v>
      </c>
      <c r="H112" s="30">
        <v>846</v>
      </c>
      <c r="I112" s="32">
        <v>0.37301587301587302</v>
      </c>
      <c r="J112" s="30">
        <v>2336</v>
      </c>
      <c r="K112" s="30">
        <v>2237</v>
      </c>
      <c r="L112" s="31">
        <v>0.95799999999999996</v>
      </c>
      <c r="M112" s="30">
        <v>12332</v>
      </c>
      <c r="N112" s="30">
        <v>12473</v>
      </c>
      <c r="O112" s="30">
        <v>12118</v>
      </c>
      <c r="P112" s="31">
        <v>0.98264677262406752</v>
      </c>
      <c r="Q112" s="30">
        <v>53</v>
      </c>
      <c r="R112" s="30">
        <v>0</v>
      </c>
      <c r="S112" s="30">
        <v>0</v>
      </c>
      <c r="T112" s="31">
        <v>0</v>
      </c>
      <c r="U112" s="30">
        <v>0</v>
      </c>
      <c r="V112" s="31">
        <v>0</v>
      </c>
      <c r="W112" s="30">
        <v>2941</v>
      </c>
      <c r="X112" s="31">
        <v>1.2967372134038799</v>
      </c>
      <c r="Y112" s="30">
        <v>475</v>
      </c>
      <c r="Z112" s="33">
        <v>0.2094356261022928</v>
      </c>
      <c r="AA112" s="30">
        <v>57</v>
      </c>
      <c r="AB112" s="31">
        <v>2.5132275132275131E-2</v>
      </c>
      <c r="AC112" s="30">
        <v>431</v>
      </c>
      <c r="AD112" s="31">
        <v>0.19003527336860671</v>
      </c>
      <c r="AE112" s="30">
        <v>65</v>
      </c>
      <c r="AF112" s="31">
        <v>0.1508120649651972</v>
      </c>
      <c r="AG112" s="30">
        <v>389</v>
      </c>
      <c r="AH112" s="31">
        <v>0.90255220417633408</v>
      </c>
      <c r="AI112" s="34">
        <v>459</v>
      </c>
      <c r="AJ112" s="31">
        <v>0.20238095238095241</v>
      </c>
      <c r="AK112" s="34">
        <v>2</v>
      </c>
      <c r="AL112" s="31">
        <v>0.81263616557734208</v>
      </c>
      <c r="AM112" s="34">
        <v>450</v>
      </c>
      <c r="AN112" s="34">
        <v>373</v>
      </c>
      <c r="AO112" s="31">
        <v>0.1644620811287478</v>
      </c>
      <c r="AP112" s="31">
        <v>0.86542923433874708</v>
      </c>
      <c r="AQ112" s="32">
        <v>0.95061728395061729</v>
      </c>
      <c r="AR112" s="34">
        <v>0</v>
      </c>
      <c r="AS112" s="34">
        <v>0</v>
      </c>
      <c r="AT112" s="34">
        <v>101</v>
      </c>
      <c r="AU112" s="34">
        <v>97</v>
      </c>
      <c r="AV112" s="34">
        <v>97</v>
      </c>
      <c r="AW112" s="34">
        <v>50</v>
      </c>
      <c r="AX112" s="31">
        <v>4.27689594356261E-2</v>
      </c>
      <c r="AY112" s="31">
        <v>4.27689594356261E-2</v>
      </c>
      <c r="AZ112" s="31">
        <v>2.2045855379188711E-2</v>
      </c>
      <c r="BA112" s="31">
        <v>0.26005361930294912</v>
      </c>
      <c r="BB112" s="34">
        <v>0</v>
      </c>
      <c r="BC112" s="34">
        <v>0</v>
      </c>
      <c r="BD112" s="32">
        <v>1</v>
      </c>
      <c r="BE112" s="32">
        <v>1</v>
      </c>
      <c r="BF112" s="32" t="s">
        <v>335</v>
      </c>
    </row>
    <row r="113" spans="1:58" ht="19.5" customHeight="1">
      <c r="A113" s="35">
        <v>110</v>
      </c>
      <c r="B113" s="30" t="s">
        <v>5</v>
      </c>
      <c r="C113" s="36">
        <v>46109</v>
      </c>
      <c r="D113" s="30" t="s">
        <v>285</v>
      </c>
      <c r="E113" s="30">
        <v>2291</v>
      </c>
      <c r="F113" s="30">
        <v>2120</v>
      </c>
      <c r="G113" s="31">
        <v>0.92536010475774766</v>
      </c>
      <c r="H113" s="30">
        <v>1024</v>
      </c>
      <c r="I113" s="32">
        <v>0.4469663902226102</v>
      </c>
      <c r="J113" s="30">
        <v>1780</v>
      </c>
      <c r="K113" s="30">
        <v>1677</v>
      </c>
      <c r="L113" s="31">
        <v>0.94199999999999995</v>
      </c>
      <c r="M113" s="30">
        <v>9504</v>
      </c>
      <c r="N113" s="30">
        <v>9794</v>
      </c>
      <c r="O113" s="30">
        <v>9311</v>
      </c>
      <c r="P113" s="31">
        <v>0.97969276094276092</v>
      </c>
      <c r="Q113" s="30">
        <v>88</v>
      </c>
      <c r="R113" s="30">
        <v>0</v>
      </c>
      <c r="S113" s="30">
        <v>0</v>
      </c>
      <c r="T113" s="31">
        <v>0</v>
      </c>
      <c r="U113" s="30">
        <v>0</v>
      </c>
      <c r="V113" s="31">
        <v>0</v>
      </c>
      <c r="W113" s="30">
        <v>3465</v>
      </c>
      <c r="X113" s="31">
        <v>1.5124399825403749</v>
      </c>
      <c r="Y113" s="30">
        <v>543</v>
      </c>
      <c r="Z113" s="33">
        <v>0.23701440419030989</v>
      </c>
      <c r="AA113" s="30">
        <v>22</v>
      </c>
      <c r="AB113" s="31">
        <v>9.6027935399388906E-3</v>
      </c>
      <c r="AC113" s="30">
        <v>605</v>
      </c>
      <c r="AD113" s="31">
        <v>0.26407682234831947</v>
      </c>
      <c r="AE113" s="30">
        <v>75</v>
      </c>
      <c r="AF113" s="31">
        <v>0.12396694214876031</v>
      </c>
      <c r="AG113" s="30">
        <v>563</v>
      </c>
      <c r="AH113" s="31">
        <v>0.9305785123966942</v>
      </c>
      <c r="AI113" s="34">
        <v>599</v>
      </c>
      <c r="AJ113" s="31">
        <v>0.26145787865560888</v>
      </c>
      <c r="AK113" s="34">
        <v>2</v>
      </c>
      <c r="AL113" s="31">
        <v>0.84641068447412349</v>
      </c>
      <c r="AM113" s="34">
        <v>587</v>
      </c>
      <c r="AN113" s="34">
        <v>507</v>
      </c>
      <c r="AO113" s="31">
        <v>0.22130074203404629</v>
      </c>
      <c r="AP113" s="31">
        <v>0.83801652892561984</v>
      </c>
      <c r="AQ113" s="32">
        <v>0.9847560975609756</v>
      </c>
      <c r="AR113" s="34">
        <v>0</v>
      </c>
      <c r="AS113" s="34">
        <v>0</v>
      </c>
      <c r="AT113" s="34">
        <v>96</v>
      </c>
      <c r="AU113" s="34">
        <v>89</v>
      </c>
      <c r="AV113" s="34">
        <v>86</v>
      </c>
      <c r="AW113" s="34">
        <v>39</v>
      </c>
      <c r="AX113" s="31">
        <v>3.8847664775207333E-2</v>
      </c>
      <c r="AY113" s="31">
        <v>3.7538192928852028E-2</v>
      </c>
      <c r="AZ113" s="31">
        <v>1.7023134002618939E-2</v>
      </c>
      <c r="BA113" s="31">
        <v>0.16962524654832351</v>
      </c>
      <c r="BB113" s="34">
        <v>0</v>
      </c>
      <c r="BC113" s="34">
        <v>0</v>
      </c>
      <c r="BD113" s="32">
        <v>0.98550724637681164</v>
      </c>
      <c r="BE113" s="32">
        <v>1</v>
      </c>
      <c r="BF113" s="32" t="s">
        <v>335</v>
      </c>
    </row>
    <row r="114" spans="1:58" ht="19.5" customHeight="1">
      <c r="A114" s="35">
        <v>111</v>
      </c>
      <c r="B114" s="30" t="s">
        <v>5</v>
      </c>
      <c r="C114" s="36">
        <v>46109</v>
      </c>
      <c r="D114" s="30" t="s">
        <v>25</v>
      </c>
      <c r="E114" s="30">
        <v>2513</v>
      </c>
      <c r="F114" s="30">
        <v>2138</v>
      </c>
      <c r="G114" s="31">
        <v>0.85077596498209307</v>
      </c>
      <c r="H114" s="30">
        <v>593</v>
      </c>
      <c r="I114" s="32">
        <v>0.23597294070831679</v>
      </c>
      <c r="J114" s="30">
        <v>1399</v>
      </c>
      <c r="K114" s="30">
        <v>1373</v>
      </c>
      <c r="L114" s="31">
        <v>0.98099999999999998</v>
      </c>
      <c r="M114" s="30">
        <v>4752</v>
      </c>
      <c r="N114" s="30">
        <v>5220</v>
      </c>
      <c r="O114" s="30">
        <v>4643</v>
      </c>
      <c r="P114" s="31">
        <v>0.97706228956228958</v>
      </c>
      <c r="Q114" s="30">
        <v>4</v>
      </c>
      <c r="R114" s="30">
        <v>0</v>
      </c>
      <c r="S114" s="30">
        <v>0</v>
      </c>
      <c r="T114" s="31">
        <v>0</v>
      </c>
      <c r="U114" s="30">
        <v>0</v>
      </c>
      <c r="V114" s="31">
        <v>0</v>
      </c>
      <c r="W114" s="30">
        <v>60</v>
      </c>
      <c r="X114" s="31">
        <v>2.3875845602865101E-2</v>
      </c>
      <c r="Y114" s="30">
        <v>190</v>
      </c>
      <c r="Z114" s="33">
        <v>7.5606844409072824E-2</v>
      </c>
      <c r="AA114" s="30">
        <v>1</v>
      </c>
      <c r="AB114" s="31">
        <v>3.9793076004775168E-4</v>
      </c>
      <c r="AC114" s="30">
        <v>242</v>
      </c>
      <c r="AD114" s="31">
        <v>9.6299243931555908E-2</v>
      </c>
      <c r="AE114" s="30">
        <v>84</v>
      </c>
      <c r="AF114" s="31">
        <v>0.34710743801652888</v>
      </c>
      <c r="AG114" s="30">
        <v>218</v>
      </c>
      <c r="AH114" s="31">
        <v>0.90082644628099173</v>
      </c>
      <c r="AI114" s="34">
        <v>113</v>
      </c>
      <c r="AJ114" s="31">
        <v>4.4966175885395941E-2</v>
      </c>
      <c r="AK114" s="34">
        <v>4</v>
      </c>
      <c r="AL114" s="31">
        <v>0.52212389380530977</v>
      </c>
      <c r="AM114" s="34">
        <v>112</v>
      </c>
      <c r="AN114" s="34">
        <v>59</v>
      </c>
      <c r="AO114" s="31">
        <v>2.347791484281735E-2</v>
      </c>
      <c r="AP114" s="31">
        <v>0.243801652892562</v>
      </c>
      <c r="AQ114" s="32">
        <v>0.95121951219512191</v>
      </c>
      <c r="AR114" s="34">
        <v>387</v>
      </c>
      <c r="AS114" s="34">
        <v>157</v>
      </c>
      <c r="AT114" s="34">
        <v>0</v>
      </c>
      <c r="AU114" s="34">
        <v>0</v>
      </c>
      <c r="AV114" s="34">
        <v>0</v>
      </c>
      <c r="AW114" s="34">
        <v>0</v>
      </c>
      <c r="AX114" s="31">
        <v>0</v>
      </c>
      <c r="AY114" s="31">
        <v>0</v>
      </c>
      <c r="AZ114" s="31">
        <v>0</v>
      </c>
      <c r="BA114" s="31">
        <v>0</v>
      </c>
      <c r="BB114" s="34">
        <v>0</v>
      </c>
      <c r="BC114" s="34">
        <v>0</v>
      </c>
      <c r="BD114" s="32">
        <v>0.93333333333333335</v>
      </c>
      <c r="BE114" s="32" t="s">
        <v>335</v>
      </c>
      <c r="BF114" s="32" t="s">
        <v>335</v>
      </c>
    </row>
    <row r="115" spans="1:58" ht="19.5" customHeight="1">
      <c r="A115" s="35">
        <v>112</v>
      </c>
      <c r="B115" s="30" t="s">
        <v>5</v>
      </c>
      <c r="C115" s="36">
        <v>46109</v>
      </c>
      <c r="D115" s="30" t="s">
        <v>287</v>
      </c>
      <c r="E115" s="30">
        <v>4902</v>
      </c>
      <c r="F115" s="30">
        <v>4328</v>
      </c>
      <c r="G115" s="31">
        <v>0.88290493676050597</v>
      </c>
      <c r="H115" s="30">
        <v>3622</v>
      </c>
      <c r="I115" s="32">
        <v>0.73888208894328844</v>
      </c>
      <c r="J115" s="30">
        <v>5211</v>
      </c>
      <c r="K115" s="30">
        <v>5100</v>
      </c>
      <c r="L115" s="31">
        <v>0.97899999999999998</v>
      </c>
      <c r="M115" s="30">
        <v>22292</v>
      </c>
      <c r="N115" s="30">
        <v>23002</v>
      </c>
      <c r="O115" s="30">
        <v>22013</v>
      </c>
      <c r="P115" s="31">
        <v>0.98748429930019743</v>
      </c>
      <c r="Q115" s="30">
        <v>42</v>
      </c>
      <c r="R115" s="30">
        <v>0</v>
      </c>
      <c r="S115" s="30">
        <v>0</v>
      </c>
      <c r="T115" s="31">
        <v>0</v>
      </c>
      <c r="U115" s="30">
        <v>0</v>
      </c>
      <c r="V115" s="31">
        <v>0</v>
      </c>
      <c r="W115" s="30">
        <v>5305</v>
      </c>
      <c r="X115" s="31">
        <v>1.0822113423092621</v>
      </c>
      <c r="Y115" s="30">
        <v>717</v>
      </c>
      <c r="Z115" s="33">
        <v>0.1462668298653611</v>
      </c>
      <c r="AA115" s="30">
        <v>121</v>
      </c>
      <c r="AB115" s="31">
        <v>2.468380252957976E-2</v>
      </c>
      <c r="AC115" s="30">
        <v>797</v>
      </c>
      <c r="AD115" s="31">
        <v>0.16258669930640551</v>
      </c>
      <c r="AE115" s="30">
        <v>117</v>
      </c>
      <c r="AF115" s="31">
        <v>0.1468005018820577</v>
      </c>
      <c r="AG115" s="30">
        <v>733</v>
      </c>
      <c r="AH115" s="31">
        <v>0.91969887076537016</v>
      </c>
      <c r="AI115" s="34">
        <v>820</v>
      </c>
      <c r="AJ115" s="31">
        <v>0.1672786617707058</v>
      </c>
      <c r="AK115" s="34">
        <v>13</v>
      </c>
      <c r="AL115" s="31">
        <v>0.90975609756097564</v>
      </c>
      <c r="AM115" s="34">
        <v>811</v>
      </c>
      <c r="AN115" s="34">
        <v>746</v>
      </c>
      <c r="AO115" s="31">
        <v>0.1521827825377397</v>
      </c>
      <c r="AP115" s="31">
        <v>0.93601003764115431</v>
      </c>
      <c r="AQ115" s="32">
        <v>0.97468354430379744</v>
      </c>
      <c r="AR115" s="34">
        <v>0</v>
      </c>
      <c r="AS115" s="34">
        <v>0</v>
      </c>
      <c r="AT115" s="34">
        <v>123</v>
      </c>
      <c r="AU115" s="34">
        <v>118</v>
      </c>
      <c r="AV115" s="34">
        <v>117</v>
      </c>
      <c r="AW115" s="34">
        <v>91</v>
      </c>
      <c r="AX115" s="31">
        <v>2.40718074255406E-2</v>
      </c>
      <c r="AY115" s="31">
        <v>2.3867809057527539E-2</v>
      </c>
      <c r="AZ115" s="31">
        <v>1.8563851489188089E-2</v>
      </c>
      <c r="BA115" s="31">
        <v>0.15683646112600541</v>
      </c>
      <c r="BB115" s="34">
        <v>0</v>
      </c>
      <c r="BC115" s="34">
        <v>0</v>
      </c>
      <c r="BD115" s="32">
        <v>0.98913043478260865</v>
      </c>
      <c r="BE115" s="32">
        <v>1</v>
      </c>
      <c r="BF115" s="32" t="s">
        <v>335</v>
      </c>
    </row>
    <row r="116" spans="1:58" ht="19.5" customHeight="1">
      <c r="A116" s="35">
        <v>113</v>
      </c>
      <c r="B116" s="30" t="s">
        <v>5</v>
      </c>
      <c r="C116" s="36">
        <v>46110</v>
      </c>
      <c r="D116" s="30" t="s">
        <v>2</v>
      </c>
      <c r="E116" s="30">
        <v>2054</v>
      </c>
      <c r="F116" s="30">
        <v>1827</v>
      </c>
      <c r="G116" s="31">
        <v>0.88948393378773127</v>
      </c>
      <c r="H116" s="30">
        <v>807</v>
      </c>
      <c r="I116" s="32">
        <v>0.39289191820837388</v>
      </c>
      <c r="J116" s="30">
        <v>2242</v>
      </c>
      <c r="K116" s="30">
        <v>2172</v>
      </c>
      <c r="L116" s="31">
        <v>0.96899999999999997</v>
      </c>
      <c r="M116" s="30">
        <v>11137</v>
      </c>
      <c r="N116" s="30">
        <v>10984</v>
      </c>
      <c r="O116" s="30">
        <v>10957</v>
      </c>
      <c r="P116" s="31">
        <v>0.9838376582562629</v>
      </c>
      <c r="Q116" s="30">
        <v>27</v>
      </c>
      <c r="R116" s="30">
        <v>0</v>
      </c>
      <c r="S116" s="30">
        <v>0</v>
      </c>
      <c r="T116" s="31">
        <v>0</v>
      </c>
      <c r="U116" s="30">
        <v>0</v>
      </c>
      <c r="V116" s="31">
        <v>0</v>
      </c>
      <c r="W116" s="30">
        <v>951</v>
      </c>
      <c r="X116" s="31">
        <v>0.46299902629016548</v>
      </c>
      <c r="Y116" s="30">
        <v>364</v>
      </c>
      <c r="Z116" s="33">
        <v>0.17721518987341769</v>
      </c>
      <c r="AA116" s="30">
        <v>46</v>
      </c>
      <c r="AB116" s="31">
        <v>2.2395326192794551E-2</v>
      </c>
      <c r="AC116" s="30">
        <v>458</v>
      </c>
      <c r="AD116" s="31">
        <v>0.22297955209347611</v>
      </c>
      <c r="AE116" s="30">
        <v>94</v>
      </c>
      <c r="AF116" s="31">
        <v>0.20524017467248909</v>
      </c>
      <c r="AG116" s="30">
        <v>409</v>
      </c>
      <c r="AH116" s="31">
        <v>0.89301310043668125</v>
      </c>
      <c r="AI116" s="34">
        <v>447</v>
      </c>
      <c r="AJ116" s="31">
        <v>0.21762414800389479</v>
      </c>
      <c r="AK116" s="34">
        <v>4</v>
      </c>
      <c r="AL116" s="31">
        <v>0.85906040268456374</v>
      </c>
      <c r="AM116" s="34">
        <v>443</v>
      </c>
      <c r="AN116" s="34">
        <v>384</v>
      </c>
      <c r="AO116" s="31">
        <v>0.186952288218111</v>
      </c>
      <c r="AP116" s="31">
        <v>0.83842794759825323</v>
      </c>
      <c r="AQ116" s="32">
        <v>0.96437054631828978</v>
      </c>
      <c r="AR116" s="34">
        <v>0</v>
      </c>
      <c r="AS116" s="34">
        <v>0</v>
      </c>
      <c r="AT116" s="34">
        <v>108</v>
      </c>
      <c r="AU116" s="34">
        <v>102</v>
      </c>
      <c r="AV116" s="34">
        <v>101</v>
      </c>
      <c r="AW116" s="34">
        <v>53</v>
      </c>
      <c r="AX116" s="31">
        <v>4.9659201557935732E-2</v>
      </c>
      <c r="AY116" s="31">
        <v>4.9172346640701067E-2</v>
      </c>
      <c r="AZ116" s="31">
        <v>2.58033106134372E-2</v>
      </c>
      <c r="BA116" s="31">
        <v>0.26302083333333331</v>
      </c>
      <c r="BB116" s="34">
        <v>0</v>
      </c>
      <c r="BC116" s="34">
        <v>0</v>
      </c>
      <c r="BD116" s="32">
        <v>0.98305084745762716</v>
      </c>
      <c r="BE116" s="32">
        <v>1</v>
      </c>
      <c r="BF116" s="32" t="s">
        <v>335</v>
      </c>
    </row>
    <row r="117" spans="1:58" ht="19.5" customHeight="1">
      <c r="A117" s="35">
        <v>114</v>
      </c>
      <c r="B117" s="30" t="s">
        <v>5</v>
      </c>
      <c r="C117" s="36">
        <v>46110</v>
      </c>
      <c r="D117" s="30" t="s">
        <v>285</v>
      </c>
      <c r="E117" s="30">
        <v>2238</v>
      </c>
      <c r="F117" s="30">
        <v>2056</v>
      </c>
      <c r="G117" s="31">
        <v>0.9186773905272565</v>
      </c>
      <c r="H117" s="30">
        <v>971</v>
      </c>
      <c r="I117" s="32">
        <v>0.43386952636282389</v>
      </c>
      <c r="J117" s="30">
        <v>1819</v>
      </c>
      <c r="K117" s="30">
        <v>1716</v>
      </c>
      <c r="L117" s="31">
        <v>0.94299999999999995</v>
      </c>
      <c r="M117" s="30">
        <v>11072</v>
      </c>
      <c r="N117" s="30">
        <v>10515</v>
      </c>
      <c r="O117" s="30">
        <v>10855</v>
      </c>
      <c r="P117" s="31">
        <v>0.98040101156069359</v>
      </c>
      <c r="Q117" s="30">
        <v>52</v>
      </c>
      <c r="R117" s="30">
        <v>0</v>
      </c>
      <c r="S117" s="30">
        <v>0</v>
      </c>
      <c r="T117" s="31">
        <v>0</v>
      </c>
      <c r="U117" s="30">
        <v>0</v>
      </c>
      <c r="V117" s="31">
        <v>0</v>
      </c>
      <c r="W117" s="30">
        <v>1107</v>
      </c>
      <c r="X117" s="31">
        <v>0.49463806970509377</v>
      </c>
      <c r="Y117" s="30">
        <v>463</v>
      </c>
      <c r="Z117" s="33">
        <v>0.2068811438784629</v>
      </c>
      <c r="AA117" s="30">
        <v>34</v>
      </c>
      <c r="AB117" s="31">
        <v>1.519213583556747E-2</v>
      </c>
      <c r="AC117" s="30">
        <v>538</v>
      </c>
      <c r="AD117" s="31">
        <v>0.24039320822162649</v>
      </c>
      <c r="AE117" s="30">
        <v>73</v>
      </c>
      <c r="AF117" s="31">
        <v>0.1356877323420074</v>
      </c>
      <c r="AG117" s="30">
        <v>492</v>
      </c>
      <c r="AH117" s="31">
        <v>0.91449814126394047</v>
      </c>
      <c r="AI117" s="34">
        <v>532</v>
      </c>
      <c r="AJ117" s="31">
        <v>0.23771224307417341</v>
      </c>
      <c r="AK117" s="34">
        <v>2</v>
      </c>
      <c r="AL117" s="31">
        <v>0.84586466165413532</v>
      </c>
      <c r="AM117" s="34">
        <v>525</v>
      </c>
      <c r="AN117" s="34">
        <v>450</v>
      </c>
      <c r="AO117" s="31">
        <v>0.2010723860589812</v>
      </c>
      <c r="AP117" s="31">
        <v>0.83643122676579928</v>
      </c>
      <c r="AQ117" s="32">
        <v>0.979890310786106</v>
      </c>
      <c r="AR117" s="34">
        <v>0</v>
      </c>
      <c r="AS117" s="34">
        <v>0</v>
      </c>
      <c r="AT117" s="34">
        <v>93</v>
      </c>
      <c r="AU117" s="34">
        <v>86</v>
      </c>
      <c r="AV117" s="34">
        <v>81</v>
      </c>
      <c r="AW117" s="34">
        <v>35</v>
      </c>
      <c r="AX117" s="31">
        <v>3.8427167113494191E-2</v>
      </c>
      <c r="AY117" s="31">
        <v>3.6193029490616632E-2</v>
      </c>
      <c r="AZ117" s="31">
        <v>1.563896336014298E-2</v>
      </c>
      <c r="BA117" s="31">
        <v>0.18</v>
      </c>
      <c r="BB117" s="34">
        <v>0</v>
      </c>
      <c r="BC117" s="34">
        <v>1</v>
      </c>
      <c r="BD117" s="32">
        <v>0.94915254237288138</v>
      </c>
      <c r="BE117" s="32">
        <v>1</v>
      </c>
      <c r="BF117" s="32" t="s">
        <v>335</v>
      </c>
    </row>
    <row r="118" spans="1:58" ht="19.5" customHeight="1">
      <c r="A118" s="35">
        <v>115</v>
      </c>
      <c r="B118" s="30" t="s">
        <v>5</v>
      </c>
      <c r="C118" s="36">
        <v>46110</v>
      </c>
      <c r="D118" s="30" t="s">
        <v>25</v>
      </c>
      <c r="E118" s="30">
        <v>2975</v>
      </c>
      <c r="F118" s="30">
        <v>2572</v>
      </c>
      <c r="G118" s="31">
        <v>0.86453781512605044</v>
      </c>
      <c r="H118" s="30">
        <v>673</v>
      </c>
      <c r="I118" s="32">
        <v>0.22621848739495801</v>
      </c>
      <c r="J118" s="30">
        <v>1538</v>
      </c>
      <c r="K118" s="30">
        <v>1514</v>
      </c>
      <c r="L118" s="31">
        <v>0.98399999999999999</v>
      </c>
      <c r="M118" s="30">
        <v>4988</v>
      </c>
      <c r="N118" s="30">
        <v>4921</v>
      </c>
      <c r="O118" s="30">
        <v>4878</v>
      </c>
      <c r="P118" s="31">
        <v>0.97794707297514039</v>
      </c>
      <c r="Q118" s="30">
        <v>10</v>
      </c>
      <c r="R118" s="30">
        <v>0</v>
      </c>
      <c r="S118" s="30">
        <v>0</v>
      </c>
      <c r="T118" s="31">
        <v>0</v>
      </c>
      <c r="U118" s="30">
        <v>0</v>
      </c>
      <c r="V118" s="31">
        <v>0</v>
      </c>
      <c r="W118" s="30">
        <v>79</v>
      </c>
      <c r="X118" s="31">
        <v>2.6554621848739499E-2</v>
      </c>
      <c r="Y118" s="30">
        <v>196</v>
      </c>
      <c r="Z118" s="33">
        <v>6.5882352941176475E-2</v>
      </c>
      <c r="AA118" s="30">
        <v>0</v>
      </c>
      <c r="AB118" s="31">
        <v>0</v>
      </c>
      <c r="AC118" s="30">
        <v>232</v>
      </c>
      <c r="AD118" s="31">
        <v>7.798319327731093E-2</v>
      </c>
      <c r="AE118" s="30">
        <v>59</v>
      </c>
      <c r="AF118" s="31">
        <v>0.25431034482758619</v>
      </c>
      <c r="AG118" s="30">
        <v>202</v>
      </c>
      <c r="AH118" s="31">
        <v>0.87068965517241381</v>
      </c>
      <c r="AI118" s="34">
        <v>118</v>
      </c>
      <c r="AJ118" s="31">
        <v>3.9663865546218487E-2</v>
      </c>
      <c r="AK118" s="34">
        <v>1</v>
      </c>
      <c r="AL118" s="31">
        <v>0.50847457627118642</v>
      </c>
      <c r="AM118" s="34">
        <v>117</v>
      </c>
      <c r="AN118" s="34">
        <v>60</v>
      </c>
      <c r="AO118" s="31">
        <v>2.0168067226890761E-2</v>
      </c>
      <c r="AP118" s="31">
        <v>0.25862068965517238</v>
      </c>
      <c r="AQ118" s="32">
        <v>0.96103896103896103</v>
      </c>
      <c r="AR118" s="34">
        <v>354</v>
      </c>
      <c r="AS118" s="34">
        <v>125</v>
      </c>
      <c r="AT118" s="34">
        <v>0</v>
      </c>
      <c r="AU118" s="34">
        <v>0</v>
      </c>
      <c r="AV118" s="34">
        <v>0</v>
      </c>
      <c r="AW118" s="34">
        <v>0</v>
      </c>
      <c r="AX118" s="31">
        <v>0</v>
      </c>
      <c r="AY118" s="31">
        <v>0</v>
      </c>
      <c r="AZ118" s="31">
        <v>0</v>
      </c>
      <c r="BA118" s="31">
        <v>0</v>
      </c>
      <c r="BB118" s="34">
        <v>0</v>
      </c>
      <c r="BC118" s="34">
        <v>0</v>
      </c>
      <c r="BD118" s="32">
        <v>0.90909090909090906</v>
      </c>
      <c r="BE118" s="32" t="s">
        <v>335</v>
      </c>
      <c r="BF118" s="32" t="s">
        <v>335</v>
      </c>
    </row>
    <row r="119" spans="1:58" ht="19.5" customHeight="1">
      <c r="A119" s="35">
        <v>116</v>
      </c>
      <c r="B119" s="30" t="s">
        <v>5</v>
      </c>
      <c r="C119" s="36">
        <v>46110</v>
      </c>
      <c r="D119" s="30" t="s">
        <v>287</v>
      </c>
      <c r="E119" s="30">
        <v>4826</v>
      </c>
      <c r="F119" s="30">
        <v>4311</v>
      </c>
      <c r="G119" s="31">
        <v>0.89328636552009943</v>
      </c>
      <c r="H119" s="30">
        <v>3626</v>
      </c>
      <c r="I119" s="32">
        <v>0.75134687111479481</v>
      </c>
      <c r="J119" s="30">
        <v>5379</v>
      </c>
      <c r="K119" s="30">
        <v>5288</v>
      </c>
      <c r="L119" s="31">
        <v>0.98299999999999998</v>
      </c>
      <c r="M119" s="30">
        <v>22924</v>
      </c>
      <c r="N119" s="30">
        <v>23033</v>
      </c>
      <c r="O119" s="30">
        <v>22616</v>
      </c>
      <c r="P119" s="31">
        <v>0.98656429942418422</v>
      </c>
      <c r="Q119" s="30">
        <v>36</v>
      </c>
      <c r="R119" s="30">
        <v>0</v>
      </c>
      <c r="S119" s="30">
        <v>0</v>
      </c>
      <c r="T119" s="31">
        <v>0</v>
      </c>
      <c r="U119" s="30">
        <v>0</v>
      </c>
      <c r="V119" s="31">
        <v>0</v>
      </c>
      <c r="W119" s="30">
        <v>2068</v>
      </c>
      <c r="X119" s="31">
        <v>0.42851222544550349</v>
      </c>
      <c r="Y119" s="30">
        <v>535</v>
      </c>
      <c r="Z119" s="33">
        <v>0.110857853294654</v>
      </c>
      <c r="AA119" s="30">
        <v>131</v>
      </c>
      <c r="AB119" s="31">
        <v>2.714463323663489E-2</v>
      </c>
      <c r="AC119" s="30">
        <v>780</v>
      </c>
      <c r="AD119" s="31">
        <v>0.1616245337753833</v>
      </c>
      <c r="AE119" s="30">
        <v>115</v>
      </c>
      <c r="AF119" s="31">
        <v>0.14743589743589741</v>
      </c>
      <c r="AG119" s="30">
        <v>707</v>
      </c>
      <c r="AH119" s="31">
        <v>0.90641025641025641</v>
      </c>
      <c r="AI119" s="34">
        <v>781</v>
      </c>
      <c r="AJ119" s="31">
        <v>0.161831744716121</v>
      </c>
      <c r="AK119" s="34">
        <v>5</v>
      </c>
      <c r="AL119" s="31">
        <v>0.92701664532650452</v>
      </c>
      <c r="AM119" s="34">
        <v>771</v>
      </c>
      <c r="AN119" s="34">
        <v>724</v>
      </c>
      <c r="AO119" s="31">
        <v>0.1500207210940738</v>
      </c>
      <c r="AP119" s="31">
        <v>0.92820512820512824</v>
      </c>
      <c r="AQ119" s="32">
        <v>0.9658792650918635</v>
      </c>
      <c r="AR119" s="34">
        <v>0</v>
      </c>
      <c r="AS119" s="34">
        <v>0</v>
      </c>
      <c r="AT119" s="34">
        <v>165</v>
      </c>
      <c r="AU119" s="34">
        <v>160</v>
      </c>
      <c r="AV119" s="34">
        <v>159</v>
      </c>
      <c r="AW119" s="34">
        <v>96</v>
      </c>
      <c r="AX119" s="31">
        <v>3.3153750518027353E-2</v>
      </c>
      <c r="AY119" s="31">
        <v>3.2946539577289678E-2</v>
      </c>
      <c r="AZ119" s="31">
        <v>1.9892250310816411E-2</v>
      </c>
      <c r="BA119" s="31">
        <v>0.21961325966850831</v>
      </c>
      <c r="BB119" s="34">
        <v>0</v>
      </c>
      <c r="BC119" s="34">
        <v>1</v>
      </c>
      <c r="BD119" s="32">
        <v>0.97530864197530864</v>
      </c>
      <c r="BE119" s="32">
        <v>1</v>
      </c>
      <c r="BF119" s="32" t="s">
        <v>335</v>
      </c>
    </row>
    <row r="120" spans="1:58" ht="19.5" customHeight="1">
      <c r="A120" s="35">
        <v>117</v>
      </c>
      <c r="B120" s="30" t="s">
        <v>5</v>
      </c>
      <c r="C120" s="36">
        <v>46111</v>
      </c>
      <c r="D120" s="30" t="s">
        <v>2</v>
      </c>
      <c r="E120" s="30">
        <v>2778</v>
      </c>
      <c r="F120" s="30">
        <v>2417</v>
      </c>
      <c r="G120" s="31">
        <v>0.87005039596832257</v>
      </c>
      <c r="H120" s="30">
        <v>1593</v>
      </c>
      <c r="I120" s="32">
        <v>0.57343412526997839</v>
      </c>
      <c r="J120" s="30">
        <v>2934</v>
      </c>
      <c r="K120" s="30">
        <v>2850</v>
      </c>
      <c r="L120" s="31">
        <v>0.97099999999999997</v>
      </c>
      <c r="M120" s="30">
        <v>13250</v>
      </c>
      <c r="N120" s="30">
        <v>12587</v>
      </c>
      <c r="O120" s="30">
        <v>12994</v>
      </c>
      <c r="P120" s="31">
        <v>0.98067924528301886</v>
      </c>
      <c r="Q120" s="30">
        <v>45</v>
      </c>
      <c r="R120" s="30">
        <v>0</v>
      </c>
      <c r="S120" s="30">
        <v>0</v>
      </c>
      <c r="T120" s="31">
        <v>0</v>
      </c>
      <c r="U120" s="30">
        <v>0</v>
      </c>
      <c r="V120" s="31">
        <v>0</v>
      </c>
      <c r="W120" s="30">
        <v>5168</v>
      </c>
      <c r="X120" s="31">
        <v>1.860331173506119</v>
      </c>
      <c r="Y120" s="30">
        <v>404</v>
      </c>
      <c r="Z120" s="33">
        <v>0.14542836573074161</v>
      </c>
      <c r="AA120" s="30">
        <v>53</v>
      </c>
      <c r="AB120" s="31">
        <v>1.9078473722102231E-2</v>
      </c>
      <c r="AC120" s="30">
        <v>310</v>
      </c>
      <c r="AD120" s="31">
        <v>0.11159107271418291</v>
      </c>
      <c r="AE120" s="30">
        <v>69</v>
      </c>
      <c r="AF120" s="31">
        <v>0.22258064516129031</v>
      </c>
      <c r="AG120" s="30">
        <v>239</v>
      </c>
      <c r="AH120" s="31">
        <v>0.7709677419354839</v>
      </c>
      <c r="AI120" s="34">
        <v>275</v>
      </c>
      <c r="AJ120" s="31">
        <v>9.899208063354932E-2</v>
      </c>
      <c r="AK120" s="34">
        <v>2</v>
      </c>
      <c r="AL120" s="31">
        <v>0.80727272727272725</v>
      </c>
      <c r="AM120" s="34">
        <v>268</v>
      </c>
      <c r="AN120" s="34">
        <v>222</v>
      </c>
      <c r="AO120" s="31">
        <v>7.9913606911447083E-2</v>
      </c>
      <c r="AP120" s="31">
        <v>0.71612903225806457</v>
      </c>
      <c r="AQ120" s="32">
        <v>0.96593673965936744</v>
      </c>
      <c r="AR120" s="34">
        <v>0</v>
      </c>
      <c r="AS120" s="34">
        <v>0</v>
      </c>
      <c r="AT120" s="34">
        <v>75</v>
      </c>
      <c r="AU120" s="34">
        <v>65</v>
      </c>
      <c r="AV120" s="34">
        <v>64</v>
      </c>
      <c r="AW120" s="34">
        <v>90</v>
      </c>
      <c r="AX120" s="31">
        <v>2.339812814974802E-2</v>
      </c>
      <c r="AY120" s="31">
        <v>2.30381569474442E-2</v>
      </c>
      <c r="AZ120" s="31">
        <v>3.2397408207343423E-2</v>
      </c>
      <c r="BA120" s="31">
        <v>0.28828828828828829</v>
      </c>
      <c r="BB120" s="34">
        <v>0</v>
      </c>
      <c r="BC120" s="34">
        <v>0</v>
      </c>
      <c r="BD120" s="32">
        <v>0.97499999999999998</v>
      </c>
      <c r="BE120" s="32">
        <v>1</v>
      </c>
      <c r="BF120" s="32" t="s">
        <v>335</v>
      </c>
    </row>
    <row r="121" spans="1:58" ht="19.5" customHeight="1">
      <c r="A121" s="35">
        <v>118</v>
      </c>
      <c r="B121" s="30" t="s">
        <v>5</v>
      </c>
      <c r="C121" s="36">
        <v>46111</v>
      </c>
      <c r="D121" s="30" t="s">
        <v>285</v>
      </c>
      <c r="E121" s="30">
        <v>2884</v>
      </c>
      <c r="F121" s="30">
        <v>2586</v>
      </c>
      <c r="G121" s="31">
        <v>0.89667128987517342</v>
      </c>
      <c r="H121" s="30">
        <v>1565</v>
      </c>
      <c r="I121" s="32">
        <v>0.54264909847434117</v>
      </c>
      <c r="J121" s="30">
        <v>2005</v>
      </c>
      <c r="K121" s="30">
        <v>1937</v>
      </c>
      <c r="L121" s="31">
        <v>0.96599999999999997</v>
      </c>
      <c r="M121" s="30">
        <v>10057</v>
      </c>
      <c r="N121" s="30">
        <v>9569</v>
      </c>
      <c r="O121" s="30">
        <v>9852</v>
      </c>
      <c r="P121" s="31">
        <v>0.9796161877299393</v>
      </c>
      <c r="Q121" s="30">
        <v>57</v>
      </c>
      <c r="R121" s="30">
        <v>0</v>
      </c>
      <c r="S121" s="30">
        <v>0</v>
      </c>
      <c r="T121" s="31">
        <v>0</v>
      </c>
      <c r="U121" s="30">
        <v>0</v>
      </c>
      <c r="V121" s="31">
        <v>0</v>
      </c>
      <c r="W121" s="30">
        <v>5764</v>
      </c>
      <c r="X121" s="31">
        <v>1.9986130374479889</v>
      </c>
      <c r="Y121" s="30">
        <v>516</v>
      </c>
      <c r="Z121" s="33">
        <v>0.17891816920943129</v>
      </c>
      <c r="AA121" s="30">
        <v>31</v>
      </c>
      <c r="AB121" s="31">
        <v>1.074895977808599E-2</v>
      </c>
      <c r="AC121" s="30">
        <v>320</v>
      </c>
      <c r="AD121" s="31">
        <v>0.1109570041608877</v>
      </c>
      <c r="AE121" s="30">
        <v>59</v>
      </c>
      <c r="AF121" s="31">
        <v>0.18437500000000001</v>
      </c>
      <c r="AG121" s="30">
        <v>269</v>
      </c>
      <c r="AH121" s="31">
        <v>0.84062499999999996</v>
      </c>
      <c r="AI121" s="34">
        <v>312</v>
      </c>
      <c r="AJ121" s="31">
        <v>0.1081830790568655</v>
      </c>
      <c r="AK121" s="34">
        <v>2</v>
      </c>
      <c r="AL121" s="31">
        <v>0.82371794871794868</v>
      </c>
      <c r="AM121" s="34">
        <v>312</v>
      </c>
      <c r="AN121" s="34">
        <v>257</v>
      </c>
      <c r="AO121" s="31">
        <v>8.9112343966712901E-2</v>
      </c>
      <c r="AP121" s="31">
        <v>0.80312499999999998</v>
      </c>
      <c r="AQ121" s="32">
        <v>0.95967741935483875</v>
      </c>
      <c r="AR121" s="34">
        <v>0</v>
      </c>
      <c r="AS121" s="34">
        <v>0</v>
      </c>
      <c r="AT121" s="34">
        <v>79</v>
      </c>
      <c r="AU121" s="34">
        <v>68</v>
      </c>
      <c r="AV121" s="34">
        <v>72</v>
      </c>
      <c r="AW121" s="34">
        <v>81</v>
      </c>
      <c r="AX121" s="31">
        <v>2.357836338418863E-2</v>
      </c>
      <c r="AY121" s="31">
        <v>2.4965325936199718E-2</v>
      </c>
      <c r="AZ121" s="31">
        <v>2.8085991678224689E-2</v>
      </c>
      <c r="BA121" s="31">
        <v>0.28015564202334631</v>
      </c>
      <c r="BB121" s="34">
        <v>0</v>
      </c>
      <c r="BC121" s="34">
        <v>1</v>
      </c>
      <c r="BD121" s="32">
        <v>1</v>
      </c>
      <c r="BE121" s="32">
        <v>0.84615384615384615</v>
      </c>
      <c r="BF121" s="32" t="s">
        <v>335</v>
      </c>
    </row>
    <row r="122" spans="1:58" ht="19.5" customHeight="1">
      <c r="A122" s="35">
        <v>119</v>
      </c>
      <c r="B122" s="30" t="s">
        <v>5</v>
      </c>
      <c r="C122" s="36">
        <v>46111</v>
      </c>
      <c r="D122" s="30" t="s">
        <v>25</v>
      </c>
      <c r="E122" s="30">
        <v>2420</v>
      </c>
      <c r="F122" s="30">
        <v>2033</v>
      </c>
      <c r="G122" s="31">
        <v>0.84008264462809923</v>
      </c>
      <c r="H122" s="30">
        <v>725</v>
      </c>
      <c r="I122" s="32">
        <v>0.29958677685950408</v>
      </c>
      <c r="J122" s="30">
        <v>1740</v>
      </c>
      <c r="K122" s="30">
        <v>1694</v>
      </c>
      <c r="L122" s="31">
        <v>0.97399999999999998</v>
      </c>
      <c r="M122" s="30">
        <v>5557</v>
      </c>
      <c r="N122" s="30">
        <v>4885</v>
      </c>
      <c r="O122" s="30">
        <v>5410</v>
      </c>
      <c r="P122" s="31">
        <v>0.97354687781176896</v>
      </c>
      <c r="Q122" s="30">
        <v>13</v>
      </c>
      <c r="R122" s="30">
        <v>0</v>
      </c>
      <c r="S122" s="30">
        <v>0</v>
      </c>
      <c r="T122" s="31">
        <v>0</v>
      </c>
      <c r="U122" s="30">
        <v>0</v>
      </c>
      <c r="V122" s="31">
        <v>0</v>
      </c>
      <c r="W122" s="30">
        <v>46</v>
      </c>
      <c r="X122" s="31">
        <v>1.9008264462809919E-2</v>
      </c>
      <c r="Y122" s="30">
        <v>185</v>
      </c>
      <c r="Z122" s="33">
        <v>7.6446280991735532E-2</v>
      </c>
      <c r="AA122" s="30">
        <v>0</v>
      </c>
      <c r="AB122" s="31">
        <v>0</v>
      </c>
      <c r="AC122" s="30">
        <v>183</v>
      </c>
      <c r="AD122" s="31">
        <v>7.5619834710743808E-2</v>
      </c>
      <c r="AE122" s="30">
        <v>59</v>
      </c>
      <c r="AF122" s="31">
        <v>0.32240437158469948</v>
      </c>
      <c r="AG122" s="30">
        <v>159</v>
      </c>
      <c r="AH122" s="31">
        <v>0.86885245901639341</v>
      </c>
      <c r="AI122" s="34">
        <v>100</v>
      </c>
      <c r="AJ122" s="31">
        <v>4.1322314049586778E-2</v>
      </c>
      <c r="AK122" s="34">
        <v>1</v>
      </c>
      <c r="AL122" s="31">
        <v>0.7</v>
      </c>
      <c r="AM122" s="34">
        <v>100</v>
      </c>
      <c r="AN122" s="34">
        <v>70</v>
      </c>
      <c r="AO122" s="31">
        <v>2.8925619834710741E-2</v>
      </c>
      <c r="AP122" s="31">
        <v>0.38251366120218577</v>
      </c>
      <c r="AQ122" s="32">
        <v>0.94666666666666666</v>
      </c>
      <c r="AR122" s="34">
        <v>223</v>
      </c>
      <c r="AS122" s="34">
        <v>93</v>
      </c>
      <c r="AT122" s="34">
        <v>0</v>
      </c>
      <c r="AU122" s="34">
        <v>0</v>
      </c>
      <c r="AV122" s="34">
        <v>0</v>
      </c>
      <c r="AW122" s="34">
        <v>0</v>
      </c>
      <c r="AX122" s="31">
        <v>0</v>
      </c>
      <c r="AY122" s="31">
        <v>0</v>
      </c>
      <c r="AZ122" s="31">
        <v>0</v>
      </c>
      <c r="BA122" s="31">
        <v>0</v>
      </c>
      <c r="BB122" s="34">
        <v>0</v>
      </c>
      <c r="BC122" s="34">
        <v>0</v>
      </c>
      <c r="BD122" s="32">
        <v>1</v>
      </c>
      <c r="BE122" s="32" t="s">
        <v>335</v>
      </c>
      <c r="BF122" s="32" t="s">
        <v>335</v>
      </c>
    </row>
    <row r="123" spans="1:58" ht="19.5" customHeight="1">
      <c r="A123" s="35">
        <v>120</v>
      </c>
      <c r="B123" s="30" t="s">
        <v>5</v>
      </c>
      <c r="C123" s="36">
        <v>46111</v>
      </c>
      <c r="D123" s="30" t="s">
        <v>287</v>
      </c>
      <c r="E123" s="30">
        <v>3168</v>
      </c>
      <c r="F123" s="30">
        <v>2848</v>
      </c>
      <c r="G123" s="31">
        <v>0.89898989898989901</v>
      </c>
      <c r="H123" s="30">
        <v>1940</v>
      </c>
      <c r="I123" s="32">
        <v>0.61237373737373735</v>
      </c>
      <c r="J123" s="30">
        <v>4373</v>
      </c>
      <c r="K123" s="30">
        <v>4288</v>
      </c>
      <c r="L123" s="31">
        <v>0.98099999999999998</v>
      </c>
      <c r="M123" s="30">
        <v>21097</v>
      </c>
      <c r="N123" s="30">
        <v>20569</v>
      </c>
      <c r="O123" s="30">
        <v>20769</v>
      </c>
      <c r="P123" s="31">
        <v>0.98445276579608476</v>
      </c>
      <c r="Q123" s="30">
        <v>62</v>
      </c>
      <c r="R123" s="30">
        <v>0</v>
      </c>
      <c r="S123" s="30">
        <v>0</v>
      </c>
      <c r="T123" s="31">
        <v>0</v>
      </c>
      <c r="U123" s="30">
        <v>0</v>
      </c>
      <c r="V123" s="31">
        <v>0</v>
      </c>
      <c r="W123" s="30">
        <v>8638</v>
      </c>
      <c r="X123" s="31">
        <v>2.7266414141414139</v>
      </c>
      <c r="Y123" s="30">
        <v>557</v>
      </c>
      <c r="Z123" s="33">
        <v>0.1758207070707071</v>
      </c>
      <c r="AA123" s="30">
        <v>151</v>
      </c>
      <c r="AB123" s="31">
        <v>4.7664141414141423E-2</v>
      </c>
      <c r="AC123" s="30">
        <v>550</v>
      </c>
      <c r="AD123" s="31">
        <v>0.1736111111111111</v>
      </c>
      <c r="AE123" s="30">
        <v>116</v>
      </c>
      <c r="AF123" s="31">
        <v>0.21090909090909091</v>
      </c>
      <c r="AG123" s="30">
        <v>493</v>
      </c>
      <c r="AH123" s="31">
        <v>0.89636363636363636</v>
      </c>
      <c r="AI123" s="34">
        <v>562</v>
      </c>
      <c r="AJ123" s="31">
        <v>0.17739898989898989</v>
      </c>
      <c r="AK123" s="34">
        <v>5</v>
      </c>
      <c r="AL123" s="31">
        <v>0.91637010676156583</v>
      </c>
      <c r="AM123" s="34">
        <v>556</v>
      </c>
      <c r="AN123" s="34">
        <v>515</v>
      </c>
      <c r="AO123" s="31">
        <v>0.1625631313131313</v>
      </c>
      <c r="AP123" s="31">
        <v>0.9363636363636364</v>
      </c>
      <c r="AQ123" s="32">
        <v>0.96370967741935487</v>
      </c>
      <c r="AR123" s="34">
        <v>0</v>
      </c>
      <c r="AS123" s="34">
        <v>0</v>
      </c>
      <c r="AT123" s="34">
        <v>107</v>
      </c>
      <c r="AU123" s="34">
        <v>97</v>
      </c>
      <c r="AV123" s="34">
        <v>95</v>
      </c>
      <c r="AW123" s="34">
        <v>159</v>
      </c>
      <c r="AX123" s="31">
        <v>3.0618686868686872E-2</v>
      </c>
      <c r="AY123" s="31">
        <v>2.998737373737374E-2</v>
      </c>
      <c r="AZ123" s="31">
        <v>5.0189393939393943E-2</v>
      </c>
      <c r="BA123" s="31">
        <v>0.1844660194174757</v>
      </c>
      <c r="BB123" s="34">
        <v>0</v>
      </c>
      <c r="BC123" s="34">
        <v>1</v>
      </c>
      <c r="BD123" s="32">
        <v>0.96842105263157896</v>
      </c>
      <c r="BE123" s="32">
        <v>1</v>
      </c>
      <c r="BF123" s="32" t="s">
        <v>335</v>
      </c>
    </row>
    <row r="124" spans="1:58" ht="19.5" customHeight="1">
      <c r="A124" s="35">
        <v>121</v>
      </c>
      <c r="B124" s="30" t="s">
        <v>5</v>
      </c>
      <c r="C124" s="36">
        <v>46112</v>
      </c>
      <c r="D124" s="30" t="s">
        <v>2</v>
      </c>
      <c r="E124" s="30">
        <v>3300</v>
      </c>
      <c r="F124" s="30">
        <v>2788</v>
      </c>
      <c r="G124" s="31">
        <v>0.84484848484848485</v>
      </c>
      <c r="H124" s="30">
        <v>1360</v>
      </c>
      <c r="I124" s="32">
        <v>0.41212121212121211</v>
      </c>
      <c r="J124" s="30">
        <v>2704</v>
      </c>
      <c r="K124" s="30">
        <v>2580</v>
      </c>
      <c r="L124" s="31">
        <v>0.95399999999999996</v>
      </c>
      <c r="M124" s="30">
        <v>11691</v>
      </c>
      <c r="N124" s="30">
        <v>11432</v>
      </c>
      <c r="O124" s="30">
        <v>11400</v>
      </c>
      <c r="P124" s="31">
        <v>0.97510905824993588</v>
      </c>
      <c r="Q124" s="30">
        <v>63</v>
      </c>
      <c r="R124" s="30">
        <v>0</v>
      </c>
      <c r="S124" s="30">
        <v>0</v>
      </c>
      <c r="T124" s="31">
        <v>0</v>
      </c>
      <c r="U124" s="30">
        <v>0</v>
      </c>
      <c r="V124" s="31">
        <v>0</v>
      </c>
      <c r="W124" s="30">
        <v>6007</v>
      </c>
      <c r="X124" s="31">
        <v>1.8203030303030301</v>
      </c>
      <c r="Y124" s="30">
        <v>490</v>
      </c>
      <c r="Z124" s="33">
        <v>0.1484848484848485</v>
      </c>
      <c r="AA124" s="30">
        <v>43</v>
      </c>
      <c r="AB124" s="31">
        <v>1.3030303030303029E-2</v>
      </c>
      <c r="AC124" s="30">
        <v>276</v>
      </c>
      <c r="AD124" s="31">
        <v>8.3636363636363634E-2</v>
      </c>
      <c r="AE124" s="30">
        <v>54</v>
      </c>
      <c r="AF124" s="31">
        <v>0.19565217391304349</v>
      </c>
      <c r="AG124" s="30">
        <v>233</v>
      </c>
      <c r="AH124" s="31">
        <v>0.84420289855072461</v>
      </c>
      <c r="AI124" s="34">
        <v>262</v>
      </c>
      <c r="AJ124" s="31">
        <v>7.9393939393939392E-2</v>
      </c>
      <c r="AK124" s="34">
        <v>2</v>
      </c>
      <c r="AL124" s="31">
        <v>0.85114503816793896</v>
      </c>
      <c r="AM124" s="34">
        <v>262</v>
      </c>
      <c r="AN124" s="34">
        <v>223</v>
      </c>
      <c r="AO124" s="31">
        <v>6.7575757575757581E-2</v>
      </c>
      <c r="AP124" s="31">
        <v>0.80797101449275366</v>
      </c>
      <c r="AQ124" s="32">
        <v>0.96370967741935487</v>
      </c>
      <c r="AR124" s="34">
        <v>0</v>
      </c>
      <c r="AS124" s="34">
        <v>0</v>
      </c>
      <c r="AT124" s="34">
        <v>70</v>
      </c>
      <c r="AU124" s="34">
        <v>64</v>
      </c>
      <c r="AV124" s="34">
        <v>62</v>
      </c>
      <c r="AW124" s="34">
        <v>124</v>
      </c>
      <c r="AX124" s="31">
        <v>1.939393939393939E-2</v>
      </c>
      <c r="AY124" s="31">
        <v>1.8787878787878791E-2</v>
      </c>
      <c r="AZ124" s="31">
        <v>3.7575757575757568E-2</v>
      </c>
      <c r="BA124" s="31">
        <v>0.27802690582959638</v>
      </c>
      <c r="BB124" s="34">
        <v>0</v>
      </c>
      <c r="BC124" s="34">
        <v>0</v>
      </c>
      <c r="BD124" s="32">
        <v>0.97499999999999998</v>
      </c>
      <c r="BE124" s="32">
        <v>1</v>
      </c>
      <c r="BF124" s="32" t="s">
        <v>335</v>
      </c>
    </row>
    <row r="125" spans="1:58" ht="19.5" customHeight="1">
      <c r="A125" s="35">
        <v>122</v>
      </c>
      <c r="B125" s="30" t="s">
        <v>5</v>
      </c>
      <c r="C125" s="36">
        <v>46112</v>
      </c>
      <c r="D125" s="30" t="s">
        <v>285</v>
      </c>
      <c r="E125" s="30">
        <v>2496</v>
      </c>
      <c r="F125" s="30">
        <v>2251</v>
      </c>
      <c r="G125" s="31">
        <v>0.90184294871794868</v>
      </c>
      <c r="H125" s="30">
        <v>1145</v>
      </c>
      <c r="I125" s="32">
        <v>0.45873397435897428</v>
      </c>
      <c r="J125" s="30">
        <v>2355</v>
      </c>
      <c r="K125" s="30">
        <v>2262</v>
      </c>
      <c r="L125" s="31">
        <v>0.96099999999999997</v>
      </c>
      <c r="M125" s="30">
        <v>9496</v>
      </c>
      <c r="N125" s="30">
        <v>9421</v>
      </c>
      <c r="O125" s="30">
        <v>9252</v>
      </c>
      <c r="P125" s="31">
        <v>0.97430497051390064</v>
      </c>
      <c r="Q125" s="30">
        <v>62</v>
      </c>
      <c r="R125" s="30">
        <v>0</v>
      </c>
      <c r="S125" s="30">
        <v>0</v>
      </c>
      <c r="T125" s="31">
        <v>0</v>
      </c>
      <c r="U125" s="30">
        <v>0</v>
      </c>
      <c r="V125" s="31">
        <v>0</v>
      </c>
      <c r="W125" s="30">
        <v>5960</v>
      </c>
      <c r="X125" s="31">
        <v>2.3878205128205132</v>
      </c>
      <c r="Y125" s="30">
        <v>534</v>
      </c>
      <c r="Z125" s="33">
        <v>0.21394230769230771</v>
      </c>
      <c r="AA125" s="30">
        <v>22</v>
      </c>
      <c r="AB125" s="31">
        <v>8.814102564102564E-3</v>
      </c>
      <c r="AC125" s="30">
        <v>314</v>
      </c>
      <c r="AD125" s="31">
        <v>0.12580128205128199</v>
      </c>
      <c r="AE125" s="30">
        <v>41</v>
      </c>
      <c r="AF125" s="31">
        <v>0.13057324840764331</v>
      </c>
      <c r="AG125" s="30">
        <v>264</v>
      </c>
      <c r="AH125" s="31">
        <v>0.84076433121019112</v>
      </c>
      <c r="AI125" s="34">
        <v>300</v>
      </c>
      <c r="AJ125" s="31">
        <v>0.1201923076923077</v>
      </c>
      <c r="AK125" s="34">
        <v>1</v>
      </c>
      <c r="AL125" s="31">
        <v>0.83666666666666667</v>
      </c>
      <c r="AM125" s="34">
        <v>298</v>
      </c>
      <c r="AN125" s="34">
        <v>251</v>
      </c>
      <c r="AO125" s="31">
        <v>0.1005608974358974</v>
      </c>
      <c r="AP125" s="31">
        <v>0.79936305732484081</v>
      </c>
      <c r="AQ125" s="32">
        <v>0.96842105263157896</v>
      </c>
      <c r="AR125" s="34">
        <v>0</v>
      </c>
      <c r="AS125" s="34">
        <v>0</v>
      </c>
      <c r="AT125" s="34">
        <v>59</v>
      </c>
      <c r="AU125" s="34">
        <v>51</v>
      </c>
      <c r="AV125" s="34">
        <v>53</v>
      </c>
      <c r="AW125" s="34">
        <v>105</v>
      </c>
      <c r="AX125" s="31">
        <v>2.0432692307692311E-2</v>
      </c>
      <c r="AY125" s="31">
        <v>2.123397435897436E-2</v>
      </c>
      <c r="AZ125" s="31">
        <v>4.2067307692307702E-2</v>
      </c>
      <c r="BA125" s="31">
        <v>0.21115537848605581</v>
      </c>
      <c r="BB125" s="34">
        <v>0</v>
      </c>
      <c r="BC125" s="34">
        <v>0</v>
      </c>
      <c r="BD125" s="32">
        <v>0.95652173913043481</v>
      </c>
      <c r="BE125" s="32">
        <v>1</v>
      </c>
      <c r="BF125" s="32" t="s">
        <v>335</v>
      </c>
    </row>
    <row r="126" spans="1:58" ht="19.5" customHeight="1">
      <c r="A126" s="35">
        <v>123</v>
      </c>
      <c r="B126" s="30" t="s">
        <v>5</v>
      </c>
      <c r="C126" s="36">
        <v>46112</v>
      </c>
      <c r="D126" s="30" t="s">
        <v>25</v>
      </c>
      <c r="E126" s="30">
        <v>1940</v>
      </c>
      <c r="F126" s="30">
        <v>1774</v>
      </c>
      <c r="G126" s="31">
        <v>0.91443298969072162</v>
      </c>
      <c r="H126" s="30">
        <v>403</v>
      </c>
      <c r="I126" s="32">
        <v>0.20773195876288661</v>
      </c>
      <c r="J126" s="30">
        <v>1051</v>
      </c>
      <c r="K126" s="30">
        <v>1007</v>
      </c>
      <c r="L126" s="31">
        <v>0.95799999999999996</v>
      </c>
      <c r="M126" s="30">
        <v>4707</v>
      </c>
      <c r="N126" s="30">
        <v>4546</v>
      </c>
      <c r="O126" s="30">
        <v>4565</v>
      </c>
      <c r="P126" s="31">
        <v>0.96983216486084556</v>
      </c>
      <c r="Q126" s="30">
        <v>11</v>
      </c>
      <c r="R126" s="30">
        <v>0</v>
      </c>
      <c r="S126" s="30">
        <v>0</v>
      </c>
      <c r="T126" s="31">
        <v>0</v>
      </c>
      <c r="U126" s="30">
        <v>0</v>
      </c>
      <c r="V126" s="31">
        <v>0</v>
      </c>
      <c r="W126" s="30">
        <v>56</v>
      </c>
      <c r="X126" s="31">
        <v>2.88659793814433E-2</v>
      </c>
      <c r="Y126" s="30">
        <v>184</v>
      </c>
      <c r="Z126" s="33">
        <v>9.4845360824742264E-2</v>
      </c>
      <c r="AA126" s="30">
        <v>0</v>
      </c>
      <c r="AB126" s="31">
        <v>0</v>
      </c>
      <c r="AC126" s="30">
        <v>201</v>
      </c>
      <c r="AD126" s="31">
        <v>0.10360824742268041</v>
      </c>
      <c r="AE126" s="30">
        <v>71</v>
      </c>
      <c r="AF126" s="31">
        <v>0.35323383084577109</v>
      </c>
      <c r="AG126" s="30">
        <v>171</v>
      </c>
      <c r="AH126" s="31">
        <v>0.85074626865671643</v>
      </c>
      <c r="AI126" s="34">
        <v>160</v>
      </c>
      <c r="AJ126" s="31">
        <v>8.247422680412371E-2</v>
      </c>
      <c r="AK126" s="34">
        <v>4</v>
      </c>
      <c r="AL126" s="31">
        <v>0.63749999999999996</v>
      </c>
      <c r="AM126" s="34">
        <v>158</v>
      </c>
      <c r="AN126" s="34">
        <v>102</v>
      </c>
      <c r="AO126" s="31">
        <v>5.2577319587628867E-2</v>
      </c>
      <c r="AP126" s="31">
        <v>0.5074626865671642</v>
      </c>
      <c r="AQ126" s="32">
        <v>0.94736842105263153</v>
      </c>
      <c r="AR126" s="34">
        <v>199</v>
      </c>
      <c r="AS126" s="34">
        <v>81</v>
      </c>
      <c r="AT126" s="34">
        <v>0</v>
      </c>
      <c r="AU126" s="34">
        <v>0</v>
      </c>
      <c r="AV126" s="34">
        <v>0</v>
      </c>
      <c r="AW126" s="34">
        <v>0</v>
      </c>
      <c r="AX126" s="31">
        <v>0</v>
      </c>
      <c r="AY126" s="31">
        <v>0</v>
      </c>
      <c r="AZ126" s="31">
        <v>0</v>
      </c>
      <c r="BA126" s="31">
        <v>0</v>
      </c>
      <c r="BB126" s="34">
        <v>0</v>
      </c>
      <c r="BC126" s="34">
        <v>1</v>
      </c>
      <c r="BD126" s="32">
        <v>0.94444444444444442</v>
      </c>
      <c r="BE126" s="32" t="s">
        <v>335</v>
      </c>
      <c r="BF126" s="32" t="s">
        <v>335</v>
      </c>
    </row>
    <row r="127" spans="1:58" ht="19.5" customHeight="1">
      <c r="A127" s="35">
        <v>124</v>
      </c>
      <c r="B127" s="30" t="s">
        <v>5</v>
      </c>
      <c r="C127" s="36">
        <v>46112</v>
      </c>
      <c r="D127" s="30" t="s">
        <v>287</v>
      </c>
      <c r="E127" s="30">
        <v>3578</v>
      </c>
      <c r="F127" s="30">
        <v>3184</v>
      </c>
      <c r="G127" s="31">
        <v>0.88988261598658469</v>
      </c>
      <c r="H127" s="30">
        <v>2321</v>
      </c>
      <c r="I127" s="32">
        <v>0.64868641699273333</v>
      </c>
      <c r="J127" s="30">
        <v>3731</v>
      </c>
      <c r="K127" s="30">
        <v>3620</v>
      </c>
      <c r="L127" s="31">
        <v>0.97</v>
      </c>
      <c r="M127" s="30">
        <v>21396</v>
      </c>
      <c r="N127" s="30">
        <v>20911</v>
      </c>
      <c r="O127" s="30">
        <v>20989</v>
      </c>
      <c r="P127" s="31">
        <v>0.9809777528510002</v>
      </c>
      <c r="Q127" s="30">
        <v>56</v>
      </c>
      <c r="R127" s="30">
        <v>0</v>
      </c>
      <c r="S127" s="30">
        <v>0</v>
      </c>
      <c r="T127" s="31">
        <v>0</v>
      </c>
      <c r="U127" s="30">
        <v>0</v>
      </c>
      <c r="V127" s="31">
        <v>0</v>
      </c>
      <c r="W127" s="30">
        <v>9705</v>
      </c>
      <c r="X127" s="31">
        <v>2.7124091671324759</v>
      </c>
      <c r="Y127" s="30">
        <v>728</v>
      </c>
      <c r="Z127" s="33">
        <v>0.2034656232532141</v>
      </c>
      <c r="AA127" s="30">
        <v>114</v>
      </c>
      <c r="AB127" s="31">
        <v>3.1861375069871439E-2</v>
      </c>
      <c r="AC127" s="30">
        <v>498</v>
      </c>
      <c r="AD127" s="31">
        <v>0.13918390162101729</v>
      </c>
      <c r="AE127" s="30">
        <v>93</v>
      </c>
      <c r="AF127" s="31">
        <v>0.18674698795180719</v>
      </c>
      <c r="AG127" s="30">
        <v>431</v>
      </c>
      <c r="AH127" s="31">
        <v>0.86546184738955823</v>
      </c>
      <c r="AI127" s="34">
        <v>491</v>
      </c>
      <c r="AJ127" s="31">
        <v>0.1372275013974287</v>
      </c>
      <c r="AK127" s="34">
        <v>5</v>
      </c>
      <c r="AL127" s="31">
        <v>0.90020366598778001</v>
      </c>
      <c r="AM127" s="34">
        <v>483</v>
      </c>
      <c r="AN127" s="34">
        <v>442</v>
      </c>
      <c r="AO127" s="31">
        <v>0.12353269983230861</v>
      </c>
      <c r="AP127" s="31">
        <v>0.8875502008032129</v>
      </c>
      <c r="AQ127" s="32">
        <v>0.9719626168224299</v>
      </c>
      <c r="AR127" s="34">
        <v>0</v>
      </c>
      <c r="AS127" s="34">
        <v>0</v>
      </c>
      <c r="AT127" s="34">
        <v>98</v>
      </c>
      <c r="AU127" s="34">
        <v>86</v>
      </c>
      <c r="AV127" s="34">
        <v>89</v>
      </c>
      <c r="AW127" s="34">
        <v>203</v>
      </c>
      <c r="AX127" s="31">
        <v>2.4035774175517052E-2</v>
      </c>
      <c r="AY127" s="31">
        <v>2.4874231414197881E-2</v>
      </c>
      <c r="AZ127" s="31">
        <v>5.6735606484069313E-2</v>
      </c>
      <c r="BA127" s="31">
        <v>0.20135746606334839</v>
      </c>
      <c r="BB127" s="34">
        <v>0</v>
      </c>
      <c r="BC127" s="34">
        <v>0</v>
      </c>
      <c r="BD127" s="32">
        <v>0.98750000000000004</v>
      </c>
      <c r="BE127" s="32">
        <v>1</v>
      </c>
      <c r="BF127" s="32" t="s">
        <v>335</v>
      </c>
    </row>
    <row r="128" spans="1:58" ht="19.5" customHeight="1">
      <c r="A128" s="35">
        <v>125</v>
      </c>
      <c r="B128" s="30" t="s">
        <v>5</v>
      </c>
      <c r="C128" s="36">
        <v>46113</v>
      </c>
      <c r="D128" s="30" t="s">
        <v>2</v>
      </c>
      <c r="E128" s="30">
        <v>2618</v>
      </c>
      <c r="F128" s="30">
        <v>2270</v>
      </c>
      <c r="G128" s="31">
        <v>0.86707410236822002</v>
      </c>
      <c r="H128" s="30">
        <v>1108</v>
      </c>
      <c r="I128" s="32">
        <v>0.42322383498854088</v>
      </c>
      <c r="J128" s="30">
        <v>2265</v>
      </c>
      <c r="K128" s="30">
        <v>2214</v>
      </c>
      <c r="L128" s="31">
        <v>0.97699999999999998</v>
      </c>
      <c r="M128" s="30">
        <v>10501</v>
      </c>
      <c r="N128" s="30">
        <v>10621</v>
      </c>
      <c r="O128" s="30">
        <v>10342</v>
      </c>
      <c r="P128" s="31">
        <v>0.98485858489667655</v>
      </c>
      <c r="Q128" s="30">
        <v>38</v>
      </c>
      <c r="R128" s="30">
        <v>0</v>
      </c>
      <c r="S128" s="30">
        <v>0</v>
      </c>
      <c r="T128" s="31">
        <v>0</v>
      </c>
      <c r="U128" s="30">
        <v>0</v>
      </c>
      <c r="V128" s="31">
        <v>0</v>
      </c>
      <c r="W128" s="30">
        <v>3157</v>
      </c>
      <c r="X128" s="31">
        <v>1.205882352941176</v>
      </c>
      <c r="Y128" s="30">
        <v>307</v>
      </c>
      <c r="Z128" s="33">
        <v>0.11726508785332319</v>
      </c>
      <c r="AA128" s="30">
        <v>43</v>
      </c>
      <c r="AB128" s="31">
        <v>1.6424751718869361E-2</v>
      </c>
      <c r="AC128" s="30">
        <v>249</v>
      </c>
      <c r="AD128" s="31">
        <v>9.5110771581359818E-2</v>
      </c>
      <c r="AE128" s="30">
        <v>43</v>
      </c>
      <c r="AF128" s="31">
        <v>0.17269076305220879</v>
      </c>
      <c r="AG128" s="30">
        <v>236</v>
      </c>
      <c r="AH128" s="31">
        <v>0.94779116465863456</v>
      </c>
      <c r="AI128" s="34">
        <v>255</v>
      </c>
      <c r="AJ128" s="31">
        <v>9.7402597402597407E-2</v>
      </c>
      <c r="AK128" s="34">
        <v>1</v>
      </c>
      <c r="AL128" s="31">
        <v>0.87058823529411766</v>
      </c>
      <c r="AM128" s="34">
        <v>254</v>
      </c>
      <c r="AN128" s="34">
        <v>222</v>
      </c>
      <c r="AO128" s="31">
        <v>8.4797555385790674E-2</v>
      </c>
      <c r="AP128" s="31">
        <v>0.89156626506024095</v>
      </c>
      <c r="AQ128" s="32">
        <v>0.98023715415019763</v>
      </c>
      <c r="AR128" s="34">
        <v>0</v>
      </c>
      <c r="AS128" s="34">
        <v>0</v>
      </c>
      <c r="AT128" s="34">
        <v>57</v>
      </c>
      <c r="AU128" s="34">
        <v>49</v>
      </c>
      <c r="AV128" s="34">
        <v>53</v>
      </c>
      <c r="AW128" s="34">
        <v>74</v>
      </c>
      <c r="AX128" s="31">
        <v>1.871657754010695E-2</v>
      </c>
      <c r="AY128" s="31">
        <v>2.024446142093201E-2</v>
      </c>
      <c r="AZ128" s="31">
        <v>2.8265851795263561E-2</v>
      </c>
      <c r="BA128" s="31">
        <v>0.23873873873873869</v>
      </c>
      <c r="BB128" s="34">
        <v>0</v>
      </c>
      <c r="BC128" s="34">
        <v>0</v>
      </c>
      <c r="BD128" s="32">
        <v>1</v>
      </c>
      <c r="BE128" s="32">
        <v>1</v>
      </c>
      <c r="BF128" s="32" t="s">
        <v>335</v>
      </c>
    </row>
    <row r="129" spans="1:58" ht="19.5" customHeight="1">
      <c r="A129" s="35">
        <v>126</v>
      </c>
      <c r="B129" s="30" t="s">
        <v>5</v>
      </c>
      <c r="C129" s="36">
        <v>46113</v>
      </c>
      <c r="D129" s="30" t="s">
        <v>285</v>
      </c>
      <c r="E129" s="30">
        <v>2256</v>
      </c>
      <c r="F129" s="30">
        <v>2061</v>
      </c>
      <c r="G129" s="31">
        <v>0.91356382978723405</v>
      </c>
      <c r="H129" s="30">
        <v>992</v>
      </c>
      <c r="I129" s="32">
        <v>0.43971631205673761</v>
      </c>
      <c r="J129" s="30">
        <v>1630</v>
      </c>
      <c r="K129" s="30">
        <v>1506</v>
      </c>
      <c r="L129" s="31">
        <v>0.92400000000000004</v>
      </c>
      <c r="M129" s="30">
        <v>8964</v>
      </c>
      <c r="N129" s="30">
        <v>8890</v>
      </c>
      <c r="O129" s="30">
        <v>8764</v>
      </c>
      <c r="P129" s="31">
        <v>0.97768853190539939</v>
      </c>
      <c r="Q129" s="30">
        <v>64</v>
      </c>
      <c r="R129" s="30">
        <v>0</v>
      </c>
      <c r="S129" s="30">
        <v>0</v>
      </c>
      <c r="T129" s="31">
        <v>0</v>
      </c>
      <c r="U129" s="30">
        <v>0</v>
      </c>
      <c r="V129" s="31">
        <v>0</v>
      </c>
      <c r="W129" s="30">
        <v>2933</v>
      </c>
      <c r="X129" s="31">
        <v>1.300088652482269</v>
      </c>
      <c r="Y129" s="30">
        <v>562</v>
      </c>
      <c r="Z129" s="33">
        <v>0.249113475177305</v>
      </c>
      <c r="AA129" s="30">
        <v>33</v>
      </c>
      <c r="AB129" s="31">
        <v>1.4627659574468091E-2</v>
      </c>
      <c r="AC129" s="30">
        <v>273</v>
      </c>
      <c r="AD129" s="31">
        <v>0.1210106382978723</v>
      </c>
      <c r="AE129" s="30">
        <v>31</v>
      </c>
      <c r="AF129" s="31">
        <v>0.11355311355311359</v>
      </c>
      <c r="AG129" s="30">
        <v>248</v>
      </c>
      <c r="AH129" s="31">
        <v>0.90842490842490842</v>
      </c>
      <c r="AI129" s="34">
        <v>257</v>
      </c>
      <c r="AJ129" s="31">
        <v>0.1139184397163121</v>
      </c>
      <c r="AK129" s="34">
        <v>1</v>
      </c>
      <c r="AL129" s="31">
        <v>0.88715953307392992</v>
      </c>
      <c r="AM129" s="34">
        <v>256</v>
      </c>
      <c r="AN129" s="34">
        <v>228</v>
      </c>
      <c r="AO129" s="31">
        <v>0.10106382978723399</v>
      </c>
      <c r="AP129" s="31">
        <v>0.8351648351648352</v>
      </c>
      <c r="AQ129" s="32">
        <v>0.97491039426523296</v>
      </c>
      <c r="AR129" s="34">
        <v>0</v>
      </c>
      <c r="AS129" s="34">
        <v>0</v>
      </c>
      <c r="AT129" s="34">
        <v>44</v>
      </c>
      <c r="AU129" s="34">
        <v>34</v>
      </c>
      <c r="AV129" s="34">
        <v>37</v>
      </c>
      <c r="AW129" s="34">
        <v>53</v>
      </c>
      <c r="AX129" s="31">
        <v>1.50709219858156E-2</v>
      </c>
      <c r="AY129" s="31">
        <v>1.6400709219858159E-2</v>
      </c>
      <c r="AZ129" s="31">
        <v>2.3492907801418439E-2</v>
      </c>
      <c r="BA129" s="31">
        <v>0.162280701754386</v>
      </c>
      <c r="BB129" s="34">
        <v>0</v>
      </c>
      <c r="BC129" s="34">
        <v>0</v>
      </c>
      <c r="BD129" s="32">
        <v>1</v>
      </c>
      <c r="BE129" s="32">
        <v>1</v>
      </c>
      <c r="BF129" s="32" t="s">
        <v>335</v>
      </c>
    </row>
    <row r="130" spans="1:58" ht="19.5" customHeight="1">
      <c r="A130" s="35">
        <v>127</v>
      </c>
      <c r="B130" s="30" t="s">
        <v>5</v>
      </c>
      <c r="C130" s="36">
        <v>46113</v>
      </c>
      <c r="D130" s="30" t="s">
        <v>25</v>
      </c>
      <c r="E130" s="30">
        <v>2050</v>
      </c>
      <c r="F130" s="30">
        <v>1908</v>
      </c>
      <c r="G130" s="31">
        <v>0.93073170731707322</v>
      </c>
      <c r="H130" s="30">
        <v>421</v>
      </c>
      <c r="I130" s="32">
        <v>0.2053658536585366</v>
      </c>
      <c r="J130" s="30">
        <v>1183</v>
      </c>
      <c r="K130" s="30">
        <v>1136</v>
      </c>
      <c r="L130" s="31">
        <v>0.96</v>
      </c>
      <c r="M130" s="30">
        <v>4754</v>
      </c>
      <c r="N130" s="30">
        <v>4824</v>
      </c>
      <c r="O130" s="30">
        <v>4635</v>
      </c>
      <c r="P130" s="31">
        <v>0.97496844762305424</v>
      </c>
      <c r="Q130" s="30">
        <v>31</v>
      </c>
      <c r="R130" s="30">
        <v>0</v>
      </c>
      <c r="S130" s="30">
        <v>0</v>
      </c>
      <c r="T130" s="31">
        <v>0</v>
      </c>
      <c r="U130" s="30">
        <v>0</v>
      </c>
      <c r="V130" s="31">
        <v>0</v>
      </c>
      <c r="W130" s="30">
        <v>61</v>
      </c>
      <c r="X130" s="31">
        <v>2.9756097560975608E-2</v>
      </c>
      <c r="Y130" s="30">
        <v>196</v>
      </c>
      <c r="Z130" s="33">
        <v>9.5609756097560977E-2</v>
      </c>
      <c r="AA130" s="30">
        <v>0</v>
      </c>
      <c r="AB130" s="31">
        <v>0</v>
      </c>
      <c r="AC130" s="30">
        <v>312</v>
      </c>
      <c r="AD130" s="31">
        <v>0.15219512195121951</v>
      </c>
      <c r="AE130" s="30">
        <v>170</v>
      </c>
      <c r="AF130" s="31">
        <v>0.54487179487179482</v>
      </c>
      <c r="AG130" s="30">
        <v>294</v>
      </c>
      <c r="AH130" s="31">
        <v>0.94230769230769229</v>
      </c>
      <c r="AI130" s="34">
        <v>332</v>
      </c>
      <c r="AJ130" s="31">
        <v>0.1619512195121951</v>
      </c>
      <c r="AK130" s="34">
        <v>0</v>
      </c>
      <c r="AL130" s="31">
        <v>0.69578313253012047</v>
      </c>
      <c r="AM130" s="34">
        <v>331</v>
      </c>
      <c r="AN130" s="34">
        <v>231</v>
      </c>
      <c r="AO130" s="31">
        <v>0.1126829268292683</v>
      </c>
      <c r="AP130" s="31">
        <v>0.74038461538461542</v>
      </c>
      <c r="AQ130" s="32">
        <v>0.9526627218934911</v>
      </c>
      <c r="AR130" s="34">
        <v>216</v>
      </c>
      <c r="AS130" s="34">
        <v>77</v>
      </c>
      <c r="AT130" s="34">
        <v>0</v>
      </c>
      <c r="AU130" s="34">
        <v>0</v>
      </c>
      <c r="AV130" s="34">
        <v>0</v>
      </c>
      <c r="AW130" s="34">
        <v>0</v>
      </c>
      <c r="AX130" s="31">
        <v>0</v>
      </c>
      <c r="AY130" s="31">
        <v>0</v>
      </c>
      <c r="AZ130" s="31">
        <v>0</v>
      </c>
      <c r="BA130" s="31">
        <v>0</v>
      </c>
      <c r="BB130" s="34">
        <v>0</v>
      </c>
      <c r="BC130" s="34">
        <v>0</v>
      </c>
      <c r="BD130" s="32">
        <v>0.98666666666666669</v>
      </c>
      <c r="BE130" s="32" t="s">
        <v>335</v>
      </c>
      <c r="BF130" s="32" t="s">
        <v>335</v>
      </c>
    </row>
    <row r="131" spans="1:58" ht="19.5" customHeight="1">
      <c r="A131" s="35">
        <v>128</v>
      </c>
      <c r="B131" s="30" t="s">
        <v>5</v>
      </c>
      <c r="C131" s="36">
        <v>46113</v>
      </c>
      <c r="D131" s="30" t="s">
        <v>287</v>
      </c>
      <c r="E131" s="30">
        <v>2808</v>
      </c>
      <c r="F131" s="30">
        <v>2539</v>
      </c>
      <c r="G131" s="31">
        <v>0.90420227920227925</v>
      </c>
      <c r="H131" s="30">
        <v>1765</v>
      </c>
      <c r="I131" s="32">
        <v>0.62856125356125359</v>
      </c>
      <c r="J131" s="30">
        <v>3782</v>
      </c>
      <c r="K131" s="30">
        <v>3717</v>
      </c>
      <c r="L131" s="31">
        <v>0.98299999999999998</v>
      </c>
      <c r="M131" s="30">
        <v>19516</v>
      </c>
      <c r="N131" s="30">
        <v>18983</v>
      </c>
      <c r="O131" s="30">
        <v>19229</v>
      </c>
      <c r="P131" s="31">
        <v>0.98529411764705888</v>
      </c>
      <c r="Q131" s="30">
        <v>45</v>
      </c>
      <c r="R131" s="30">
        <v>0</v>
      </c>
      <c r="S131" s="30">
        <v>0</v>
      </c>
      <c r="T131" s="31">
        <v>0</v>
      </c>
      <c r="U131" s="30">
        <v>0</v>
      </c>
      <c r="V131" s="31">
        <v>0</v>
      </c>
      <c r="W131" s="30">
        <v>4718</v>
      </c>
      <c r="X131" s="31">
        <v>1.6801994301994301</v>
      </c>
      <c r="Y131" s="30">
        <v>511</v>
      </c>
      <c r="Z131" s="33">
        <v>0.18198005698005701</v>
      </c>
      <c r="AA131" s="30">
        <v>116</v>
      </c>
      <c r="AB131" s="31">
        <v>4.1310541310541307E-2</v>
      </c>
      <c r="AC131" s="30">
        <v>408</v>
      </c>
      <c r="AD131" s="31">
        <v>0.14529914529914531</v>
      </c>
      <c r="AE131" s="30">
        <v>47</v>
      </c>
      <c r="AF131" s="31">
        <v>0.1151960784313725</v>
      </c>
      <c r="AG131" s="30">
        <v>387</v>
      </c>
      <c r="AH131" s="31">
        <v>0.94852941176470584</v>
      </c>
      <c r="AI131" s="34">
        <v>404</v>
      </c>
      <c r="AJ131" s="31">
        <v>0.14387464387464391</v>
      </c>
      <c r="AK131" s="34">
        <v>2</v>
      </c>
      <c r="AL131" s="31">
        <v>0.90099009900990101</v>
      </c>
      <c r="AM131" s="34">
        <v>399</v>
      </c>
      <c r="AN131" s="34">
        <v>364</v>
      </c>
      <c r="AO131" s="31">
        <v>0.12962962962962959</v>
      </c>
      <c r="AP131" s="31">
        <v>0.89215686274509809</v>
      </c>
      <c r="AQ131" s="32">
        <v>0.9665178571428571</v>
      </c>
      <c r="AR131" s="34">
        <v>0</v>
      </c>
      <c r="AS131" s="34">
        <v>0</v>
      </c>
      <c r="AT131" s="34">
        <v>49</v>
      </c>
      <c r="AU131" s="34">
        <v>47</v>
      </c>
      <c r="AV131" s="34">
        <v>49</v>
      </c>
      <c r="AW131" s="34">
        <v>82</v>
      </c>
      <c r="AX131" s="31">
        <v>1.6737891737891739E-2</v>
      </c>
      <c r="AY131" s="31">
        <v>1.7450142450142449E-2</v>
      </c>
      <c r="AZ131" s="31">
        <v>2.9202279202279201E-2</v>
      </c>
      <c r="BA131" s="31">
        <v>0.13461538461538461</v>
      </c>
      <c r="BB131" s="34">
        <v>0</v>
      </c>
      <c r="BC131" s="34">
        <v>0</v>
      </c>
      <c r="BD131" s="32">
        <v>0.98333333333333328</v>
      </c>
      <c r="BE131" s="32">
        <v>1</v>
      </c>
      <c r="BF131" s="32" t="s">
        <v>335</v>
      </c>
    </row>
    <row r="132" spans="1:58" ht="19.5" customHeight="1">
      <c r="A132" s="35">
        <v>129</v>
      </c>
      <c r="B132" s="30" t="s">
        <v>5</v>
      </c>
      <c r="C132" s="36">
        <v>46114</v>
      </c>
      <c r="D132" s="30" t="s">
        <v>2</v>
      </c>
      <c r="E132" s="30">
        <v>2403</v>
      </c>
      <c r="F132" s="30">
        <v>2003</v>
      </c>
      <c r="G132" s="31">
        <v>0.83354140657511444</v>
      </c>
      <c r="H132" s="30">
        <v>961</v>
      </c>
      <c r="I132" s="32">
        <v>0.39991677070328763</v>
      </c>
      <c r="J132" s="30">
        <v>2011</v>
      </c>
      <c r="K132" s="30">
        <v>1955</v>
      </c>
      <c r="L132" s="31">
        <v>0.97199999999999998</v>
      </c>
      <c r="M132" s="30">
        <v>10947</v>
      </c>
      <c r="N132" s="30">
        <v>10967</v>
      </c>
      <c r="O132" s="30">
        <v>10773</v>
      </c>
      <c r="P132" s="31">
        <v>0.98410523431077013</v>
      </c>
      <c r="Q132" s="30">
        <v>19</v>
      </c>
      <c r="R132" s="30">
        <v>0</v>
      </c>
      <c r="S132" s="30">
        <v>0</v>
      </c>
      <c r="T132" s="31">
        <v>0</v>
      </c>
      <c r="U132" s="30">
        <v>0</v>
      </c>
      <c r="V132" s="31">
        <v>0</v>
      </c>
      <c r="W132" s="30">
        <v>2050</v>
      </c>
      <c r="X132" s="31">
        <v>0.8531002913025385</v>
      </c>
      <c r="Y132" s="30">
        <v>684</v>
      </c>
      <c r="Z132" s="33">
        <v>0.28464419475655428</v>
      </c>
      <c r="AA132" s="30">
        <v>35</v>
      </c>
      <c r="AB132" s="31">
        <v>1.456512692467749E-2</v>
      </c>
      <c r="AC132" s="30">
        <v>235</v>
      </c>
      <c r="AD132" s="31">
        <v>9.7794423637120265E-2</v>
      </c>
      <c r="AE132" s="30">
        <v>56</v>
      </c>
      <c r="AF132" s="31">
        <v>0.23829787234042549</v>
      </c>
      <c r="AG132" s="30">
        <v>215</v>
      </c>
      <c r="AH132" s="31">
        <v>0.91489361702127658</v>
      </c>
      <c r="AI132" s="34">
        <v>229</v>
      </c>
      <c r="AJ132" s="31">
        <v>9.5297544735746989E-2</v>
      </c>
      <c r="AK132" s="34">
        <v>0</v>
      </c>
      <c r="AL132" s="31">
        <v>0.82969432314410485</v>
      </c>
      <c r="AM132" s="34">
        <v>228</v>
      </c>
      <c r="AN132" s="34">
        <v>190</v>
      </c>
      <c r="AO132" s="31">
        <v>7.9067831876820635E-2</v>
      </c>
      <c r="AP132" s="31">
        <v>0.80851063829787229</v>
      </c>
      <c r="AQ132" s="32">
        <v>0.9695652173913043</v>
      </c>
      <c r="AR132" s="34">
        <v>0</v>
      </c>
      <c r="AS132" s="34">
        <v>0</v>
      </c>
      <c r="AT132" s="34">
        <v>53</v>
      </c>
      <c r="AU132" s="34">
        <v>47</v>
      </c>
      <c r="AV132" s="34">
        <v>45</v>
      </c>
      <c r="AW132" s="34">
        <v>60</v>
      </c>
      <c r="AX132" s="31">
        <v>1.955888472742405E-2</v>
      </c>
      <c r="AY132" s="31">
        <v>1.872659176029963E-2</v>
      </c>
      <c r="AZ132" s="31">
        <v>2.4968789013732829E-2</v>
      </c>
      <c r="BA132" s="31">
        <v>0.23684210526315791</v>
      </c>
      <c r="BB132" s="34">
        <v>0</v>
      </c>
      <c r="BC132" s="34">
        <v>0</v>
      </c>
      <c r="BD132" s="32">
        <v>1</v>
      </c>
      <c r="BE132" s="32">
        <v>1</v>
      </c>
      <c r="BF132" s="32" t="s">
        <v>335</v>
      </c>
    </row>
    <row r="133" spans="1:58" ht="19.5" customHeight="1">
      <c r="A133" s="35">
        <v>130</v>
      </c>
      <c r="B133" s="30" t="s">
        <v>5</v>
      </c>
      <c r="C133" s="36">
        <v>46114</v>
      </c>
      <c r="D133" s="30" t="s">
        <v>285</v>
      </c>
      <c r="E133" s="30">
        <v>2328</v>
      </c>
      <c r="F133" s="30">
        <v>2064</v>
      </c>
      <c r="G133" s="31">
        <v>0.88659793814432986</v>
      </c>
      <c r="H133" s="30">
        <v>1341</v>
      </c>
      <c r="I133" s="32">
        <v>0.5760309278350515</v>
      </c>
      <c r="J133" s="30">
        <v>2279</v>
      </c>
      <c r="K133" s="30">
        <v>2189</v>
      </c>
      <c r="L133" s="31">
        <v>0.96099999999999997</v>
      </c>
      <c r="M133" s="30">
        <v>9815</v>
      </c>
      <c r="N133" s="30">
        <v>9818</v>
      </c>
      <c r="O133" s="30">
        <v>9620</v>
      </c>
      <c r="P133" s="31">
        <v>0.98013245033112584</v>
      </c>
      <c r="Q133" s="30">
        <v>56</v>
      </c>
      <c r="R133" s="30">
        <v>0</v>
      </c>
      <c r="S133" s="30">
        <v>0</v>
      </c>
      <c r="T133" s="31">
        <v>0</v>
      </c>
      <c r="U133" s="30">
        <v>0</v>
      </c>
      <c r="V133" s="31">
        <v>0</v>
      </c>
      <c r="W133" s="30">
        <v>2018</v>
      </c>
      <c r="X133" s="31">
        <v>0.86683848797250862</v>
      </c>
      <c r="Y133" s="30">
        <v>941</v>
      </c>
      <c r="Z133" s="33">
        <v>0.40420962199312721</v>
      </c>
      <c r="AA133" s="30">
        <v>27</v>
      </c>
      <c r="AB133" s="31">
        <v>1.1597938144329901E-2</v>
      </c>
      <c r="AC133" s="30">
        <v>251</v>
      </c>
      <c r="AD133" s="31">
        <v>0.10781786941580759</v>
      </c>
      <c r="AE133" s="30">
        <v>54</v>
      </c>
      <c r="AF133" s="31">
        <v>0.2151394422310757</v>
      </c>
      <c r="AG133" s="30">
        <v>233</v>
      </c>
      <c r="AH133" s="31">
        <v>0.92828685258964139</v>
      </c>
      <c r="AI133" s="34">
        <v>235</v>
      </c>
      <c r="AJ133" s="31">
        <v>0.1009450171821306</v>
      </c>
      <c r="AK133" s="34">
        <v>1</v>
      </c>
      <c r="AL133" s="31">
        <v>0.85531914893617023</v>
      </c>
      <c r="AM133" s="34">
        <v>236</v>
      </c>
      <c r="AN133" s="34">
        <v>201</v>
      </c>
      <c r="AO133" s="31">
        <v>8.6340206185567009E-2</v>
      </c>
      <c r="AP133" s="31">
        <v>0.80079681274900394</v>
      </c>
      <c r="AQ133" s="32">
        <v>0.95397489539748959</v>
      </c>
      <c r="AR133" s="34">
        <v>0</v>
      </c>
      <c r="AS133" s="34">
        <v>0</v>
      </c>
      <c r="AT133" s="34">
        <v>48</v>
      </c>
      <c r="AU133" s="34">
        <v>41</v>
      </c>
      <c r="AV133" s="34">
        <v>42</v>
      </c>
      <c r="AW133" s="34">
        <v>36</v>
      </c>
      <c r="AX133" s="31">
        <v>1.7611683848797251E-2</v>
      </c>
      <c r="AY133" s="31">
        <v>1.804123711340206E-2</v>
      </c>
      <c r="AZ133" s="31">
        <v>1.54639175257732E-2</v>
      </c>
      <c r="BA133" s="31">
        <v>0.20895522388059701</v>
      </c>
      <c r="BB133" s="34">
        <v>0</v>
      </c>
      <c r="BC133" s="34">
        <v>0</v>
      </c>
      <c r="BD133" s="32">
        <v>0.9642857142857143</v>
      </c>
      <c r="BE133" s="32">
        <v>1</v>
      </c>
      <c r="BF133" s="32" t="s">
        <v>335</v>
      </c>
    </row>
    <row r="134" spans="1:58" ht="19.5" customHeight="1">
      <c r="A134" s="35">
        <v>131</v>
      </c>
      <c r="B134" s="30" t="s">
        <v>5</v>
      </c>
      <c r="C134" s="36">
        <v>46114</v>
      </c>
      <c r="D134" s="30" t="s">
        <v>25</v>
      </c>
      <c r="E134" s="30">
        <v>3301</v>
      </c>
      <c r="F134" s="30">
        <v>2906</v>
      </c>
      <c r="G134" s="31">
        <v>0.88033929112390186</v>
      </c>
      <c r="H134" s="30">
        <v>1397</v>
      </c>
      <c r="I134" s="32">
        <v>0.42320508936685852</v>
      </c>
      <c r="J134" s="30">
        <v>1067</v>
      </c>
      <c r="K134" s="30">
        <v>1034</v>
      </c>
      <c r="L134" s="31">
        <v>0.96899999999999997</v>
      </c>
      <c r="M134" s="30">
        <v>5093</v>
      </c>
      <c r="N134" s="30">
        <v>5712</v>
      </c>
      <c r="O134" s="30">
        <v>4981</v>
      </c>
      <c r="P134" s="31">
        <v>0.97800903200471234</v>
      </c>
      <c r="Q134" s="30">
        <v>9</v>
      </c>
      <c r="R134" s="30">
        <v>0</v>
      </c>
      <c r="S134" s="30">
        <v>0</v>
      </c>
      <c r="T134" s="31">
        <v>0</v>
      </c>
      <c r="U134" s="30">
        <v>0</v>
      </c>
      <c r="V134" s="31">
        <v>0</v>
      </c>
      <c r="W134" s="30">
        <v>78</v>
      </c>
      <c r="X134" s="31">
        <v>2.362920327173584E-2</v>
      </c>
      <c r="Y134" s="30">
        <v>196</v>
      </c>
      <c r="Z134" s="33">
        <v>5.9375946682823387E-2</v>
      </c>
      <c r="AA134" s="30">
        <v>0</v>
      </c>
      <c r="AB134" s="31">
        <v>0</v>
      </c>
      <c r="AC134" s="30">
        <v>560</v>
      </c>
      <c r="AD134" s="31">
        <v>0.16964556195092401</v>
      </c>
      <c r="AE134" s="30">
        <v>285</v>
      </c>
      <c r="AF134" s="31">
        <v>0.5089285714285714</v>
      </c>
      <c r="AG134" s="30">
        <v>506</v>
      </c>
      <c r="AH134" s="31">
        <v>0.90357142857142858</v>
      </c>
      <c r="AI134" s="34">
        <v>656</v>
      </c>
      <c r="AJ134" s="31">
        <v>0.19872765828536809</v>
      </c>
      <c r="AK134" s="34">
        <v>6</v>
      </c>
      <c r="AL134" s="31">
        <v>0.76981707317073167</v>
      </c>
      <c r="AM134" s="34">
        <v>653</v>
      </c>
      <c r="AN134" s="34">
        <v>505</v>
      </c>
      <c r="AO134" s="31">
        <v>0.15298394425931541</v>
      </c>
      <c r="AP134" s="31">
        <v>0.9017857142857143</v>
      </c>
      <c r="AQ134" s="32">
        <v>0.9634831460674157</v>
      </c>
      <c r="AR134" s="34">
        <v>223</v>
      </c>
      <c r="AS134" s="34">
        <v>93</v>
      </c>
      <c r="AT134" s="34">
        <v>0</v>
      </c>
      <c r="AU134" s="34">
        <v>0</v>
      </c>
      <c r="AV134" s="34">
        <v>0</v>
      </c>
      <c r="AW134" s="34">
        <v>0</v>
      </c>
      <c r="AX134" s="31">
        <v>0</v>
      </c>
      <c r="AY134" s="31">
        <v>0</v>
      </c>
      <c r="AZ134" s="31">
        <v>0</v>
      </c>
      <c r="BA134" s="31">
        <v>0</v>
      </c>
      <c r="BB134" s="34">
        <v>0</v>
      </c>
      <c r="BC134" s="34">
        <v>0</v>
      </c>
      <c r="BD134" s="32">
        <v>0.99152542372881358</v>
      </c>
      <c r="BE134" s="32" t="s">
        <v>335</v>
      </c>
      <c r="BF134" s="32" t="s">
        <v>335</v>
      </c>
    </row>
    <row r="135" spans="1:58" ht="19.5" customHeight="1">
      <c r="A135" s="35">
        <v>132</v>
      </c>
      <c r="B135" s="30" t="s">
        <v>5</v>
      </c>
      <c r="C135" s="36">
        <v>46114</v>
      </c>
      <c r="D135" s="30" t="s">
        <v>287</v>
      </c>
      <c r="E135" s="30">
        <v>2546</v>
      </c>
      <c r="F135" s="30">
        <v>2309</v>
      </c>
      <c r="G135" s="31">
        <v>0.9069128043990573</v>
      </c>
      <c r="H135" s="30">
        <v>1705</v>
      </c>
      <c r="I135" s="32">
        <v>0.66967792615868027</v>
      </c>
      <c r="J135" s="30">
        <v>2885</v>
      </c>
      <c r="K135" s="30">
        <v>2845</v>
      </c>
      <c r="L135" s="31">
        <v>0.98599999999999999</v>
      </c>
      <c r="M135" s="30">
        <v>18258</v>
      </c>
      <c r="N135" s="30">
        <v>18021</v>
      </c>
      <c r="O135" s="30">
        <v>18016</v>
      </c>
      <c r="P135" s="31">
        <v>0.98674553620330818</v>
      </c>
      <c r="Q135" s="30">
        <v>36</v>
      </c>
      <c r="R135" s="30">
        <v>0</v>
      </c>
      <c r="S135" s="30">
        <v>0</v>
      </c>
      <c r="T135" s="31">
        <v>0</v>
      </c>
      <c r="U135" s="30">
        <v>0</v>
      </c>
      <c r="V135" s="31">
        <v>0</v>
      </c>
      <c r="W135" s="30">
        <v>3005</v>
      </c>
      <c r="X135" s="31">
        <v>1.180282796543598</v>
      </c>
      <c r="Y135" s="30">
        <v>910</v>
      </c>
      <c r="Z135" s="33">
        <v>0.35742340926944233</v>
      </c>
      <c r="AA135" s="30">
        <v>102</v>
      </c>
      <c r="AB135" s="31">
        <v>4.006284367635507E-2</v>
      </c>
      <c r="AC135" s="30">
        <v>397</v>
      </c>
      <c r="AD135" s="31">
        <v>0.15593087195600941</v>
      </c>
      <c r="AE135" s="30">
        <v>88</v>
      </c>
      <c r="AF135" s="31">
        <v>0.22166246851385391</v>
      </c>
      <c r="AG135" s="30">
        <v>365</v>
      </c>
      <c r="AH135" s="31">
        <v>0.91939546599496225</v>
      </c>
      <c r="AI135" s="34">
        <v>387</v>
      </c>
      <c r="AJ135" s="31">
        <v>0.15200314218381769</v>
      </c>
      <c r="AK135" s="34">
        <v>1</v>
      </c>
      <c r="AL135" s="31">
        <v>0.94056847545219635</v>
      </c>
      <c r="AM135" s="34">
        <v>385</v>
      </c>
      <c r="AN135" s="34">
        <v>364</v>
      </c>
      <c r="AO135" s="31">
        <v>0.14296936370777691</v>
      </c>
      <c r="AP135" s="31">
        <v>0.91687657430730474</v>
      </c>
      <c r="AQ135" s="32">
        <v>0.98172323759791125</v>
      </c>
      <c r="AR135" s="34">
        <v>0</v>
      </c>
      <c r="AS135" s="34">
        <v>0</v>
      </c>
      <c r="AT135" s="34">
        <v>46</v>
      </c>
      <c r="AU135" s="34">
        <v>42</v>
      </c>
      <c r="AV135" s="34">
        <v>43</v>
      </c>
      <c r="AW135" s="34">
        <v>78</v>
      </c>
      <c r="AX135" s="31">
        <v>1.6496465043205032E-2</v>
      </c>
      <c r="AY135" s="31">
        <v>1.6889238020424191E-2</v>
      </c>
      <c r="AZ135" s="31">
        <v>3.0636292223095048E-2</v>
      </c>
      <c r="BA135" s="31">
        <v>0.1181318681318681</v>
      </c>
      <c r="BB135" s="34">
        <v>0</v>
      </c>
      <c r="BC135" s="34">
        <v>0</v>
      </c>
      <c r="BD135" s="32">
        <v>0.97727272727272729</v>
      </c>
      <c r="BE135" s="32">
        <v>1</v>
      </c>
      <c r="BF135" s="32" t="s">
        <v>335</v>
      </c>
    </row>
    <row r="136" spans="1:58" ht="19.5" customHeight="1">
      <c r="A136" s="35">
        <v>133</v>
      </c>
      <c r="B136" s="30" t="s">
        <v>5</v>
      </c>
      <c r="C136" s="36">
        <v>46115</v>
      </c>
      <c r="D136" s="30" t="s">
        <v>2</v>
      </c>
      <c r="E136" s="30">
        <v>2341</v>
      </c>
      <c r="F136" s="30">
        <v>2082</v>
      </c>
      <c r="G136" s="31">
        <v>0.88936351986330631</v>
      </c>
      <c r="H136" s="30">
        <v>1122</v>
      </c>
      <c r="I136" s="32">
        <v>0.47928235796668089</v>
      </c>
      <c r="J136" s="30">
        <v>1927</v>
      </c>
      <c r="K136" s="30">
        <v>1876</v>
      </c>
      <c r="L136" s="31">
        <v>0.97399999999999998</v>
      </c>
      <c r="M136" s="30">
        <v>11038</v>
      </c>
      <c r="N136" s="30">
        <v>10921</v>
      </c>
      <c r="O136" s="30">
        <v>10860</v>
      </c>
      <c r="P136" s="31">
        <v>0.9838738901974996</v>
      </c>
      <c r="Q136" s="30">
        <v>26</v>
      </c>
      <c r="R136" s="30">
        <v>0</v>
      </c>
      <c r="S136" s="30">
        <v>0</v>
      </c>
      <c r="T136" s="31">
        <v>0</v>
      </c>
      <c r="U136" s="30">
        <v>0</v>
      </c>
      <c r="V136" s="31">
        <v>0</v>
      </c>
      <c r="W136" s="30">
        <v>1759</v>
      </c>
      <c r="X136" s="31">
        <v>0.75138829560017084</v>
      </c>
      <c r="Y136" s="30">
        <v>328</v>
      </c>
      <c r="Z136" s="33">
        <v>0.14011106364801371</v>
      </c>
      <c r="AA136" s="30">
        <v>27</v>
      </c>
      <c r="AB136" s="31">
        <v>1.153353267834259E-2</v>
      </c>
      <c r="AC136" s="30">
        <v>182</v>
      </c>
      <c r="AD136" s="31">
        <v>7.7744553609568556E-2</v>
      </c>
      <c r="AE136" s="30">
        <v>31</v>
      </c>
      <c r="AF136" s="31">
        <v>0.17032967032967031</v>
      </c>
      <c r="AG136" s="30">
        <v>169</v>
      </c>
      <c r="AH136" s="31">
        <v>0.9285714285714286</v>
      </c>
      <c r="AI136" s="34">
        <v>187</v>
      </c>
      <c r="AJ136" s="31">
        <v>7.9880392994446811E-2</v>
      </c>
      <c r="AK136" s="34">
        <v>1</v>
      </c>
      <c r="AL136" s="31">
        <v>0.87700534759358284</v>
      </c>
      <c r="AM136" s="34">
        <v>186</v>
      </c>
      <c r="AN136" s="34">
        <v>164</v>
      </c>
      <c r="AO136" s="31">
        <v>7.0055531824006839E-2</v>
      </c>
      <c r="AP136" s="31">
        <v>0.90109890109890112</v>
      </c>
      <c r="AQ136" s="32">
        <v>0.96682464454976302</v>
      </c>
      <c r="AR136" s="34">
        <v>0</v>
      </c>
      <c r="AS136" s="34">
        <v>0</v>
      </c>
      <c r="AT136" s="34">
        <v>48</v>
      </c>
      <c r="AU136" s="34">
        <v>42</v>
      </c>
      <c r="AV136" s="34">
        <v>38</v>
      </c>
      <c r="AW136" s="34">
        <v>70</v>
      </c>
      <c r="AX136" s="31">
        <v>1.7941050832977361E-2</v>
      </c>
      <c r="AY136" s="31">
        <v>1.623237932507475E-2</v>
      </c>
      <c r="AZ136" s="31">
        <v>2.9901751388295601E-2</v>
      </c>
      <c r="BA136" s="31">
        <v>0.23170731707317069</v>
      </c>
      <c r="BB136" s="34">
        <v>0</v>
      </c>
      <c r="BC136" s="34">
        <v>0</v>
      </c>
      <c r="BD136" s="32">
        <v>0.967741935483871</v>
      </c>
      <c r="BE136" s="32">
        <v>1</v>
      </c>
      <c r="BF136" s="32" t="s">
        <v>335</v>
      </c>
    </row>
    <row r="137" spans="1:58" ht="19.5" customHeight="1">
      <c r="A137" s="35">
        <v>134</v>
      </c>
      <c r="B137" s="30" t="s">
        <v>5</v>
      </c>
      <c r="C137" s="36">
        <v>46115</v>
      </c>
      <c r="D137" s="30" t="s">
        <v>285</v>
      </c>
      <c r="E137" s="30">
        <v>2132</v>
      </c>
      <c r="F137" s="30">
        <v>1952</v>
      </c>
      <c r="G137" s="31">
        <v>0.91557223264540333</v>
      </c>
      <c r="H137" s="30">
        <v>1148</v>
      </c>
      <c r="I137" s="32">
        <v>0.53846153846153844</v>
      </c>
      <c r="J137" s="30">
        <v>1921</v>
      </c>
      <c r="K137" s="30">
        <v>1839</v>
      </c>
      <c r="L137" s="31">
        <v>0.95699999999999996</v>
      </c>
      <c r="M137" s="30">
        <v>9611</v>
      </c>
      <c r="N137" s="30">
        <v>9635</v>
      </c>
      <c r="O137" s="30">
        <v>9428</v>
      </c>
      <c r="P137" s="31">
        <v>0.98095931744875664</v>
      </c>
      <c r="Q137" s="30">
        <v>43</v>
      </c>
      <c r="R137" s="30">
        <v>0</v>
      </c>
      <c r="S137" s="30">
        <v>0</v>
      </c>
      <c r="T137" s="31">
        <v>0</v>
      </c>
      <c r="U137" s="30">
        <v>0</v>
      </c>
      <c r="V137" s="31">
        <v>0</v>
      </c>
      <c r="W137" s="30">
        <v>1699</v>
      </c>
      <c r="X137" s="31">
        <v>0.79690431519699811</v>
      </c>
      <c r="Y137" s="30">
        <v>508</v>
      </c>
      <c r="Z137" s="33">
        <v>0.2382739212007505</v>
      </c>
      <c r="AA137" s="30">
        <v>23</v>
      </c>
      <c r="AB137" s="31">
        <v>1.0787992495309571E-2</v>
      </c>
      <c r="AC137" s="30">
        <v>249</v>
      </c>
      <c r="AD137" s="31">
        <v>0.11679174484052531</v>
      </c>
      <c r="AE137" s="30">
        <v>31</v>
      </c>
      <c r="AF137" s="31">
        <v>0.12449799196787149</v>
      </c>
      <c r="AG137" s="30">
        <v>230</v>
      </c>
      <c r="AH137" s="31">
        <v>0.92369477911646591</v>
      </c>
      <c r="AI137" s="34">
        <v>241</v>
      </c>
      <c r="AJ137" s="31">
        <v>0.1130393996247655</v>
      </c>
      <c r="AK137" s="34">
        <v>1</v>
      </c>
      <c r="AL137" s="31">
        <v>0.89211618257261416</v>
      </c>
      <c r="AM137" s="34">
        <v>239</v>
      </c>
      <c r="AN137" s="34">
        <v>215</v>
      </c>
      <c r="AO137" s="31">
        <v>0.10084427767354601</v>
      </c>
      <c r="AP137" s="31">
        <v>0.86345381526104414</v>
      </c>
      <c r="AQ137" s="32">
        <v>0.96943231441048039</v>
      </c>
      <c r="AR137" s="34">
        <v>0</v>
      </c>
      <c r="AS137" s="34">
        <v>0</v>
      </c>
      <c r="AT137" s="34">
        <v>38</v>
      </c>
      <c r="AU137" s="34">
        <v>33</v>
      </c>
      <c r="AV137" s="34">
        <v>37</v>
      </c>
      <c r="AW137" s="34">
        <v>59</v>
      </c>
      <c r="AX137" s="31">
        <v>1.547842401500938E-2</v>
      </c>
      <c r="AY137" s="31">
        <v>1.7354596622889309E-2</v>
      </c>
      <c r="AZ137" s="31">
        <v>2.7673545966228889E-2</v>
      </c>
      <c r="BA137" s="31">
        <v>0.17209302325581399</v>
      </c>
      <c r="BB137" s="34">
        <v>0</v>
      </c>
      <c r="BC137" s="34">
        <v>0</v>
      </c>
      <c r="BD137" s="32">
        <v>1</v>
      </c>
      <c r="BE137" s="32">
        <v>1</v>
      </c>
      <c r="BF137" s="32" t="s">
        <v>335</v>
      </c>
    </row>
    <row r="138" spans="1:58" ht="19.5" customHeight="1">
      <c r="A138" s="35">
        <v>135</v>
      </c>
      <c r="B138" s="30" t="s">
        <v>5</v>
      </c>
      <c r="C138" s="36">
        <v>46115</v>
      </c>
      <c r="D138" s="30" t="s">
        <v>25</v>
      </c>
      <c r="E138" s="30">
        <v>2584</v>
      </c>
      <c r="F138" s="30">
        <v>2436</v>
      </c>
      <c r="G138" s="31">
        <v>0.94272445820433437</v>
      </c>
      <c r="H138" s="30">
        <v>756</v>
      </c>
      <c r="I138" s="32">
        <v>0.29256965944272451</v>
      </c>
      <c r="J138" s="30">
        <v>2020</v>
      </c>
      <c r="K138" s="30">
        <v>1965</v>
      </c>
      <c r="L138" s="31">
        <v>0.97299999999999998</v>
      </c>
      <c r="M138" s="30">
        <v>6848</v>
      </c>
      <c r="N138" s="30">
        <v>7022</v>
      </c>
      <c r="O138" s="30">
        <v>6699</v>
      </c>
      <c r="P138" s="31">
        <v>0.97824182242990654</v>
      </c>
      <c r="Q138" s="30">
        <v>24</v>
      </c>
      <c r="R138" s="30">
        <v>0</v>
      </c>
      <c r="S138" s="30">
        <v>0</v>
      </c>
      <c r="T138" s="31">
        <v>0</v>
      </c>
      <c r="U138" s="30">
        <v>0</v>
      </c>
      <c r="V138" s="31">
        <v>0</v>
      </c>
      <c r="W138" s="30">
        <v>80</v>
      </c>
      <c r="X138" s="31">
        <v>3.0959752321981421E-2</v>
      </c>
      <c r="Y138" s="30">
        <v>245</v>
      </c>
      <c r="Z138" s="33">
        <v>9.481424148606811E-2</v>
      </c>
      <c r="AA138" s="30">
        <v>0</v>
      </c>
      <c r="AB138" s="31">
        <v>0</v>
      </c>
      <c r="AC138" s="30">
        <v>724</v>
      </c>
      <c r="AD138" s="31">
        <v>0.2801857585139319</v>
      </c>
      <c r="AE138" s="30">
        <v>340</v>
      </c>
      <c r="AF138" s="31">
        <v>0.46961325966850831</v>
      </c>
      <c r="AG138" s="30">
        <v>653</v>
      </c>
      <c r="AH138" s="31">
        <v>0.90193370165745856</v>
      </c>
      <c r="AI138" s="34">
        <v>865</v>
      </c>
      <c r="AJ138" s="31">
        <v>0.33475232198142407</v>
      </c>
      <c r="AK138" s="34">
        <v>3</v>
      </c>
      <c r="AL138" s="31">
        <v>0.84508670520231211</v>
      </c>
      <c r="AM138" s="34">
        <v>861</v>
      </c>
      <c r="AN138" s="34">
        <v>731</v>
      </c>
      <c r="AO138" s="31">
        <v>0.28289473684210531</v>
      </c>
      <c r="AP138" s="31">
        <v>1.0096685082872929</v>
      </c>
      <c r="AQ138" s="32">
        <v>0.94233687405159328</v>
      </c>
      <c r="AR138" s="34">
        <v>249</v>
      </c>
      <c r="AS138" s="34">
        <v>99</v>
      </c>
      <c r="AT138" s="34">
        <v>0</v>
      </c>
      <c r="AU138" s="34">
        <v>0</v>
      </c>
      <c r="AV138" s="34">
        <v>0</v>
      </c>
      <c r="AW138" s="34">
        <v>0</v>
      </c>
      <c r="AX138" s="31">
        <v>0</v>
      </c>
      <c r="AY138" s="31">
        <v>0</v>
      </c>
      <c r="AZ138" s="31">
        <v>0</v>
      </c>
      <c r="BA138" s="31">
        <v>0</v>
      </c>
      <c r="BB138" s="34">
        <v>0</v>
      </c>
      <c r="BC138" s="34">
        <v>0</v>
      </c>
      <c r="BD138" s="32">
        <v>1</v>
      </c>
      <c r="BE138" s="32" t="s">
        <v>335</v>
      </c>
      <c r="BF138" s="32" t="s">
        <v>335</v>
      </c>
    </row>
    <row r="139" spans="1:58" ht="19.5" customHeight="1">
      <c r="A139" s="35">
        <v>136</v>
      </c>
      <c r="B139" s="30" t="s">
        <v>5</v>
      </c>
      <c r="C139" s="36">
        <v>46115</v>
      </c>
      <c r="D139" s="30" t="s">
        <v>287</v>
      </c>
      <c r="E139" s="30">
        <v>2514</v>
      </c>
      <c r="F139" s="30">
        <v>2276</v>
      </c>
      <c r="G139" s="31">
        <v>0.90533015115354021</v>
      </c>
      <c r="H139" s="30">
        <v>1673</v>
      </c>
      <c r="I139" s="32">
        <v>0.66547334924423229</v>
      </c>
      <c r="J139" s="30">
        <v>3763</v>
      </c>
      <c r="K139" s="30">
        <v>3690</v>
      </c>
      <c r="L139" s="31">
        <v>0.98099999999999998</v>
      </c>
      <c r="M139" s="30">
        <v>19694</v>
      </c>
      <c r="N139" s="30">
        <v>19645</v>
      </c>
      <c r="O139" s="30">
        <v>19236</v>
      </c>
      <c r="P139" s="31">
        <v>0.97674418604651159</v>
      </c>
      <c r="Q139" s="30">
        <v>43</v>
      </c>
      <c r="R139" s="30">
        <v>0</v>
      </c>
      <c r="S139" s="30">
        <v>0</v>
      </c>
      <c r="T139" s="31">
        <v>0</v>
      </c>
      <c r="U139" s="30">
        <v>0</v>
      </c>
      <c r="V139" s="31">
        <v>0</v>
      </c>
      <c r="W139" s="30">
        <v>2560</v>
      </c>
      <c r="X139" s="31">
        <v>1.0182975338106599</v>
      </c>
      <c r="Y139" s="30">
        <v>523</v>
      </c>
      <c r="Z139" s="33">
        <v>0.2080350039777247</v>
      </c>
      <c r="AA139" s="30">
        <v>122</v>
      </c>
      <c r="AB139" s="31">
        <v>4.8528241845664281E-2</v>
      </c>
      <c r="AC139" s="30">
        <v>417</v>
      </c>
      <c r="AD139" s="31">
        <v>0.16587112171837709</v>
      </c>
      <c r="AE139" s="30">
        <v>53</v>
      </c>
      <c r="AF139" s="31">
        <v>0.12709832134292559</v>
      </c>
      <c r="AG139" s="30">
        <v>391</v>
      </c>
      <c r="AH139" s="31">
        <v>0.93764988009592332</v>
      </c>
      <c r="AI139" s="34">
        <v>425</v>
      </c>
      <c r="AJ139" s="31">
        <v>0.16905330151153539</v>
      </c>
      <c r="AK139" s="34">
        <v>1</v>
      </c>
      <c r="AL139" s="31">
        <v>0.92941176470588238</v>
      </c>
      <c r="AM139" s="34">
        <v>422</v>
      </c>
      <c r="AN139" s="34">
        <v>395</v>
      </c>
      <c r="AO139" s="31">
        <v>0.15712012728719171</v>
      </c>
      <c r="AP139" s="31">
        <v>0.94724220623501199</v>
      </c>
      <c r="AQ139" s="32">
        <v>0.98153034300791553</v>
      </c>
      <c r="AR139" s="34">
        <v>0</v>
      </c>
      <c r="AS139" s="34">
        <v>0</v>
      </c>
      <c r="AT139" s="34">
        <v>61</v>
      </c>
      <c r="AU139" s="34">
        <v>53</v>
      </c>
      <c r="AV139" s="34">
        <v>50</v>
      </c>
      <c r="AW139" s="34">
        <v>111</v>
      </c>
      <c r="AX139" s="31">
        <v>2.1081941129673831E-2</v>
      </c>
      <c r="AY139" s="31">
        <v>1.9888623707239459E-2</v>
      </c>
      <c r="AZ139" s="31">
        <v>4.41527446300716E-2</v>
      </c>
      <c r="BA139" s="31">
        <v>0.12658227848101269</v>
      </c>
      <c r="BB139" s="34">
        <v>0</v>
      </c>
      <c r="BC139" s="34">
        <v>0</v>
      </c>
      <c r="BD139" s="32">
        <v>1</v>
      </c>
      <c r="BE139" s="32">
        <v>1</v>
      </c>
      <c r="BF139" s="32" t="s">
        <v>335</v>
      </c>
    </row>
    <row r="140" spans="1:58" ht="19.5" customHeight="1">
      <c r="A140" s="35">
        <v>137</v>
      </c>
      <c r="B140" s="30" t="s">
        <v>5</v>
      </c>
      <c r="C140" s="36">
        <v>46116</v>
      </c>
      <c r="D140" s="30" t="s">
        <v>2</v>
      </c>
      <c r="E140" s="30">
        <v>3078</v>
      </c>
      <c r="F140" s="30">
        <v>2705</v>
      </c>
      <c r="G140" s="31">
        <v>0.87881741390513324</v>
      </c>
      <c r="H140" s="30">
        <v>2173</v>
      </c>
      <c r="I140" s="32">
        <v>0.70597790773229374</v>
      </c>
      <c r="J140" s="30">
        <v>3425</v>
      </c>
      <c r="K140" s="30">
        <v>3346</v>
      </c>
      <c r="L140" s="31">
        <v>0.97699999999999998</v>
      </c>
      <c r="M140" s="30">
        <v>12090</v>
      </c>
      <c r="N140" s="30">
        <v>12784</v>
      </c>
      <c r="O140" s="30">
        <v>11903</v>
      </c>
      <c r="P140" s="31">
        <v>0.9845326716294458</v>
      </c>
      <c r="Q140" s="30">
        <v>36</v>
      </c>
      <c r="R140" s="30">
        <v>0</v>
      </c>
      <c r="S140" s="30">
        <v>0</v>
      </c>
      <c r="T140" s="31">
        <v>0</v>
      </c>
      <c r="U140" s="30">
        <v>0</v>
      </c>
      <c r="V140" s="31">
        <v>0</v>
      </c>
      <c r="W140" s="30">
        <v>1770</v>
      </c>
      <c r="X140" s="31">
        <v>0.57504873294346981</v>
      </c>
      <c r="Y140" s="30">
        <v>969</v>
      </c>
      <c r="Z140" s="33">
        <v>0.31481481481481483</v>
      </c>
      <c r="AA140" s="30">
        <v>41</v>
      </c>
      <c r="AB140" s="31">
        <v>1.332033788174139E-2</v>
      </c>
      <c r="AC140" s="30">
        <v>404</v>
      </c>
      <c r="AD140" s="31">
        <v>0.1312540610786225</v>
      </c>
      <c r="AE140" s="30">
        <v>46</v>
      </c>
      <c r="AF140" s="31">
        <v>0.11386138613861389</v>
      </c>
      <c r="AG140" s="30">
        <v>375</v>
      </c>
      <c r="AH140" s="31">
        <v>0.92821782178217827</v>
      </c>
      <c r="AI140" s="34">
        <v>398</v>
      </c>
      <c r="AJ140" s="31">
        <v>0.12930474333983111</v>
      </c>
      <c r="AK140" s="34">
        <v>1</v>
      </c>
      <c r="AL140" s="31">
        <v>0.84924623115577891</v>
      </c>
      <c r="AM140" s="34">
        <v>398</v>
      </c>
      <c r="AN140" s="34">
        <v>338</v>
      </c>
      <c r="AO140" s="31">
        <v>0.1098115659519168</v>
      </c>
      <c r="AP140" s="31">
        <v>0.8366336633663366</v>
      </c>
      <c r="AQ140" s="32">
        <v>0.95238095238095233</v>
      </c>
      <c r="AR140" s="34">
        <v>0</v>
      </c>
      <c r="AS140" s="34">
        <v>0</v>
      </c>
      <c r="AT140" s="34">
        <v>70</v>
      </c>
      <c r="AU140" s="34">
        <v>65</v>
      </c>
      <c r="AV140" s="34">
        <v>65</v>
      </c>
      <c r="AW140" s="34">
        <v>46</v>
      </c>
      <c r="AX140" s="31">
        <v>2.1117608836907081E-2</v>
      </c>
      <c r="AY140" s="31">
        <v>2.1117608836907081E-2</v>
      </c>
      <c r="AZ140" s="31">
        <v>1.494476933073424E-2</v>
      </c>
      <c r="BA140" s="31">
        <v>0.19230769230769229</v>
      </c>
      <c r="BB140" s="34">
        <v>0</v>
      </c>
      <c r="BC140" s="34">
        <v>1</v>
      </c>
      <c r="BD140" s="32">
        <v>0.93181818181818177</v>
      </c>
      <c r="BE140" s="32">
        <v>0.875</v>
      </c>
      <c r="BF140" s="32" t="s">
        <v>335</v>
      </c>
    </row>
    <row r="141" spans="1:58" ht="25.7" customHeight="1">
      <c r="A141" s="35">
        <v>138</v>
      </c>
      <c r="B141" s="30" t="s">
        <v>5</v>
      </c>
      <c r="C141" s="36">
        <v>46116</v>
      </c>
      <c r="D141" s="30" t="s">
        <v>285</v>
      </c>
      <c r="E141" s="30">
        <v>1805</v>
      </c>
      <c r="F141" s="30">
        <v>1672</v>
      </c>
      <c r="G141" s="31">
        <v>0.9263157894736842</v>
      </c>
      <c r="H141" s="30">
        <v>864</v>
      </c>
      <c r="I141" s="32">
        <v>0.47867036011080327</v>
      </c>
      <c r="J141" s="30">
        <v>1479</v>
      </c>
      <c r="K141" s="30">
        <v>1408</v>
      </c>
      <c r="L141" s="31">
        <v>0.95199999999999996</v>
      </c>
      <c r="M141" s="30">
        <v>8608</v>
      </c>
      <c r="N141" s="30">
        <v>8932</v>
      </c>
      <c r="O141" s="30">
        <v>8458</v>
      </c>
      <c r="P141" s="31">
        <v>0.9825743494423792</v>
      </c>
      <c r="Q141" s="30">
        <v>50</v>
      </c>
      <c r="R141" s="30">
        <v>0</v>
      </c>
      <c r="S141" s="30">
        <v>0</v>
      </c>
      <c r="T141" s="31">
        <v>0</v>
      </c>
      <c r="U141" s="30">
        <v>0</v>
      </c>
      <c r="V141" s="31">
        <v>0</v>
      </c>
      <c r="W141" s="30">
        <v>2147</v>
      </c>
      <c r="X141" s="31">
        <v>1.189473684210526</v>
      </c>
      <c r="Y141" s="30">
        <v>2340</v>
      </c>
      <c r="Z141" s="33">
        <v>1.2963988919667591</v>
      </c>
      <c r="AA141" s="30">
        <v>22</v>
      </c>
      <c r="AB141" s="31">
        <v>1.218836565096953E-2</v>
      </c>
      <c r="AC141" s="30">
        <v>475</v>
      </c>
      <c r="AD141" s="31">
        <v>0.26315789473684209</v>
      </c>
      <c r="AE141" s="30">
        <v>57</v>
      </c>
      <c r="AF141" s="31">
        <v>0.12</v>
      </c>
      <c r="AG141" s="30">
        <v>436</v>
      </c>
      <c r="AH141" s="31">
        <v>0.91789473684210521</v>
      </c>
      <c r="AI141" s="34">
        <v>457</v>
      </c>
      <c r="AJ141" s="31">
        <v>0.25318559556786702</v>
      </c>
      <c r="AK141" s="34">
        <v>4</v>
      </c>
      <c r="AL141" s="31">
        <v>0.85557986870897151</v>
      </c>
      <c r="AM141" s="34">
        <v>452</v>
      </c>
      <c r="AN141" s="34">
        <v>391</v>
      </c>
      <c r="AO141" s="31">
        <v>0.21662049861495841</v>
      </c>
      <c r="AP141" s="31">
        <v>0.82315789473684209</v>
      </c>
      <c r="AQ141" s="32">
        <v>0.98198198198198194</v>
      </c>
      <c r="AR141" s="34">
        <v>0</v>
      </c>
      <c r="AS141" s="34">
        <v>0</v>
      </c>
      <c r="AT141" s="34">
        <v>47</v>
      </c>
      <c r="AU141" s="34">
        <v>47</v>
      </c>
      <c r="AV141" s="34">
        <v>43</v>
      </c>
      <c r="AW141" s="34">
        <v>19</v>
      </c>
      <c r="AX141" s="31">
        <v>2.6038781163434901E-2</v>
      </c>
      <c r="AY141" s="31">
        <v>2.3822714681440441E-2</v>
      </c>
      <c r="AZ141" s="31">
        <v>1.0526315789473681E-2</v>
      </c>
      <c r="BA141" s="31">
        <v>0.1099744245524297</v>
      </c>
      <c r="BB141" s="34">
        <v>0</v>
      </c>
      <c r="BC141" s="34">
        <v>0</v>
      </c>
      <c r="BD141" s="32">
        <v>1</v>
      </c>
      <c r="BE141" s="32">
        <v>1</v>
      </c>
      <c r="BF141" s="32" t="s">
        <v>335</v>
      </c>
    </row>
    <row r="142" spans="1:58" ht="19.5" customHeight="1">
      <c r="A142" s="35">
        <v>139</v>
      </c>
      <c r="B142" s="30" t="s">
        <v>5</v>
      </c>
      <c r="C142" s="36">
        <v>46116</v>
      </c>
      <c r="D142" s="30" t="s">
        <v>25</v>
      </c>
      <c r="E142" s="30">
        <v>3038</v>
      </c>
      <c r="F142" s="30">
        <v>2842</v>
      </c>
      <c r="G142" s="31">
        <v>0.93548387096774188</v>
      </c>
      <c r="H142" s="30">
        <v>1123</v>
      </c>
      <c r="I142" s="32">
        <v>0.369651086240948</v>
      </c>
      <c r="J142" s="30">
        <v>1503</v>
      </c>
      <c r="K142" s="30">
        <v>1442</v>
      </c>
      <c r="L142" s="31">
        <v>0.95899999999999996</v>
      </c>
      <c r="M142" s="30">
        <v>7041</v>
      </c>
      <c r="N142" s="30">
        <v>7735</v>
      </c>
      <c r="O142" s="30">
        <v>6871</v>
      </c>
      <c r="P142" s="31">
        <v>0.97585570231501206</v>
      </c>
      <c r="Q142" s="30">
        <v>20</v>
      </c>
      <c r="R142" s="30">
        <v>0</v>
      </c>
      <c r="S142" s="30">
        <v>0</v>
      </c>
      <c r="T142" s="31">
        <v>0</v>
      </c>
      <c r="U142" s="30">
        <v>0</v>
      </c>
      <c r="V142" s="31">
        <v>0</v>
      </c>
      <c r="W142" s="30">
        <v>91</v>
      </c>
      <c r="X142" s="31">
        <v>2.9953917050691239E-2</v>
      </c>
      <c r="Y142" s="30">
        <v>319</v>
      </c>
      <c r="Z142" s="33">
        <v>0.1050032916392363</v>
      </c>
      <c r="AA142" s="30">
        <v>0</v>
      </c>
      <c r="AB142" s="31">
        <v>0</v>
      </c>
      <c r="AC142" s="30">
        <v>1246</v>
      </c>
      <c r="AD142" s="31">
        <v>0.41013824884792632</v>
      </c>
      <c r="AE142" s="30">
        <v>401</v>
      </c>
      <c r="AF142" s="31">
        <v>0.3218298555377207</v>
      </c>
      <c r="AG142" s="30">
        <v>1153</v>
      </c>
      <c r="AH142" s="31">
        <v>0.92536115569823429</v>
      </c>
      <c r="AI142" s="34">
        <v>1386</v>
      </c>
      <c r="AJ142" s="31">
        <v>0.45622119815668211</v>
      </c>
      <c r="AK142" s="34">
        <v>11</v>
      </c>
      <c r="AL142" s="31">
        <v>0.8405483405483406</v>
      </c>
      <c r="AM142" s="34">
        <v>1380</v>
      </c>
      <c r="AN142" s="34">
        <v>1165</v>
      </c>
      <c r="AO142" s="31">
        <v>0.38347597103357473</v>
      </c>
      <c r="AP142" s="31">
        <v>0.934991974317817</v>
      </c>
      <c r="AQ142" s="32">
        <v>0.95991091314031185</v>
      </c>
      <c r="AR142" s="34">
        <v>475</v>
      </c>
      <c r="AS142" s="34">
        <v>189</v>
      </c>
      <c r="AT142" s="34">
        <v>0</v>
      </c>
      <c r="AU142" s="34">
        <v>0</v>
      </c>
      <c r="AV142" s="34">
        <v>0</v>
      </c>
      <c r="AW142" s="34">
        <v>0</v>
      </c>
      <c r="AX142" s="31">
        <v>0</v>
      </c>
      <c r="AY142" s="31">
        <v>0</v>
      </c>
      <c r="AZ142" s="31">
        <v>0</v>
      </c>
      <c r="BA142" s="31">
        <v>0</v>
      </c>
      <c r="BB142" s="34">
        <v>0</v>
      </c>
      <c r="BC142" s="34">
        <v>0</v>
      </c>
      <c r="BD142" s="32">
        <v>0.98</v>
      </c>
      <c r="BE142" s="32" t="s">
        <v>335</v>
      </c>
      <c r="BF142" s="32" t="s">
        <v>335</v>
      </c>
    </row>
    <row r="143" spans="1:58" ht="19.5" customHeight="1">
      <c r="A143" s="35">
        <v>140</v>
      </c>
      <c r="B143" s="30" t="s">
        <v>5</v>
      </c>
      <c r="C143" s="36">
        <v>46116</v>
      </c>
      <c r="D143" s="30" t="s">
        <v>287</v>
      </c>
      <c r="E143" s="30">
        <v>2245</v>
      </c>
      <c r="F143" s="30">
        <v>2065</v>
      </c>
      <c r="G143" s="31">
        <v>0.91982182628062359</v>
      </c>
      <c r="H143" s="30">
        <v>1478</v>
      </c>
      <c r="I143" s="32">
        <v>0.65835189309576836</v>
      </c>
      <c r="J143" s="30">
        <v>2830</v>
      </c>
      <c r="K143" s="30">
        <v>2748</v>
      </c>
      <c r="L143" s="31">
        <v>0.97099999999999997</v>
      </c>
      <c r="M143" s="30">
        <v>18281</v>
      </c>
      <c r="N143" s="30">
        <v>19119</v>
      </c>
      <c r="O143" s="30">
        <v>18009</v>
      </c>
      <c r="P143" s="31">
        <v>0.98512116405010663</v>
      </c>
      <c r="Q143" s="30">
        <v>65</v>
      </c>
      <c r="R143" s="30">
        <v>0</v>
      </c>
      <c r="S143" s="30">
        <v>0</v>
      </c>
      <c r="T143" s="31">
        <v>0</v>
      </c>
      <c r="U143" s="30">
        <v>0</v>
      </c>
      <c r="V143" s="31">
        <v>0</v>
      </c>
      <c r="W143" s="30">
        <v>2317</v>
      </c>
      <c r="X143" s="31">
        <v>1.032071269487751</v>
      </c>
      <c r="Y143" s="30">
        <v>1442</v>
      </c>
      <c r="Z143" s="33">
        <v>0.6423162583518931</v>
      </c>
      <c r="AA143" s="30">
        <v>109</v>
      </c>
      <c r="AB143" s="31">
        <v>4.8552338530066817E-2</v>
      </c>
      <c r="AC143" s="30">
        <v>752</v>
      </c>
      <c r="AD143" s="31">
        <v>0.33496659242761689</v>
      </c>
      <c r="AE143" s="30">
        <v>95</v>
      </c>
      <c r="AF143" s="31">
        <v>0.12632978723404259</v>
      </c>
      <c r="AG143" s="30">
        <v>680</v>
      </c>
      <c r="AH143" s="31">
        <v>0.9042553191489362</v>
      </c>
      <c r="AI143" s="34">
        <v>736</v>
      </c>
      <c r="AJ143" s="31">
        <v>0.32783964365256119</v>
      </c>
      <c r="AK143" s="34">
        <v>5</v>
      </c>
      <c r="AL143" s="31">
        <v>0.93342391304347827</v>
      </c>
      <c r="AM143" s="34">
        <v>734</v>
      </c>
      <c r="AN143" s="34">
        <v>687</v>
      </c>
      <c r="AO143" s="31">
        <v>0.30601336302895321</v>
      </c>
      <c r="AP143" s="31">
        <v>0.91356382978723405</v>
      </c>
      <c r="AQ143" s="32">
        <v>0.96411483253588515</v>
      </c>
      <c r="AR143" s="34">
        <v>0</v>
      </c>
      <c r="AS143" s="34">
        <v>0</v>
      </c>
      <c r="AT143" s="34">
        <v>89</v>
      </c>
      <c r="AU143" s="34">
        <v>87</v>
      </c>
      <c r="AV143" s="34">
        <v>82</v>
      </c>
      <c r="AW143" s="34">
        <v>63</v>
      </c>
      <c r="AX143" s="31">
        <v>3.8752783964365253E-2</v>
      </c>
      <c r="AY143" s="31">
        <v>3.6525612472160358E-2</v>
      </c>
      <c r="AZ143" s="31">
        <v>2.806236080178174E-2</v>
      </c>
      <c r="BA143" s="31">
        <v>0.1193595342066958</v>
      </c>
      <c r="BB143" s="34">
        <v>0</v>
      </c>
      <c r="BC143" s="34">
        <v>0</v>
      </c>
      <c r="BD143" s="32">
        <v>0.98684210526315785</v>
      </c>
      <c r="BE143" s="32">
        <v>1</v>
      </c>
      <c r="BF143" s="32" t="s">
        <v>335</v>
      </c>
    </row>
    <row r="144" spans="1:58" ht="19.5" customHeight="1">
      <c r="A144" s="35">
        <v>141</v>
      </c>
      <c r="B144" s="30" t="s">
        <v>5</v>
      </c>
      <c r="C144" s="36">
        <v>46117</v>
      </c>
      <c r="D144" s="30" t="s">
        <v>2</v>
      </c>
      <c r="E144" s="30">
        <v>2807</v>
      </c>
      <c r="F144" s="30">
        <v>2510</v>
      </c>
      <c r="G144" s="31">
        <v>0.89419308870680436</v>
      </c>
      <c r="H144" s="30">
        <v>2036</v>
      </c>
      <c r="I144" s="32">
        <v>0.72532953330958316</v>
      </c>
      <c r="J144" s="30">
        <v>3195</v>
      </c>
      <c r="K144" s="30">
        <v>3116</v>
      </c>
      <c r="L144" s="31">
        <v>0.97499999999999998</v>
      </c>
      <c r="M144" s="30">
        <v>12027</v>
      </c>
      <c r="N144" s="30">
        <v>12350</v>
      </c>
      <c r="O144" s="30">
        <v>11821</v>
      </c>
      <c r="P144" s="31">
        <v>0.98287187162218337</v>
      </c>
      <c r="Q144" s="30">
        <v>49</v>
      </c>
      <c r="R144" s="30">
        <v>0</v>
      </c>
      <c r="S144" s="30">
        <v>0</v>
      </c>
      <c r="T144" s="31">
        <v>0</v>
      </c>
      <c r="U144" s="30">
        <v>0</v>
      </c>
      <c r="V144" s="31">
        <v>0</v>
      </c>
      <c r="W144" s="30">
        <v>494</v>
      </c>
      <c r="X144" s="31">
        <v>0.17598859992874949</v>
      </c>
      <c r="Y144" s="30">
        <v>549</v>
      </c>
      <c r="Z144" s="33">
        <v>0.1955824723904524</v>
      </c>
      <c r="AA144" s="30">
        <v>47</v>
      </c>
      <c r="AB144" s="31">
        <v>1.6743854649091561E-2</v>
      </c>
      <c r="AC144" s="30">
        <v>402</v>
      </c>
      <c r="AD144" s="31">
        <v>0.1432133950837193</v>
      </c>
      <c r="AE144" s="30">
        <v>53</v>
      </c>
      <c r="AF144" s="31">
        <v>0.13184079601990051</v>
      </c>
      <c r="AG144" s="30">
        <v>364</v>
      </c>
      <c r="AH144" s="31">
        <v>0.90547263681592038</v>
      </c>
      <c r="AI144" s="34">
        <v>395</v>
      </c>
      <c r="AJ144" s="31">
        <v>0.14071962949768441</v>
      </c>
      <c r="AK144" s="34">
        <v>1</v>
      </c>
      <c r="AL144" s="31">
        <v>0.8835443037974684</v>
      </c>
      <c r="AM144" s="34">
        <v>395</v>
      </c>
      <c r="AN144" s="34">
        <v>349</v>
      </c>
      <c r="AO144" s="31">
        <v>0.1243320270751692</v>
      </c>
      <c r="AP144" s="31">
        <v>0.86815920398009949</v>
      </c>
      <c r="AQ144" s="32">
        <v>0.97354497354497349</v>
      </c>
      <c r="AR144" s="34">
        <v>0</v>
      </c>
      <c r="AS144" s="34">
        <v>0</v>
      </c>
      <c r="AT144" s="34">
        <v>70</v>
      </c>
      <c r="AU144" s="34">
        <v>67</v>
      </c>
      <c r="AV144" s="34">
        <v>75</v>
      </c>
      <c r="AW144" s="34">
        <v>31</v>
      </c>
      <c r="AX144" s="31">
        <v>2.3868899180619879E-2</v>
      </c>
      <c r="AY144" s="31">
        <v>2.6718916993231211E-2</v>
      </c>
      <c r="AZ144" s="31">
        <v>1.10438190238689E-2</v>
      </c>
      <c r="BA144" s="31">
        <v>0.2148997134670487</v>
      </c>
      <c r="BB144" s="34">
        <v>0</v>
      </c>
      <c r="BC144" s="34">
        <v>0</v>
      </c>
      <c r="BD144" s="32">
        <v>1</v>
      </c>
      <c r="BE144" s="32">
        <v>1</v>
      </c>
      <c r="BF144" s="32" t="s">
        <v>335</v>
      </c>
    </row>
    <row r="145" spans="1:58" ht="19.5" customHeight="1">
      <c r="A145" s="35">
        <v>142</v>
      </c>
      <c r="B145" s="30" t="s">
        <v>5</v>
      </c>
      <c r="C145" s="36">
        <v>46117</v>
      </c>
      <c r="D145" s="30" t="s">
        <v>285</v>
      </c>
      <c r="E145" s="30">
        <v>1905</v>
      </c>
      <c r="F145" s="30">
        <v>1767</v>
      </c>
      <c r="G145" s="31">
        <v>0.92755905511811021</v>
      </c>
      <c r="H145" s="30">
        <v>898</v>
      </c>
      <c r="I145" s="32">
        <v>0.47139107611548559</v>
      </c>
      <c r="J145" s="30">
        <v>1310</v>
      </c>
      <c r="K145" s="30">
        <v>1227</v>
      </c>
      <c r="L145" s="31">
        <v>0.93700000000000006</v>
      </c>
      <c r="M145" s="30">
        <v>9002</v>
      </c>
      <c r="N145" s="30">
        <v>8708</v>
      </c>
      <c r="O145" s="30">
        <v>8810</v>
      </c>
      <c r="P145" s="31">
        <v>0.97867140635414351</v>
      </c>
      <c r="Q145" s="30">
        <v>59</v>
      </c>
      <c r="R145" s="30">
        <v>0</v>
      </c>
      <c r="S145" s="30">
        <v>0</v>
      </c>
      <c r="T145" s="31">
        <v>0</v>
      </c>
      <c r="U145" s="30">
        <v>0</v>
      </c>
      <c r="V145" s="31">
        <v>0</v>
      </c>
      <c r="W145" s="30">
        <v>477</v>
      </c>
      <c r="X145" s="31">
        <v>0.25039370078740159</v>
      </c>
      <c r="Y145" s="30">
        <v>562</v>
      </c>
      <c r="Z145" s="33">
        <v>0.29501312335958008</v>
      </c>
      <c r="AA145" s="30">
        <v>27</v>
      </c>
      <c r="AB145" s="31">
        <v>1.4173228346456689E-2</v>
      </c>
      <c r="AC145" s="30">
        <v>386</v>
      </c>
      <c r="AD145" s="31">
        <v>0.2026246719160105</v>
      </c>
      <c r="AE145" s="30">
        <v>60</v>
      </c>
      <c r="AF145" s="31">
        <v>0.15544041450777199</v>
      </c>
      <c r="AG145" s="30">
        <v>354</v>
      </c>
      <c r="AH145" s="31">
        <v>0.91709844559585496</v>
      </c>
      <c r="AI145" s="34">
        <v>389</v>
      </c>
      <c r="AJ145" s="31">
        <v>0.20419947506561681</v>
      </c>
      <c r="AK145" s="34">
        <v>1</v>
      </c>
      <c r="AL145" s="31">
        <v>0.86632390745501286</v>
      </c>
      <c r="AM145" s="34">
        <v>385</v>
      </c>
      <c r="AN145" s="34">
        <v>337</v>
      </c>
      <c r="AO145" s="31">
        <v>0.1769028871391076</v>
      </c>
      <c r="AP145" s="31">
        <v>0.87305699481865284</v>
      </c>
      <c r="AQ145" s="32">
        <v>0.9634703196347032</v>
      </c>
      <c r="AR145" s="34">
        <v>0</v>
      </c>
      <c r="AS145" s="34">
        <v>0</v>
      </c>
      <c r="AT145" s="34">
        <v>45</v>
      </c>
      <c r="AU145" s="34">
        <v>39</v>
      </c>
      <c r="AV145" s="34">
        <v>39</v>
      </c>
      <c r="AW145" s="34">
        <v>7</v>
      </c>
      <c r="AX145" s="31">
        <v>2.0472440944881889E-2</v>
      </c>
      <c r="AY145" s="31">
        <v>2.0472440944881889E-2</v>
      </c>
      <c r="AZ145" s="31">
        <v>3.6745406824146981E-3</v>
      </c>
      <c r="BA145" s="31">
        <v>0.11572700296735899</v>
      </c>
      <c r="BB145" s="34">
        <v>0</v>
      </c>
      <c r="BC145" s="34">
        <v>0</v>
      </c>
      <c r="BD145" s="32">
        <v>1</v>
      </c>
      <c r="BE145" s="32">
        <v>1</v>
      </c>
      <c r="BF145" s="32" t="s">
        <v>335</v>
      </c>
    </row>
    <row r="146" spans="1:58" ht="19.5" customHeight="1">
      <c r="A146" s="35">
        <v>143</v>
      </c>
      <c r="B146" s="30" t="s">
        <v>5</v>
      </c>
      <c r="C146" s="36">
        <v>46117</v>
      </c>
      <c r="D146" s="30" t="s">
        <v>25</v>
      </c>
      <c r="E146" s="30">
        <v>3129</v>
      </c>
      <c r="F146" s="30">
        <v>2947</v>
      </c>
      <c r="G146" s="31">
        <v>0.94183445190156601</v>
      </c>
      <c r="H146" s="30">
        <v>1148</v>
      </c>
      <c r="I146" s="32">
        <v>0.36689038031319909</v>
      </c>
      <c r="J146" s="30">
        <v>1559</v>
      </c>
      <c r="K146" s="30">
        <v>1491</v>
      </c>
      <c r="L146" s="31">
        <v>0.95599999999999996</v>
      </c>
      <c r="M146" s="30">
        <v>8091</v>
      </c>
      <c r="N146" s="30">
        <v>7951</v>
      </c>
      <c r="O146" s="30">
        <v>7897</v>
      </c>
      <c r="P146" s="31">
        <v>0.97602274131751332</v>
      </c>
      <c r="Q146" s="30">
        <v>25</v>
      </c>
      <c r="R146" s="30">
        <v>0</v>
      </c>
      <c r="S146" s="30">
        <v>0</v>
      </c>
      <c r="T146" s="31">
        <v>0</v>
      </c>
      <c r="U146" s="30">
        <v>0</v>
      </c>
      <c r="V146" s="31">
        <v>0</v>
      </c>
      <c r="W146" s="30">
        <v>124</v>
      </c>
      <c r="X146" s="31">
        <v>3.9629274528603389E-2</v>
      </c>
      <c r="Y146" s="30">
        <v>302</v>
      </c>
      <c r="Z146" s="33">
        <v>9.6516458932566315E-2</v>
      </c>
      <c r="AA146" s="30">
        <v>0</v>
      </c>
      <c r="AB146" s="31">
        <v>0</v>
      </c>
      <c r="AC146" s="30">
        <v>1168</v>
      </c>
      <c r="AD146" s="31">
        <v>0.37328219878555452</v>
      </c>
      <c r="AE146" s="30">
        <v>364</v>
      </c>
      <c r="AF146" s="31">
        <v>0.31164383561643838</v>
      </c>
      <c r="AG146" s="30">
        <v>1067</v>
      </c>
      <c r="AH146" s="31">
        <v>0.91352739726027399</v>
      </c>
      <c r="AI146" s="34">
        <v>1315</v>
      </c>
      <c r="AJ146" s="31">
        <v>0.42026206455736659</v>
      </c>
      <c r="AK146" s="34">
        <v>10</v>
      </c>
      <c r="AL146" s="31">
        <v>0.84942965779467683</v>
      </c>
      <c r="AM146" s="34">
        <v>1310</v>
      </c>
      <c r="AN146" s="34">
        <v>1117</v>
      </c>
      <c r="AO146" s="31">
        <v>0.35698306168104832</v>
      </c>
      <c r="AP146" s="31">
        <v>0.95633561643835618</v>
      </c>
      <c r="AQ146" s="32">
        <v>0.96486090775988287</v>
      </c>
      <c r="AR146" s="34">
        <v>519</v>
      </c>
      <c r="AS146" s="34">
        <v>220</v>
      </c>
      <c r="AT146" s="34">
        <v>0</v>
      </c>
      <c r="AU146" s="34">
        <v>0</v>
      </c>
      <c r="AV146" s="34">
        <v>0</v>
      </c>
      <c r="AW146" s="34">
        <v>0</v>
      </c>
      <c r="AX146" s="31">
        <v>0</v>
      </c>
      <c r="AY146" s="31">
        <v>0</v>
      </c>
      <c r="AZ146" s="31">
        <v>0</v>
      </c>
      <c r="BA146" s="31">
        <v>0</v>
      </c>
      <c r="BB146" s="34">
        <v>0</v>
      </c>
      <c r="BC146" s="34">
        <v>1</v>
      </c>
      <c r="BD146" s="32">
        <v>0.96226415094339623</v>
      </c>
      <c r="BE146" s="32" t="s">
        <v>335</v>
      </c>
      <c r="BF146" s="32" t="s">
        <v>335</v>
      </c>
    </row>
    <row r="147" spans="1:58" ht="19.5" customHeight="1">
      <c r="A147" s="35">
        <v>144</v>
      </c>
      <c r="B147" s="30" t="s">
        <v>5</v>
      </c>
      <c r="C147" s="36">
        <v>46117</v>
      </c>
      <c r="D147" s="30" t="s">
        <v>287</v>
      </c>
      <c r="E147" s="30">
        <v>2432</v>
      </c>
      <c r="F147" s="30">
        <v>2284</v>
      </c>
      <c r="G147" s="31">
        <v>0.93914473684210531</v>
      </c>
      <c r="H147" s="30">
        <v>1585</v>
      </c>
      <c r="I147" s="32">
        <v>0.65172697368421051</v>
      </c>
      <c r="J147" s="30">
        <v>2960</v>
      </c>
      <c r="K147" s="30">
        <v>2900</v>
      </c>
      <c r="L147" s="31">
        <v>0.98</v>
      </c>
      <c r="M147" s="30">
        <v>18130</v>
      </c>
      <c r="N147" s="30">
        <v>18055</v>
      </c>
      <c r="O147" s="30">
        <v>17899</v>
      </c>
      <c r="P147" s="31">
        <v>0.98725868725868726</v>
      </c>
      <c r="Q147" s="30">
        <v>51</v>
      </c>
      <c r="R147" s="30">
        <v>0</v>
      </c>
      <c r="S147" s="30">
        <v>0</v>
      </c>
      <c r="T147" s="31">
        <v>0</v>
      </c>
      <c r="U147" s="30">
        <v>0</v>
      </c>
      <c r="V147" s="31">
        <v>0</v>
      </c>
      <c r="W147" s="30">
        <v>547</v>
      </c>
      <c r="X147" s="31">
        <v>0.22491776315789469</v>
      </c>
      <c r="Y147" s="30">
        <v>622</v>
      </c>
      <c r="Z147" s="33">
        <v>0.25575657894736842</v>
      </c>
      <c r="AA147" s="30">
        <v>114</v>
      </c>
      <c r="AB147" s="31">
        <v>4.6875E-2</v>
      </c>
      <c r="AC147" s="30">
        <v>747</v>
      </c>
      <c r="AD147" s="31">
        <v>0.30715460526315791</v>
      </c>
      <c r="AE147" s="30">
        <v>81</v>
      </c>
      <c r="AF147" s="31">
        <v>0.108433734939759</v>
      </c>
      <c r="AG147" s="30">
        <v>693</v>
      </c>
      <c r="AH147" s="31">
        <v>0.92771084337349397</v>
      </c>
      <c r="AI147" s="34">
        <v>717</v>
      </c>
      <c r="AJ147" s="31">
        <v>0.29481907894736842</v>
      </c>
      <c r="AK147" s="34">
        <v>5</v>
      </c>
      <c r="AL147" s="31">
        <v>0.95258019525801951</v>
      </c>
      <c r="AM147" s="34">
        <v>715</v>
      </c>
      <c r="AN147" s="34">
        <v>683</v>
      </c>
      <c r="AO147" s="31">
        <v>0.28083881578947367</v>
      </c>
      <c r="AP147" s="31">
        <v>0.91432396251673365</v>
      </c>
      <c r="AQ147" s="32">
        <v>0.96463932107496464</v>
      </c>
      <c r="AR147" s="34">
        <v>0</v>
      </c>
      <c r="AS147" s="34">
        <v>0</v>
      </c>
      <c r="AT147" s="34">
        <v>99</v>
      </c>
      <c r="AU147" s="34">
        <v>95</v>
      </c>
      <c r="AV147" s="34">
        <v>92</v>
      </c>
      <c r="AW147" s="34">
        <v>46</v>
      </c>
      <c r="AX147" s="31">
        <v>3.90625E-2</v>
      </c>
      <c r="AY147" s="31">
        <v>3.7828947368421052E-2</v>
      </c>
      <c r="AZ147" s="31">
        <v>1.891447368421053E-2</v>
      </c>
      <c r="BA147" s="31">
        <v>0.1346998535871157</v>
      </c>
      <c r="BB147" s="34">
        <v>0</v>
      </c>
      <c r="BC147" s="34">
        <v>0</v>
      </c>
      <c r="BD147" s="32">
        <v>0.96808510638297873</v>
      </c>
      <c r="BE147" s="32">
        <v>1</v>
      </c>
      <c r="BF147" s="32" t="s">
        <v>335</v>
      </c>
    </row>
    <row r="148" spans="1:58" ht="19.5" customHeight="1">
      <c r="A148" s="35">
        <v>145</v>
      </c>
      <c r="B148" s="30" t="s">
        <v>5</v>
      </c>
      <c r="C148" s="36">
        <v>46118</v>
      </c>
      <c r="D148" s="30" t="s">
        <v>2</v>
      </c>
      <c r="E148" s="30">
        <v>1913</v>
      </c>
      <c r="F148" s="30">
        <v>1741</v>
      </c>
      <c r="G148" s="31">
        <v>0.91008886565603764</v>
      </c>
      <c r="H148" s="30">
        <v>866</v>
      </c>
      <c r="I148" s="32">
        <v>0.45269210663878717</v>
      </c>
      <c r="J148" s="30">
        <v>2237</v>
      </c>
      <c r="K148" s="30">
        <v>2183</v>
      </c>
      <c r="L148" s="31">
        <v>0.97599999999999998</v>
      </c>
      <c r="M148" s="30">
        <v>11291</v>
      </c>
      <c r="N148" s="30">
        <v>11016</v>
      </c>
      <c r="O148" s="30">
        <v>11143</v>
      </c>
      <c r="P148" s="31">
        <v>0.98689221503852631</v>
      </c>
      <c r="Q148" s="30">
        <v>33</v>
      </c>
      <c r="R148" s="30">
        <v>0</v>
      </c>
      <c r="S148" s="30">
        <v>0</v>
      </c>
      <c r="T148" s="31">
        <v>0</v>
      </c>
      <c r="U148" s="30">
        <v>0</v>
      </c>
      <c r="V148" s="31">
        <v>0</v>
      </c>
      <c r="W148" s="30">
        <v>2075</v>
      </c>
      <c r="X148" s="31">
        <v>1.084683742812337</v>
      </c>
      <c r="Y148" s="30">
        <v>518</v>
      </c>
      <c r="Z148" s="33">
        <v>0.27077888133821221</v>
      </c>
      <c r="AA148" s="30">
        <v>42</v>
      </c>
      <c r="AB148" s="31">
        <v>2.195504443282802E-2</v>
      </c>
      <c r="AC148" s="30">
        <v>345</v>
      </c>
      <c r="AD148" s="31">
        <v>0.18034500784108731</v>
      </c>
      <c r="AE148" s="30">
        <v>46</v>
      </c>
      <c r="AF148" s="31">
        <v>0.1333333333333333</v>
      </c>
      <c r="AG148" s="30">
        <v>319</v>
      </c>
      <c r="AH148" s="31">
        <v>0.92463768115942024</v>
      </c>
      <c r="AI148" s="34">
        <v>336</v>
      </c>
      <c r="AJ148" s="31">
        <v>0.17564035546262419</v>
      </c>
      <c r="AK148" s="34">
        <v>0</v>
      </c>
      <c r="AL148" s="31">
        <v>0.8928571428571429</v>
      </c>
      <c r="AM148" s="34">
        <v>334</v>
      </c>
      <c r="AN148" s="34">
        <v>300</v>
      </c>
      <c r="AO148" s="31">
        <v>0.1568217459487716</v>
      </c>
      <c r="AP148" s="31">
        <v>0.86956521739130432</v>
      </c>
      <c r="AQ148" s="32">
        <v>0.97361477572559363</v>
      </c>
      <c r="AR148" s="34">
        <v>0</v>
      </c>
      <c r="AS148" s="34">
        <v>0</v>
      </c>
      <c r="AT148" s="34">
        <v>88</v>
      </c>
      <c r="AU148" s="34">
        <v>87</v>
      </c>
      <c r="AV148" s="34">
        <v>84</v>
      </c>
      <c r="AW148" s="34">
        <v>37</v>
      </c>
      <c r="AX148" s="31">
        <v>4.5478306325143762E-2</v>
      </c>
      <c r="AY148" s="31">
        <v>4.391008886565604E-2</v>
      </c>
      <c r="AZ148" s="31">
        <v>1.934134866701516E-2</v>
      </c>
      <c r="BA148" s="31">
        <v>0.28000000000000003</v>
      </c>
      <c r="BB148" s="34">
        <v>0</v>
      </c>
      <c r="BC148" s="34">
        <v>0</v>
      </c>
      <c r="BD148" s="32">
        <v>0.97499999999999998</v>
      </c>
      <c r="BE148" s="32">
        <v>1</v>
      </c>
      <c r="BF148" s="32" t="s">
        <v>335</v>
      </c>
    </row>
    <row r="149" spans="1:58" ht="19.5" customHeight="1">
      <c r="A149" s="35">
        <v>146</v>
      </c>
      <c r="B149" s="30" t="s">
        <v>5</v>
      </c>
      <c r="C149" s="36">
        <v>46118</v>
      </c>
      <c r="D149" s="30" t="s">
        <v>285</v>
      </c>
      <c r="E149" s="30">
        <v>2846</v>
      </c>
      <c r="F149" s="30">
        <v>2551</v>
      </c>
      <c r="G149" s="31">
        <v>0.89634574841883341</v>
      </c>
      <c r="H149" s="30">
        <v>2071</v>
      </c>
      <c r="I149" s="32">
        <v>0.72768798313422345</v>
      </c>
      <c r="J149" s="30">
        <v>2628</v>
      </c>
      <c r="K149" s="30">
        <v>2553</v>
      </c>
      <c r="L149" s="31">
        <v>0.97099999999999997</v>
      </c>
      <c r="M149" s="30">
        <v>10263</v>
      </c>
      <c r="N149" s="30">
        <v>10190</v>
      </c>
      <c r="O149" s="30">
        <v>10101</v>
      </c>
      <c r="P149" s="31">
        <v>0.98421514177141189</v>
      </c>
      <c r="Q149" s="30">
        <v>52</v>
      </c>
      <c r="R149" s="30">
        <v>0</v>
      </c>
      <c r="S149" s="30">
        <v>0</v>
      </c>
      <c r="T149" s="31">
        <v>0</v>
      </c>
      <c r="U149" s="30">
        <v>0</v>
      </c>
      <c r="V149" s="31">
        <v>0</v>
      </c>
      <c r="W149" s="30">
        <v>2201</v>
      </c>
      <c r="X149" s="31">
        <v>0.77336612789880532</v>
      </c>
      <c r="Y149" s="30">
        <v>606</v>
      </c>
      <c r="Z149" s="33">
        <v>0.2129304286718201</v>
      </c>
      <c r="AA149" s="30">
        <v>29</v>
      </c>
      <c r="AB149" s="31">
        <v>1.018973998594519E-2</v>
      </c>
      <c r="AC149" s="30">
        <v>397</v>
      </c>
      <c r="AD149" s="31">
        <v>0.13949402670414621</v>
      </c>
      <c r="AE149" s="30">
        <v>71</v>
      </c>
      <c r="AF149" s="31">
        <v>0.1788413098236776</v>
      </c>
      <c r="AG149" s="30">
        <v>360</v>
      </c>
      <c r="AH149" s="31">
        <v>0.90680100755667503</v>
      </c>
      <c r="AI149" s="34">
        <v>395</v>
      </c>
      <c r="AJ149" s="31">
        <v>0.13879128601546031</v>
      </c>
      <c r="AK149" s="34">
        <v>0</v>
      </c>
      <c r="AL149" s="31">
        <v>0.85822784810126584</v>
      </c>
      <c r="AM149" s="34">
        <v>397</v>
      </c>
      <c r="AN149" s="34">
        <v>339</v>
      </c>
      <c r="AO149" s="31">
        <v>0.1191145467322558</v>
      </c>
      <c r="AP149" s="31">
        <v>0.853904282115869</v>
      </c>
      <c r="AQ149" s="32">
        <v>0.9651474530831099</v>
      </c>
      <c r="AR149" s="34">
        <v>0</v>
      </c>
      <c r="AS149" s="34">
        <v>0</v>
      </c>
      <c r="AT149" s="34">
        <v>59</v>
      </c>
      <c r="AU149" s="34">
        <v>57</v>
      </c>
      <c r="AV149" s="34">
        <v>56</v>
      </c>
      <c r="AW149" s="34">
        <v>17</v>
      </c>
      <c r="AX149" s="31">
        <v>2.002810962754744E-2</v>
      </c>
      <c r="AY149" s="31">
        <v>1.96767392832045E-2</v>
      </c>
      <c r="AZ149" s="31">
        <v>5.9732958538299356E-3</v>
      </c>
      <c r="BA149" s="31">
        <v>0.16519174041297929</v>
      </c>
      <c r="BB149" s="34">
        <v>0</v>
      </c>
      <c r="BC149" s="34">
        <v>1</v>
      </c>
      <c r="BD149" s="32">
        <v>0.96153846153846156</v>
      </c>
      <c r="BE149" s="32">
        <v>1</v>
      </c>
      <c r="BF149" s="32" t="s">
        <v>335</v>
      </c>
    </row>
    <row r="150" spans="1:58" ht="19.5" customHeight="1">
      <c r="A150" s="35">
        <v>147</v>
      </c>
      <c r="B150" s="30" t="s">
        <v>5</v>
      </c>
      <c r="C150" s="36">
        <v>46118</v>
      </c>
      <c r="D150" s="30" t="s">
        <v>25</v>
      </c>
      <c r="E150" s="30">
        <v>2815</v>
      </c>
      <c r="F150" s="30">
        <v>2637</v>
      </c>
      <c r="G150" s="31">
        <v>0.93676731793960921</v>
      </c>
      <c r="H150" s="30">
        <v>1136</v>
      </c>
      <c r="I150" s="32">
        <v>0.40355239786856129</v>
      </c>
      <c r="J150" s="30">
        <v>1767</v>
      </c>
      <c r="K150" s="30">
        <v>1714</v>
      </c>
      <c r="L150" s="31">
        <v>0.97</v>
      </c>
      <c r="M150" s="30">
        <v>8834</v>
      </c>
      <c r="N150" s="30">
        <v>8785</v>
      </c>
      <c r="O150" s="30">
        <v>8622</v>
      </c>
      <c r="P150" s="31">
        <v>0.9760018111840616</v>
      </c>
      <c r="Q150" s="30">
        <v>27</v>
      </c>
      <c r="R150" s="30">
        <v>0</v>
      </c>
      <c r="S150" s="30">
        <v>0</v>
      </c>
      <c r="T150" s="31">
        <v>0</v>
      </c>
      <c r="U150" s="30">
        <v>0</v>
      </c>
      <c r="V150" s="31">
        <v>0</v>
      </c>
      <c r="W150" s="30">
        <v>109</v>
      </c>
      <c r="X150" s="31">
        <v>3.8721136767317942E-2</v>
      </c>
      <c r="Y150" s="30">
        <v>294</v>
      </c>
      <c r="Z150" s="33">
        <v>0.1044404973357016</v>
      </c>
      <c r="AA150" s="30">
        <v>0</v>
      </c>
      <c r="AB150" s="31">
        <v>0</v>
      </c>
      <c r="AC150" s="30">
        <v>1238</v>
      </c>
      <c r="AD150" s="31">
        <v>0.43978685612788632</v>
      </c>
      <c r="AE150" s="30">
        <v>381</v>
      </c>
      <c r="AF150" s="31">
        <v>0.30775444264943458</v>
      </c>
      <c r="AG150" s="30">
        <v>1139</v>
      </c>
      <c r="AH150" s="31">
        <v>0.92003231017770593</v>
      </c>
      <c r="AI150" s="34">
        <v>1357</v>
      </c>
      <c r="AJ150" s="31">
        <v>0.48206039076376561</v>
      </c>
      <c r="AK150" s="34">
        <v>10</v>
      </c>
      <c r="AL150" s="31">
        <v>0.85924834193072952</v>
      </c>
      <c r="AM150" s="34">
        <v>1358</v>
      </c>
      <c r="AN150" s="34">
        <v>1166</v>
      </c>
      <c r="AO150" s="31">
        <v>0.41420959147424508</v>
      </c>
      <c r="AP150" s="31">
        <v>0.94184168012924074</v>
      </c>
      <c r="AQ150" s="32">
        <v>0.95107033639143734</v>
      </c>
      <c r="AR150" s="34">
        <v>626</v>
      </c>
      <c r="AS150" s="34">
        <v>256</v>
      </c>
      <c r="AT150" s="34">
        <v>0</v>
      </c>
      <c r="AU150" s="34">
        <v>0</v>
      </c>
      <c r="AV150" s="34">
        <v>0</v>
      </c>
      <c r="AW150" s="34">
        <v>0</v>
      </c>
      <c r="AX150" s="31">
        <v>0</v>
      </c>
      <c r="AY150" s="31">
        <v>0</v>
      </c>
      <c r="AZ150" s="31">
        <v>0</v>
      </c>
      <c r="BA150" s="31">
        <v>0</v>
      </c>
      <c r="BB150" s="34">
        <v>0</v>
      </c>
      <c r="BC150" s="34">
        <v>0</v>
      </c>
      <c r="BD150" s="32">
        <v>0.98023715415019763</v>
      </c>
      <c r="BE150" s="32" t="s">
        <v>335</v>
      </c>
      <c r="BF150" s="32" t="s">
        <v>335</v>
      </c>
    </row>
    <row r="151" spans="1:58" ht="19.5" customHeight="1">
      <c r="A151" s="35">
        <v>148</v>
      </c>
      <c r="B151" s="30" t="s">
        <v>5</v>
      </c>
      <c r="C151" s="36">
        <v>46118</v>
      </c>
      <c r="D151" s="30" t="s">
        <v>287</v>
      </c>
      <c r="E151" s="30">
        <v>2710</v>
      </c>
      <c r="F151" s="30">
        <v>2496</v>
      </c>
      <c r="G151" s="31">
        <v>0.92103321033210328</v>
      </c>
      <c r="H151" s="30">
        <v>1685</v>
      </c>
      <c r="I151" s="32">
        <v>0.62177121771217714</v>
      </c>
      <c r="J151" s="30">
        <v>3138</v>
      </c>
      <c r="K151" s="30">
        <v>3079</v>
      </c>
      <c r="L151" s="31">
        <v>0.98099999999999998</v>
      </c>
      <c r="M151" s="30">
        <v>18682</v>
      </c>
      <c r="N151" s="30">
        <v>18176</v>
      </c>
      <c r="O151" s="30">
        <v>18456</v>
      </c>
      <c r="P151" s="31">
        <v>0.98790279413339044</v>
      </c>
      <c r="Q151" s="30">
        <v>61</v>
      </c>
      <c r="R151" s="30">
        <v>0</v>
      </c>
      <c r="S151" s="30">
        <v>0</v>
      </c>
      <c r="T151" s="31">
        <v>0</v>
      </c>
      <c r="U151" s="30">
        <v>0</v>
      </c>
      <c r="V151" s="31">
        <v>0</v>
      </c>
      <c r="W151" s="30">
        <v>3618</v>
      </c>
      <c r="X151" s="31">
        <v>1.335055350553505</v>
      </c>
      <c r="Y151" s="30">
        <v>669</v>
      </c>
      <c r="Z151" s="33">
        <v>0.24686346863468631</v>
      </c>
      <c r="AA151" s="30">
        <v>127</v>
      </c>
      <c r="AB151" s="31">
        <v>4.6863468634686337E-2</v>
      </c>
      <c r="AC151" s="30">
        <v>610</v>
      </c>
      <c r="AD151" s="31">
        <v>0.2250922509225092</v>
      </c>
      <c r="AE151" s="30">
        <v>92</v>
      </c>
      <c r="AF151" s="31">
        <v>0.15081967213114761</v>
      </c>
      <c r="AG151" s="30">
        <v>568</v>
      </c>
      <c r="AH151" s="31">
        <v>0.93114754098360653</v>
      </c>
      <c r="AI151" s="34">
        <v>606</v>
      </c>
      <c r="AJ151" s="31">
        <v>0.22361623616236159</v>
      </c>
      <c r="AK151" s="34">
        <v>3</v>
      </c>
      <c r="AL151" s="31">
        <v>0.94224422442244227</v>
      </c>
      <c r="AM151" s="34">
        <v>603</v>
      </c>
      <c r="AN151" s="34">
        <v>571</v>
      </c>
      <c r="AO151" s="31">
        <v>0.21070110701107009</v>
      </c>
      <c r="AP151" s="31">
        <v>0.93606557377049182</v>
      </c>
      <c r="AQ151" s="32">
        <v>0.97875354107648727</v>
      </c>
      <c r="AR151" s="34">
        <v>0</v>
      </c>
      <c r="AS151" s="34">
        <v>0</v>
      </c>
      <c r="AT151" s="34">
        <v>100</v>
      </c>
      <c r="AU151" s="34">
        <v>94</v>
      </c>
      <c r="AV151" s="34">
        <v>99</v>
      </c>
      <c r="AW151" s="34">
        <v>39</v>
      </c>
      <c r="AX151" s="31">
        <v>3.4686346863468637E-2</v>
      </c>
      <c r="AY151" s="31">
        <v>3.6531365313653127E-2</v>
      </c>
      <c r="AZ151" s="31">
        <v>1.439114391143911E-2</v>
      </c>
      <c r="BA151" s="31">
        <v>0.1733800350262697</v>
      </c>
      <c r="BB151" s="34">
        <v>0</v>
      </c>
      <c r="BC151" s="34">
        <v>1</v>
      </c>
      <c r="BD151" s="32">
        <v>0.97368421052631582</v>
      </c>
      <c r="BE151" s="32">
        <v>1</v>
      </c>
      <c r="BF151" s="32" t="s">
        <v>335</v>
      </c>
    </row>
    <row r="152" spans="1:58" ht="19.5" customHeight="1">
      <c r="A152" s="35">
        <v>149</v>
      </c>
      <c r="B152" s="30" t="s">
        <v>5</v>
      </c>
      <c r="C152" s="36">
        <v>46119</v>
      </c>
      <c r="D152" s="30" t="s">
        <v>2</v>
      </c>
      <c r="E152" s="30">
        <v>1567</v>
      </c>
      <c r="F152" s="30">
        <v>1423</v>
      </c>
      <c r="G152" s="31">
        <v>0.90810465858328016</v>
      </c>
      <c r="H152" s="30">
        <v>542</v>
      </c>
      <c r="I152" s="32">
        <v>0.34588385449904269</v>
      </c>
      <c r="J152" s="30">
        <v>1799</v>
      </c>
      <c r="K152" s="30">
        <v>1739</v>
      </c>
      <c r="L152" s="31">
        <v>0.96699999999999997</v>
      </c>
      <c r="M152" s="30">
        <v>10734</v>
      </c>
      <c r="N152" s="30">
        <v>10294</v>
      </c>
      <c r="O152" s="30">
        <v>10575</v>
      </c>
      <c r="P152" s="31">
        <v>0.9851872554499721</v>
      </c>
      <c r="Q152" s="30">
        <v>43</v>
      </c>
      <c r="R152" s="30">
        <v>0</v>
      </c>
      <c r="S152" s="30">
        <v>0</v>
      </c>
      <c r="T152" s="31">
        <v>0</v>
      </c>
      <c r="U152" s="30">
        <v>0</v>
      </c>
      <c r="V152" s="31">
        <v>0</v>
      </c>
      <c r="W152" s="30">
        <v>1802</v>
      </c>
      <c r="X152" s="31">
        <v>1.149968091895341</v>
      </c>
      <c r="Y152" s="30">
        <v>368</v>
      </c>
      <c r="Z152" s="33">
        <v>0.23484365028717291</v>
      </c>
      <c r="AA152" s="30">
        <v>41</v>
      </c>
      <c r="AB152" s="31">
        <v>2.6164645820038291E-2</v>
      </c>
      <c r="AC152" s="30">
        <v>202</v>
      </c>
      <c r="AD152" s="31">
        <v>0.12890874282067649</v>
      </c>
      <c r="AE152" s="30">
        <v>23</v>
      </c>
      <c r="AF152" s="31">
        <v>0.11386138613861389</v>
      </c>
      <c r="AG152" s="30">
        <v>188</v>
      </c>
      <c r="AH152" s="31">
        <v>0.93069306930693074</v>
      </c>
      <c r="AI152" s="34">
        <v>205</v>
      </c>
      <c r="AJ152" s="31">
        <v>0.13082322910019151</v>
      </c>
      <c r="AK152" s="34">
        <v>1</v>
      </c>
      <c r="AL152" s="31">
        <v>0.85365853658536583</v>
      </c>
      <c r="AM152" s="34">
        <v>198</v>
      </c>
      <c r="AN152" s="34">
        <v>175</v>
      </c>
      <c r="AO152" s="31">
        <v>0.11167836630504149</v>
      </c>
      <c r="AP152" s="31">
        <v>0.86633663366336633</v>
      </c>
      <c r="AQ152" s="32">
        <v>0.96710526315789469</v>
      </c>
      <c r="AR152" s="34">
        <v>0</v>
      </c>
      <c r="AS152" s="34">
        <v>0</v>
      </c>
      <c r="AT152" s="34">
        <v>60</v>
      </c>
      <c r="AU152" s="34">
        <v>57</v>
      </c>
      <c r="AV152" s="34">
        <v>57</v>
      </c>
      <c r="AW152" s="34">
        <v>74</v>
      </c>
      <c r="AX152" s="31">
        <v>3.6375239310784943E-2</v>
      </c>
      <c r="AY152" s="31">
        <v>3.6375239310784943E-2</v>
      </c>
      <c r="AZ152" s="31">
        <v>4.7223994894703247E-2</v>
      </c>
      <c r="BA152" s="31">
        <v>0.32571428571428568</v>
      </c>
      <c r="BB152" s="34">
        <v>0</v>
      </c>
      <c r="BC152" s="34">
        <v>0</v>
      </c>
      <c r="BD152" s="32">
        <v>1</v>
      </c>
      <c r="BE152" s="32">
        <v>1</v>
      </c>
      <c r="BF152" s="32" t="s">
        <v>335</v>
      </c>
    </row>
    <row r="153" spans="1:58" ht="19.5" customHeight="1">
      <c r="A153" s="35">
        <v>150</v>
      </c>
      <c r="B153" s="30" t="s">
        <v>5</v>
      </c>
      <c r="C153" s="36">
        <v>46119</v>
      </c>
      <c r="D153" s="30" t="s">
        <v>285</v>
      </c>
      <c r="E153" s="30">
        <v>2910</v>
      </c>
      <c r="F153" s="30">
        <v>2641</v>
      </c>
      <c r="G153" s="31">
        <v>0.90756013745704467</v>
      </c>
      <c r="H153" s="30">
        <v>1769</v>
      </c>
      <c r="I153" s="32">
        <v>0.60790378006872847</v>
      </c>
      <c r="J153" s="30">
        <v>2439</v>
      </c>
      <c r="K153" s="30">
        <v>2329</v>
      </c>
      <c r="L153" s="31">
        <v>0.95499999999999996</v>
      </c>
      <c r="M153" s="30">
        <v>9752</v>
      </c>
      <c r="N153" s="30">
        <v>9639</v>
      </c>
      <c r="O153" s="30">
        <v>9548</v>
      </c>
      <c r="P153" s="31">
        <v>0.97908121410992621</v>
      </c>
      <c r="Q153" s="30">
        <v>56</v>
      </c>
      <c r="R153" s="30">
        <v>0</v>
      </c>
      <c r="S153" s="30">
        <v>0</v>
      </c>
      <c r="T153" s="31">
        <v>0</v>
      </c>
      <c r="U153" s="30">
        <v>0</v>
      </c>
      <c r="V153" s="31">
        <v>0</v>
      </c>
      <c r="W153" s="30">
        <v>1941</v>
      </c>
      <c r="X153" s="31">
        <v>0.66701030927835048</v>
      </c>
      <c r="Y153" s="30">
        <v>426</v>
      </c>
      <c r="Z153" s="33">
        <v>0.14639175257731959</v>
      </c>
      <c r="AA153" s="30">
        <v>20</v>
      </c>
      <c r="AB153" s="31">
        <v>6.8728522336769758E-3</v>
      </c>
      <c r="AC153" s="30">
        <v>238</v>
      </c>
      <c r="AD153" s="31">
        <v>8.1786941580756015E-2</v>
      </c>
      <c r="AE153" s="30">
        <v>30</v>
      </c>
      <c r="AF153" s="31">
        <v>0.1260504201680672</v>
      </c>
      <c r="AG153" s="30">
        <v>224</v>
      </c>
      <c r="AH153" s="31">
        <v>0.94117647058823528</v>
      </c>
      <c r="AI153" s="34">
        <v>238</v>
      </c>
      <c r="AJ153" s="31">
        <v>8.1786941580756015E-2</v>
      </c>
      <c r="AK153" s="34">
        <v>1</v>
      </c>
      <c r="AL153" s="31">
        <v>0.8571428571428571</v>
      </c>
      <c r="AM153" s="34">
        <v>236</v>
      </c>
      <c r="AN153" s="34">
        <v>204</v>
      </c>
      <c r="AO153" s="31">
        <v>7.0103092783505155E-2</v>
      </c>
      <c r="AP153" s="31">
        <v>0.8571428571428571</v>
      </c>
      <c r="AQ153" s="32">
        <v>0.97389033942558745</v>
      </c>
      <c r="AR153" s="34">
        <v>0</v>
      </c>
      <c r="AS153" s="34">
        <v>0</v>
      </c>
      <c r="AT153" s="34">
        <v>52</v>
      </c>
      <c r="AU153" s="34">
        <v>41</v>
      </c>
      <c r="AV153" s="34">
        <v>42</v>
      </c>
      <c r="AW153" s="34">
        <v>44</v>
      </c>
      <c r="AX153" s="31">
        <v>1.4089347079037799E-2</v>
      </c>
      <c r="AY153" s="31">
        <v>1.443298969072165E-2</v>
      </c>
      <c r="AZ153" s="31">
        <v>1.5120274914089351E-2</v>
      </c>
      <c r="BA153" s="31">
        <v>0.20588235294117649</v>
      </c>
      <c r="BB153" s="34">
        <v>0</v>
      </c>
      <c r="BC153" s="34">
        <v>0</v>
      </c>
      <c r="BD153" s="32">
        <v>1</v>
      </c>
      <c r="BE153" s="32">
        <v>1</v>
      </c>
      <c r="BF153" s="32" t="s">
        <v>335</v>
      </c>
    </row>
    <row r="154" spans="1:58" ht="19.5" customHeight="1">
      <c r="A154" s="35">
        <v>151</v>
      </c>
      <c r="B154" s="30" t="s">
        <v>5</v>
      </c>
      <c r="C154" s="36">
        <v>46119</v>
      </c>
      <c r="D154" s="30" t="s">
        <v>25</v>
      </c>
      <c r="E154" s="30">
        <v>3791</v>
      </c>
      <c r="F154" s="30">
        <v>3573</v>
      </c>
      <c r="G154" s="31">
        <v>0.94249538380374576</v>
      </c>
      <c r="H154" s="30">
        <v>963</v>
      </c>
      <c r="I154" s="32">
        <v>0.25402268530730682</v>
      </c>
      <c r="J154" s="30">
        <v>1718</v>
      </c>
      <c r="K154" s="30">
        <v>1654</v>
      </c>
      <c r="L154" s="31">
        <v>0.96299999999999997</v>
      </c>
      <c r="M154" s="30">
        <v>9100</v>
      </c>
      <c r="N154" s="30">
        <v>8889</v>
      </c>
      <c r="O154" s="30">
        <v>8846</v>
      </c>
      <c r="P154" s="31">
        <v>0.97208791208791212</v>
      </c>
      <c r="Q154" s="30">
        <v>36</v>
      </c>
      <c r="R154" s="30">
        <v>0</v>
      </c>
      <c r="S154" s="30">
        <v>0</v>
      </c>
      <c r="T154" s="31">
        <v>0</v>
      </c>
      <c r="U154" s="30">
        <v>0</v>
      </c>
      <c r="V154" s="31">
        <v>0</v>
      </c>
      <c r="W154" s="30">
        <v>134</v>
      </c>
      <c r="X154" s="31">
        <v>3.5346874175679242E-2</v>
      </c>
      <c r="Y154" s="30">
        <v>302</v>
      </c>
      <c r="Z154" s="33">
        <v>7.9662358216829335E-2</v>
      </c>
      <c r="AA154" s="30">
        <v>0</v>
      </c>
      <c r="AB154" s="31">
        <v>0</v>
      </c>
      <c r="AC154" s="30">
        <v>908</v>
      </c>
      <c r="AD154" s="31">
        <v>0.2395146399366922</v>
      </c>
      <c r="AE154" s="30">
        <v>340</v>
      </c>
      <c r="AF154" s="31">
        <v>0.37444933920704848</v>
      </c>
      <c r="AG154" s="30">
        <v>838</v>
      </c>
      <c r="AH154" s="31">
        <v>0.9229074889867841</v>
      </c>
      <c r="AI154" s="34">
        <v>1040</v>
      </c>
      <c r="AJ154" s="31">
        <v>0.27433394882616718</v>
      </c>
      <c r="AK154" s="34">
        <v>11</v>
      </c>
      <c r="AL154" s="31">
        <v>0.88461538461538458</v>
      </c>
      <c r="AM154" s="34">
        <v>1038</v>
      </c>
      <c r="AN154" s="34">
        <v>920</v>
      </c>
      <c r="AO154" s="31">
        <v>0.24268003165391719</v>
      </c>
      <c r="AP154" s="31">
        <v>1.0132158590308371</v>
      </c>
      <c r="AQ154" s="32">
        <v>0.9708812260536398</v>
      </c>
      <c r="AR154" s="34">
        <v>884</v>
      </c>
      <c r="AS154" s="34">
        <v>410</v>
      </c>
      <c r="AT154" s="34">
        <v>0</v>
      </c>
      <c r="AU154" s="34">
        <v>0</v>
      </c>
      <c r="AV154" s="34">
        <v>0</v>
      </c>
      <c r="AW154" s="34">
        <v>0</v>
      </c>
      <c r="AX154" s="31">
        <v>0</v>
      </c>
      <c r="AY154" s="31">
        <v>0</v>
      </c>
      <c r="AZ154" s="31">
        <v>0</v>
      </c>
      <c r="BA154" s="31">
        <v>0</v>
      </c>
      <c r="BB154" s="34">
        <v>0</v>
      </c>
      <c r="BC154" s="34">
        <v>2</v>
      </c>
      <c r="BD154" s="32">
        <v>0.96860986547085204</v>
      </c>
      <c r="BE154" s="32" t="s">
        <v>335</v>
      </c>
      <c r="BF154" s="32" t="s">
        <v>335</v>
      </c>
    </row>
    <row r="155" spans="1:58" ht="19.5" customHeight="1">
      <c r="A155" s="35">
        <v>152</v>
      </c>
      <c r="B155" s="30" t="s">
        <v>5</v>
      </c>
      <c r="C155" s="36">
        <v>46119</v>
      </c>
      <c r="D155" s="30" t="s">
        <v>287</v>
      </c>
      <c r="E155" s="30">
        <v>3028</v>
      </c>
      <c r="F155" s="30">
        <v>2750</v>
      </c>
      <c r="G155" s="31">
        <v>0.90819022457067367</v>
      </c>
      <c r="H155" s="30">
        <v>1988</v>
      </c>
      <c r="I155" s="32">
        <v>0.65653896961690883</v>
      </c>
      <c r="J155" s="30">
        <v>3792</v>
      </c>
      <c r="K155" s="30">
        <v>3726</v>
      </c>
      <c r="L155" s="31">
        <v>0.98299999999999998</v>
      </c>
      <c r="M155" s="30">
        <v>18301</v>
      </c>
      <c r="N155" s="30">
        <v>17782</v>
      </c>
      <c r="O155" s="30">
        <v>18026</v>
      </c>
      <c r="P155" s="31">
        <v>0.98497349871591722</v>
      </c>
      <c r="Q155" s="30">
        <v>67</v>
      </c>
      <c r="R155" s="30">
        <v>0</v>
      </c>
      <c r="S155" s="30">
        <v>0</v>
      </c>
      <c r="T155" s="31">
        <v>0</v>
      </c>
      <c r="U155" s="30">
        <v>0</v>
      </c>
      <c r="V155" s="31">
        <v>0</v>
      </c>
      <c r="W155" s="30">
        <v>2866</v>
      </c>
      <c r="X155" s="31">
        <v>0.94649933949801845</v>
      </c>
      <c r="Y155" s="30">
        <v>454</v>
      </c>
      <c r="Z155" s="33">
        <v>0.1499339498018494</v>
      </c>
      <c r="AA155" s="30">
        <v>113</v>
      </c>
      <c r="AB155" s="31">
        <v>3.7318361955085873E-2</v>
      </c>
      <c r="AC155" s="30">
        <v>400</v>
      </c>
      <c r="AD155" s="31">
        <v>0.13210039630118889</v>
      </c>
      <c r="AE155" s="30">
        <v>78</v>
      </c>
      <c r="AF155" s="31">
        <v>0.19500000000000001</v>
      </c>
      <c r="AG155" s="30">
        <v>374</v>
      </c>
      <c r="AH155" s="31">
        <v>0.93500000000000005</v>
      </c>
      <c r="AI155" s="34">
        <v>432</v>
      </c>
      <c r="AJ155" s="31">
        <v>0.14266842800528401</v>
      </c>
      <c r="AK155" s="34">
        <v>0</v>
      </c>
      <c r="AL155" s="31">
        <v>0.94212962962962965</v>
      </c>
      <c r="AM155" s="34">
        <v>428</v>
      </c>
      <c r="AN155" s="34">
        <v>407</v>
      </c>
      <c r="AO155" s="31">
        <v>0.13441215323645969</v>
      </c>
      <c r="AP155" s="31">
        <v>1.0175000000000001</v>
      </c>
      <c r="AQ155" s="32">
        <v>0.95117845117845112</v>
      </c>
      <c r="AR155" s="34">
        <v>0</v>
      </c>
      <c r="AS155" s="34">
        <v>0</v>
      </c>
      <c r="AT155" s="34">
        <v>60</v>
      </c>
      <c r="AU155" s="34">
        <v>50</v>
      </c>
      <c r="AV155" s="34">
        <v>56</v>
      </c>
      <c r="AW155" s="34">
        <v>94</v>
      </c>
      <c r="AX155" s="31">
        <v>1.6512549537648611E-2</v>
      </c>
      <c r="AY155" s="31">
        <v>1.8494055482166451E-2</v>
      </c>
      <c r="AZ155" s="31">
        <v>3.1043593130779389E-2</v>
      </c>
      <c r="BA155" s="31">
        <v>0.13759213759213759</v>
      </c>
      <c r="BB155" s="34">
        <v>0</v>
      </c>
      <c r="BC155" s="34">
        <v>2</v>
      </c>
      <c r="BD155" s="32">
        <v>1</v>
      </c>
      <c r="BE155" s="32">
        <v>0.8</v>
      </c>
      <c r="BF155" s="32" t="s">
        <v>335</v>
      </c>
    </row>
    <row r="156" spans="1:58" ht="19.5" customHeight="1">
      <c r="A156" s="35">
        <v>153</v>
      </c>
      <c r="B156" s="30" t="s">
        <v>5</v>
      </c>
      <c r="C156" s="36">
        <v>46120</v>
      </c>
      <c r="D156" s="30" t="s">
        <v>2</v>
      </c>
      <c r="E156" s="30">
        <v>1846</v>
      </c>
      <c r="F156" s="30">
        <v>1623</v>
      </c>
      <c r="G156" s="31">
        <v>0.87919826652221023</v>
      </c>
      <c r="H156" s="30">
        <v>964</v>
      </c>
      <c r="I156" s="32">
        <v>0.52221018418201515</v>
      </c>
      <c r="J156" s="30">
        <v>2578</v>
      </c>
      <c r="K156" s="30">
        <v>2484</v>
      </c>
      <c r="L156" s="31">
        <v>0.96399999999999997</v>
      </c>
      <c r="M156" s="30">
        <v>11416</v>
      </c>
      <c r="N156" s="30">
        <v>11197</v>
      </c>
      <c r="O156" s="30">
        <v>11172</v>
      </c>
      <c r="P156" s="31">
        <v>0.97862648913805184</v>
      </c>
      <c r="Q156" s="30">
        <v>62</v>
      </c>
      <c r="R156" s="30">
        <v>0</v>
      </c>
      <c r="S156" s="30">
        <v>0</v>
      </c>
      <c r="T156" s="31">
        <v>0</v>
      </c>
      <c r="U156" s="30">
        <v>0</v>
      </c>
      <c r="V156" s="31">
        <v>0</v>
      </c>
      <c r="W156" s="30">
        <v>1679</v>
      </c>
      <c r="X156" s="31">
        <v>0.90953412784398702</v>
      </c>
      <c r="Y156" s="30">
        <v>485</v>
      </c>
      <c r="Z156" s="33">
        <v>0.26273022751895991</v>
      </c>
      <c r="AA156" s="30">
        <v>58</v>
      </c>
      <c r="AB156" s="31">
        <v>3.1419284940411699E-2</v>
      </c>
      <c r="AC156" s="30">
        <v>204</v>
      </c>
      <c r="AD156" s="31">
        <v>0.1105092091007584</v>
      </c>
      <c r="AE156" s="30">
        <v>47</v>
      </c>
      <c r="AF156" s="31">
        <v>0.23039215686274511</v>
      </c>
      <c r="AG156" s="30">
        <v>181</v>
      </c>
      <c r="AH156" s="31">
        <v>0.88725490196078427</v>
      </c>
      <c r="AI156" s="34">
        <v>201</v>
      </c>
      <c r="AJ156" s="31">
        <v>0.1088840736728061</v>
      </c>
      <c r="AK156" s="34">
        <v>0</v>
      </c>
      <c r="AL156" s="31">
        <v>0.85572139303482586</v>
      </c>
      <c r="AM156" s="34">
        <v>201</v>
      </c>
      <c r="AN156" s="34">
        <v>172</v>
      </c>
      <c r="AO156" s="31">
        <v>9.3174431202600216E-2</v>
      </c>
      <c r="AP156" s="31">
        <v>0.84313725490196079</v>
      </c>
      <c r="AQ156" s="32">
        <v>0.98369565217391308</v>
      </c>
      <c r="AR156" s="34">
        <v>0</v>
      </c>
      <c r="AS156" s="34">
        <v>0</v>
      </c>
      <c r="AT156" s="34">
        <v>59</v>
      </c>
      <c r="AU156" s="34">
        <v>55</v>
      </c>
      <c r="AV156" s="34">
        <v>58</v>
      </c>
      <c r="AW156" s="34">
        <v>80</v>
      </c>
      <c r="AX156" s="31">
        <v>2.9794149512459369E-2</v>
      </c>
      <c r="AY156" s="31">
        <v>3.1419284940411699E-2</v>
      </c>
      <c r="AZ156" s="31">
        <v>4.3336944745395449E-2</v>
      </c>
      <c r="BA156" s="31">
        <v>0.33720930232558138</v>
      </c>
      <c r="BB156" s="34">
        <v>0</v>
      </c>
      <c r="BC156" s="34">
        <v>0</v>
      </c>
      <c r="BD156" s="32">
        <v>1</v>
      </c>
      <c r="BE156" s="32">
        <v>1</v>
      </c>
      <c r="BF156" s="32" t="s">
        <v>335</v>
      </c>
    </row>
    <row r="157" spans="1:58" ht="19.5" customHeight="1">
      <c r="A157" s="35">
        <v>154</v>
      </c>
      <c r="B157" s="30" t="s">
        <v>5</v>
      </c>
      <c r="C157" s="36">
        <v>46120</v>
      </c>
      <c r="D157" s="30" t="s">
        <v>285</v>
      </c>
      <c r="E157" s="30">
        <v>2048</v>
      </c>
      <c r="F157" s="30">
        <v>1889</v>
      </c>
      <c r="G157" s="31">
        <v>0.92236328125</v>
      </c>
      <c r="H157" s="30">
        <v>1121</v>
      </c>
      <c r="I157" s="32">
        <v>0.54736328125</v>
      </c>
      <c r="J157" s="30">
        <v>2614</v>
      </c>
      <c r="K157" s="30">
        <v>2540</v>
      </c>
      <c r="L157" s="31">
        <v>0.97199999999999998</v>
      </c>
      <c r="M157" s="30">
        <v>9636</v>
      </c>
      <c r="N157" s="30">
        <v>9742</v>
      </c>
      <c r="O157" s="30">
        <v>9467</v>
      </c>
      <c r="P157" s="31">
        <v>0.98246160232461599</v>
      </c>
      <c r="Q157" s="30">
        <v>48</v>
      </c>
      <c r="R157" s="30">
        <v>0</v>
      </c>
      <c r="S157" s="30">
        <v>0</v>
      </c>
      <c r="T157" s="31">
        <v>0</v>
      </c>
      <c r="U157" s="30">
        <v>0</v>
      </c>
      <c r="V157" s="31">
        <v>0</v>
      </c>
      <c r="W157" s="30">
        <v>1687</v>
      </c>
      <c r="X157" s="31">
        <v>0.82373046875</v>
      </c>
      <c r="Y157" s="30">
        <v>936</v>
      </c>
      <c r="Z157" s="33">
        <v>0.45703125</v>
      </c>
      <c r="AA157" s="30">
        <v>23</v>
      </c>
      <c r="AB157" s="31">
        <v>1.123046875E-2</v>
      </c>
      <c r="AC157" s="30">
        <v>210</v>
      </c>
      <c r="AD157" s="31">
        <v>0.1025390625</v>
      </c>
      <c r="AE157" s="30">
        <v>29</v>
      </c>
      <c r="AF157" s="31">
        <v>0.1380952380952381</v>
      </c>
      <c r="AG157" s="30">
        <v>180</v>
      </c>
      <c r="AH157" s="31">
        <v>0.8571428571428571</v>
      </c>
      <c r="AI157" s="34">
        <v>201</v>
      </c>
      <c r="AJ157" s="31">
        <v>9.814453125E-2</v>
      </c>
      <c r="AK157" s="34">
        <v>1</v>
      </c>
      <c r="AL157" s="31">
        <v>0.82587064676616917</v>
      </c>
      <c r="AM157" s="34">
        <v>201</v>
      </c>
      <c r="AN157" s="34">
        <v>166</v>
      </c>
      <c r="AO157" s="31">
        <v>8.10546875E-2</v>
      </c>
      <c r="AP157" s="31">
        <v>0.79047619047619044</v>
      </c>
      <c r="AQ157" s="32">
        <v>0.99078341013824889</v>
      </c>
      <c r="AR157" s="34">
        <v>0</v>
      </c>
      <c r="AS157" s="34">
        <v>0</v>
      </c>
      <c r="AT157" s="34">
        <v>43</v>
      </c>
      <c r="AU157" s="34">
        <v>36</v>
      </c>
      <c r="AV157" s="34">
        <v>39</v>
      </c>
      <c r="AW157" s="34">
        <v>40</v>
      </c>
      <c r="AX157" s="31">
        <v>1.7578125E-2</v>
      </c>
      <c r="AY157" s="31">
        <v>1.904296875E-2</v>
      </c>
      <c r="AZ157" s="31">
        <v>1.953125E-2</v>
      </c>
      <c r="BA157" s="31">
        <v>0.23493975903614461</v>
      </c>
      <c r="BB157" s="34">
        <v>0</v>
      </c>
      <c r="BC157" s="34">
        <v>0</v>
      </c>
      <c r="BD157" s="32">
        <v>0.95454545454545459</v>
      </c>
      <c r="BE157" s="32">
        <v>0.9</v>
      </c>
      <c r="BF157" s="32" t="s">
        <v>335</v>
      </c>
    </row>
    <row r="158" spans="1:58" ht="19.5" customHeight="1">
      <c r="A158" s="35">
        <v>155</v>
      </c>
      <c r="B158" s="30" t="s">
        <v>5</v>
      </c>
      <c r="C158" s="36">
        <v>46120</v>
      </c>
      <c r="D158" s="30" t="s">
        <v>25</v>
      </c>
      <c r="E158" s="30">
        <v>9867</v>
      </c>
      <c r="F158" s="30">
        <v>9087</v>
      </c>
      <c r="G158" s="31">
        <v>0.92094861660079053</v>
      </c>
      <c r="H158" s="30">
        <v>3164</v>
      </c>
      <c r="I158" s="32">
        <v>0.32066484240397292</v>
      </c>
      <c r="J158" s="30">
        <v>3093</v>
      </c>
      <c r="K158" s="30">
        <v>2993</v>
      </c>
      <c r="L158" s="31">
        <v>0.96799999999999997</v>
      </c>
      <c r="M158" s="30">
        <v>12251</v>
      </c>
      <c r="N158" s="30">
        <v>15056</v>
      </c>
      <c r="O158" s="30">
        <v>11838</v>
      </c>
      <c r="P158" s="31">
        <v>0.9662884662476533</v>
      </c>
      <c r="Q158" s="30">
        <v>79</v>
      </c>
      <c r="R158" s="30">
        <v>0</v>
      </c>
      <c r="S158" s="30">
        <v>0</v>
      </c>
      <c r="T158" s="31">
        <v>0</v>
      </c>
      <c r="U158" s="30">
        <v>0</v>
      </c>
      <c r="V158" s="31">
        <v>0</v>
      </c>
      <c r="W158" s="30">
        <v>302</v>
      </c>
      <c r="X158" s="31">
        <v>3.0607074085334959E-2</v>
      </c>
      <c r="Y158" s="30">
        <v>508</v>
      </c>
      <c r="Z158" s="33">
        <v>5.1484747136921048E-2</v>
      </c>
      <c r="AA158" s="30">
        <v>0</v>
      </c>
      <c r="AB158" s="31">
        <v>0</v>
      </c>
      <c r="AC158" s="30">
        <v>1036</v>
      </c>
      <c r="AD158" s="31">
        <v>0.1049964528225398</v>
      </c>
      <c r="AE158" s="30">
        <v>368</v>
      </c>
      <c r="AF158" s="31">
        <v>0.35521235521235522</v>
      </c>
      <c r="AG158" s="30">
        <v>894</v>
      </c>
      <c r="AH158" s="31">
        <v>0.86293436293436299</v>
      </c>
      <c r="AI158" s="34">
        <v>1134</v>
      </c>
      <c r="AJ158" s="31">
        <v>0.1149285497111584</v>
      </c>
      <c r="AK158" s="34">
        <v>5</v>
      </c>
      <c r="AL158" s="31">
        <v>0.86419753086419748</v>
      </c>
      <c r="AM158" s="34">
        <v>1132</v>
      </c>
      <c r="AN158" s="34">
        <v>980</v>
      </c>
      <c r="AO158" s="31">
        <v>9.9320968886186273E-2</v>
      </c>
      <c r="AP158" s="31">
        <v>0.94594594594594594</v>
      </c>
      <c r="AQ158" s="32">
        <v>0.95813510941960034</v>
      </c>
      <c r="AR158" s="34">
        <v>1513</v>
      </c>
      <c r="AS158" s="34">
        <v>659</v>
      </c>
      <c r="AT158" s="34">
        <v>409</v>
      </c>
      <c r="AU158" s="34">
        <v>394</v>
      </c>
      <c r="AV158" s="34">
        <v>218</v>
      </c>
      <c r="AW158" s="34">
        <v>0</v>
      </c>
      <c r="AX158" s="31">
        <v>3.993108340934428E-2</v>
      </c>
      <c r="AY158" s="31">
        <v>2.20938481808047E-2</v>
      </c>
      <c r="AZ158" s="31">
        <v>0</v>
      </c>
      <c r="BA158" s="31">
        <v>0.22244897959183671</v>
      </c>
      <c r="BB158" s="34">
        <v>0</v>
      </c>
      <c r="BC158" s="34">
        <v>1</v>
      </c>
      <c r="BD158" s="32">
        <v>0.98529411764705888</v>
      </c>
      <c r="BE158" s="32">
        <v>0.92307692307692313</v>
      </c>
      <c r="BF158" s="32" t="s">
        <v>335</v>
      </c>
    </row>
    <row r="159" spans="1:58" ht="19.5" customHeight="1">
      <c r="A159" s="35">
        <v>156</v>
      </c>
      <c r="B159" s="30" t="s">
        <v>5</v>
      </c>
      <c r="C159" s="36">
        <v>46120</v>
      </c>
      <c r="D159" s="30" t="s">
        <v>287</v>
      </c>
      <c r="E159" s="30">
        <v>2906</v>
      </c>
      <c r="F159" s="30">
        <v>2647</v>
      </c>
      <c r="G159" s="31">
        <v>0.91087405368203711</v>
      </c>
      <c r="H159" s="30">
        <v>1830</v>
      </c>
      <c r="I159" s="32">
        <v>0.62973158981417754</v>
      </c>
      <c r="J159" s="30">
        <v>3822</v>
      </c>
      <c r="K159" s="30">
        <v>3744</v>
      </c>
      <c r="L159" s="31">
        <v>0.98</v>
      </c>
      <c r="M159" s="30">
        <v>17587</v>
      </c>
      <c r="N159" s="30">
        <v>17644</v>
      </c>
      <c r="O159" s="30">
        <v>17322</v>
      </c>
      <c r="P159" s="31">
        <v>0.98493205208392565</v>
      </c>
      <c r="Q159" s="30">
        <v>67</v>
      </c>
      <c r="R159" s="30">
        <v>0</v>
      </c>
      <c r="S159" s="30">
        <v>0</v>
      </c>
      <c r="T159" s="31">
        <v>0</v>
      </c>
      <c r="U159" s="30">
        <v>0</v>
      </c>
      <c r="V159" s="31">
        <v>0</v>
      </c>
      <c r="W159" s="30">
        <v>2575</v>
      </c>
      <c r="X159" s="31">
        <v>0.8860977288368892</v>
      </c>
      <c r="Y159" s="30">
        <v>765</v>
      </c>
      <c r="Z159" s="33">
        <v>0.26324845147969722</v>
      </c>
      <c r="AA159" s="30">
        <v>112</v>
      </c>
      <c r="AB159" s="31">
        <v>3.8540949759119057E-2</v>
      </c>
      <c r="AC159" s="30">
        <v>402</v>
      </c>
      <c r="AD159" s="31">
        <v>0.13833448038540949</v>
      </c>
      <c r="AE159" s="30">
        <v>52</v>
      </c>
      <c r="AF159" s="31">
        <v>0.12935323383084579</v>
      </c>
      <c r="AG159" s="30">
        <v>371</v>
      </c>
      <c r="AH159" s="31">
        <v>0.92288557213930345</v>
      </c>
      <c r="AI159" s="34">
        <v>405</v>
      </c>
      <c r="AJ159" s="31">
        <v>0.1393668272539573</v>
      </c>
      <c r="AK159" s="34">
        <v>0</v>
      </c>
      <c r="AL159" s="31">
        <v>0.9555555555555556</v>
      </c>
      <c r="AM159" s="34">
        <v>403</v>
      </c>
      <c r="AN159" s="34">
        <v>387</v>
      </c>
      <c r="AO159" s="31">
        <v>0.13317274604267029</v>
      </c>
      <c r="AP159" s="31">
        <v>0.96268656716417911</v>
      </c>
      <c r="AQ159" s="32">
        <v>0.97323600973236013</v>
      </c>
      <c r="AR159" s="34">
        <v>0</v>
      </c>
      <c r="AS159" s="34">
        <v>0</v>
      </c>
      <c r="AT159" s="34">
        <v>64</v>
      </c>
      <c r="AU159" s="34">
        <v>56</v>
      </c>
      <c r="AV159" s="34">
        <v>58</v>
      </c>
      <c r="AW159" s="34">
        <v>72</v>
      </c>
      <c r="AX159" s="31">
        <v>1.9270474879559529E-2</v>
      </c>
      <c r="AY159" s="31">
        <v>1.9958706125258088E-2</v>
      </c>
      <c r="AZ159" s="31">
        <v>2.4776324845147971E-2</v>
      </c>
      <c r="BA159" s="31">
        <v>0.14987080103359171</v>
      </c>
      <c r="BB159" s="34">
        <v>0</v>
      </c>
      <c r="BC159" s="34">
        <v>0</v>
      </c>
      <c r="BD159" s="32">
        <v>0.9850746268656716</v>
      </c>
      <c r="BE159" s="32">
        <v>1</v>
      </c>
      <c r="BF159" s="32" t="s">
        <v>335</v>
      </c>
    </row>
    <row r="160" spans="1:58" ht="19.5" customHeight="1">
      <c r="A160" s="35">
        <v>157</v>
      </c>
      <c r="B160" s="30" t="s">
        <v>5</v>
      </c>
      <c r="C160" s="36">
        <v>46121</v>
      </c>
      <c r="D160" s="30" t="s">
        <v>2</v>
      </c>
      <c r="E160" s="30">
        <v>1844</v>
      </c>
      <c r="F160" s="30">
        <v>1691</v>
      </c>
      <c r="G160" s="31">
        <v>0.91702819956616055</v>
      </c>
      <c r="H160" s="30">
        <v>694</v>
      </c>
      <c r="I160" s="32">
        <v>0.37635574837310187</v>
      </c>
      <c r="J160" s="30">
        <v>2165</v>
      </c>
      <c r="K160" s="30">
        <v>2117</v>
      </c>
      <c r="L160" s="31">
        <v>0.97799999999999998</v>
      </c>
      <c r="M160" s="30">
        <v>10545</v>
      </c>
      <c r="N160" s="30">
        <v>10302</v>
      </c>
      <c r="O160" s="30">
        <v>10418</v>
      </c>
      <c r="P160" s="31">
        <v>0.98795637743006159</v>
      </c>
      <c r="Q160" s="30">
        <v>31</v>
      </c>
      <c r="R160" s="30">
        <v>0</v>
      </c>
      <c r="S160" s="30">
        <v>0</v>
      </c>
      <c r="T160" s="31">
        <v>0</v>
      </c>
      <c r="U160" s="30">
        <v>0</v>
      </c>
      <c r="V160" s="31">
        <v>0</v>
      </c>
      <c r="W160" s="30">
        <v>1133</v>
      </c>
      <c r="X160" s="31">
        <v>0.61442516268980474</v>
      </c>
      <c r="Y160" s="30">
        <v>450</v>
      </c>
      <c r="Z160" s="33">
        <v>0.2440347071583514</v>
      </c>
      <c r="AA160" s="30">
        <v>48</v>
      </c>
      <c r="AB160" s="31">
        <v>2.6030368763557479E-2</v>
      </c>
      <c r="AC160" s="30">
        <v>167</v>
      </c>
      <c r="AD160" s="31">
        <v>9.0563991323210413E-2</v>
      </c>
      <c r="AE160" s="30">
        <v>34</v>
      </c>
      <c r="AF160" s="31">
        <v>0.20359281437125751</v>
      </c>
      <c r="AG160" s="30">
        <v>154</v>
      </c>
      <c r="AH160" s="31">
        <v>0.92215568862275454</v>
      </c>
      <c r="AI160" s="34">
        <v>158</v>
      </c>
      <c r="AJ160" s="31">
        <v>8.5683297180043388E-2</v>
      </c>
      <c r="AK160" s="34">
        <v>0</v>
      </c>
      <c r="AL160" s="31">
        <v>0.88607594936708856</v>
      </c>
      <c r="AM160" s="34">
        <v>159</v>
      </c>
      <c r="AN160" s="34">
        <v>140</v>
      </c>
      <c r="AO160" s="31">
        <v>7.5921908893709325E-2</v>
      </c>
      <c r="AP160" s="31">
        <v>0.83832335329341312</v>
      </c>
      <c r="AQ160" s="32">
        <v>0.96808510638297873</v>
      </c>
      <c r="AR160" s="34">
        <v>0</v>
      </c>
      <c r="AS160" s="34">
        <v>0</v>
      </c>
      <c r="AT160" s="34">
        <v>39</v>
      </c>
      <c r="AU160" s="34">
        <v>34</v>
      </c>
      <c r="AV160" s="34">
        <v>30</v>
      </c>
      <c r="AW160" s="34">
        <v>70</v>
      </c>
      <c r="AX160" s="31">
        <v>1.843817787418655E-2</v>
      </c>
      <c r="AY160" s="31">
        <v>1.626898047722343E-2</v>
      </c>
      <c r="AZ160" s="31">
        <v>3.7960954446854663E-2</v>
      </c>
      <c r="BA160" s="31">
        <v>0.2142857142857143</v>
      </c>
      <c r="BB160" s="34">
        <v>0</v>
      </c>
      <c r="BC160" s="34">
        <v>0</v>
      </c>
      <c r="BD160" s="32">
        <v>1</v>
      </c>
      <c r="BE160" s="32">
        <v>1</v>
      </c>
      <c r="BF160" s="32" t="s">
        <v>335</v>
      </c>
    </row>
    <row r="161" spans="1:58" ht="19.5" customHeight="1">
      <c r="A161" s="35">
        <v>158</v>
      </c>
      <c r="B161" s="30" t="s">
        <v>5</v>
      </c>
      <c r="C161" s="36">
        <v>46121</v>
      </c>
      <c r="D161" s="30" t="s">
        <v>285</v>
      </c>
      <c r="E161" s="30">
        <v>1931</v>
      </c>
      <c r="F161" s="30">
        <v>1802</v>
      </c>
      <c r="G161" s="31">
        <v>0.9331952356292077</v>
      </c>
      <c r="H161" s="30">
        <v>895</v>
      </c>
      <c r="I161" s="32">
        <v>0.46349041947177633</v>
      </c>
      <c r="J161" s="30">
        <v>1865</v>
      </c>
      <c r="K161" s="30">
        <v>1806</v>
      </c>
      <c r="L161" s="31">
        <v>0.96799999999999997</v>
      </c>
      <c r="M161" s="30">
        <v>9688</v>
      </c>
      <c r="N161" s="30">
        <v>9511</v>
      </c>
      <c r="O161" s="30">
        <v>9534</v>
      </c>
      <c r="P161" s="31">
        <v>0.98410404624277459</v>
      </c>
      <c r="Q161" s="30">
        <v>32</v>
      </c>
      <c r="R161" s="30">
        <v>0</v>
      </c>
      <c r="S161" s="30">
        <v>0</v>
      </c>
      <c r="T161" s="31">
        <v>0</v>
      </c>
      <c r="U161" s="30">
        <v>0</v>
      </c>
      <c r="V161" s="31">
        <v>0</v>
      </c>
      <c r="W161" s="30">
        <v>1614</v>
      </c>
      <c r="X161" s="31">
        <v>0.83583635422061109</v>
      </c>
      <c r="Y161" s="30">
        <v>534</v>
      </c>
      <c r="Z161" s="33">
        <v>0.276540652511652</v>
      </c>
      <c r="AA161" s="30">
        <v>25</v>
      </c>
      <c r="AB161" s="31">
        <v>1.294665976178146E-2</v>
      </c>
      <c r="AC161" s="30">
        <v>232</v>
      </c>
      <c r="AD161" s="31">
        <v>0.120145002589332</v>
      </c>
      <c r="AE161" s="30">
        <v>32</v>
      </c>
      <c r="AF161" s="31">
        <v>0.13793103448275859</v>
      </c>
      <c r="AG161" s="30">
        <v>205</v>
      </c>
      <c r="AH161" s="31">
        <v>0.88362068965517238</v>
      </c>
      <c r="AI161" s="34">
        <v>211</v>
      </c>
      <c r="AJ161" s="31">
        <v>0.10926980838943549</v>
      </c>
      <c r="AK161" s="34">
        <v>0</v>
      </c>
      <c r="AL161" s="31">
        <v>0.84360189573459721</v>
      </c>
      <c r="AM161" s="34">
        <v>210</v>
      </c>
      <c r="AN161" s="34">
        <v>178</v>
      </c>
      <c r="AO161" s="31">
        <v>9.2180217503883999E-2</v>
      </c>
      <c r="AP161" s="31">
        <v>0.76724137931034486</v>
      </c>
      <c r="AQ161" s="32">
        <v>0.98445595854922274</v>
      </c>
      <c r="AR161" s="34">
        <v>0</v>
      </c>
      <c r="AS161" s="34">
        <v>0</v>
      </c>
      <c r="AT161" s="34">
        <v>61</v>
      </c>
      <c r="AU161" s="34">
        <v>50</v>
      </c>
      <c r="AV161" s="34">
        <v>46</v>
      </c>
      <c r="AW161" s="34">
        <v>37</v>
      </c>
      <c r="AX161" s="31">
        <v>2.589331952356292E-2</v>
      </c>
      <c r="AY161" s="31">
        <v>2.3821853961677891E-2</v>
      </c>
      <c r="AZ161" s="31">
        <v>1.9161056447436559E-2</v>
      </c>
      <c r="BA161" s="31">
        <v>0.25842696629213491</v>
      </c>
      <c r="BB161" s="34">
        <v>0</v>
      </c>
      <c r="BC161" s="34">
        <v>0</v>
      </c>
      <c r="BD161" s="32">
        <v>1</v>
      </c>
      <c r="BE161" s="32">
        <v>1</v>
      </c>
      <c r="BF161" s="32" t="s">
        <v>335</v>
      </c>
    </row>
    <row r="162" spans="1:58" ht="19.5" customHeight="1">
      <c r="A162" s="35">
        <v>159</v>
      </c>
      <c r="B162" s="30" t="s">
        <v>5</v>
      </c>
      <c r="C162" s="36">
        <v>46121</v>
      </c>
      <c r="D162" s="30" t="s">
        <v>25</v>
      </c>
      <c r="E162" s="30">
        <v>7809</v>
      </c>
      <c r="F162" s="30">
        <v>7229</v>
      </c>
      <c r="G162" s="31">
        <v>0.92572672557305669</v>
      </c>
      <c r="H162" s="30">
        <v>3578</v>
      </c>
      <c r="I162" s="32">
        <v>0.458189268792419</v>
      </c>
      <c r="J162" s="30">
        <v>10789</v>
      </c>
      <c r="K162" s="30">
        <v>10610</v>
      </c>
      <c r="L162" s="31">
        <v>0.98299999999999998</v>
      </c>
      <c r="M162" s="30">
        <v>21545</v>
      </c>
      <c r="N162" s="30">
        <v>22436</v>
      </c>
      <c r="O162" s="30">
        <v>21158</v>
      </c>
      <c r="P162" s="31">
        <v>0.98203759572986771</v>
      </c>
      <c r="Q162" s="30">
        <v>57</v>
      </c>
      <c r="R162" s="30">
        <v>0</v>
      </c>
      <c r="S162" s="30">
        <v>0</v>
      </c>
      <c r="T162" s="31">
        <v>0</v>
      </c>
      <c r="U162" s="30">
        <v>0</v>
      </c>
      <c r="V162" s="31">
        <v>0</v>
      </c>
      <c r="W162" s="30">
        <v>213</v>
      </c>
      <c r="X162" s="31">
        <v>2.7276219746446409E-2</v>
      </c>
      <c r="Y162" s="30">
        <v>753</v>
      </c>
      <c r="Z162" s="33">
        <v>9.6427199385324625E-2</v>
      </c>
      <c r="AA162" s="30">
        <v>2</v>
      </c>
      <c r="AB162" s="31">
        <v>2.561147394032526E-4</v>
      </c>
      <c r="AC162" s="30">
        <v>1620</v>
      </c>
      <c r="AD162" s="31">
        <v>0.20745293891663469</v>
      </c>
      <c r="AE162" s="30">
        <v>361</v>
      </c>
      <c r="AF162" s="31">
        <v>0.22283950617283951</v>
      </c>
      <c r="AG162" s="30">
        <v>1430</v>
      </c>
      <c r="AH162" s="31">
        <v>0.88271604938271608</v>
      </c>
      <c r="AI162" s="34">
        <v>1669</v>
      </c>
      <c r="AJ162" s="31">
        <v>0.2137277500320143</v>
      </c>
      <c r="AK162" s="34">
        <v>11</v>
      </c>
      <c r="AL162" s="31">
        <v>0.82204913121629719</v>
      </c>
      <c r="AM162" s="34">
        <v>1665</v>
      </c>
      <c r="AN162" s="34">
        <v>1372</v>
      </c>
      <c r="AO162" s="31">
        <v>0.1756947112306313</v>
      </c>
      <c r="AP162" s="31">
        <v>0.84691358024691354</v>
      </c>
      <c r="AQ162" s="32">
        <v>0.95375722543352603</v>
      </c>
      <c r="AR162" s="34">
        <v>0</v>
      </c>
      <c r="AS162" s="34">
        <v>0</v>
      </c>
      <c r="AT162" s="34">
        <v>369</v>
      </c>
      <c r="AU162" s="34">
        <v>327</v>
      </c>
      <c r="AV162" s="34">
        <v>327</v>
      </c>
      <c r="AW162" s="34">
        <v>0</v>
      </c>
      <c r="AX162" s="31">
        <v>4.1874759892431813E-2</v>
      </c>
      <c r="AY162" s="31">
        <v>4.1874759892431813E-2</v>
      </c>
      <c r="AZ162" s="31">
        <v>0</v>
      </c>
      <c r="BA162" s="31">
        <v>0.2383381924198251</v>
      </c>
      <c r="BB162" s="34">
        <v>0</v>
      </c>
      <c r="BC162" s="34">
        <v>0</v>
      </c>
      <c r="BD162" s="32">
        <v>0.98104265402843605</v>
      </c>
      <c r="BE162" s="32">
        <v>1</v>
      </c>
      <c r="BF162" s="32" t="s">
        <v>335</v>
      </c>
    </row>
    <row r="163" spans="1:58" ht="19.5" customHeight="1">
      <c r="A163" s="35">
        <v>160</v>
      </c>
      <c r="B163" s="30" t="s">
        <v>5</v>
      </c>
      <c r="C163" s="36">
        <v>46121</v>
      </c>
      <c r="D163" s="30" t="s">
        <v>287</v>
      </c>
      <c r="E163" s="30">
        <v>2796</v>
      </c>
      <c r="F163" s="30">
        <v>2575</v>
      </c>
      <c r="G163" s="31">
        <v>0.92095851216022895</v>
      </c>
      <c r="H163" s="30">
        <v>1683</v>
      </c>
      <c r="I163" s="32">
        <v>0.60193133047210301</v>
      </c>
      <c r="J163" s="30">
        <v>3435</v>
      </c>
      <c r="K163" s="30">
        <v>3355</v>
      </c>
      <c r="L163" s="31">
        <v>0.97699999999999998</v>
      </c>
      <c r="M163" s="30">
        <v>17217</v>
      </c>
      <c r="N163" s="30">
        <v>16667</v>
      </c>
      <c r="O163" s="30">
        <v>16986</v>
      </c>
      <c r="P163" s="31">
        <v>0.98658302840216061</v>
      </c>
      <c r="Q163" s="30">
        <v>60</v>
      </c>
      <c r="R163" s="30">
        <v>0</v>
      </c>
      <c r="S163" s="30">
        <v>0</v>
      </c>
      <c r="T163" s="31">
        <v>0</v>
      </c>
      <c r="U163" s="30">
        <v>0</v>
      </c>
      <c r="V163" s="31">
        <v>0</v>
      </c>
      <c r="W163" s="30">
        <v>1846</v>
      </c>
      <c r="X163" s="31">
        <v>0.66022889842632337</v>
      </c>
      <c r="Y163" s="30">
        <v>600</v>
      </c>
      <c r="Z163" s="33">
        <v>0.21459227467811159</v>
      </c>
      <c r="AA163" s="30">
        <v>89</v>
      </c>
      <c r="AB163" s="31">
        <v>3.1831187410586548E-2</v>
      </c>
      <c r="AC163" s="30">
        <v>354</v>
      </c>
      <c r="AD163" s="31">
        <v>0.12660944206008579</v>
      </c>
      <c r="AE163" s="30">
        <v>39</v>
      </c>
      <c r="AF163" s="31">
        <v>0.1101694915254237</v>
      </c>
      <c r="AG163" s="30">
        <v>313</v>
      </c>
      <c r="AH163" s="31">
        <v>0.88418079096045199</v>
      </c>
      <c r="AI163" s="34">
        <v>330</v>
      </c>
      <c r="AJ163" s="31">
        <v>0.1180257510729614</v>
      </c>
      <c r="AK163" s="34">
        <v>1</v>
      </c>
      <c r="AL163" s="31">
        <v>0.95454545454545459</v>
      </c>
      <c r="AM163" s="34">
        <v>330</v>
      </c>
      <c r="AN163" s="34">
        <v>315</v>
      </c>
      <c r="AO163" s="31">
        <v>0.1126609442060086</v>
      </c>
      <c r="AP163" s="31">
        <v>0.88983050847457623</v>
      </c>
      <c r="AQ163" s="32">
        <v>0.93846153846153846</v>
      </c>
      <c r="AR163" s="34">
        <v>0</v>
      </c>
      <c r="AS163" s="34">
        <v>0</v>
      </c>
      <c r="AT163" s="34">
        <v>60</v>
      </c>
      <c r="AU163" s="34">
        <v>54</v>
      </c>
      <c r="AV163" s="34">
        <v>53</v>
      </c>
      <c r="AW163" s="34">
        <v>64</v>
      </c>
      <c r="AX163" s="31">
        <v>1.9313304721030041E-2</v>
      </c>
      <c r="AY163" s="31">
        <v>1.8955650929899859E-2</v>
      </c>
      <c r="AZ163" s="31">
        <v>2.2889842632331899E-2</v>
      </c>
      <c r="BA163" s="31">
        <v>0.16825396825396829</v>
      </c>
      <c r="BB163" s="34">
        <v>0</v>
      </c>
      <c r="BC163" s="34">
        <v>1</v>
      </c>
      <c r="BD163" s="32">
        <v>0.96078431372549022</v>
      </c>
      <c r="BE163" s="32">
        <v>1</v>
      </c>
      <c r="BF163" s="32" t="s">
        <v>335</v>
      </c>
    </row>
    <row r="164" spans="1:58" ht="19.5" customHeight="1">
      <c r="A164" s="35">
        <v>161</v>
      </c>
      <c r="B164" s="30" t="s">
        <v>5</v>
      </c>
      <c r="C164" s="36">
        <v>46122</v>
      </c>
      <c r="D164" s="30" t="s">
        <v>2</v>
      </c>
      <c r="E164" s="30">
        <v>2026</v>
      </c>
      <c r="F164" s="30">
        <v>1825</v>
      </c>
      <c r="G164" s="31">
        <v>0.90078973346495561</v>
      </c>
      <c r="H164" s="30">
        <v>1165</v>
      </c>
      <c r="I164" s="32">
        <v>0.57502467917077982</v>
      </c>
      <c r="J164" s="30">
        <v>2600</v>
      </c>
      <c r="K164" s="30">
        <v>2517</v>
      </c>
      <c r="L164" s="31">
        <v>0.96799999999999997</v>
      </c>
      <c r="M164" s="30">
        <v>10939</v>
      </c>
      <c r="N164" s="30">
        <v>11127</v>
      </c>
      <c r="O164" s="30">
        <v>10751</v>
      </c>
      <c r="P164" s="31">
        <v>0.98281378553798338</v>
      </c>
      <c r="Q164" s="30">
        <v>57</v>
      </c>
      <c r="R164" s="30">
        <v>0</v>
      </c>
      <c r="S164" s="30">
        <v>0</v>
      </c>
      <c r="T164" s="31">
        <v>0</v>
      </c>
      <c r="U164" s="30">
        <v>0</v>
      </c>
      <c r="V164" s="31">
        <v>0</v>
      </c>
      <c r="W164" s="30">
        <v>1724</v>
      </c>
      <c r="X164" s="31">
        <v>0.85093780848963474</v>
      </c>
      <c r="Y164" s="30">
        <v>484</v>
      </c>
      <c r="Z164" s="33">
        <v>0.2388943731490622</v>
      </c>
      <c r="AA164" s="30">
        <v>42</v>
      </c>
      <c r="AB164" s="31">
        <v>2.0730503455083909E-2</v>
      </c>
      <c r="AC164" s="30">
        <v>187</v>
      </c>
      <c r="AD164" s="31">
        <v>9.2300098716683113E-2</v>
      </c>
      <c r="AE164" s="30">
        <v>34</v>
      </c>
      <c r="AF164" s="31">
        <v>0.1818181818181818</v>
      </c>
      <c r="AG164" s="30">
        <v>168</v>
      </c>
      <c r="AH164" s="31">
        <v>0.89839572192513373</v>
      </c>
      <c r="AI164" s="34">
        <v>189</v>
      </c>
      <c r="AJ164" s="31">
        <v>9.3287265547877585E-2</v>
      </c>
      <c r="AK164" s="34">
        <v>0</v>
      </c>
      <c r="AL164" s="31">
        <v>0.83597883597883593</v>
      </c>
      <c r="AM164" s="34">
        <v>187</v>
      </c>
      <c r="AN164" s="34">
        <v>158</v>
      </c>
      <c r="AO164" s="31">
        <v>7.7986179664363275E-2</v>
      </c>
      <c r="AP164" s="31">
        <v>0.84491978609625673</v>
      </c>
      <c r="AQ164" s="32">
        <v>0.9419354838709677</v>
      </c>
      <c r="AR164" s="34">
        <v>0</v>
      </c>
      <c r="AS164" s="34">
        <v>0</v>
      </c>
      <c r="AT164" s="34">
        <v>50</v>
      </c>
      <c r="AU164" s="34">
        <v>48</v>
      </c>
      <c r="AV164" s="34">
        <v>49</v>
      </c>
      <c r="AW164" s="34">
        <v>79</v>
      </c>
      <c r="AX164" s="31">
        <v>2.3692003948667321E-2</v>
      </c>
      <c r="AY164" s="31">
        <v>2.4185587364264561E-2</v>
      </c>
      <c r="AZ164" s="31">
        <v>3.8993089832181638E-2</v>
      </c>
      <c r="BA164" s="31">
        <v>0.310126582278481</v>
      </c>
      <c r="BB164" s="34">
        <v>0</v>
      </c>
      <c r="BC164" s="34">
        <v>0</v>
      </c>
      <c r="BD164" s="32">
        <v>1</v>
      </c>
      <c r="BE164" s="32">
        <v>1</v>
      </c>
      <c r="BF164" s="32" t="s">
        <v>335</v>
      </c>
    </row>
    <row r="165" spans="1:58" ht="19.5" customHeight="1">
      <c r="A165" s="35">
        <v>162</v>
      </c>
      <c r="B165" s="30" t="s">
        <v>5</v>
      </c>
      <c r="C165" s="36">
        <v>46122</v>
      </c>
      <c r="D165" s="30" t="s">
        <v>285</v>
      </c>
      <c r="E165" s="30">
        <v>2077</v>
      </c>
      <c r="F165" s="30">
        <v>1867</v>
      </c>
      <c r="G165" s="31">
        <v>0.89889263360616278</v>
      </c>
      <c r="H165" s="30">
        <v>1440</v>
      </c>
      <c r="I165" s="32">
        <v>0.69330765527202698</v>
      </c>
      <c r="J165" s="30">
        <v>2992</v>
      </c>
      <c r="K165" s="30">
        <v>2906</v>
      </c>
      <c r="L165" s="31">
        <v>0.97099999999999997</v>
      </c>
      <c r="M165" s="30">
        <v>11022</v>
      </c>
      <c r="N165" s="30">
        <v>11093</v>
      </c>
      <c r="O165" s="30">
        <v>10818</v>
      </c>
      <c r="P165" s="31">
        <v>0.98149156232988566</v>
      </c>
      <c r="Q165" s="30">
        <v>48</v>
      </c>
      <c r="R165" s="30">
        <v>0</v>
      </c>
      <c r="S165" s="30">
        <v>0</v>
      </c>
      <c r="T165" s="31">
        <v>0</v>
      </c>
      <c r="U165" s="30">
        <v>0</v>
      </c>
      <c r="V165" s="31">
        <v>0</v>
      </c>
      <c r="W165" s="30">
        <v>1553</v>
      </c>
      <c r="X165" s="31">
        <v>0.74771304766490132</v>
      </c>
      <c r="Y165" s="30">
        <v>549</v>
      </c>
      <c r="Z165" s="33">
        <v>0.2643235435724603</v>
      </c>
      <c r="AA165" s="30">
        <v>21</v>
      </c>
      <c r="AB165" s="31">
        <v>1.011073663938373E-2</v>
      </c>
      <c r="AC165" s="30">
        <v>196</v>
      </c>
      <c r="AD165" s="31">
        <v>9.4366875300914782E-2</v>
      </c>
      <c r="AE165" s="30">
        <v>36</v>
      </c>
      <c r="AF165" s="31">
        <v>0.18367346938775511</v>
      </c>
      <c r="AG165" s="30">
        <v>173</v>
      </c>
      <c r="AH165" s="31">
        <v>0.88265306122448983</v>
      </c>
      <c r="AI165" s="34">
        <v>184</v>
      </c>
      <c r="AJ165" s="31">
        <v>8.8589311506981225E-2</v>
      </c>
      <c r="AK165" s="34">
        <v>2</v>
      </c>
      <c r="AL165" s="31">
        <v>0.88043478260869568</v>
      </c>
      <c r="AM165" s="34">
        <v>184</v>
      </c>
      <c r="AN165" s="34">
        <v>162</v>
      </c>
      <c r="AO165" s="31">
        <v>7.799711121810303E-2</v>
      </c>
      <c r="AP165" s="31">
        <v>0.82653061224489799</v>
      </c>
      <c r="AQ165" s="32">
        <v>0.93</v>
      </c>
      <c r="AR165" s="34">
        <v>0</v>
      </c>
      <c r="AS165" s="34">
        <v>0</v>
      </c>
      <c r="AT165" s="34">
        <v>48</v>
      </c>
      <c r="AU165" s="34">
        <v>46</v>
      </c>
      <c r="AV165" s="34">
        <v>50</v>
      </c>
      <c r="AW165" s="34">
        <v>42</v>
      </c>
      <c r="AX165" s="31">
        <v>2.214732787674531E-2</v>
      </c>
      <c r="AY165" s="31">
        <v>2.4073182474723159E-2</v>
      </c>
      <c r="AZ165" s="31">
        <v>2.022147327876745E-2</v>
      </c>
      <c r="BA165" s="31">
        <v>0.30864197530864201</v>
      </c>
      <c r="BB165" s="34">
        <v>0</v>
      </c>
      <c r="BC165" s="34">
        <v>0</v>
      </c>
      <c r="BD165" s="32">
        <v>0.96666666666666667</v>
      </c>
      <c r="BE165" s="32">
        <v>1</v>
      </c>
      <c r="BF165" s="32" t="s">
        <v>335</v>
      </c>
    </row>
    <row r="166" spans="1:58" ht="19.5" customHeight="1">
      <c r="A166" s="35">
        <v>163</v>
      </c>
      <c r="B166" s="30" t="s">
        <v>5</v>
      </c>
      <c r="C166" s="36">
        <v>46122</v>
      </c>
      <c r="D166" s="30" t="s">
        <v>25</v>
      </c>
      <c r="E166" s="30">
        <v>6676</v>
      </c>
      <c r="F166" s="30">
        <v>6209</v>
      </c>
      <c r="G166" s="31">
        <v>0.93004793289394849</v>
      </c>
      <c r="H166" s="30">
        <v>2865</v>
      </c>
      <c r="I166" s="32">
        <v>0.42914919113241462</v>
      </c>
      <c r="J166" s="30">
        <v>9467</v>
      </c>
      <c r="K166" s="30">
        <v>9328</v>
      </c>
      <c r="L166" s="31">
        <v>0.98499999999999999</v>
      </c>
      <c r="M166" s="30">
        <v>21254</v>
      </c>
      <c r="N166" s="30">
        <v>22478</v>
      </c>
      <c r="O166" s="30">
        <v>20883</v>
      </c>
      <c r="P166" s="31">
        <v>0.98254446221887648</v>
      </c>
      <c r="Q166" s="30">
        <v>47</v>
      </c>
      <c r="R166" s="30">
        <v>0</v>
      </c>
      <c r="S166" s="30">
        <v>0</v>
      </c>
      <c r="T166" s="31">
        <v>0</v>
      </c>
      <c r="U166" s="30">
        <v>0</v>
      </c>
      <c r="V166" s="31">
        <v>0</v>
      </c>
      <c r="W166" s="30">
        <v>594</v>
      </c>
      <c r="X166" s="31">
        <v>8.8975434391851405E-2</v>
      </c>
      <c r="Y166" s="30">
        <v>578</v>
      </c>
      <c r="Z166" s="33">
        <v>8.6578789694427796E-2</v>
      </c>
      <c r="AA166" s="30">
        <v>0</v>
      </c>
      <c r="AB166" s="31">
        <v>0</v>
      </c>
      <c r="AC166" s="30">
        <v>1595</v>
      </c>
      <c r="AD166" s="31">
        <v>0.23891551827441579</v>
      </c>
      <c r="AE166" s="30">
        <v>335</v>
      </c>
      <c r="AF166" s="31">
        <v>0.21003134796238249</v>
      </c>
      <c r="AG166" s="30">
        <v>1420</v>
      </c>
      <c r="AH166" s="31">
        <v>0.89028213166144199</v>
      </c>
      <c r="AI166" s="34">
        <v>1633</v>
      </c>
      <c r="AJ166" s="31">
        <v>0.24460754943079691</v>
      </c>
      <c r="AK166" s="34">
        <v>15</v>
      </c>
      <c r="AL166" s="31">
        <v>0.80771586037966936</v>
      </c>
      <c r="AM166" s="34">
        <v>1626</v>
      </c>
      <c r="AN166" s="34">
        <v>1319</v>
      </c>
      <c r="AO166" s="31">
        <v>0.19757339724385861</v>
      </c>
      <c r="AP166" s="31">
        <v>0.82695924764890283</v>
      </c>
      <c r="AQ166" s="32">
        <v>0.97201017811704837</v>
      </c>
      <c r="AR166" s="34">
        <v>0</v>
      </c>
      <c r="AS166" s="34">
        <v>0</v>
      </c>
      <c r="AT166" s="34">
        <v>308</v>
      </c>
      <c r="AU166" s="34">
        <v>252</v>
      </c>
      <c r="AV166" s="34">
        <v>263</v>
      </c>
      <c r="AW166" s="34">
        <v>4</v>
      </c>
      <c r="AX166" s="31">
        <v>3.7747153984421813E-2</v>
      </c>
      <c r="AY166" s="31">
        <v>3.939484721390054E-2</v>
      </c>
      <c r="AZ166" s="31">
        <v>5.9916117435590175E-4</v>
      </c>
      <c r="BA166" s="31">
        <v>0.19939347990902201</v>
      </c>
      <c r="BB166" s="34">
        <v>0</v>
      </c>
      <c r="BC166" s="34">
        <v>1</v>
      </c>
      <c r="BD166" s="32">
        <v>0.95564516129032262</v>
      </c>
      <c r="BE166" s="32">
        <v>1</v>
      </c>
      <c r="BF166" s="32" t="s">
        <v>335</v>
      </c>
    </row>
    <row r="167" spans="1:58" ht="19.5" customHeight="1">
      <c r="A167" s="35">
        <v>164</v>
      </c>
      <c r="B167" s="30" t="s">
        <v>5</v>
      </c>
      <c r="C167" s="36">
        <v>46122</v>
      </c>
      <c r="D167" s="30" t="s">
        <v>287</v>
      </c>
      <c r="E167" s="30">
        <v>2140</v>
      </c>
      <c r="F167" s="30">
        <v>2034</v>
      </c>
      <c r="G167" s="31">
        <v>0.95046728971962613</v>
      </c>
      <c r="H167" s="30">
        <v>1125</v>
      </c>
      <c r="I167" s="32">
        <v>0.52570093457943923</v>
      </c>
      <c r="J167" s="30">
        <v>3114</v>
      </c>
      <c r="K167" s="30">
        <v>3037</v>
      </c>
      <c r="L167" s="31">
        <v>0.97499999999999998</v>
      </c>
      <c r="M167" s="30">
        <v>17710</v>
      </c>
      <c r="N167" s="30">
        <v>17734</v>
      </c>
      <c r="O167" s="30">
        <v>17460</v>
      </c>
      <c r="P167" s="31">
        <v>0.98588368153585548</v>
      </c>
      <c r="Q167" s="30">
        <v>79</v>
      </c>
      <c r="R167" s="30">
        <v>0</v>
      </c>
      <c r="S167" s="30">
        <v>0</v>
      </c>
      <c r="T167" s="31">
        <v>0</v>
      </c>
      <c r="U167" s="30">
        <v>0</v>
      </c>
      <c r="V167" s="31">
        <v>0</v>
      </c>
      <c r="W167" s="30">
        <v>2841</v>
      </c>
      <c r="X167" s="31">
        <v>1.327570093457944</v>
      </c>
      <c r="Y167" s="30">
        <v>631</v>
      </c>
      <c r="Z167" s="33">
        <v>0.29485981308411208</v>
      </c>
      <c r="AA167" s="30">
        <v>97</v>
      </c>
      <c r="AB167" s="31">
        <v>4.532710280373832E-2</v>
      </c>
      <c r="AC167" s="30">
        <v>405</v>
      </c>
      <c r="AD167" s="31">
        <v>0.1892523364485981</v>
      </c>
      <c r="AE167" s="30">
        <v>51</v>
      </c>
      <c r="AF167" s="31">
        <v>0.12592592592592591</v>
      </c>
      <c r="AG167" s="30">
        <v>363</v>
      </c>
      <c r="AH167" s="31">
        <v>0.89629629629629626</v>
      </c>
      <c r="AI167" s="34">
        <v>394</v>
      </c>
      <c r="AJ167" s="31">
        <v>0.1841121495327103</v>
      </c>
      <c r="AK167" s="34">
        <v>3</v>
      </c>
      <c r="AL167" s="31">
        <v>0.93147208121827407</v>
      </c>
      <c r="AM167" s="34">
        <v>391</v>
      </c>
      <c r="AN167" s="34">
        <v>367</v>
      </c>
      <c r="AO167" s="31">
        <v>0.17149532710280371</v>
      </c>
      <c r="AP167" s="31">
        <v>0.90617283950617289</v>
      </c>
      <c r="AQ167" s="32">
        <v>0.96119402985074631</v>
      </c>
      <c r="AR167" s="34">
        <v>0</v>
      </c>
      <c r="AS167" s="34">
        <v>0</v>
      </c>
      <c r="AT167" s="34">
        <v>66</v>
      </c>
      <c r="AU167" s="34">
        <v>62</v>
      </c>
      <c r="AV167" s="34">
        <v>61</v>
      </c>
      <c r="AW167" s="34">
        <v>95</v>
      </c>
      <c r="AX167" s="31">
        <v>2.897196261682243E-2</v>
      </c>
      <c r="AY167" s="31">
        <v>2.850467289719626E-2</v>
      </c>
      <c r="AZ167" s="31">
        <v>4.4392523364485979E-2</v>
      </c>
      <c r="BA167" s="31">
        <v>0.16621253405994549</v>
      </c>
      <c r="BB167" s="34">
        <v>0</v>
      </c>
      <c r="BC167" s="34">
        <v>0</v>
      </c>
      <c r="BD167" s="32">
        <v>0.98148148148148151</v>
      </c>
      <c r="BE167" s="32">
        <v>1</v>
      </c>
      <c r="BF167" s="32" t="s">
        <v>335</v>
      </c>
    </row>
    <row r="168" spans="1:58" ht="19.5" customHeight="1">
      <c r="A168" s="35">
        <v>165</v>
      </c>
      <c r="B168" s="30" t="s">
        <v>5</v>
      </c>
      <c r="C168" s="36">
        <v>46123</v>
      </c>
      <c r="D168" s="30" t="s">
        <v>2</v>
      </c>
      <c r="E168" s="30">
        <v>1986</v>
      </c>
      <c r="F168" s="30">
        <v>1808</v>
      </c>
      <c r="G168" s="31">
        <v>0.91037260825780464</v>
      </c>
      <c r="H168" s="30">
        <v>938</v>
      </c>
      <c r="I168" s="32">
        <v>0.47230614300100698</v>
      </c>
      <c r="J168" s="30">
        <v>2807</v>
      </c>
      <c r="K168" s="30">
        <v>2734</v>
      </c>
      <c r="L168" s="31">
        <v>0.97399999999999998</v>
      </c>
      <c r="M168" s="30">
        <v>12121</v>
      </c>
      <c r="N168" s="30">
        <v>12165</v>
      </c>
      <c r="O168" s="30">
        <v>11902</v>
      </c>
      <c r="P168" s="31">
        <v>0.98193218381321679</v>
      </c>
      <c r="Q168" s="30">
        <v>59</v>
      </c>
      <c r="R168" s="30">
        <v>0</v>
      </c>
      <c r="S168" s="30">
        <v>0</v>
      </c>
      <c r="T168" s="31">
        <v>0</v>
      </c>
      <c r="U168" s="30">
        <v>0</v>
      </c>
      <c r="V168" s="31">
        <v>0</v>
      </c>
      <c r="W168" s="30">
        <v>2282</v>
      </c>
      <c r="X168" s="31">
        <v>1.149043303121853</v>
      </c>
      <c r="Y168" s="30">
        <v>793</v>
      </c>
      <c r="Z168" s="33">
        <v>0.39929506545820748</v>
      </c>
      <c r="AA168" s="30">
        <v>55</v>
      </c>
      <c r="AB168" s="31">
        <v>2.769385699899295E-2</v>
      </c>
      <c r="AC168" s="30">
        <v>305</v>
      </c>
      <c r="AD168" s="31">
        <v>0.15357502517623359</v>
      </c>
      <c r="AE168" s="30">
        <v>44</v>
      </c>
      <c r="AF168" s="31">
        <v>0.1442622950819672</v>
      </c>
      <c r="AG168" s="30">
        <v>265</v>
      </c>
      <c r="AH168" s="31">
        <v>0.86885245901639341</v>
      </c>
      <c r="AI168" s="34">
        <v>301</v>
      </c>
      <c r="AJ168" s="31">
        <v>0.15156092648539779</v>
      </c>
      <c r="AK168" s="34">
        <v>0</v>
      </c>
      <c r="AL168" s="31">
        <v>0.85049833887043191</v>
      </c>
      <c r="AM168" s="34">
        <v>300</v>
      </c>
      <c r="AN168" s="34">
        <v>256</v>
      </c>
      <c r="AO168" s="31">
        <v>0.12890231621349449</v>
      </c>
      <c r="AP168" s="31">
        <v>0.83934426229508197</v>
      </c>
      <c r="AQ168" s="32">
        <v>0.9642857142857143</v>
      </c>
      <c r="AR168" s="34">
        <v>0</v>
      </c>
      <c r="AS168" s="34">
        <v>0</v>
      </c>
      <c r="AT168" s="34">
        <v>71</v>
      </c>
      <c r="AU168" s="34">
        <v>62</v>
      </c>
      <c r="AV168" s="34">
        <v>58</v>
      </c>
      <c r="AW168" s="34">
        <v>60</v>
      </c>
      <c r="AX168" s="31">
        <v>3.1218529707955689E-2</v>
      </c>
      <c r="AY168" s="31">
        <v>2.920443101711984E-2</v>
      </c>
      <c r="AZ168" s="31">
        <v>3.021148036253777E-2</v>
      </c>
      <c r="BA168" s="31">
        <v>0.2265625</v>
      </c>
      <c r="BB168" s="34">
        <v>0</v>
      </c>
      <c r="BC168" s="34">
        <v>0</v>
      </c>
      <c r="BD168" s="32">
        <v>1</v>
      </c>
      <c r="BE168" s="32">
        <v>1</v>
      </c>
      <c r="BF168" s="32" t="s">
        <v>335</v>
      </c>
    </row>
    <row r="169" spans="1:58" ht="19.5" customHeight="1">
      <c r="A169" s="35">
        <v>166</v>
      </c>
      <c r="B169" s="30" t="s">
        <v>5</v>
      </c>
      <c r="C169" s="36">
        <v>46123</v>
      </c>
      <c r="D169" s="30" t="s">
        <v>285</v>
      </c>
      <c r="E169" s="30">
        <v>2286</v>
      </c>
      <c r="F169" s="30">
        <v>2023</v>
      </c>
      <c r="G169" s="31">
        <v>0.8849518810148731</v>
      </c>
      <c r="H169" s="30">
        <v>1003</v>
      </c>
      <c r="I169" s="32">
        <v>0.43875765529308841</v>
      </c>
      <c r="J169" s="30">
        <v>1804</v>
      </c>
      <c r="K169" s="30">
        <v>1757</v>
      </c>
      <c r="L169" s="31">
        <v>0.97399999999999998</v>
      </c>
      <c r="M169" s="30">
        <v>9766</v>
      </c>
      <c r="N169" s="30">
        <v>10083</v>
      </c>
      <c r="O169" s="30">
        <v>9599</v>
      </c>
      <c r="P169" s="31">
        <v>0.98289985664550483</v>
      </c>
      <c r="Q169" s="30">
        <v>46</v>
      </c>
      <c r="R169" s="30">
        <v>0</v>
      </c>
      <c r="S169" s="30">
        <v>0</v>
      </c>
      <c r="T169" s="31">
        <v>0</v>
      </c>
      <c r="U169" s="30">
        <v>0</v>
      </c>
      <c r="V169" s="31">
        <v>0</v>
      </c>
      <c r="W169" s="30">
        <v>2047</v>
      </c>
      <c r="X169" s="31">
        <v>0.89545056867891515</v>
      </c>
      <c r="Y169" s="30">
        <v>773</v>
      </c>
      <c r="Z169" s="33">
        <v>0.33814523184601919</v>
      </c>
      <c r="AA169" s="30">
        <v>41</v>
      </c>
      <c r="AB169" s="31">
        <v>1.793525809273841E-2</v>
      </c>
      <c r="AC169" s="30">
        <v>397</v>
      </c>
      <c r="AD169" s="31">
        <v>0.17366579177602801</v>
      </c>
      <c r="AE169" s="30">
        <v>38</v>
      </c>
      <c r="AF169" s="31">
        <v>9.5717884130982367E-2</v>
      </c>
      <c r="AG169" s="30">
        <v>350</v>
      </c>
      <c r="AH169" s="31">
        <v>0.88161209068010071</v>
      </c>
      <c r="AI169" s="34">
        <v>385</v>
      </c>
      <c r="AJ169" s="31">
        <v>0.16841644794400701</v>
      </c>
      <c r="AK169" s="34">
        <v>1</v>
      </c>
      <c r="AL169" s="31">
        <v>0.83896103896103891</v>
      </c>
      <c r="AM169" s="34">
        <v>381</v>
      </c>
      <c r="AN169" s="34">
        <v>323</v>
      </c>
      <c r="AO169" s="31">
        <v>0.1412948381452318</v>
      </c>
      <c r="AP169" s="31">
        <v>0.81360201511335017</v>
      </c>
      <c r="AQ169" s="32">
        <v>0.97267759562841527</v>
      </c>
      <c r="AR169" s="34">
        <v>0</v>
      </c>
      <c r="AS169" s="34">
        <v>0</v>
      </c>
      <c r="AT169" s="34">
        <v>81</v>
      </c>
      <c r="AU169" s="34">
        <v>70</v>
      </c>
      <c r="AV169" s="34">
        <v>64</v>
      </c>
      <c r="AW169" s="34">
        <v>31</v>
      </c>
      <c r="AX169" s="31">
        <v>3.0621172353455819E-2</v>
      </c>
      <c r="AY169" s="31">
        <v>2.799650043744532E-2</v>
      </c>
      <c r="AZ169" s="31">
        <v>1.3560804899387579E-2</v>
      </c>
      <c r="BA169" s="31">
        <v>0.1981424148606811</v>
      </c>
      <c r="BB169" s="34">
        <v>0</v>
      </c>
      <c r="BC169" s="34">
        <v>0</v>
      </c>
      <c r="BD169" s="32">
        <v>1</v>
      </c>
      <c r="BE169" s="32">
        <v>1</v>
      </c>
      <c r="BF169" s="32" t="s">
        <v>335</v>
      </c>
    </row>
    <row r="170" spans="1:58" ht="19.5" customHeight="1">
      <c r="A170" s="35">
        <v>167</v>
      </c>
      <c r="B170" s="30" t="s">
        <v>5</v>
      </c>
      <c r="C170" s="36">
        <v>46123</v>
      </c>
      <c r="D170" s="30" t="s">
        <v>25</v>
      </c>
      <c r="E170" s="30">
        <v>9552</v>
      </c>
      <c r="F170" s="30">
        <v>8382</v>
      </c>
      <c r="G170" s="31">
        <v>0.87751256281407031</v>
      </c>
      <c r="H170" s="30">
        <v>3476</v>
      </c>
      <c r="I170" s="32">
        <v>0.36390284757118929</v>
      </c>
      <c r="J170" s="30">
        <v>7010</v>
      </c>
      <c r="K170" s="30">
        <v>6859</v>
      </c>
      <c r="L170" s="31">
        <v>0.97799999999999998</v>
      </c>
      <c r="M170" s="30">
        <v>21778</v>
      </c>
      <c r="N170" s="30">
        <v>25701</v>
      </c>
      <c r="O170" s="30">
        <v>21372</v>
      </c>
      <c r="P170" s="31">
        <v>0.98135733308843787</v>
      </c>
      <c r="Q170" s="30">
        <v>89</v>
      </c>
      <c r="R170" s="30">
        <v>0</v>
      </c>
      <c r="S170" s="30">
        <v>0</v>
      </c>
      <c r="T170" s="31">
        <v>0</v>
      </c>
      <c r="U170" s="30">
        <v>0</v>
      </c>
      <c r="V170" s="31">
        <v>0</v>
      </c>
      <c r="W170" s="30">
        <v>995</v>
      </c>
      <c r="X170" s="31">
        <v>0.1041666666666667</v>
      </c>
      <c r="Y170" s="30">
        <v>848</v>
      </c>
      <c r="Z170" s="33">
        <v>8.8777219430485763E-2</v>
      </c>
      <c r="AA170" s="30">
        <v>0</v>
      </c>
      <c r="AB170" s="31">
        <v>0</v>
      </c>
      <c r="AC170" s="30">
        <v>2682</v>
      </c>
      <c r="AD170" s="31">
        <v>0.28077889447236182</v>
      </c>
      <c r="AE170" s="30">
        <v>542</v>
      </c>
      <c r="AF170" s="31">
        <v>0.20208799403430269</v>
      </c>
      <c r="AG170" s="30">
        <v>2361</v>
      </c>
      <c r="AH170" s="31">
        <v>0.88031319910514538</v>
      </c>
      <c r="AI170" s="34">
        <v>2739</v>
      </c>
      <c r="AJ170" s="31">
        <v>0.28674623115577891</v>
      </c>
      <c r="AK170" s="34">
        <v>32</v>
      </c>
      <c r="AL170" s="31">
        <v>0.78021175611537052</v>
      </c>
      <c r="AM170" s="34">
        <v>2726</v>
      </c>
      <c r="AN170" s="34">
        <v>2137</v>
      </c>
      <c r="AO170" s="31">
        <v>0.22372278056951431</v>
      </c>
      <c r="AP170" s="31">
        <v>0.79679343773303501</v>
      </c>
      <c r="AQ170" s="32">
        <v>0.96649810366624522</v>
      </c>
      <c r="AR170" s="34">
        <v>0</v>
      </c>
      <c r="AS170" s="34">
        <v>0</v>
      </c>
      <c r="AT170" s="34">
        <v>654</v>
      </c>
      <c r="AU170" s="34">
        <v>566</v>
      </c>
      <c r="AV170" s="34">
        <v>589</v>
      </c>
      <c r="AW170" s="34">
        <v>10</v>
      </c>
      <c r="AX170" s="31">
        <v>5.9254606365159133E-2</v>
      </c>
      <c r="AY170" s="31">
        <v>6.1662479061976548E-2</v>
      </c>
      <c r="AZ170" s="31">
        <v>1.0469011725293129E-3</v>
      </c>
      <c r="BA170" s="31">
        <v>0.27562002807674307</v>
      </c>
      <c r="BB170" s="34">
        <v>0</v>
      </c>
      <c r="BC170" s="34">
        <v>1</v>
      </c>
      <c r="BD170" s="32">
        <v>0.97846153846153849</v>
      </c>
      <c r="BE170" s="32">
        <v>0.98</v>
      </c>
      <c r="BF170" s="32" t="s">
        <v>335</v>
      </c>
    </row>
    <row r="171" spans="1:58" ht="19.5" customHeight="1">
      <c r="A171" s="35">
        <v>168</v>
      </c>
      <c r="B171" s="30" t="s">
        <v>5</v>
      </c>
      <c r="C171" s="36">
        <v>46123</v>
      </c>
      <c r="D171" s="30" t="s">
        <v>287</v>
      </c>
      <c r="E171" s="30">
        <v>3622</v>
      </c>
      <c r="F171" s="30">
        <v>3322</v>
      </c>
      <c r="G171" s="31">
        <v>0.91717283268912209</v>
      </c>
      <c r="H171" s="30">
        <v>2061</v>
      </c>
      <c r="I171" s="32">
        <v>0.56902263942573161</v>
      </c>
      <c r="J171" s="30">
        <v>3812</v>
      </c>
      <c r="K171" s="30">
        <v>3729</v>
      </c>
      <c r="L171" s="31">
        <v>0.97799999999999998</v>
      </c>
      <c r="M171" s="30">
        <v>18561</v>
      </c>
      <c r="N171" s="30">
        <v>18928</v>
      </c>
      <c r="O171" s="30">
        <v>18289</v>
      </c>
      <c r="P171" s="31">
        <v>0.98534561715424818</v>
      </c>
      <c r="Q171" s="30">
        <v>70</v>
      </c>
      <c r="R171" s="30">
        <v>0</v>
      </c>
      <c r="S171" s="30">
        <v>0</v>
      </c>
      <c r="T171" s="31">
        <v>0</v>
      </c>
      <c r="U171" s="30">
        <v>0</v>
      </c>
      <c r="V171" s="31">
        <v>0</v>
      </c>
      <c r="W171" s="30">
        <v>3595</v>
      </c>
      <c r="X171" s="31">
        <v>0.99254555494202101</v>
      </c>
      <c r="Y171" s="30">
        <v>1113</v>
      </c>
      <c r="Z171" s="33">
        <v>0.30728879072335719</v>
      </c>
      <c r="AA171" s="30">
        <v>119</v>
      </c>
      <c r="AB171" s="31">
        <v>3.2854776366648263E-2</v>
      </c>
      <c r="AC171" s="30">
        <v>624</v>
      </c>
      <c r="AD171" s="31">
        <v>0.1722805080066262</v>
      </c>
      <c r="AE171" s="30">
        <v>75</v>
      </c>
      <c r="AF171" s="31">
        <v>0.1201923076923077</v>
      </c>
      <c r="AG171" s="30">
        <v>549</v>
      </c>
      <c r="AH171" s="31">
        <v>0.87980769230769229</v>
      </c>
      <c r="AI171" s="34">
        <v>586</v>
      </c>
      <c r="AJ171" s="31">
        <v>0.161789066813915</v>
      </c>
      <c r="AK171" s="34">
        <v>1</v>
      </c>
      <c r="AL171" s="31">
        <v>0.92662116040955633</v>
      </c>
      <c r="AM171" s="34">
        <v>584</v>
      </c>
      <c r="AN171" s="34">
        <v>543</v>
      </c>
      <c r="AO171" s="31">
        <v>0.1499171728326891</v>
      </c>
      <c r="AP171" s="31">
        <v>0.87019230769230771</v>
      </c>
      <c r="AQ171" s="32">
        <v>0.97201017811704837</v>
      </c>
      <c r="AR171" s="34">
        <v>0</v>
      </c>
      <c r="AS171" s="34">
        <v>0</v>
      </c>
      <c r="AT171" s="34">
        <v>105</v>
      </c>
      <c r="AU171" s="34">
        <v>96</v>
      </c>
      <c r="AV171" s="34">
        <v>95</v>
      </c>
      <c r="AW171" s="34">
        <v>65</v>
      </c>
      <c r="AX171" s="31">
        <v>2.6504693539480949E-2</v>
      </c>
      <c r="AY171" s="31">
        <v>2.622860298177802E-2</v>
      </c>
      <c r="AZ171" s="31">
        <v>1.794588625069023E-2</v>
      </c>
      <c r="BA171" s="31">
        <v>0.17495395948434619</v>
      </c>
      <c r="BB171" s="34">
        <v>0</v>
      </c>
      <c r="BC171" s="34">
        <v>0</v>
      </c>
      <c r="BD171" s="32">
        <v>0.98529411764705888</v>
      </c>
      <c r="BE171" s="32">
        <v>1</v>
      </c>
      <c r="BF171" s="32" t="s">
        <v>335</v>
      </c>
    </row>
    <row r="172" spans="1:58" ht="19.5" customHeight="1">
      <c r="A172" s="35">
        <v>169</v>
      </c>
      <c r="B172" s="30" t="s">
        <v>5</v>
      </c>
      <c r="C172" s="36">
        <v>46124</v>
      </c>
      <c r="D172" s="30" t="s">
        <v>2</v>
      </c>
      <c r="E172" s="30">
        <v>2577</v>
      </c>
      <c r="F172" s="30">
        <v>2425</v>
      </c>
      <c r="G172" s="31">
        <v>0.94101668606907252</v>
      </c>
      <c r="H172" s="30">
        <v>665</v>
      </c>
      <c r="I172" s="32">
        <v>0.25805199844780752</v>
      </c>
      <c r="J172" s="30">
        <v>2412</v>
      </c>
      <c r="K172" s="30">
        <v>2334</v>
      </c>
      <c r="L172" s="31">
        <v>0.96799999999999997</v>
      </c>
      <c r="M172" s="30">
        <v>10886</v>
      </c>
      <c r="N172" s="30">
        <v>11127</v>
      </c>
      <c r="O172" s="30">
        <v>10723</v>
      </c>
      <c r="P172" s="31">
        <v>0.98502663972074223</v>
      </c>
      <c r="Q172" s="30">
        <v>54</v>
      </c>
      <c r="R172" s="30">
        <v>0</v>
      </c>
      <c r="S172" s="30">
        <v>0</v>
      </c>
      <c r="T172" s="31">
        <v>0</v>
      </c>
      <c r="U172" s="30">
        <v>0</v>
      </c>
      <c r="V172" s="31">
        <v>0</v>
      </c>
      <c r="W172" s="30">
        <v>2020</v>
      </c>
      <c r="X172" s="31">
        <v>0.78385719829258826</v>
      </c>
      <c r="Y172" s="30">
        <v>733</v>
      </c>
      <c r="Z172" s="33">
        <v>0.28443927046953821</v>
      </c>
      <c r="AA172" s="30">
        <v>212</v>
      </c>
      <c r="AB172" s="31">
        <v>8.2266201008925108E-2</v>
      </c>
      <c r="AC172" s="30">
        <v>314</v>
      </c>
      <c r="AD172" s="31">
        <v>0.1218471090415211</v>
      </c>
      <c r="AE172" s="30">
        <v>32</v>
      </c>
      <c r="AF172" s="31">
        <v>0.1019108280254777</v>
      </c>
      <c r="AG172" s="30">
        <v>275</v>
      </c>
      <c r="AH172" s="31">
        <v>0.87579617834394907</v>
      </c>
      <c r="AI172" s="34">
        <v>302</v>
      </c>
      <c r="AJ172" s="31">
        <v>0.11719053162592161</v>
      </c>
      <c r="AK172" s="34">
        <v>1</v>
      </c>
      <c r="AL172" s="31">
        <v>0.8443708609271523</v>
      </c>
      <c r="AM172" s="34">
        <v>300</v>
      </c>
      <c r="AN172" s="34">
        <v>255</v>
      </c>
      <c r="AO172" s="31">
        <v>9.8952270081490101E-2</v>
      </c>
      <c r="AP172" s="31">
        <v>0.81210191082802552</v>
      </c>
      <c r="AQ172" s="32">
        <v>0.9460431654676259</v>
      </c>
      <c r="AR172" s="34">
        <v>0</v>
      </c>
      <c r="AS172" s="34">
        <v>0</v>
      </c>
      <c r="AT172" s="34">
        <v>82</v>
      </c>
      <c r="AU172" s="34">
        <v>74</v>
      </c>
      <c r="AV172" s="34">
        <v>74</v>
      </c>
      <c r="AW172" s="34">
        <v>45</v>
      </c>
      <c r="AX172" s="31">
        <v>2.8715560729530461E-2</v>
      </c>
      <c r="AY172" s="31">
        <v>2.8715560729530461E-2</v>
      </c>
      <c r="AZ172" s="31">
        <v>1.7462165308498249E-2</v>
      </c>
      <c r="BA172" s="31">
        <v>0.29019607843137257</v>
      </c>
      <c r="BB172" s="34">
        <v>0</v>
      </c>
      <c r="BC172" s="34">
        <v>0</v>
      </c>
      <c r="BD172" s="32">
        <v>1</v>
      </c>
      <c r="BE172" s="32">
        <v>1</v>
      </c>
      <c r="BF172" s="32" t="s">
        <v>335</v>
      </c>
    </row>
    <row r="173" spans="1:58" ht="19.5" customHeight="1">
      <c r="A173" s="35">
        <v>170</v>
      </c>
      <c r="B173" s="30" t="s">
        <v>5</v>
      </c>
      <c r="C173" s="36">
        <v>46124</v>
      </c>
      <c r="D173" s="30" t="s">
        <v>285</v>
      </c>
      <c r="E173" s="30">
        <v>2961</v>
      </c>
      <c r="F173" s="30">
        <v>2617</v>
      </c>
      <c r="G173" s="31">
        <v>0.88382303275920293</v>
      </c>
      <c r="H173" s="30">
        <v>1674</v>
      </c>
      <c r="I173" s="32">
        <v>0.56534954407294835</v>
      </c>
      <c r="J173" s="30">
        <v>2892</v>
      </c>
      <c r="K173" s="30">
        <v>2827</v>
      </c>
      <c r="L173" s="31">
        <v>0.97799999999999998</v>
      </c>
      <c r="M173" s="30">
        <v>11022</v>
      </c>
      <c r="N173" s="30">
        <v>11469</v>
      </c>
      <c r="O173" s="30">
        <v>10872</v>
      </c>
      <c r="P173" s="31">
        <v>0.98639085465432774</v>
      </c>
      <c r="Q173" s="30">
        <v>48</v>
      </c>
      <c r="R173" s="30">
        <v>0</v>
      </c>
      <c r="S173" s="30">
        <v>0</v>
      </c>
      <c r="T173" s="31">
        <v>0</v>
      </c>
      <c r="U173" s="30">
        <v>0</v>
      </c>
      <c r="V173" s="31">
        <v>0</v>
      </c>
      <c r="W173" s="30">
        <v>1718</v>
      </c>
      <c r="X173" s="31">
        <v>0.58020938872002703</v>
      </c>
      <c r="Y173" s="30">
        <v>637</v>
      </c>
      <c r="Z173" s="33">
        <v>0.21513002364066189</v>
      </c>
      <c r="AA173" s="30">
        <v>192</v>
      </c>
      <c r="AB173" s="31">
        <v>6.4842958459979741E-2</v>
      </c>
      <c r="AC173" s="30">
        <v>394</v>
      </c>
      <c r="AD173" s="31">
        <v>0.13306315433975011</v>
      </c>
      <c r="AE173" s="30">
        <v>48</v>
      </c>
      <c r="AF173" s="31">
        <v>0.12182741116751269</v>
      </c>
      <c r="AG173" s="30">
        <v>348</v>
      </c>
      <c r="AH173" s="31">
        <v>0.88324873096446699</v>
      </c>
      <c r="AI173" s="34">
        <v>366</v>
      </c>
      <c r="AJ173" s="31">
        <v>0.12360688956433639</v>
      </c>
      <c r="AK173" s="34">
        <v>4</v>
      </c>
      <c r="AL173" s="31">
        <v>0.85792349726775952</v>
      </c>
      <c r="AM173" s="34">
        <v>367</v>
      </c>
      <c r="AN173" s="34">
        <v>314</v>
      </c>
      <c r="AO173" s="31">
        <v>0.1060452549814252</v>
      </c>
      <c r="AP173" s="31">
        <v>0.79695431472081213</v>
      </c>
      <c r="AQ173" s="32">
        <v>0.9550561797752809</v>
      </c>
      <c r="AR173" s="34">
        <v>0</v>
      </c>
      <c r="AS173" s="34">
        <v>0</v>
      </c>
      <c r="AT173" s="34">
        <v>71</v>
      </c>
      <c r="AU173" s="34">
        <v>67</v>
      </c>
      <c r="AV173" s="34">
        <v>66</v>
      </c>
      <c r="AW173" s="34">
        <v>23</v>
      </c>
      <c r="AX173" s="31">
        <v>2.2627490712597099E-2</v>
      </c>
      <c r="AY173" s="31">
        <v>2.2289766970618029E-2</v>
      </c>
      <c r="AZ173" s="31">
        <v>7.7676460655184063E-3</v>
      </c>
      <c r="BA173" s="31">
        <v>0.21019108280254781</v>
      </c>
      <c r="BB173" s="34">
        <v>0</v>
      </c>
      <c r="BC173" s="34">
        <v>0</v>
      </c>
      <c r="BD173" s="32">
        <v>1</v>
      </c>
      <c r="BE173" s="32">
        <v>1</v>
      </c>
      <c r="BF173" s="32" t="s">
        <v>335</v>
      </c>
    </row>
    <row r="174" spans="1:58" ht="19.5" customHeight="1">
      <c r="A174" s="35">
        <v>171</v>
      </c>
      <c r="B174" s="30" t="s">
        <v>5</v>
      </c>
      <c r="C174" s="36">
        <v>46124</v>
      </c>
      <c r="D174" s="30" t="s">
        <v>25</v>
      </c>
      <c r="E174" s="30">
        <v>10270</v>
      </c>
      <c r="F174" s="30">
        <v>9315</v>
      </c>
      <c r="G174" s="31">
        <v>0.90701071080817919</v>
      </c>
      <c r="H174" s="30">
        <v>3595</v>
      </c>
      <c r="I174" s="32">
        <v>0.35004868549172352</v>
      </c>
      <c r="J174" s="30">
        <v>10271</v>
      </c>
      <c r="K174" s="30">
        <v>10102</v>
      </c>
      <c r="L174" s="31">
        <v>0.98399999999999999</v>
      </c>
      <c r="M174" s="30">
        <v>29643</v>
      </c>
      <c r="N174" s="30">
        <v>30860</v>
      </c>
      <c r="O174" s="30">
        <v>29233</v>
      </c>
      <c r="P174" s="31">
        <v>0.9861687413554634</v>
      </c>
      <c r="Q174" s="30">
        <v>86</v>
      </c>
      <c r="R174" s="30">
        <v>0</v>
      </c>
      <c r="S174" s="30">
        <v>0</v>
      </c>
      <c r="T174" s="31">
        <v>0</v>
      </c>
      <c r="U174" s="30">
        <v>0</v>
      </c>
      <c r="V174" s="31">
        <v>0</v>
      </c>
      <c r="W174" s="30">
        <v>913</v>
      </c>
      <c r="X174" s="31">
        <v>8.8899707887049664E-2</v>
      </c>
      <c r="Y174" s="30">
        <v>1020</v>
      </c>
      <c r="Z174" s="33">
        <v>9.9318403115871465E-2</v>
      </c>
      <c r="AA174" s="30">
        <v>2</v>
      </c>
      <c r="AB174" s="31">
        <v>1.947419668938656E-4</v>
      </c>
      <c r="AC174" s="30">
        <v>2695</v>
      </c>
      <c r="AD174" s="31">
        <v>0.26241480038948389</v>
      </c>
      <c r="AE174" s="30">
        <v>488</v>
      </c>
      <c r="AF174" s="31">
        <v>0.18107606679035251</v>
      </c>
      <c r="AG174" s="30">
        <v>2311</v>
      </c>
      <c r="AH174" s="31">
        <v>0.85751391465677185</v>
      </c>
      <c r="AI174" s="34">
        <v>2658</v>
      </c>
      <c r="AJ174" s="31">
        <v>0.25881207400194739</v>
      </c>
      <c r="AK174" s="34">
        <v>22</v>
      </c>
      <c r="AL174" s="31">
        <v>0.79194883370955604</v>
      </c>
      <c r="AM174" s="34">
        <v>2651</v>
      </c>
      <c r="AN174" s="34">
        <v>2105</v>
      </c>
      <c r="AO174" s="31">
        <v>0.2049659201557936</v>
      </c>
      <c r="AP174" s="31">
        <v>0.78107606679035246</v>
      </c>
      <c r="AQ174" s="32">
        <v>0.97279179810725547</v>
      </c>
      <c r="AR174" s="34">
        <v>0</v>
      </c>
      <c r="AS174" s="34">
        <v>0</v>
      </c>
      <c r="AT174" s="34">
        <v>1440</v>
      </c>
      <c r="AU174" s="34">
        <v>1314</v>
      </c>
      <c r="AV174" s="34">
        <v>884</v>
      </c>
      <c r="AW174" s="34">
        <v>11</v>
      </c>
      <c r="AX174" s="31">
        <v>0.12794547224926969</v>
      </c>
      <c r="AY174" s="31">
        <v>8.6075949367088608E-2</v>
      </c>
      <c r="AZ174" s="31">
        <v>1.0710808179162611E-3</v>
      </c>
      <c r="BA174" s="31">
        <v>0.41995249406175772</v>
      </c>
      <c r="BB174" s="34">
        <v>0</v>
      </c>
      <c r="BC174" s="34">
        <v>1</v>
      </c>
      <c r="BD174" s="32">
        <v>0.9683908045977011</v>
      </c>
      <c r="BE174" s="32">
        <v>1</v>
      </c>
      <c r="BF174" s="32" t="s">
        <v>335</v>
      </c>
    </row>
    <row r="175" spans="1:58" ht="19.5" customHeight="1">
      <c r="A175" s="35">
        <v>172</v>
      </c>
      <c r="B175" s="30" t="s">
        <v>5</v>
      </c>
      <c r="C175" s="36">
        <v>46124</v>
      </c>
      <c r="D175" s="30" t="s">
        <v>287</v>
      </c>
      <c r="E175" s="30">
        <v>3426</v>
      </c>
      <c r="F175" s="30">
        <v>3165</v>
      </c>
      <c r="G175" s="31">
        <v>0.92381786339754812</v>
      </c>
      <c r="H175" s="30">
        <v>1691</v>
      </c>
      <c r="I175" s="32">
        <v>0.49357851722124929</v>
      </c>
      <c r="J175" s="30">
        <v>3123</v>
      </c>
      <c r="K175" s="30">
        <v>3038</v>
      </c>
      <c r="L175" s="31">
        <v>0.97299999999999998</v>
      </c>
      <c r="M175" s="30">
        <v>17428</v>
      </c>
      <c r="N175" s="30">
        <v>17852</v>
      </c>
      <c r="O175" s="30">
        <v>17223</v>
      </c>
      <c r="P175" s="31">
        <v>0.98823731925636904</v>
      </c>
      <c r="Q175" s="30">
        <v>64</v>
      </c>
      <c r="R175" s="30">
        <v>0</v>
      </c>
      <c r="S175" s="30">
        <v>0</v>
      </c>
      <c r="T175" s="31">
        <v>0</v>
      </c>
      <c r="U175" s="30">
        <v>0</v>
      </c>
      <c r="V175" s="31">
        <v>0</v>
      </c>
      <c r="W175" s="30">
        <v>2713</v>
      </c>
      <c r="X175" s="31">
        <v>0.79188558085230587</v>
      </c>
      <c r="Y175" s="30">
        <v>925</v>
      </c>
      <c r="Z175" s="33">
        <v>0.26999416228838302</v>
      </c>
      <c r="AA175" s="30">
        <v>273</v>
      </c>
      <c r="AB175" s="31">
        <v>7.9684763572679507E-2</v>
      </c>
      <c r="AC175" s="30">
        <v>623</v>
      </c>
      <c r="AD175" s="31">
        <v>0.18184471687098661</v>
      </c>
      <c r="AE175" s="30">
        <v>68</v>
      </c>
      <c r="AF175" s="31">
        <v>0.1091492776886035</v>
      </c>
      <c r="AG175" s="30">
        <v>556</v>
      </c>
      <c r="AH175" s="31">
        <v>0.8924558587479936</v>
      </c>
      <c r="AI175" s="34">
        <v>623</v>
      </c>
      <c r="AJ175" s="31">
        <v>0.18184471687098661</v>
      </c>
      <c r="AK175" s="34">
        <v>2</v>
      </c>
      <c r="AL175" s="31">
        <v>0.9373996789727127</v>
      </c>
      <c r="AM175" s="34">
        <v>621</v>
      </c>
      <c r="AN175" s="34">
        <v>584</v>
      </c>
      <c r="AO175" s="31">
        <v>0.17046117921774659</v>
      </c>
      <c r="AP175" s="31">
        <v>0.9373996789727127</v>
      </c>
      <c r="AQ175" s="32">
        <v>0.97386759581881532</v>
      </c>
      <c r="AR175" s="34">
        <v>0</v>
      </c>
      <c r="AS175" s="34">
        <v>0</v>
      </c>
      <c r="AT175" s="34">
        <v>119</v>
      </c>
      <c r="AU175" s="34">
        <v>116</v>
      </c>
      <c r="AV175" s="34">
        <v>112</v>
      </c>
      <c r="AW175" s="34">
        <v>52</v>
      </c>
      <c r="AX175" s="31">
        <v>3.3858727378867477E-2</v>
      </c>
      <c r="AY175" s="31">
        <v>3.2691185055458261E-2</v>
      </c>
      <c r="AZ175" s="31">
        <v>1.517805020431991E-2</v>
      </c>
      <c r="BA175" s="31">
        <v>0.19178082191780821</v>
      </c>
      <c r="BB175" s="34">
        <v>0</v>
      </c>
      <c r="BC175" s="34">
        <v>1</v>
      </c>
      <c r="BD175" s="32">
        <v>0.98305084745762716</v>
      </c>
      <c r="BE175" s="32">
        <v>0.91666666666666663</v>
      </c>
      <c r="BF175" s="32" t="s">
        <v>335</v>
      </c>
    </row>
    <row r="176" spans="1:58" ht="19.5" customHeight="1">
      <c r="A176" s="35">
        <v>173</v>
      </c>
      <c r="B176" s="30" t="s">
        <v>5</v>
      </c>
      <c r="C176" s="36">
        <v>46125</v>
      </c>
      <c r="D176" s="30" t="s">
        <v>2</v>
      </c>
      <c r="E176" s="30">
        <v>1866</v>
      </c>
      <c r="F176" s="30">
        <v>1771</v>
      </c>
      <c r="G176" s="31">
        <v>0.94908896034297963</v>
      </c>
      <c r="H176" s="30">
        <v>560</v>
      </c>
      <c r="I176" s="32">
        <v>0.30010718113612012</v>
      </c>
      <c r="J176" s="30">
        <v>2204</v>
      </c>
      <c r="K176" s="30">
        <v>2130</v>
      </c>
      <c r="L176" s="31">
        <v>0.96599999999999997</v>
      </c>
      <c r="M176" s="30">
        <v>10503</v>
      </c>
      <c r="N176" s="30">
        <v>9862</v>
      </c>
      <c r="O176" s="30">
        <v>10331</v>
      </c>
      <c r="P176" s="31">
        <v>0.98362372655431785</v>
      </c>
      <c r="Q176" s="30">
        <v>65</v>
      </c>
      <c r="R176" s="30">
        <v>0</v>
      </c>
      <c r="S176" s="30">
        <v>0</v>
      </c>
      <c r="T176" s="31">
        <v>0</v>
      </c>
      <c r="U176" s="30">
        <v>0</v>
      </c>
      <c r="V176" s="31">
        <v>0</v>
      </c>
      <c r="W176" s="30">
        <v>1743</v>
      </c>
      <c r="X176" s="31">
        <v>0.93408360128617363</v>
      </c>
      <c r="Y176" s="30">
        <v>1072</v>
      </c>
      <c r="Z176" s="33">
        <v>0.57449088960342976</v>
      </c>
      <c r="AA176" s="30">
        <v>242</v>
      </c>
      <c r="AB176" s="31">
        <v>0.1296891747052519</v>
      </c>
      <c r="AC176" s="30">
        <v>186</v>
      </c>
      <c r="AD176" s="31">
        <v>9.9678456591639875E-2</v>
      </c>
      <c r="AE176" s="30">
        <v>18</v>
      </c>
      <c r="AF176" s="31">
        <v>9.6774193548387094E-2</v>
      </c>
      <c r="AG176" s="30">
        <v>166</v>
      </c>
      <c r="AH176" s="31">
        <v>0.89247311827956988</v>
      </c>
      <c r="AI176" s="34">
        <v>173</v>
      </c>
      <c r="AJ176" s="31">
        <v>9.2711682743837079E-2</v>
      </c>
      <c r="AK176" s="34">
        <v>0</v>
      </c>
      <c r="AL176" s="31">
        <v>0.86705202312138729</v>
      </c>
      <c r="AM176" s="34">
        <v>173</v>
      </c>
      <c r="AN176" s="34">
        <v>150</v>
      </c>
      <c r="AO176" s="31">
        <v>8.0385852090032156E-2</v>
      </c>
      <c r="AP176" s="31">
        <v>0.80645161290322576</v>
      </c>
      <c r="AQ176" s="32">
        <v>0.97902097902097907</v>
      </c>
      <c r="AR176" s="34">
        <v>0</v>
      </c>
      <c r="AS176" s="34">
        <v>0</v>
      </c>
      <c r="AT176" s="34">
        <v>60</v>
      </c>
      <c r="AU176" s="34">
        <v>54</v>
      </c>
      <c r="AV176" s="34">
        <v>56</v>
      </c>
      <c r="AW176" s="34">
        <v>70</v>
      </c>
      <c r="AX176" s="31">
        <v>2.8938906752411571E-2</v>
      </c>
      <c r="AY176" s="31">
        <v>3.0010718113612E-2</v>
      </c>
      <c r="AZ176" s="31">
        <v>3.7513397642015008E-2</v>
      </c>
      <c r="BA176" s="31">
        <v>0.37333333333333341</v>
      </c>
      <c r="BB176" s="34">
        <v>0</v>
      </c>
      <c r="BC176" s="34">
        <v>0</v>
      </c>
      <c r="BD176" s="32">
        <v>0.96296296296296291</v>
      </c>
      <c r="BE176" s="32">
        <v>1</v>
      </c>
      <c r="BF176" s="32" t="s">
        <v>335</v>
      </c>
    </row>
    <row r="177" spans="1:58" ht="19.5" customHeight="1">
      <c r="A177" s="35">
        <v>174</v>
      </c>
      <c r="B177" s="30" t="s">
        <v>5</v>
      </c>
      <c r="C177" s="36">
        <v>46125</v>
      </c>
      <c r="D177" s="30" t="s">
        <v>285</v>
      </c>
      <c r="E177" s="30">
        <v>2306</v>
      </c>
      <c r="F177" s="30">
        <v>2166</v>
      </c>
      <c r="G177" s="31">
        <v>0.93928881179531654</v>
      </c>
      <c r="H177" s="30">
        <v>1459</v>
      </c>
      <c r="I177" s="32">
        <v>0.63269731136166518</v>
      </c>
      <c r="J177" s="30">
        <v>2439</v>
      </c>
      <c r="K177" s="30">
        <v>2387</v>
      </c>
      <c r="L177" s="31">
        <v>0.97899999999999998</v>
      </c>
      <c r="M177" s="30">
        <v>10635</v>
      </c>
      <c r="N177" s="30">
        <v>9822</v>
      </c>
      <c r="O177" s="30">
        <v>10469</v>
      </c>
      <c r="P177" s="31">
        <v>0.9843911612599906</v>
      </c>
      <c r="Q177" s="30">
        <v>84</v>
      </c>
      <c r="R177" s="30">
        <v>0</v>
      </c>
      <c r="S177" s="30">
        <v>0</v>
      </c>
      <c r="T177" s="31">
        <v>0</v>
      </c>
      <c r="U177" s="30">
        <v>0</v>
      </c>
      <c r="V177" s="31">
        <v>0</v>
      </c>
      <c r="W177" s="30">
        <v>1458</v>
      </c>
      <c r="X177" s="31">
        <v>0.63226366001734602</v>
      </c>
      <c r="Y177" s="30">
        <v>1005</v>
      </c>
      <c r="Z177" s="33">
        <v>0.43581960104076323</v>
      </c>
      <c r="AA177" s="30">
        <v>484</v>
      </c>
      <c r="AB177" s="31">
        <v>0.209887250650477</v>
      </c>
      <c r="AC177" s="30">
        <v>200</v>
      </c>
      <c r="AD177" s="31">
        <v>8.6730268863833476E-2</v>
      </c>
      <c r="AE177" s="30">
        <v>29</v>
      </c>
      <c r="AF177" s="31">
        <v>0.14499999999999999</v>
      </c>
      <c r="AG177" s="30">
        <v>169</v>
      </c>
      <c r="AH177" s="31">
        <v>0.84499999999999997</v>
      </c>
      <c r="AI177" s="34">
        <v>172</v>
      </c>
      <c r="AJ177" s="31">
        <v>7.4588031222896797E-2</v>
      </c>
      <c r="AK177" s="34">
        <v>0</v>
      </c>
      <c r="AL177" s="31">
        <v>0.81976744186046513</v>
      </c>
      <c r="AM177" s="34">
        <v>172</v>
      </c>
      <c r="AN177" s="34">
        <v>141</v>
      </c>
      <c r="AO177" s="31">
        <v>6.11448395490026E-2</v>
      </c>
      <c r="AP177" s="31">
        <v>0.70499999999999996</v>
      </c>
      <c r="AQ177" s="32">
        <v>0.96551724137931039</v>
      </c>
      <c r="AR177" s="34">
        <v>0</v>
      </c>
      <c r="AS177" s="34">
        <v>0</v>
      </c>
      <c r="AT177" s="34">
        <v>63</v>
      </c>
      <c r="AU177" s="34">
        <v>53</v>
      </c>
      <c r="AV177" s="34">
        <v>55</v>
      </c>
      <c r="AW177" s="34">
        <v>49</v>
      </c>
      <c r="AX177" s="31">
        <v>2.298352124891587E-2</v>
      </c>
      <c r="AY177" s="31">
        <v>2.3850823937554212E-2</v>
      </c>
      <c r="AZ177" s="31">
        <v>2.1248915871639198E-2</v>
      </c>
      <c r="BA177" s="31">
        <v>0.39007092198581561</v>
      </c>
      <c r="BB177" s="34">
        <v>0</v>
      </c>
      <c r="BC177" s="34">
        <v>0</v>
      </c>
      <c r="BD177" s="32">
        <v>0.95454545454545459</v>
      </c>
      <c r="BE177" s="32">
        <v>1</v>
      </c>
      <c r="BF177" s="32" t="s">
        <v>335</v>
      </c>
    </row>
    <row r="178" spans="1:58" ht="19.5" customHeight="1">
      <c r="A178" s="35">
        <v>175</v>
      </c>
      <c r="B178" s="30" t="s">
        <v>5</v>
      </c>
      <c r="C178" s="36">
        <v>46125</v>
      </c>
      <c r="D178" s="30" t="s">
        <v>25</v>
      </c>
      <c r="E178" s="30">
        <v>7552</v>
      </c>
      <c r="F178" s="30">
        <v>7190</v>
      </c>
      <c r="G178" s="31">
        <v>0.95206567796610164</v>
      </c>
      <c r="H178" s="30">
        <v>3205</v>
      </c>
      <c r="I178" s="32">
        <v>0.42439088983050849</v>
      </c>
      <c r="J178" s="30">
        <v>9873</v>
      </c>
      <c r="K178" s="30">
        <v>9630</v>
      </c>
      <c r="L178" s="31">
        <v>0.97499999999999998</v>
      </c>
      <c r="M178" s="30">
        <v>27096</v>
      </c>
      <c r="N178" s="30">
        <v>23900</v>
      </c>
      <c r="O178" s="30">
        <v>26638</v>
      </c>
      <c r="P178" s="31">
        <v>0.98309713610865068</v>
      </c>
      <c r="Q178" s="30">
        <v>144</v>
      </c>
      <c r="R178" s="30">
        <v>0</v>
      </c>
      <c r="S178" s="30">
        <v>0</v>
      </c>
      <c r="T178" s="31">
        <v>0</v>
      </c>
      <c r="U178" s="30">
        <v>0</v>
      </c>
      <c r="V178" s="31">
        <v>0</v>
      </c>
      <c r="W178" s="30">
        <v>871</v>
      </c>
      <c r="X178" s="31">
        <v>0.115333686440678</v>
      </c>
      <c r="Y178" s="30">
        <v>1078</v>
      </c>
      <c r="Z178" s="33">
        <v>0.1427436440677966</v>
      </c>
      <c r="AA178" s="30">
        <v>1</v>
      </c>
      <c r="AB178" s="31">
        <v>1.3241525423728811E-4</v>
      </c>
      <c r="AC178" s="30">
        <v>1327</v>
      </c>
      <c r="AD178" s="31">
        <v>0.17571504237288141</v>
      </c>
      <c r="AE178" s="30">
        <v>227</v>
      </c>
      <c r="AF178" s="31">
        <v>0.1710625470987189</v>
      </c>
      <c r="AG178" s="30">
        <v>1136</v>
      </c>
      <c r="AH178" s="31">
        <v>0.85606631499623209</v>
      </c>
      <c r="AI178" s="34">
        <v>1328</v>
      </c>
      <c r="AJ178" s="31">
        <v>0.17584745762711859</v>
      </c>
      <c r="AK178" s="34">
        <v>1</v>
      </c>
      <c r="AL178" s="31">
        <v>0.83207831325301207</v>
      </c>
      <c r="AM178" s="34">
        <v>1328</v>
      </c>
      <c r="AN178" s="34">
        <v>1105</v>
      </c>
      <c r="AO178" s="31">
        <v>0.1463188559322034</v>
      </c>
      <c r="AP178" s="31">
        <v>0.83270535041446869</v>
      </c>
      <c r="AQ178" s="32">
        <v>0.9763485477178423</v>
      </c>
      <c r="AR178" s="34">
        <v>0</v>
      </c>
      <c r="AS178" s="34">
        <v>0</v>
      </c>
      <c r="AT178" s="34">
        <v>70</v>
      </c>
      <c r="AU178" s="34">
        <v>-43</v>
      </c>
      <c r="AV178" s="34">
        <v>129</v>
      </c>
      <c r="AW178" s="34">
        <v>10</v>
      </c>
      <c r="AX178" s="31">
        <v>-5.6938559322033894E-3</v>
      </c>
      <c r="AY178" s="31">
        <v>1.7081567796610169E-2</v>
      </c>
      <c r="AZ178" s="31">
        <v>1.3241525423728811E-3</v>
      </c>
      <c r="BA178" s="31">
        <v>0.1167420814479638</v>
      </c>
      <c r="BB178" s="34">
        <v>0</v>
      </c>
      <c r="BC178" s="34">
        <v>0</v>
      </c>
      <c r="BD178" s="32">
        <v>0.98019801980198018</v>
      </c>
      <c r="BE178" s="32">
        <v>0.98245614035087714</v>
      </c>
      <c r="BF178" s="32" t="s">
        <v>335</v>
      </c>
    </row>
    <row r="179" spans="1:58" ht="19.5" customHeight="1">
      <c r="A179" s="35">
        <v>176</v>
      </c>
      <c r="B179" s="30" t="s">
        <v>5</v>
      </c>
      <c r="C179" s="36">
        <v>46125</v>
      </c>
      <c r="D179" s="30" t="s">
        <v>287</v>
      </c>
      <c r="E179" s="30">
        <v>2750</v>
      </c>
      <c r="F179" s="30">
        <v>2597</v>
      </c>
      <c r="G179" s="31">
        <v>0.94436363636363641</v>
      </c>
      <c r="H179" s="30">
        <v>1448</v>
      </c>
      <c r="I179" s="32">
        <v>0.52654545454545454</v>
      </c>
      <c r="J179" s="30">
        <v>4190</v>
      </c>
      <c r="K179" s="30">
        <v>4078</v>
      </c>
      <c r="L179" s="31">
        <v>0.97299999999999998</v>
      </c>
      <c r="M179" s="30">
        <v>18330</v>
      </c>
      <c r="N179" s="30">
        <v>17350</v>
      </c>
      <c r="O179" s="30">
        <v>18065</v>
      </c>
      <c r="P179" s="31">
        <v>0.98554282596835785</v>
      </c>
      <c r="Q179" s="30">
        <v>87</v>
      </c>
      <c r="R179" s="30">
        <v>0</v>
      </c>
      <c r="S179" s="30">
        <v>0</v>
      </c>
      <c r="T179" s="31">
        <v>0</v>
      </c>
      <c r="U179" s="30">
        <v>0</v>
      </c>
      <c r="V179" s="31">
        <v>0</v>
      </c>
      <c r="W179" s="30">
        <v>2154</v>
      </c>
      <c r="X179" s="31">
        <v>0.78327272727272723</v>
      </c>
      <c r="Y179" s="30">
        <v>1596</v>
      </c>
      <c r="Z179" s="33">
        <v>0.58036363636363641</v>
      </c>
      <c r="AA179" s="30">
        <v>525</v>
      </c>
      <c r="AB179" s="31">
        <v>0.19090909090909089</v>
      </c>
      <c r="AC179" s="30">
        <v>378</v>
      </c>
      <c r="AD179" s="31">
        <v>0.1374545454545455</v>
      </c>
      <c r="AE179" s="30">
        <v>66</v>
      </c>
      <c r="AF179" s="31">
        <v>0.17460317460317459</v>
      </c>
      <c r="AG179" s="30">
        <v>323</v>
      </c>
      <c r="AH179" s="31">
        <v>0.85449735449735453</v>
      </c>
      <c r="AI179" s="34">
        <v>375</v>
      </c>
      <c r="AJ179" s="31">
        <v>0.13636363636363641</v>
      </c>
      <c r="AK179" s="34">
        <v>0</v>
      </c>
      <c r="AL179" s="31">
        <v>0.94933333333333336</v>
      </c>
      <c r="AM179" s="34">
        <v>370</v>
      </c>
      <c r="AN179" s="34">
        <v>356</v>
      </c>
      <c r="AO179" s="31">
        <v>0.12945454545454549</v>
      </c>
      <c r="AP179" s="31">
        <v>0.94179894179894175</v>
      </c>
      <c r="AQ179" s="32">
        <v>0.94481605351170572</v>
      </c>
      <c r="AR179" s="34">
        <v>0</v>
      </c>
      <c r="AS179" s="34">
        <v>0</v>
      </c>
      <c r="AT179" s="34">
        <v>62</v>
      </c>
      <c r="AU179" s="34">
        <v>50</v>
      </c>
      <c r="AV179" s="34">
        <v>53</v>
      </c>
      <c r="AW179" s="34">
        <v>95</v>
      </c>
      <c r="AX179" s="31">
        <v>1.8181818181818181E-2</v>
      </c>
      <c r="AY179" s="31">
        <v>1.9272727272727271E-2</v>
      </c>
      <c r="AZ179" s="31">
        <v>3.4545454545454553E-2</v>
      </c>
      <c r="BA179" s="31">
        <v>0.148876404494382</v>
      </c>
      <c r="BB179" s="34">
        <v>0</v>
      </c>
      <c r="BC179" s="34">
        <v>0</v>
      </c>
      <c r="BD179" s="32">
        <v>1</v>
      </c>
      <c r="BE179" s="32">
        <v>1</v>
      </c>
      <c r="BF179" s="32" t="s">
        <v>335</v>
      </c>
    </row>
    <row r="180" spans="1:58" ht="19.5" customHeight="1">
      <c r="A180" s="35">
        <v>177</v>
      </c>
      <c r="B180" s="30" t="s">
        <v>5</v>
      </c>
      <c r="C180" s="36">
        <v>46126</v>
      </c>
      <c r="D180" s="30" t="s">
        <v>2</v>
      </c>
      <c r="E180" s="30">
        <v>1623</v>
      </c>
      <c r="F180" s="30">
        <v>1562</v>
      </c>
      <c r="G180" s="31">
        <v>0.96241528034504009</v>
      </c>
      <c r="H180" s="30">
        <v>478</v>
      </c>
      <c r="I180" s="32">
        <v>0.29451632778804682</v>
      </c>
      <c r="J180" s="30">
        <v>2013</v>
      </c>
      <c r="K180" s="30">
        <v>1917</v>
      </c>
      <c r="L180" s="31">
        <v>0.95199999999999996</v>
      </c>
      <c r="M180" s="30">
        <v>10213</v>
      </c>
      <c r="N180" s="30">
        <v>10010</v>
      </c>
      <c r="O180" s="30">
        <v>10013</v>
      </c>
      <c r="P180" s="31">
        <v>0.98041711544110444</v>
      </c>
      <c r="Q180" s="30">
        <v>123</v>
      </c>
      <c r="R180" s="30">
        <v>133515</v>
      </c>
      <c r="S180" s="30">
        <v>70372</v>
      </c>
      <c r="T180" s="31">
        <v>0.52707186458450361</v>
      </c>
      <c r="U180" s="30">
        <v>28242</v>
      </c>
      <c r="V180" s="31">
        <v>0.21152679474216379</v>
      </c>
      <c r="W180" s="30">
        <v>1437</v>
      </c>
      <c r="X180" s="31">
        <v>0.88539741219963031</v>
      </c>
      <c r="Y180" s="30">
        <v>1304</v>
      </c>
      <c r="Z180" s="33">
        <v>0.80345040049291438</v>
      </c>
      <c r="AA180" s="30">
        <v>454</v>
      </c>
      <c r="AB180" s="31">
        <v>0.27972889710412818</v>
      </c>
      <c r="AC180" s="30">
        <v>185</v>
      </c>
      <c r="AD180" s="31">
        <v>0.1139864448552064</v>
      </c>
      <c r="AE180" s="30">
        <v>23</v>
      </c>
      <c r="AF180" s="31">
        <v>0.1243243243243243</v>
      </c>
      <c r="AG180" s="30">
        <v>156</v>
      </c>
      <c r="AH180" s="31">
        <v>0.84324324324324329</v>
      </c>
      <c r="AI180" s="34">
        <v>184</v>
      </c>
      <c r="AJ180" s="31">
        <v>0.1133703019100431</v>
      </c>
      <c r="AK180" s="34">
        <v>2</v>
      </c>
      <c r="AL180" s="31">
        <v>0.85869565217391308</v>
      </c>
      <c r="AM180" s="34">
        <v>184</v>
      </c>
      <c r="AN180" s="34">
        <v>158</v>
      </c>
      <c r="AO180" s="31">
        <v>9.7350585335797907E-2</v>
      </c>
      <c r="AP180" s="31">
        <v>0.8540540540540541</v>
      </c>
      <c r="AQ180" s="32">
        <v>0.97530864197530864</v>
      </c>
      <c r="AR180" s="34">
        <v>0</v>
      </c>
      <c r="AS180" s="34">
        <v>0</v>
      </c>
      <c r="AT180" s="34">
        <v>48</v>
      </c>
      <c r="AU180" s="34">
        <v>44</v>
      </c>
      <c r="AV180" s="34">
        <v>48</v>
      </c>
      <c r="AW180" s="34">
        <v>56</v>
      </c>
      <c r="AX180" s="31">
        <v>2.7110289587184231E-2</v>
      </c>
      <c r="AY180" s="31">
        <v>2.9574861367837341E-2</v>
      </c>
      <c r="AZ180" s="31">
        <v>3.4504004929143559E-2</v>
      </c>
      <c r="BA180" s="31">
        <v>0.30379746835443039</v>
      </c>
      <c r="BB180" s="34">
        <v>0</v>
      </c>
      <c r="BC180" s="34">
        <v>0</v>
      </c>
      <c r="BD180" s="32">
        <v>0.95833333333333337</v>
      </c>
      <c r="BE180" s="32">
        <v>1</v>
      </c>
      <c r="BF180" s="32" t="s">
        <v>335</v>
      </c>
    </row>
    <row r="181" spans="1:58" ht="19.5" customHeight="1">
      <c r="A181" s="35">
        <v>178</v>
      </c>
      <c r="B181" s="30" t="s">
        <v>5</v>
      </c>
      <c r="C181" s="36">
        <v>46126</v>
      </c>
      <c r="D181" s="30" t="s">
        <v>285</v>
      </c>
      <c r="E181" s="30">
        <v>1986</v>
      </c>
      <c r="F181" s="30">
        <v>1847</v>
      </c>
      <c r="G181" s="31">
        <v>0.93001007049345419</v>
      </c>
      <c r="H181" s="30">
        <v>993</v>
      </c>
      <c r="I181" s="32">
        <v>0.5</v>
      </c>
      <c r="J181" s="30">
        <v>2665</v>
      </c>
      <c r="K181" s="30">
        <v>2582</v>
      </c>
      <c r="L181" s="31">
        <v>0.96899999999999997</v>
      </c>
      <c r="M181" s="30">
        <v>9867</v>
      </c>
      <c r="N181" s="30">
        <v>9967</v>
      </c>
      <c r="O181" s="30">
        <v>9677</v>
      </c>
      <c r="P181" s="31">
        <v>0.98074389378737203</v>
      </c>
      <c r="Q181" s="30">
        <v>127</v>
      </c>
      <c r="R181" s="30">
        <v>334440</v>
      </c>
      <c r="S181" s="30">
        <v>160902</v>
      </c>
      <c r="T181" s="31">
        <v>0.48110871905274488</v>
      </c>
      <c r="U181" s="30">
        <v>56343</v>
      </c>
      <c r="V181" s="31">
        <v>0.16846968066020809</v>
      </c>
      <c r="W181" s="30">
        <v>1340</v>
      </c>
      <c r="X181" s="31">
        <v>0.67472306143001004</v>
      </c>
      <c r="Y181" s="30">
        <v>1075</v>
      </c>
      <c r="Z181" s="33">
        <v>0.5412890231621349</v>
      </c>
      <c r="AA181" s="30">
        <v>392</v>
      </c>
      <c r="AB181" s="31">
        <v>0.1973816717019134</v>
      </c>
      <c r="AC181" s="30">
        <v>191</v>
      </c>
      <c r="AD181" s="31">
        <v>9.6173212487411883E-2</v>
      </c>
      <c r="AE181" s="30">
        <v>30</v>
      </c>
      <c r="AF181" s="31">
        <v>0.1570680628272251</v>
      </c>
      <c r="AG181" s="30">
        <v>139</v>
      </c>
      <c r="AH181" s="31">
        <v>0.72774869109947649</v>
      </c>
      <c r="AI181" s="34">
        <v>169</v>
      </c>
      <c r="AJ181" s="31">
        <v>8.5095669687814707E-2</v>
      </c>
      <c r="AK181" s="34">
        <v>2</v>
      </c>
      <c r="AL181" s="31">
        <v>0.78106508875739644</v>
      </c>
      <c r="AM181" s="34">
        <v>169</v>
      </c>
      <c r="AN181" s="34">
        <v>132</v>
      </c>
      <c r="AO181" s="31">
        <v>6.6465256797583083E-2</v>
      </c>
      <c r="AP181" s="31">
        <v>0.69109947643979053</v>
      </c>
      <c r="AQ181" s="32">
        <v>0.97633136094674555</v>
      </c>
      <c r="AR181" s="34">
        <v>0</v>
      </c>
      <c r="AS181" s="34">
        <v>0</v>
      </c>
      <c r="AT181" s="34">
        <v>57</v>
      </c>
      <c r="AU181" s="34">
        <v>47</v>
      </c>
      <c r="AV181" s="34">
        <v>49</v>
      </c>
      <c r="AW181" s="34">
        <v>47</v>
      </c>
      <c r="AX181" s="31">
        <v>2.3665659617321248E-2</v>
      </c>
      <c r="AY181" s="31">
        <v>2.4672708962739171E-2</v>
      </c>
      <c r="AZ181" s="31">
        <v>2.3665659617321248E-2</v>
      </c>
      <c r="BA181" s="31">
        <v>0.37121212121212122</v>
      </c>
      <c r="BB181" s="34">
        <v>0</v>
      </c>
      <c r="BC181" s="34">
        <v>0</v>
      </c>
      <c r="BD181" s="32">
        <v>1</v>
      </c>
      <c r="BE181" s="32">
        <v>1</v>
      </c>
      <c r="BF181" s="32" t="s">
        <v>335</v>
      </c>
    </row>
    <row r="182" spans="1:58" ht="19.5" customHeight="1">
      <c r="A182" s="35">
        <v>179</v>
      </c>
      <c r="B182" s="30" t="s">
        <v>5</v>
      </c>
      <c r="C182" s="36">
        <v>46126</v>
      </c>
      <c r="D182" s="30" t="s">
        <v>25</v>
      </c>
      <c r="E182" s="30">
        <v>7207</v>
      </c>
      <c r="F182" s="30">
        <v>6928</v>
      </c>
      <c r="G182" s="31">
        <v>0.96128763701956432</v>
      </c>
      <c r="H182" s="30">
        <v>3164</v>
      </c>
      <c r="I182" s="32">
        <v>0.43901762175662551</v>
      </c>
      <c r="J182" s="30">
        <v>7924</v>
      </c>
      <c r="K182" s="30">
        <v>7667</v>
      </c>
      <c r="L182" s="31">
        <v>0.96799999999999997</v>
      </c>
      <c r="M182" s="30">
        <v>23315</v>
      </c>
      <c r="N182" s="30">
        <v>23959</v>
      </c>
      <c r="O182" s="30">
        <v>22861</v>
      </c>
      <c r="P182" s="31">
        <v>0.98052755736650221</v>
      </c>
      <c r="Q182" s="30">
        <v>233</v>
      </c>
      <c r="R182" s="30">
        <v>93034</v>
      </c>
      <c r="S182" s="30">
        <v>50757</v>
      </c>
      <c r="T182" s="31">
        <v>0.54557473611797835</v>
      </c>
      <c r="U182" s="30">
        <v>21469</v>
      </c>
      <c r="V182" s="31">
        <v>0.2307650966313391</v>
      </c>
      <c r="W182" s="30">
        <v>971</v>
      </c>
      <c r="X182" s="31">
        <v>0.1347301234910504</v>
      </c>
      <c r="Y182" s="30">
        <v>1637</v>
      </c>
      <c r="Z182" s="33">
        <v>0.2271402802830581</v>
      </c>
      <c r="AA182" s="30">
        <v>6</v>
      </c>
      <c r="AB182" s="31">
        <v>8.3252393506313309E-4</v>
      </c>
      <c r="AC182" s="30">
        <v>1348</v>
      </c>
      <c r="AD182" s="31">
        <v>0.18704037741085061</v>
      </c>
      <c r="AE182" s="30">
        <v>247</v>
      </c>
      <c r="AF182" s="31">
        <v>0.18323442136498519</v>
      </c>
      <c r="AG182" s="30">
        <v>1025</v>
      </c>
      <c r="AH182" s="31">
        <v>0.76038575667655783</v>
      </c>
      <c r="AI182" s="34">
        <v>1387</v>
      </c>
      <c r="AJ182" s="31">
        <v>0.19245178298876089</v>
      </c>
      <c r="AK182" s="34">
        <v>9</v>
      </c>
      <c r="AL182" s="31">
        <v>0.72025955299206923</v>
      </c>
      <c r="AM182" s="34">
        <v>1384</v>
      </c>
      <c r="AN182" s="34">
        <v>999</v>
      </c>
      <c r="AO182" s="31">
        <v>0.13861523518801169</v>
      </c>
      <c r="AP182" s="31">
        <v>0.74109792284866471</v>
      </c>
      <c r="AQ182" s="32">
        <v>0.97370456303170916</v>
      </c>
      <c r="AR182" s="34">
        <v>0</v>
      </c>
      <c r="AS182" s="34">
        <v>0</v>
      </c>
      <c r="AT182" s="34">
        <v>116</v>
      </c>
      <c r="AU182" s="34">
        <v>-9</v>
      </c>
      <c r="AV182" s="34">
        <v>164</v>
      </c>
      <c r="AW182" s="34">
        <v>25</v>
      </c>
      <c r="AX182" s="31">
        <v>-1.2487859025947E-3</v>
      </c>
      <c r="AY182" s="31">
        <v>2.2755654225058972E-2</v>
      </c>
      <c r="AZ182" s="31">
        <v>3.468849729429721E-3</v>
      </c>
      <c r="BA182" s="31">
        <v>0.16416416416416421</v>
      </c>
      <c r="BB182" s="34">
        <v>0</v>
      </c>
      <c r="BC182" s="34">
        <v>0</v>
      </c>
      <c r="BD182" s="32">
        <v>0.97222222222222221</v>
      </c>
      <c r="BE182" s="32">
        <v>1</v>
      </c>
      <c r="BF182" s="32" t="s">
        <v>335</v>
      </c>
    </row>
    <row r="183" spans="1:58" ht="19.5" customHeight="1">
      <c r="A183" s="35">
        <v>180</v>
      </c>
      <c r="B183" s="30" t="s">
        <v>5</v>
      </c>
      <c r="C183" s="36">
        <v>46126</v>
      </c>
      <c r="D183" s="30" t="s">
        <v>287</v>
      </c>
      <c r="E183" s="30">
        <v>3070</v>
      </c>
      <c r="F183" s="30">
        <v>2975</v>
      </c>
      <c r="G183" s="31">
        <v>0.96905537459283386</v>
      </c>
      <c r="H183" s="30">
        <v>1959</v>
      </c>
      <c r="I183" s="32">
        <v>0.63811074918566779</v>
      </c>
      <c r="J183" s="30">
        <v>3526</v>
      </c>
      <c r="K183" s="30">
        <v>3433</v>
      </c>
      <c r="L183" s="31">
        <v>0.97399999999999998</v>
      </c>
      <c r="M183" s="30">
        <v>17349</v>
      </c>
      <c r="N183" s="30">
        <v>17120</v>
      </c>
      <c r="O183" s="30">
        <v>17060</v>
      </c>
      <c r="P183" s="31">
        <v>0.98334197936480494</v>
      </c>
      <c r="Q183" s="30">
        <v>162</v>
      </c>
      <c r="R183" s="30">
        <v>181569</v>
      </c>
      <c r="S183" s="30">
        <v>88941</v>
      </c>
      <c r="T183" s="31">
        <v>0.48984683508748739</v>
      </c>
      <c r="U183" s="30">
        <v>44059</v>
      </c>
      <c r="V183" s="31">
        <v>0.24265706150278959</v>
      </c>
      <c r="W183" s="30">
        <v>2024</v>
      </c>
      <c r="X183" s="31">
        <v>0.65928338762214989</v>
      </c>
      <c r="Y183" s="30">
        <v>1289</v>
      </c>
      <c r="Z183" s="33">
        <v>0.41986970684039088</v>
      </c>
      <c r="AA183" s="30">
        <v>1228</v>
      </c>
      <c r="AB183" s="31">
        <v>0.4</v>
      </c>
      <c r="AC183" s="30">
        <v>402</v>
      </c>
      <c r="AD183" s="31">
        <v>0.13094462540716609</v>
      </c>
      <c r="AE183" s="30">
        <v>55</v>
      </c>
      <c r="AF183" s="31">
        <v>0.13681592039800991</v>
      </c>
      <c r="AG183" s="30">
        <v>325</v>
      </c>
      <c r="AH183" s="31">
        <v>0.80845771144278611</v>
      </c>
      <c r="AI183" s="34">
        <v>385</v>
      </c>
      <c r="AJ183" s="31">
        <v>0.1254071661237785</v>
      </c>
      <c r="AK183" s="34">
        <v>4</v>
      </c>
      <c r="AL183" s="31">
        <v>0.93506493506493504</v>
      </c>
      <c r="AM183" s="34">
        <v>384</v>
      </c>
      <c r="AN183" s="34">
        <v>360</v>
      </c>
      <c r="AO183" s="31">
        <v>0.11726384364820849</v>
      </c>
      <c r="AP183" s="31">
        <v>0.89552238805970152</v>
      </c>
      <c r="AQ183" s="32">
        <v>0.9526462395543176</v>
      </c>
      <c r="AR183" s="34">
        <v>0</v>
      </c>
      <c r="AS183" s="34">
        <v>0</v>
      </c>
      <c r="AT183" s="34">
        <v>66</v>
      </c>
      <c r="AU183" s="34">
        <v>60</v>
      </c>
      <c r="AV183" s="34">
        <v>59</v>
      </c>
      <c r="AW183" s="34">
        <v>99</v>
      </c>
      <c r="AX183" s="31">
        <v>1.954397394136808E-2</v>
      </c>
      <c r="AY183" s="31">
        <v>1.9218241042345281E-2</v>
      </c>
      <c r="AZ183" s="31">
        <v>3.2247557003257328E-2</v>
      </c>
      <c r="BA183" s="31">
        <v>0.16388888888888889</v>
      </c>
      <c r="BB183" s="34">
        <v>0</v>
      </c>
      <c r="BC183" s="34">
        <v>0</v>
      </c>
      <c r="BD183" s="32">
        <v>1</v>
      </c>
      <c r="BE183" s="32">
        <v>1</v>
      </c>
      <c r="BF183" s="32" t="s">
        <v>335</v>
      </c>
    </row>
  </sheetData>
  <mergeCells count="13">
    <mergeCell ref="A3:D3"/>
    <mergeCell ref="R1:V1"/>
    <mergeCell ref="W1:AB1"/>
    <mergeCell ref="AC1:AH1"/>
    <mergeCell ref="AI1:AQ1"/>
    <mergeCell ref="AR1:BA1"/>
    <mergeCell ref="BB1:BF1"/>
    <mergeCell ref="A1:A2"/>
    <mergeCell ref="B1:B2"/>
    <mergeCell ref="C1:C2"/>
    <mergeCell ref="D1:D2"/>
    <mergeCell ref="E1:I1"/>
    <mergeCell ref="J1:Q1"/>
  </mergeCells>
  <phoneticPr fontId="9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74D3-F449-40A2-B099-8AC35B27ABA0}">
  <sheetPr>
    <tabColor rgb="FF92D050"/>
  </sheetPr>
  <dimension ref="A1:U47"/>
  <sheetViews>
    <sheetView topLeftCell="A13"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9" t="s">
        <v>16</v>
      </c>
      <c r="B1" s="9" t="s">
        <v>172</v>
      </c>
      <c r="C1" s="9" t="s">
        <v>8</v>
      </c>
      <c r="D1" s="9" t="s">
        <v>10</v>
      </c>
      <c r="E1" s="9" t="s">
        <v>9</v>
      </c>
      <c r="F1" s="9" t="s">
        <v>173</v>
      </c>
      <c r="G1" s="9" t="s">
        <v>7</v>
      </c>
      <c r="H1" s="9" t="s">
        <v>11</v>
      </c>
      <c r="I1" s="9" t="s">
        <v>174</v>
      </c>
      <c r="J1" s="9" t="s">
        <v>12</v>
      </c>
      <c r="K1" s="9" t="s">
        <v>175</v>
      </c>
      <c r="L1" s="9" t="s">
        <v>176</v>
      </c>
      <c r="M1" s="9" t="s">
        <v>4</v>
      </c>
      <c r="N1" s="9" t="s">
        <v>14</v>
      </c>
      <c r="O1" s="9" t="s">
        <v>177</v>
      </c>
      <c r="P1" s="9" t="s">
        <v>15</v>
      </c>
      <c r="Q1" s="9" t="s">
        <v>13</v>
      </c>
      <c r="R1" s="9" t="s">
        <v>178</v>
      </c>
      <c r="S1" s="9" t="s">
        <v>179</v>
      </c>
      <c r="T1" s="9" t="s">
        <v>180</v>
      </c>
      <c r="U1" s="9" t="s">
        <v>70</v>
      </c>
    </row>
    <row r="2" spans="1:21">
      <c r="A2" s="10" t="s">
        <v>0</v>
      </c>
      <c r="B2" s="10" t="s">
        <v>1</v>
      </c>
      <c r="C2" s="11">
        <v>1002656</v>
      </c>
      <c r="D2" s="11">
        <v>1006430</v>
      </c>
      <c r="E2" s="11">
        <v>939211</v>
      </c>
      <c r="F2" s="11">
        <v>67219</v>
      </c>
      <c r="G2" s="11">
        <v>715092</v>
      </c>
      <c r="H2" s="11">
        <v>48474</v>
      </c>
      <c r="I2" s="11">
        <v>22999</v>
      </c>
      <c r="J2" s="11">
        <v>17669</v>
      </c>
      <c r="K2" s="12">
        <v>40482</v>
      </c>
      <c r="L2" s="11">
        <v>67398</v>
      </c>
      <c r="M2" s="10" t="s">
        <v>711</v>
      </c>
      <c r="N2" s="10" t="s">
        <v>136</v>
      </c>
      <c r="O2" s="10" t="s">
        <v>712</v>
      </c>
      <c r="P2" s="10" t="s">
        <v>713</v>
      </c>
      <c r="Q2" s="10" t="s">
        <v>714</v>
      </c>
      <c r="R2" s="10" t="s">
        <v>715</v>
      </c>
      <c r="S2" s="10" t="s">
        <v>716</v>
      </c>
      <c r="T2" s="10" t="s">
        <v>717</v>
      </c>
      <c r="U2" s="10" t="s">
        <v>718</v>
      </c>
    </row>
    <row r="3" spans="1:21">
      <c r="A3" s="10" t="s">
        <v>26</v>
      </c>
      <c r="B3" s="13">
        <v>46082</v>
      </c>
      <c r="C3" s="11">
        <v>28509</v>
      </c>
      <c r="D3" s="11">
        <v>28290</v>
      </c>
      <c r="E3" s="11">
        <v>26043</v>
      </c>
      <c r="F3" s="11">
        <v>2247</v>
      </c>
      <c r="G3" s="11">
        <v>17527</v>
      </c>
      <c r="H3" s="11">
        <v>1136</v>
      </c>
      <c r="I3" s="11">
        <v>324</v>
      </c>
      <c r="J3" s="11">
        <v>225</v>
      </c>
      <c r="K3" s="12">
        <v>1223</v>
      </c>
      <c r="L3" s="11">
        <v>3094</v>
      </c>
      <c r="M3" s="10" t="s">
        <v>449</v>
      </c>
      <c r="N3" s="10" t="s">
        <v>450</v>
      </c>
      <c r="O3" s="10" t="s">
        <v>414</v>
      </c>
      <c r="P3" s="10" t="s">
        <v>358</v>
      </c>
      <c r="Q3" s="10" t="s">
        <v>108</v>
      </c>
      <c r="R3" s="10" t="s">
        <v>199</v>
      </c>
      <c r="S3" s="10" t="s">
        <v>88</v>
      </c>
      <c r="T3" s="10" t="s">
        <v>147</v>
      </c>
      <c r="U3" s="10" t="s">
        <v>359</v>
      </c>
    </row>
    <row r="4" spans="1:21">
      <c r="A4" s="10" t="s">
        <v>28</v>
      </c>
      <c r="B4" s="13">
        <v>46083</v>
      </c>
      <c r="C4" s="11">
        <v>28192</v>
      </c>
      <c r="D4" s="11">
        <v>28811</v>
      </c>
      <c r="E4" s="11">
        <v>26609</v>
      </c>
      <c r="F4" s="11">
        <v>2202</v>
      </c>
      <c r="G4" s="11">
        <v>17181</v>
      </c>
      <c r="H4" s="11">
        <v>834</v>
      </c>
      <c r="I4" s="11">
        <v>295</v>
      </c>
      <c r="J4" s="11">
        <v>103</v>
      </c>
      <c r="K4" s="12">
        <v>327</v>
      </c>
      <c r="L4" s="11">
        <v>3026</v>
      </c>
      <c r="M4" s="10" t="s">
        <v>451</v>
      </c>
      <c r="N4" s="10" t="s">
        <v>434</v>
      </c>
      <c r="O4" s="10" t="s">
        <v>452</v>
      </c>
      <c r="P4" s="10" t="s">
        <v>164</v>
      </c>
      <c r="Q4" s="10" t="s">
        <v>424</v>
      </c>
      <c r="R4" s="10" t="s">
        <v>169</v>
      </c>
      <c r="S4" s="10" t="s">
        <v>138</v>
      </c>
      <c r="T4" s="10" t="s">
        <v>148</v>
      </c>
      <c r="U4" s="10" t="s">
        <v>201</v>
      </c>
    </row>
    <row r="5" spans="1:21">
      <c r="A5" s="10" t="s">
        <v>29</v>
      </c>
      <c r="B5" s="13">
        <v>46084</v>
      </c>
      <c r="C5" s="11">
        <v>26571</v>
      </c>
      <c r="D5" s="11">
        <v>26832</v>
      </c>
      <c r="E5" s="11">
        <v>25061</v>
      </c>
      <c r="F5" s="11">
        <v>1771</v>
      </c>
      <c r="G5" s="11">
        <v>16836</v>
      </c>
      <c r="H5" s="11">
        <v>694</v>
      </c>
      <c r="I5" s="11">
        <v>199</v>
      </c>
      <c r="J5" s="11">
        <v>79</v>
      </c>
      <c r="K5" s="12">
        <v>579</v>
      </c>
      <c r="L5" s="11">
        <v>2558</v>
      </c>
      <c r="M5" s="10" t="s">
        <v>453</v>
      </c>
      <c r="N5" s="10" t="s">
        <v>454</v>
      </c>
      <c r="O5" s="10" t="s">
        <v>141</v>
      </c>
      <c r="P5" s="10" t="s">
        <v>203</v>
      </c>
      <c r="Q5" s="10" t="s">
        <v>122</v>
      </c>
      <c r="R5" s="10" t="s">
        <v>204</v>
      </c>
      <c r="S5" s="10" t="s">
        <v>129</v>
      </c>
      <c r="T5" s="10" t="s">
        <v>160</v>
      </c>
      <c r="U5" s="10" t="s">
        <v>143</v>
      </c>
    </row>
    <row r="6" spans="1:21">
      <c r="A6" s="10" t="s">
        <v>30</v>
      </c>
      <c r="B6" s="13">
        <v>46085</v>
      </c>
      <c r="C6" s="11">
        <v>26909</v>
      </c>
      <c r="D6" s="11">
        <v>27820</v>
      </c>
      <c r="E6" s="11">
        <v>25675</v>
      </c>
      <c r="F6" s="11">
        <v>2145</v>
      </c>
      <c r="G6" s="11">
        <v>16764</v>
      </c>
      <c r="H6" s="11">
        <v>829</v>
      </c>
      <c r="I6" s="11">
        <v>201</v>
      </c>
      <c r="J6" s="11">
        <v>36</v>
      </c>
      <c r="K6" s="12">
        <v>360</v>
      </c>
      <c r="L6" s="11">
        <v>2663</v>
      </c>
      <c r="M6" s="10" t="s">
        <v>455</v>
      </c>
      <c r="N6" s="10" t="s">
        <v>456</v>
      </c>
      <c r="O6" s="10" t="s">
        <v>83</v>
      </c>
      <c r="P6" s="10" t="s">
        <v>205</v>
      </c>
      <c r="Q6" s="10" t="s">
        <v>196</v>
      </c>
      <c r="R6" s="10" t="s">
        <v>110</v>
      </c>
      <c r="S6" s="10" t="s">
        <v>129</v>
      </c>
      <c r="T6" s="10" t="s">
        <v>206</v>
      </c>
      <c r="U6" s="10" t="s">
        <v>66</v>
      </c>
    </row>
    <row r="7" spans="1:21">
      <c r="A7" s="10" t="s">
        <v>31</v>
      </c>
      <c r="B7" s="13">
        <v>46086</v>
      </c>
      <c r="C7" s="11">
        <v>26396</v>
      </c>
      <c r="D7" s="11">
        <v>25586</v>
      </c>
      <c r="E7" s="11">
        <v>23809</v>
      </c>
      <c r="F7" s="11">
        <v>1777</v>
      </c>
      <c r="G7" s="11">
        <v>16741</v>
      </c>
      <c r="H7" s="11">
        <v>1055</v>
      </c>
      <c r="I7" s="11">
        <v>312</v>
      </c>
      <c r="J7" s="11">
        <v>109</v>
      </c>
      <c r="K7" s="12">
        <v>379</v>
      </c>
      <c r="L7" s="11">
        <v>2611</v>
      </c>
      <c r="M7" s="10" t="s">
        <v>457</v>
      </c>
      <c r="N7" s="10" t="s">
        <v>458</v>
      </c>
      <c r="O7" s="10" t="s">
        <v>459</v>
      </c>
      <c r="P7" s="10" t="s">
        <v>191</v>
      </c>
      <c r="Q7" s="10" t="s">
        <v>415</v>
      </c>
      <c r="R7" s="10" t="s">
        <v>65</v>
      </c>
      <c r="S7" s="10" t="s">
        <v>141</v>
      </c>
      <c r="T7" s="10" t="s">
        <v>139</v>
      </c>
      <c r="U7" s="10" t="s">
        <v>207</v>
      </c>
    </row>
    <row r="8" spans="1:21">
      <c r="A8" s="10" t="s">
        <v>32</v>
      </c>
      <c r="B8" s="13">
        <v>46087</v>
      </c>
      <c r="C8" s="11">
        <v>25699</v>
      </c>
      <c r="D8" s="11">
        <v>26194</v>
      </c>
      <c r="E8" s="11">
        <v>24315</v>
      </c>
      <c r="F8" s="11">
        <v>1879</v>
      </c>
      <c r="G8" s="11">
        <v>16315</v>
      </c>
      <c r="H8" s="11">
        <v>861</v>
      </c>
      <c r="I8" s="11">
        <v>246</v>
      </c>
      <c r="J8" s="11">
        <v>55</v>
      </c>
      <c r="K8" s="12">
        <v>314</v>
      </c>
      <c r="L8" s="11">
        <v>2652</v>
      </c>
      <c r="M8" s="10" t="s">
        <v>460</v>
      </c>
      <c r="N8" s="10" t="s">
        <v>461</v>
      </c>
      <c r="O8" s="10" t="s">
        <v>420</v>
      </c>
      <c r="P8" s="10" t="s">
        <v>188</v>
      </c>
      <c r="Q8" s="10" t="s">
        <v>167</v>
      </c>
      <c r="R8" s="10" t="s">
        <v>208</v>
      </c>
      <c r="S8" s="10" t="s">
        <v>119</v>
      </c>
      <c r="T8" s="10" t="s">
        <v>196</v>
      </c>
      <c r="U8" s="10" t="s">
        <v>209</v>
      </c>
    </row>
    <row r="9" spans="1:21">
      <c r="A9" s="10" t="s">
        <v>33</v>
      </c>
      <c r="B9" s="13">
        <v>46088</v>
      </c>
      <c r="C9" s="11">
        <v>25807</v>
      </c>
      <c r="D9" s="11">
        <v>25429</v>
      </c>
      <c r="E9" s="11">
        <v>23795</v>
      </c>
      <c r="F9" s="11">
        <v>1634</v>
      </c>
      <c r="G9" s="11">
        <v>16408</v>
      </c>
      <c r="H9" s="11">
        <v>1231</v>
      </c>
      <c r="I9" s="11">
        <v>299</v>
      </c>
      <c r="J9" s="11">
        <v>63</v>
      </c>
      <c r="K9" s="12">
        <v>308</v>
      </c>
      <c r="L9" s="11">
        <v>2409</v>
      </c>
      <c r="M9" s="10" t="s">
        <v>462</v>
      </c>
      <c r="N9" s="10" t="s">
        <v>463</v>
      </c>
      <c r="O9" s="10" t="s">
        <v>464</v>
      </c>
      <c r="P9" s="10" t="s">
        <v>210</v>
      </c>
      <c r="Q9" s="10" t="s">
        <v>105</v>
      </c>
      <c r="R9" s="10" t="s">
        <v>211</v>
      </c>
      <c r="S9" s="10" t="s">
        <v>95</v>
      </c>
      <c r="T9" s="10" t="s">
        <v>212</v>
      </c>
      <c r="U9" s="10" t="s">
        <v>213</v>
      </c>
    </row>
    <row r="10" spans="1:21">
      <c r="A10" s="10" t="s">
        <v>34</v>
      </c>
      <c r="B10" s="13">
        <v>46089</v>
      </c>
      <c r="C10" s="11">
        <v>25673</v>
      </c>
      <c r="D10" s="11">
        <v>25641</v>
      </c>
      <c r="E10" s="11">
        <v>23989</v>
      </c>
      <c r="F10" s="11">
        <v>1652</v>
      </c>
      <c r="G10" s="11">
        <v>16285</v>
      </c>
      <c r="H10" s="11">
        <v>1462</v>
      </c>
      <c r="I10" s="11">
        <v>671</v>
      </c>
      <c r="J10" s="11">
        <v>101</v>
      </c>
      <c r="K10" s="12">
        <v>314</v>
      </c>
      <c r="L10" s="11">
        <v>2351</v>
      </c>
      <c r="M10" s="10" t="s">
        <v>465</v>
      </c>
      <c r="N10" s="10" t="s">
        <v>439</v>
      </c>
      <c r="O10" s="10" t="s">
        <v>454</v>
      </c>
      <c r="P10" s="10" t="s">
        <v>181</v>
      </c>
      <c r="Q10" s="10" t="s">
        <v>440</v>
      </c>
      <c r="R10" s="10" t="s">
        <v>214</v>
      </c>
      <c r="S10" s="10" t="s">
        <v>204</v>
      </c>
      <c r="T10" s="10" t="s">
        <v>192</v>
      </c>
      <c r="U10" s="10" t="s">
        <v>215</v>
      </c>
    </row>
    <row r="11" spans="1:21">
      <c r="A11" s="10" t="s">
        <v>35</v>
      </c>
      <c r="B11" s="13">
        <v>46090</v>
      </c>
      <c r="C11" s="11">
        <v>24047</v>
      </c>
      <c r="D11" s="11">
        <v>25268</v>
      </c>
      <c r="E11" s="11">
        <v>23477</v>
      </c>
      <c r="F11" s="11">
        <v>1791</v>
      </c>
      <c r="G11" s="11">
        <v>15677</v>
      </c>
      <c r="H11" s="11">
        <v>1084</v>
      </c>
      <c r="I11" s="11">
        <v>612</v>
      </c>
      <c r="J11" s="11">
        <v>131</v>
      </c>
      <c r="K11" s="12">
        <v>361</v>
      </c>
      <c r="L11" s="11">
        <v>2161</v>
      </c>
      <c r="M11" s="10" t="s">
        <v>466</v>
      </c>
      <c r="N11" s="10" t="s">
        <v>181</v>
      </c>
      <c r="O11" s="10" t="s">
        <v>467</v>
      </c>
      <c r="P11" s="10" t="s">
        <v>216</v>
      </c>
      <c r="Q11" s="10" t="s">
        <v>468</v>
      </c>
      <c r="R11" s="10" t="s">
        <v>217</v>
      </c>
      <c r="S11" s="10" t="s">
        <v>151</v>
      </c>
      <c r="T11" s="10" t="s">
        <v>163</v>
      </c>
      <c r="U11" s="10" t="s">
        <v>218</v>
      </c>
    </row>
    <row r="12" spans="1:21">
      <c r="A12" s="10" t="s">
        <v>36</v>
      </c>
      <c r="B12" s="13">
        <v>46091</v>
      </c>
      <c r="C12" s="11">
        <v>23274</v>
      </c>
      <c r="D12" s="11">
        <v>23697</v>
      </c>
      <c r="E12" s="11">
        <v>22078</v>
      </c>
      <c r="F12" s="11">
        <v>1619</v>
      </c>
      <c r="G12" s="11">
        <v>15162</v>
      </c>
      <c r="H12" s="11">
        <v>700</v>
      </c>
      <c r="I12" s="11">
        <v>253</v>
      </c>
      <c r="J12" s="11">
        <v>88</v>
      </c>
      <c r="K12" s="12">
        <v>371</v>
      </c>
      <c r="L12" s="11">
        <v>1990</v>
      </c>
      <c r="M12" s="10" t="s">
        <v>469</v>
      </c>
      <c r="N12" s="10" t="s">
        <v>470</v>
      </c>
      <c r="O12" s="10" t="s">
        <v>471</v>
      </c>
      <c r="P12" s="10" t="s">
        <v>360</v>
      </c>
      <c r="Q12" s="10" t="s">
        <v>249</v>
      </c>
      <c r="R12" s="10" t="s">
        <v>283</v>
      </c>
      <c r="S12" s="10" t="s">
        <v>144</v>
      </c>
      <c r="T12" s="10" t="s">
        <v>105</v>
      </c>
      <c r="U12" s="10" t="s">
        <v>219</v>
      </c>
    </row>
    <row r="13" spans="1:21">
      <c r="A13" s="10" t="s">
        <v>37</v>
      </c>
      <c r="B13" s="13">
        <v>46092</v>
      </c>
      <c r="C13" s="11">
        <v>22313</v>
      </c>
      <c r="D13" s="11">
        <v>22485</v>
      </c>
      <c r="E13" s="11">
        <v>21114</v>
      </c>
      <c r="F13" s="11">
        <v>1371</v>
      </c>
      <c r="G13" s="11">
        <v>14665</v>
      </c>
      <c r="H13" s="11">
        <v>804</v>
      </c>
      <c r="I13" s="11">
        <v>234</v>
      </c>
      <c r="J13" s="11">
        <v>167</v>
      </c>
      <c r="K13" s="12">
        <v>496</v>
      </c>
      <c r="L13" s="11">
        <v>1846</v>
      </c>
      <c r="M13" s="10" t="s">
        <v>472</v>
      </c>
      <c r="N13" s="10" t="s">
        <v>473</v>
      </c>
      <c r="O13" s="10" t="s">
        <v>474</v>
      </c>
      <c r="P13" s="10" t="s">
        <v>361</v>
      </c>
      <c r="Q13" s="10" t="s">
        <v>88</v>
      </c>
      <c r="R13" s="10" t="s">
        <v>103</v>
      </c>
      <c r="S13" s="10" t="s">
        <v>138</v>
      </c>
      <c r="T13" s="10" t="s">
        <v>129</v>
      </c>
      <c r="U13" s="10" t="s">
        <v>220</v>
      </c>
    </row>
    <row r="14" spans="1:21">
      <c r="A14" s="10" t="s">
        <v>38</v>
      </c>
      <c r="B14" s="13">
        <v>46093</v>
      </c>
      <c r="C14" s="11">
        <v>22926</v>
      </c>
      <c r="D14" s="11">
        <v>22920</v>
      </c>
      <c r="E14" s="11">
        <v>21554</v>
      </c>
      <c r="F14" s="11">
        <v>1366</v>
      </c>
      <c r="G14" s="11">
        <v>15102</v>
      </c>
      <c r="H14" s="11">
        <v>745</v>
      </c>
      <c r="I14" s="11">
        <v>162</v>
      </c>
      <c r="J14" s="11">
        <v>48</v>
      </c>
      <c r="K14" s="12">
        <v>263</v>
      </c>
      <c r="L14" s="11">
        <v>2006</v>
      </c>
      <c r="M14" s="10" t="s">
        <v>475</v>
      </c>
      <c r="N14" s="10" t="s">
        <v>476</v>
      </c>
      <c r="O14" s="10" t="s">
        <v>418</v>
      </c>
      <c r="P14" s="10" t="s">
        <v>362</v>
      </c>
      <c r="Q14" s="10" t="s">
        <v>419</v>
      </c>
      <c r="R14" s="10" t="s">
        <v>221</v>
      </c>
      <c r="S14" s="10" t="s">
        <v>193</v>
      </c>
      <c r="T14" s="10" t="s">
        <v>196</v>
      </c>
      <c r="U14" s="10" t="s">
        <v>222</v>
      </c>
    </row>
    <row r="15" spans="1:21">
      <c r="A15" s="10" t="s">
        <v>39</v>
      </c>
      <c r="B15" s="13">
        <v>46094</v>
      </c>
      <c r="C15" s="11">
        <v>23842</v>
      </c>
      <c r="D15" s="11">
        <v>23070</v>
      </c>
      <c r="E15" s="11">
        <v>21792</v>
      </c>
      <c r="F15" s="11">
        <v>1278</v>
      </c>
      <c r="G15" s="11">
        <v>16237</v>
      </c>
      <c r="H15" s="11">
        <v>952</v>
      </c>
      <c r="I15" s="11">
        <v>90</v>
      </c>
      <c r="J15" s="11">
        <v>-26</v>
      </c>
      <c r="K15" s="12">
        <v>198</v>
      </c>
      <c r="L15" s="11">
        <v>2207</v>
      </c>
      <c r="M15" s="10" t="s">
        <v>477</v>
      </c>
      <c r="N15" s="10" t="s">
        <v>478</v>
      </c>
      <c r="O15" s="10" t="s">
        <v>109</v>
      </c>
      <c r="P15" s="10" t="s">
        <v>223</v>
      </c>
      <c r="Q15" s="10" t="s">
        <v>398</v>
      </c>
      <c r="R15" s="10" t="s">
        <v>224</v>
      </c>
      <c r="S15" s="10" t="s">
        <v>105</v>
      </c>
      <c r="T15" s="10" t="s">
        <v>225</v>
      </c>
      <c r="U15" s="10" t="s">
        <v>226</v>
      </c>
    </row>
    <row r="16" spans="1:21">
      <c r="A16" s="10" t="s">
        <v>40</v>
      </c>
      <c r="B16" s="13">
        <v>46095</v>
      </c>
      <c r="C16" s="11">
        <v>26087</v>
      </c>
      <c r="D16" s="11">
        <v>25154</v>
      </c>
      <c r="E16" s="11">
        <v>23541</v>
      </c>
      <c r="F16" s="11">
        <v>1613</v>
      </c>
      <c r="G16" s="11">
        <v>17388</v>
      </c>
      <c r="H16" s="11">
        <v>1859</v>
      </c>
      <c r="I16" s="11">
        <v>883</v>
      </c>
      <c r="J16" s="11">
        <v>264</v>
      </c>
      <c r="K16" s="12">
        <v>613</v>
      </c>
      <c r="L16" s="11">
        <v>2155</v>
      </c>
      <c r="M16" s="10" t="s">
        <v>479</v>
      </c>
      <c r="N16" s="10" t="s">
        <v>480</v>
      </c>
      <c r="O16" s="10" t="s">
        <v>481</v>
      </c>
      <c r="P16" s="10" t="s">
        <v>227</v>
      </c>
      <c r="Q16" s="10" t="s">
        <v>482</v>
      </c>
      <c r="R16" s="10" t="s">
        <v>228</v>
      </c>
      <c r="S16" s="10" t="s">
        <v>185</v>
      </c>
      <c r="T16" s="10" t="s">
        <v>127</v>
      </c>
      <c r="U16" s="10" t="s">
        <v>229</v>
      </c>
    </row>
    <row r="17" spans="1:21">
      <c r="A17" s="10" t="s">
        <v>41</v>
      </c>
      <c r="B17" s="13">
        <v>46096</v>
      </c>
      <c r="C17" s="11">
        <v>25881</v>
      </c>
      <c r="D17" s="11">
        <v>26949</v>
      </c>
      <c r="E17" s="11">
        <v>25178</v>
      </c>
      <c r="F17" s="11">
        <v>1771</v>
      </c>
      <c r="G17" s="11">
        <v>17607</v>
      </c>
      <c r="H17" s="11">
        <v>1747</v>
      </c>
      <c r="I17" s="11">
        <v>646</v>
      </c>
      <c r="J17" s="11">
        <v>326</v>
      </c>
      <c r="K17" s="12">
        <v>744</v>
      </c>
      <c r="L17" s="11">
        <v>2165</v>
      </c>
      <c r="M17" s="10" t="s">
        <v>483</v>
      </c>
      <c r="N17" s="10" t="s">
        <v>484</v>
      </c>
      <c r="O17" s="10" t="s">
        <v>485</v>
      </c>
      <c r="P17" s="10" t="s">
        <v>363</v>
      </c>
      <c r="Q17" s="10" t="s">
        <v>414</v>
      </c>
      <c r="R17" s="10" t="s">
        <v>230</v>
      </c>
      <c r="S17" s="10" t="s">
        <v>89</v>
      </c>
      <c r="T17" s="10" t="s">
        <v>146</v>
      </c>
      <c r="U17" s="10" t="s">
        <v>231</v>
      </c>
    </row>
    <row r="18" spans="1:21">
      <c r="A18" s="10" t="s">
        <v>42</v>
      </c>
      <c r="B18" s="13">
        <v>46097</v>
      </c>
      <c r="C18" s="11">
        <v>25573</v>
      </c>
      <c r="D18" s="11">
        <v>24452</v>
      </c>
      <c r="E18" s="11">
        <v>22993</v>
      </c>
      <c r="F18" s="11">
        <v>1459</v>
      </c>
      <c r="G18" s="11">
        <v>17604</v>
      </c>
      <c r="H18" s="11">
        <v>1678</v>
      </c>
      <c r="I18" s="11">
        <v>995</v>
      </c>
      <c r="J18" s="11">
        <v>732</v>
      </c>
      <c r="K18" s="12">
        <v>1081</v>
      </c>
      <c r="L18" s="11">
        <v>1976</v>
      </c>
      <c r="M18" s="10" t="s">
        <v>486</v>
      </c>
      <c r="N18" s="10" t="s">
        <v>487</v>
      </c>
      <c r="O18" s="10" t="s">
        <v>488</v>
      </c>
      <c r="P18" s="10" t="s">
        <v>232</v>
      </c>
      <c r="Q18" s="10" t="s">
        <v>489</v>
      </c>
      <c r="R18" s="10" t="s">
        <v>150</v>
      </c>
      <c r="S18" s="10" t="s">
        <v>233</v>
      </c>
      <c r="T18" s="10" t="s">
        <v>75</v>
      </c>
      <c r="U18" s="10" t="s">
        <v>234</v>
      </c>
    </row>
    <row r="19" spans="1:21">
      <c r="A19" s="10" t="s">
        <v>43</v>
      </c>
      <c r="B19" s="13">
        <v>46098</v>
      </c>
      <c r="C19" s="11">
        <v>23226</v>
      </c>
      <c r="D19" s="11">
        <v>24476</v>
      </c>
      <c r="E19" s="11">
        <v>22871</v>
      </c>
      <c r="F19" s="11">
        <v>1605</v>
      </c>
      <c r="G19" s="11">
        <v>15957</v>
      </c>
      <c r="H19" s="11">
        <v>1339</v>
      </c>
      <c r="I19" s="11">
        <v>809</v>
      </c>
      <c r="J19" s="11">
        <v>731</v>
      </c>
      <c r="K19" s="12">
        <v>1210</v>
      </c>
      <c r="L19" s="11">
        <v>1833</v>
      </c>
      <c r="M19" s="10" t="s">
        <v>490</v>
      </c>
      <c r="N19" s="10" t="s">
        <v>491</v>
      </c>
      <c r="O19" s="10" t="s">
        <v>492</v>
      </c>
      <c r="P19" s="10" t="s">
        <v>364</v>
      </c>
      <c r="Q19" s="10" t="s">
        <v>394</v>
      </c>
      <c r="R19" s="10" t="s">
        <v>102</v>
      </c>
      <c r="S19" s="10" t="s">
        <v>130</v>
      </c>
      <c r="T19" s="10" t="s">
        <v>156</v>
      </c>
      <c r="U19" s="10" t="s">
        <v>235</v>
      </c>
    </row>
    <row r="20" spans="1:21">
      <c r="A20" s="10" t="s">
        <v>44</v>
      </c>
      <c r="B20" s="13">
        <v>46099</v>
      </c>
      <c r="C20" s="11">
        <v>22047</v>
      </c>
      <c r="D20" s="11">
        <v>23046</v>
      </c>
      <c r="E20" s="11">
        <v>21445</v>
      </c>
      <c r="F20" s="11">
        <v>1601</v>
      </c>
      <c r="G20" s="11">
        <v>15258</v>
      </c>
      <c r="H20" s="11">
        <v>1327</v>
      </c>
      <c r="I20" s="11">
        <v>987</v>
      </c>
      <c r="J20" s="11">
        <v>549</v>
      </c>
      <c r="K20" s="12">
        <v>1004</v>
      </c>
      <c r="L20" s="11">
        <v>1683</v>
      </c>
      <c r="M20" s="10" t="s">
        <v>493</v>
      </c>
      <c r="N20" s="10" t="s">
        <v>447</v>
      </c>
      <c r="O20" s="10" t="s">
        <v>494</v>
      </c>
      <c r="P20" s="10" t="s">
        <v>365</v>
      </c>
      <c r="Q20" s="10" t="s">
        <v>103</v>
      </c>
      <c r="R20" s="10" t="s">
        <v>281</v>
      </c>
      <c r="S20" s="10" t="s">
        <v>158</v>
      </c>
      <c r="T20" s="10" t="s">
        <v>236</v>
      </c>
      <c r="U20" s="10" t="s">
        <v>237</v>
      </c>
    </row>
    <row r="21" spans="1:21">
      <c r="A21" s="10" t="s">
        <v>45</v>
      </c>
      <c r="B21" s="13">
        <v>46100</v>
      </c>
      <c r="C21" s="11">
        <v>22685</v>
      </c>
      <c r="D21" s="11">
        <v>22213</v>
      </c>
      <c r="E21" s="11">
        <v>20772</v>
      </c>
      <c r="F21" s="11">
        <v>1441</v>
      </c>
      <c r="G21" s="11">
        <v>15765</v>
      </c>
      <c r="H21" s="11">
        <v>1188</v>
      </c>
      <c r="I21" s="11">
        <v>758</v>
      </c>
      <c r="J21" s="11">
        <v>658</v>
      </c>
      <c r="K21" s="12">
        <v>1304</v>
      </c>
      <c r="L21" s="11">
        <v>1647</v>
      </c>
      <c r="M21" s="10" t="s">
        <v>495</v>
      </c>
      <c r="N21" s="10" t="s">
        <v>496</v>
      </c>
      <c r="O21" s="10" t="s">
        <v>438</v>
      </c>
      <c r="P21" s="10" t="s">
        <v>366</v>
      </c>
      <c r="Q21" s="10" t="s">
        <v>91</v>
      </c>
      <c r="R21" s="10" t="s">
        <v>367</v>
      </c>
      <c r="S21" s="10" t="s">
        <v>238</v>
      </c>
      <c r="T21" s="10" t="s">
        <v>157</v>
      </c>
      <c r="U21" s="10" t="s">
        <v>239</v>
      </c>
    </row>
    <row r="22" spans="1:21">
      <c r="A22" s="10" t="s">
        <v>46</v>
      </c>
      <c r="B22" s="13">
        <v>46101</v>
      </c>
      <c r="C22" s="11">
        <v>22496</v>
      </c>
      <c r="D22" s="11">
        <v>22421</v>
      </c>
      <c r="E22" s="11">
        <v>20905</v>
      </c>
      <c r="F22" s="11">
        <v>1516</v>
      </c>
      <c r="G22" s="11">
        <v>15607</v>
      </c>
      <c r="H22" s="11">
        <v>1547</v>
      </c>
      <c r="I22" s="11">
        <v>921</v>
      </c>
      <c r="J22" s="11">
        <v>838</v>
      </c>
      <c r="K22" s="12">
        <v>1391</v>
      </c>
      <c r="L22" s="11">
        <v>1601</v>
      </c>
      <c r="M22" s="10" t="s">
        <v>497</v>
      </c>
      <c r="N22" s="10" t="s">
        <v>498</v>
      </c>
      <c r="O22" s="10" t="s">
        <v>499</v>
      </c>
      <c r="P22" s="10" t="s">
        <v>282</v>
      </c>
      <c r="Q22" s="10" t="s">
        <v>500</v>
      </c>
      <c r="R22" s="10" t="s">
        <v>189</v>
      </c>
      <c r="S22" s="10" t="s">
        <v>240</v>
      </c>
      <c r="T22" s="10" t="s">
        <v>241</v>
      </c>
      <c r="U22" s="10" t="s">
        <v>242</v>
      </c>
    </row>
    <row r="23" spans="1:21">
      <c r="A23" s="10" t="s">
        <v>47</v>
      </c>
      <c r="B23" s="13">
        <v>46102</v>
      </c>
      <c r="C23" s="11">
        <v>23148</v>
      </c>
      <c r="D23" s="11">
        <v>22126</v>
      </c>
      <c r="E23" s="11">
        <v>20885</v>
      </c>
      <c r="F23" s="11">
        <v>1241</v>
      </c>
      <c r="G23" s="11">
        <v>16516</v>
      </c>
      <c r="H23" s="11">
        <v>1947</v>
      </c>
      <c r="I23" s="11">
        <v>1043</v>
      </c>
      <c r="J23" s="11">
        <v>662</v>
      </c>
      <c r="K23" s="12">
        <v>1390</v>
      </c>
      <c r="L23" s="11">
        <v>1469</v>
      </c>
      <c r="M23" s="10" t="s">
        <v>501</v>
      </c>
      <c r="N23" s="10" t="s">
        <v>502</v>
      </c>
      <c r="O23" s="10" t="s">
        <v>425</v>
      </c>
      <c r="P23" s="10" t="s">
        <v>380</v>
      </c>
      <c r="Q23" s="10" t="s">
        <v>503</v>
      </c>
      <c r="R23" s="10" t="s">
        <v>190</v>
      </c>
      <c r="S23" s="10" t="s">
        <v>217</v>
      </c>
      <c r="T23" s="10" t="s">
        <v>75</v>
      </c>
      <c r="U23" s="10" t="s">
        <v>243</v>
      </c>
    </row>
    <row r="24" spans="1:21">
      <c r="A24" s="10" t="s">
        <v>48</v>
      </c>
      <c r="B24" s="13">
        <v>46103</v>
      </c>
      <c r="C24" s="11">
        <v>27834</v>
      </c>
      <c r="D24" s="11">
        <v>26169</v>
      </c>
      <c r="E24" s="11">
        <v>24493</v>
      </c>
      <c r="F24" s="11">
        <v>1676</v>
      </c>
      <c r="G24" s="11">
        <v>20349</v>
      </c>
      <c r="H24" s="11">
        <v>3346</v>
      </c>
      <c r="I24" s="11">
        <v>2189</v>
      </c>
      <c r="J24" s="11">
        <v>863</v>
      </c>
      <c r="K24" s="12">
        <v>1492</v>
      </c>
      <c r="L24" s="11">
        <v>1755</v>
      </c>
      <c r="M24" s="10" t="s">
        <v>504</v>
      </c>
      <c r="N24" s="10" t="s">
        <v>505</v>
      </c>
      <c r="O24" s="10" t="s">
        <v>506</v>
      </c>
      <c r="P24" s="10" t="s">
        <v>507</v>
      </c>
      <c r="Q24" s="10" t="s">
        <v>508</v>
      </c>
      <c r="R24" s="10" t="s">
        <v>397</v>
      </c>
      <c r="S24" s="10" t="s">
        <v>276</v>
      </c>
      <c r="T24" s="10" t="s">
        <v>352</v>
      </c>
      <c r="U24" s="10" t="s">
        <v>355</v>
      </c>
    </row>
    <row r="25" spans="1:21">
      <c r="A25" s="10" t="s">
        <v>49</v>
      </c>
      <c r="B25" s="13">
        <v>46104</v>
      </c>
      <c r="C25" s="11">
        <v>22153</v>
      </c>
      <c r="D25" s="11">
        <v>17683</v>
      </c>
      <c r="E25" s="11">
        <v>16419</v>
      </c>
      <c r="F25" s="11">
        <v>1264</v>
      </c>
      <c r="G25" s="11">
        <v>15962</v>
      </c>
      <c r="H25" s="11">
        <v>2315</v>
      </c>
      <c r="I25" s="11">
        <v>2183</v>
      </c>
      <c r="J25" s="11">
        <v>2371</v>
      </c>
      <c r="K25" s="12">
        <v>3506</v>
      </c>
      <c r="L25" s="11">
        <v>1416</v>
      </c>
      <c r="M25" s="10" t="s">
        <v>509</v>
      </c>
      <c r="N25" s="10" t="s">
        <v>510</v>
      </c>
      <c r="O25" s="10" t="s">
        <v>511</v>
      </c>
      <c r="P25" s="10" t="s">
        <v>399</v>
      </c>
      <c r="Q25" s="10" t="s">
        <v>512</v>
      </c>
      <c r="R25" s="10" t="s">
        <v>350</v>
      </c>
      <c r="S25" s="10" t="s">
        <v>383</v>
      </c>
      <c r="T25" s="10" t="s">
        <v>368</v>
      </c>
      <c r="U25" s="10" t="s">
        <v>354</v>
      </c>
    </row>
    <row r="26" spans="1:21">
      <c r="A26" s="10" t="s">
        <v>50</v>
      </c>
      <c r="B26" s="13">
        <v>46105</v>
      </c>
      <c r="C26" s="11">
        <v>20777</v>
      </c>
      <c r="D26" s="11">
        <v>26633</v>
      </c>
      <c r="E26" s="11">
        <v>24686</v>
      </c>
      <c r="F26" s="11">
        <v>1947</v>
      </c>
      <c r="G26" s="11">
        <v>15194</v>
      </c>
      <c r="H26" s="11">
        <v>1947</v>
      </c>
      <c r="I26" s="11">
        <v>1950</v>
      </c>
      <c r="J26" s="11">
        <v>4327</v>
      </c>
      <c r="K26" s="12">
        <v>6162</v>
      </c>
      <c r="L26" s="11">
        <v>1263</v>
      </c>
      <c r="M26" s="10" t="s">
        <v>513</v>
      </c>
      <c r="N26" s="10" t="s">
        <v>514</v>
      </c>
      <c r="O26" s="10" t="s">
        <v>515</v>
      </c>
      <c r="P26" s="10" t="s">
        <v>384</v>
      </c>
      <c r="Q26" s="10" t="s">
        <v>516</v>
      </c>
      <c r="R26" s="10" t="s">
        <v>369</v>
      </c>
      <c r="S26" s="10" t="s">
        <v>370</v>
      </c>
      <c r="T26" s="10" t="s">
        <v>137</v>
      </c>
      <c r="U26" s="10" t="s">
        <v>371</v>
      </c>
    </row>
    <row r="27" spans="1:21">
      <c r="A27" s="10" t="s">
        <v>51</v>
      </c>
      <c r="B27" s="13">
        <v>46106</v>
      </c>
      <c r="C27" s="11">
        <v>19992</v>
      </c>
      <c r="D27" s="11">
        <v>21385</v>
      </c>
      <c r="E27" s="11">
        <v>19917</v>
      </c>
      <c r="F27" s="11">
        <v>1468</v>
      </c>
      <c r="G27" s="11">
        <v>14851</v>
      </c>
      <c r="H27" s="11">
        <v>503</v>
      </c>
      <c r="I27" s="11">
        <v>116</v>
      </c>
      <c r="J27" s="11">
        <v>137</v>
      </c>
      <c r="K27" s="12">
        <v>447</v>
      </c>
      <c r="L27" s="11">
        <v>1124</v>
      </c>
      <c r="M27" s="10" t="s">
        <v>517</v>
      </c>
      <c r="N27" s="10" t="s">
        <v>518</v>
      </c>
      <c r="O27" s="10" t="s">
        <v>128</v>
      </c>
      <c r="P27" s="10" t="s">
        <v>390</v>
      </c>
      <c r="Q27" s="10" t="s">
        <v>431</v>
      </c>
      <c r="R27" s="10" t="s">
        <v>131</v>
      </c>
      <c r="S27" s="10" t="s">
        <v>249</v>
      </c>
      <c r="T27" s="10" t="s">
        <v>78</v>
      </c>
      <c r="U27" s="10" t="s">
        <v>372</v>
      </c>
    </row>
    <row r="28" spans="1:21">
      <c r="A28" s="10" t="s">
        <v>52</v>
      </c>
      <c r="B28" s="13">
        <v>46107</v>
      </c>
      <c r="C28" s="11">
        <v>20985</v>
      </c>
      <c r="D28" s="11">
        <v>20774</v>
      </c>
      <c r="E28" s="11">
        <v>19438</v>
      </c>
      <c r="F28" s="11">
        <v>1336</v>
      </c>
      <c r="G28" s="11">
        <v>15515</v>
      </c>
      <c r="H28" s="11">
        <v>744</v>
      </c>
      <c r="I28" s="11">
        <v>105</v>
      </c>
      <c r="J28" s="11">
        <v>54</v>
      </c>
      <c r="K28" s="12">
        <v>351</v>
      </c>
      <c r="L28" s="11">
        <v>1200</v>
      </c>
      <c r="M28" s="10" t="s">
        <v>519</v>
      </c>
      <c r="N28" s="10" t="s">
        <v>412</v>
      </c>
      <c r="O28" s="10" t="s">
        <v>92</v>
      </c>
      <c r="P28" s="10" t="s">
        <v>391</v>
      </c>
      <c r="Q28" s="10" t="s">
        <v>520</v>
      </c>
      <c r="R28" s="10" t="s">
        <v>183</v>
      </c>
      <c r="S28" s="10" t="s">
        <v>97</v>
      </c>
      <c r="T28" s="10" t="s">
        <v>170</v>
      </c>
      <c r="U28" s="10" t="s">
        <v>69</v>
      </c>
    </row>
    <row r="29" spans="1:21">
      <c r="A29" s="10" t="s">
        <v>53</v>
      </c>
      <c r="B29" s="13">
        <v>46108</v>
      </c>
      <c r="C29" s="11">
        <v>19576</v>
      </c>
      <c r="D29" s="11">
        <v>21157</v>
      </c>
      <c r="E29" s="11">
        <v>19914</v>
      </c>
      <c r="F29" s="11">
        <v>1243</v>
      </c>
      <c r="G29" s="11">
        <v>14870</v>
      </c>
      <c r="H29" s="11">
        <v>730</v>
      </c>
      <c r="I29" s="11">
        <v>235</v>
      </c>
      <c r="J29" s="11">
        <v>105</v>
      </c>
      <c r="K29" s="12">
        <v>576</v>
      </c>
      <c r="L29" s="11">
        <v>1051</v>
      </c>
      <c r="M29" s="10" t="s">
        <v>521</v>
      </c>
      <c r="N29" s="10" t="s">
        <v>522</v>
      </c>
      <c r="O29" s="10" t="s">
        <v>200</v>
      </c>
      <c r="P29" s="10" t="s">
        <v>401</v>
      </c>
      <c r="Q29" s="10" t="s">
        <v>193</v>
      </c>
      <c r="R29" s="10" t="s">
        <v>241</v>
      </c>
      <c r="S29" s="10" t="s">
        <v>83</v>
      </c>
      <c r="T29" s="10" t="s">
        <v>163</v>
      </c>
      <c r="U29" s="10" t="s">
        <v>392</v>
      </c>
    </row>
    <row r="30" spans="1:21">
      <c r="A30" s="10" t="s">
        <v>54</v>
      </c>
      <c r="B30" s="13">
        <v>46109</v>
      </c>
      <c r="C30" s="11">
        <v>20107</v>
      </c>
      <c r="D30" s="11">
        <v>19009</v>
      </c>
      <c r="E30" s="11">
        <v>17917</v>
      </c>
      <c r="F30" s="11">
        <v>1092</v>
      </c>
      <c r="G30" s="11">
        <v>15260</v>
      </c>
      <c r="H30" s="11">
        <v>920</v>
      </c>
      <c r="I30" s="11">
        <v>220</v>
      </c>
      <c r="J30" s="11">
        <v>93</v>
      </c>
      <c r="K30" s="12">
        <v>460</v>
      </c>
      <c r="L30" s="11">
        <v>821</v>
      </c>
      <c r="M30" s="10" t="s">
        <v>523</v>
      </c>
      <c r="N30" s="10" t="s">
        <v>524</v>
      </c>
      <c r="O30" s="10" t="s">
        <v>525</v>
      </c>
      <c r="P30" s="10" t="s">
        <v>381</v>
      </c>
      <c r="Q30" s="10" t="s">
        <v>123</v>
      </c>
      <c r="R30" s="10" t="s">
        <v>394</v>
      </c>
      <c r="S30" s="10" t="s">
        <v>144</v>
      </c>
      <c r="T30" s="10" t="s">
        <v>90</v>
      </c>
      <c r="U30" s="10" t="s">
        <v>396</v>
      </c>
    </row>
    <row r="31" spans="1:21">
      <c r="A31" s="10" t="s">
        <v>55</v>
      </c>
      <c r="B31" s="13">
        <v>46110</v>
      </c>
      <c r="C31" s="11">
        <v>20757</v>
      </c>
      <c r="D31" s="11">
        <v>20783</v>
      </c>
      <c r="E31" s="11">
        <v>19569</v>
      </c>
      <c r="F31" s="11">
        <v>1214</v>
      </c>
      <c r="G31" s="11">
        <v>16187</v>
      </c>
      <c r="H31" s="11">
        <v>1108</v>
      </c>
      <c r="I31" s="11">
        <v>265</v>
      </c>
      <c r="J31" s="11">
        <v>42</v>
      </c>
      <c r="K31" s="12">
        <v>243</v>
      </c>
      <c r="L31" s="11">
        <v>834</v>
      </c>
      <c r="M31" s="10" t="s">
        <v>526</v>
      </c>
      <c r="N31" s="10" t="s">
        <v>527</v>
      </c>
      <c r="O31" s="10" t="s">
        <v>528</v>
      </c>
      <c r="P31" s="10" t="s">
        <v>202</v>
      </c>
      <c r="Q31" s="10" t="s">
        <v>170</v>
      </c>
      <c r="R31" s="10" t="s">
        <v>529</v>
      </c>
      <c r="S31" s="10" t="s">
        <v>108</v>
      </c>
      <c r="T31" s="10" t="s">
        <v>182</v>
      </c>
      <c r="U31" s="10" t="s">
        <v>400</v>
      </c>
    </row>
    <row r="32" spans="1:21">
      <c r="A32" s="10" t="s">
        <v>56</v>
      </c>
      <c r="B32" s="13">
        <v>46111</v>
      </c>
      <c r="C32" s="11">
        <v>19417</v>
      </c>
      <c r="D32" s="11">
        <v>20190</v>
      </c>
      <c r="E32" s="11">
        <v>18771</v>
      </c>
      <c r="F32" s="11">
        <v>1419</v>
      </c>
      <c r="G32" s="11">
        <v>15549</v>
      </c>
      <c r="H32" s="11">
        <v>1344</v>
      </c>
      <c r="I32" s="11">
        <v>1008</v>
      </c>
      <c r="J32" s="11">
        <v>1245</v>
      </c>
      <c r="K32" s="12">
        <v>3633</v>
      </c>
      <c r="L32" s="11">
        <v>597</v>
      </c>
      <c r="M32" s="10" t="s">
        <v>530</v>
      </c>
      <c r="N32" s="10" t="s">
        <v>531</v>
      </c>
      <c r="O32" s="10" t="s">
        <v>450</v>
      </c>
      <c r="P32" s="10" t="s">
        <v>402</v>
      </c>
      <c r="Q32" s="10" t="s">
        <v>532</v>
      </c>
      <c r="R32" s="10" t="s">
        <v>403</v>
      </c>
      <c r="S32" s="10" t="s">
        <v>132</v>
      </c>
      <c r="T32" s="10" t="s">
        <v>135</v>
      </c>
      <c r="U32" s="10" t="s">
        <v>404</v>
      </c>
    </row>
    <row r="33" spans="1:21">
      <c r="A33" s="10" t="s">
        <v>57</v>
      </c>
      <c r="B33" s="13">
        <v>46112</v>
      </c>
      <c r="C33" s="11">
        <v>17722</v>
      </c>
      <c r="D33" s="11">
        <v>17755</v>
      </c>
      <c r="E33" s="11">
        <v>16535</v>
      </c>
      <c r="F33" s="11">
        <v>1220</v>
      </c>
      <c r="G33" s="11">
        <v>14502</v>
      </c>
      <c r="H33" s="11">
        <v>2207</v>
      </c>
      <c r="I33" s="11">
        <v>2287</v>
      </c>
      <c r="J33" s="11">
        <v>2288</v>
      </c>
      <c r="K33" s="12">
        <v>6861</v>
      </c>
      <c r="L33" s="11">
        <v>380</v>
      </c>
      <c r="M33" s="10" t="s">
        <v>533</v>
      </c>
      <c r="N33" s="10" t="s">
        <v>534</v>
      </c>
      <c r="O33" s="10" t="s">
        <v>535</v>
      </c>
      <c r="P33" s="10" t="s">
        <v>408</v>
      </c>
      <c r="Q33" s="10" t="s">
        <v>536</v>
      </c>
      <c r="R33" s="10" t="s">
        <v>409</v>
      </c>
      <c r="S33" s="10" t="s">
        <v>537</v>
      </c>
      <c r="T33" s="10" t="s">
        <v>410</v>
      </c>
      <c r="U33" s="10" t="s">
        <v>411</v>
      </c>
    </row>
    <row r="34" spans="1:21">
      <c r="A34" s="10" t="s">
        <v>58</v>
      </c>
      <c r="B34" s="13">
        <v>46113</v>
      </c>
      <c r="C34" s="11">
        <v>16985</v>
      </c>
      <c r="D34" s="11">
        <v>17373</v>
      </c>
      <c r="E34" s="11">
        <v>16321</v>
      </c>
      <c r="F34" s="11">
        <v>1052</v>
      </c>
      <c r="G34" s="11">
        <v>11828</v>
      </c>
      <c r="H34" s="11">
        <v>412</v>
      </c>
      <c r="I34" s="11">
        <v>44</v>
      </c>
      <c r="J34" s="11">
        <v>25</v>
      </c>
      <c r="K34" s="12">
        <v>344</v>
      </c>
      <c r="L34" s="11">
        <v>973</v>
      </c>
      <c r="M34" s="10" t="s">
        <v>719</v>
      </c>
      <c r="N34" s="10" t="s">
        <v>130</v>
      </c>
      <c r="O34" s="10" t="s">
        <v>148</v>
      </c>
      <c r="P34" s="10" t="s">
        <v>426</v>
      </c>
      <c r="Q34" s="10" t="s">
        <v>196</v>
      </c>
      <c r="R34" s="10" t="s">
        <v>428</v>
      </c>
      <c r="S34" s="10" t="s">
        <v>170</v>
      </c>
      <c r="T34" s="10" t="s">
        <v>184</v>
      </c>
      <c r="U34" s="10" t="s">
        <v>153</v>
      </c>
    </row>
    <row r="35" spans="1:21">
      <c r="A35" s="10" t="s">
        <v>59</v>
      </c>
      <c r="B35" s="13">
        <v>46114</v>
      </c>
      <c r="C35" s="11">
        <v>16896</v>
      </c>
      <c r="D35" s="11">
        <v>17010</v>
      </c>
      <c r="E35" s="11">
        <v>15531</v>
      </c>
      <c r="F35" s="11">
        <v>1479</v>
      </c>
      <c r="G35" s="11">
        <v>12247</v>
      </c>
      <c r="H35" s="11">
        <v>367</v>
      </c>
      <c r="I35" s="11">
        <v>41</v>
      </c>
      <c r="J35" s="11">
        <v>14</v>
      </c>
      <c r="K35" s="12">
        <v>187</v>
      </c>
      <c r="L35" s="11">
        <v>916</v>
      </c>
      <c r="M35" s="10" t="s">
        <v>720</v>
      </c>
      <c r="N35" s="10" t="s">
        <v>665</v>
      </c>
      <c r="O35" s="10" t="s">
        <v>649</v>
      </c>
      <c r="P35" s="10" t="s">
        <v>111</v>
      </c>
      <c r="Q35" s="10" t="s">
        <v>250</v>
      </c>
      <c r="R35" s="10" t="s">
        <v>77</v>
      </c>
      <c r="S35" s="10" t="s">
        <v>212</v>
      </c>
      <c r="T35" s="10" t="s">
        <v>389</v>
      </c>
      <c r="U35" s="10" t="s">
        <v>538</v>
      </c>
    </row>
    <row r="36" spans="1:21">
      <c r="A36" s="10" t="s">
        <v>60</v>
      </c>
      <c r="B36" s="13">
        <v>46115</v>
      </c>
      <c r="C36" s="11">
        <v>19007</v>
      </c>
      <c r="D36" s="11">
        <v>18512</v>
      </c>
      <c r="E36" s="11">
        <v>17351</v>
      </c>
      <c r="F36" s="11">
        <v>1161</v>
      </c>
      <c r="G36" s="11">
        <v>13798</v>
      </c>
      <c r="H36" s="11">
        <v>425</v>
      </c>
      <c r="I36" s="11">
        <v>45</v>
      </c>
      <c r="J36" s="11">
        <v>-10</v>
      </c>
      <c r="K36" s="12">
        <v>178</v>
      </c>
      <c r="L36" s="11">
        <v>1135</v>
      </c>
      <c r="M36" s="10" t="s">
        <v>721</v>
      </c>
      <c r="N36" s="10" t="s">
        <v>110</v>
      </c>
      <c r="O36" s="10" t="s">
        <v>649</v>
      </c>
      <c r="P36" s="10" t="s">
        <v>632</v>
      </c>
      <c r="Q36" s="10" t="s">
        <v>388</v>
      </c>
      <c r="R36" s="10" t="s">
        <v>633</v>
      </c>
      <c r="S36" s="10" t="s">
        <v>212</v>
      </c>
      <c r="T36" s="10" t="s">
        <v>540</v>
      </c>
      <c r="U36" s="10" t="s">
        <v>541</v>
      </c>
    </row>
    <row r="37" spans="1:21">
      <c r="A37" s="10" t="s">
        <v>61</v>
      </c>
      <c r="B37" s="13">
        <v>46116</v>
      </c>
      <c r="C37" s="11">
        <v>19897</v>
      </c>
      <c r="D37" s="11">
        <v>18960</v>
      </c>
      <c r="E37" s="11">
        <v>17654</v>
      </c>
      <c r="F37" s="11">
        <v>1306</v>
      </c>
      <c r="G37" s="11">
        <v>14853</v>
      </c>
      <c r="H37" s="11">
        <v>649</v>
      </c>
      <c r="I37" s="11">
        <v>42</v>
      </c>
      <c r="J37" s="11">
        <v>10</v>
      </c>
      <c r="K37" s="12">
        <v>142</v>
      </c>
      <c r="L37" s="11">
        <v>1237</v>
      </c>
      <c r="M37" s="10" t="s">
        <v>722</v>
      </c>
      <c r="N37" s="10" t="s">
        <v>723</v>
      </c>
      <c r="O37" s="10" t="s">
        <v>254</v>
      </c>
      <c r="P37" s="10" t="s">
        <v>96</v>
      </c>
      <c r="Q37" s="10" t="s">
        <v>194</v>
      </c>
      <c r="R37" s="10" t="s">
        <v>159</v>
      </c>
      <c r="S37" s="10" t="s">
        <v>196</v>
      </c>
      <c r="T37" s="10" t="s">
        <v>542</v>
      </c>
      <c r="U37" s="10" t="s">
        <v>543</v>
      </c>
    </row>
    <row r="38" spans="1:21">
      <c r="A38" s="10" t="s">
        <v>62</v>
      </c>
      <c r="B38" s="13">
        <v>46117</v>
      </c>
      <c r="C38" s="11">
        <v>22453</v>
      </c>
      <c r="D38" s="11">
        <v>20803</v>
      </c>
      <c r="E38" s="11">
        <v>19547</v>
      </c>
      <c r="F38" s="11">
        <v>1256</v>
      </c>
      <c r="G38" s="11">
        <v>16911</v>
      </c>
      <c r="H38" s="11">
        <v>844</v>
      </c>
      <c r="I38" s="11">
        <v>39</v>
      </c>
      <c r="J38" s="11">
        <v>6</v>
      </c>
      <c r="K38" s="12">
        <v>93</v>
      </c>
      <c r="L38" s="11">
        <v>1265</v>
      </c>
      <c r="M38" s="10" t="s">
        <v>724</v>
      </c>
      <c r="N38" s="10" t="s">
        <v>725</v>
      </c>
      <c r="O38" s="10" t="s">
        <v>247</v>
      </c>
      <c r="P38" s="10" t="s">
        <v>193</v>
      </c>
      <c r="Q38" s="10" t="s">
        <v>663</v>
      </c>
      <c r="R38" s="10" t="s">
        <v>650</v>
      </c>
      <c r="S38" s="10" t="s">
        <v>427</v>
      </c>
      <c r="T38" s="10" t="s">
        <v>544</v>
      </c>
      <c r="U38" s="10" t="s">
        <v>80</v>
      </c>
    </row>
    <row r="39" spans="1:21">
      <c r="A39" s="10" t="s">
        <v>63</v>
      </c>
      <c r="B39" s="13">
        <v>46118</v>
      </c>
      <c r="C39" s="11">
        <v>21349</v>
      </c>
      <c r="D39" s="11">
        <v>21742</v>
      </c>
      <c r="E39" s="11">
        <v>20364</v>
      </c>
      <c r="F39" s="11">
        <v>1378</v>
      </c>
      <c r="G39" s="11">
        <v>16199</v>
      </c>
      <c r="H39" s="11">
        <v>680</v>
      </c>
      <c r="I39" s="11">
        <v>79</v>
      </c>
      <c r="J39" s="11">
        <v>23</v>
      </c>
      <c r="K39" s="12">
        <v>125</v>
      </c>
      <c r="L39" s="11">
        <v>1118</v>
      </c>
      <c r="M39" s="10" t="s">
        <v>726</v>
      </c>
      <c r="N39" s="10" t="s">
        <v>727</v>
      </c>
      <c r="O39" s="10" t="s">
        <v>664</v>
      </c>
      <c r="P39" s="10" t="s">
        <v>185</v>
      </c>
      <c r="Q39" s="10" t="s">
        <v>195</v>
      </c>
      <c r="R39" s="10" t="s">
        <v>629</v>
      </c>
      <c r="S39" s="10" t="s">
        <v>148</v>
      </c>
      <c r="T39" s="10" t="s">
        <v>250</v>
      </c>
      <c r="U39" s="10" t="s">
        <v>359</v>
      </c>
    </row>
    <row r="40" spans="1:21">
      <c r="A40" s="10" t="s">
        <v>626</v>
      </c>
      <c r="B40" s="13">
        <v>46119</v>
      </c>
      <c r="C40" s="11">
        <v>20276</v>
      </c>
      <c r="D40" s="11">
        <v>22157</v>
      </c>
      <c r="E40" s="11">
        <v>20661</v>
      </c>
      <c r="F40" s="11">
        <v>1496</v>
      </c>
      <c r="G40" s="11">
        <v>15392</v>
      </c>
      <c r="H40" s="11">
        <v>521</v>
      </c>
      <c r="I40" s="11">
        <v>89</v>
      </c>
      <c r="J40" s="11">
        <v>0</v>
      </c>
      <c r="K40" s="12">
        <v>188</v>
      </c>
      <c r="L40" s="11">
        <v>879</v>
      </c>
      <c r="M40" s="10" t="s">
        <v>728</v>
      </c>
      <c r="N40" s="10" t="s">
        <v>185</v>
      </c>
      <c r="O40" s="10" t="s">
        <v>249</v>
      </c>
      <c r="P40" s="10" t="s">
        <v>27</v>
      </c>
      <c r="Q40" s="10" t="s">
        <v>27</v>
      </c>
      <c r="R40" s="10" t="s">
        <v>648</v>
      </c>
      <c r="S40" s="10" t="s">
        <v>140</v>
      </c>
      <c r="T40" s="10" t="s">
        <v>27</v>
      </c>
      <c r="U40" s="10" t="s">
        <v>27</v>
      </c>
    </row>
    <row r="41" spans="1:21">
      <c r="A41" s="10" t="s">
        <v>630</v>
      </c>
      <c r="B41" s="13">
        <v>46120</v>
      </c>
      <c r="C41" s="11">
        <v>19531</v>
      </c>
      <c r="D41" s="11">
        <v>19795</v>
      </c>
      <c r="E41" s="11">
        <v>18576</v>
      </c>
      <c r="F41" s="11">
        <v>1219</v>
      </c>
      <c r="G41" s="11">
        <v>15266</v>
      </c>
      <c r="H41" s="11">
        <v>525</v>
      </c>
      <c r="I41" s="11">
        <v>117</v>
      </c>
      <c r="J41" s="11">
        <v>17</v>
      </c>
      <c r="K41" s="12">
        <v>191</v>
      </c>
      <c r="L41" s="11">
        <v>853</v>
      </c>
      <c r="M41" s="10" t="s">
        <v>729</v>
      </c>
      <c r="N41" s="10" t="s">
        <v>252</v>
      </c>
      <c r="O41" s="10" t="s">
        <v>730</v>
      </c>
      <c r="P41" s="10" t="s">
        <v>165</v>
      </c>
      <c r="Q41" s="10" t="s">
        <v>250</v>
      </c>
      <c r="R41" s="10" t="s">
        <v>651</v>
      </c>
      <c r="S41" s="10" t="s">
        <v>424</v>
      </c>
      <c r="T41" s="10" t="s">
        <v>258</v>
      </c>
      <c r="U41" s="10" t="s">
        <v>637</v>
      </c>
    </row>
    <row r="42" spans="1:21">
      <c r="A42" s="10" t="s">
        <v>638</v>
      </c>
      <c r="B42" s="13">
        <v>46121</v>
      </c>
      <c r="C42" s="11">
        <v>19630</v>
      </c>
      <c r="D42" s="11">
        <v>19081</v>
      </c>
      <c r="E42" s="11">
        <v>17832</v>
      </c>
      <c r="F42" s="11">
        <v>1249</v>
      </c>
      <c r="G42" s="11">
        <v>15663</v>
      </c>
      <c r="H42" s="11">
        <v>440</v>
      </c>
      <c r="I42" s="11">
        <v>78</v>
      </c>
      <c r="J42" s="11">
        <v>-18</v>
      </c>
      <c r="K42" s="12">
        <v>112</v>
      </c>
      <c r="L42" s="11">
        <v>740</v>
      </c>
      <c r="M42" s="10" t="s">
        <v>731</v>
      </c>
      <c r="N42" s="10" t="s">
        <v>270</v>
      </c>
      <c r="O42" s="10" t="s">
        <v>97</v>
      </c>
      <c r="P42" s="10" t="s">
        <v>641</v>
      </c>
      <c r="Q42" s="10" t="s">
        <v>225</v>
      </c>
      <c r="R42" s="10" t="s">
        <v>633</v>
      </c>
      <c r="S42" s="10" t="s">
        <v>642</v>
      </c>
      <c r="T42" s="10" t="s">
        <v>643</v>
      </c>
      <c r="U42" s="10" t="s">
        <v>644</v>
      </c>
    </row>
    <row r="43" spans="1:21">
      <c r="A43" s="10" t="s">
        <v>645</v>
      </c>
      <c r="B43" s="13">
        <v>46122</v>
      </c>
      <c r="C43" s="11">
        <v>17885</v>
      </c>
      <c r="D43" s="11">
        <v>18300</v>
      </c>
      <c r="E43" s="11">
        <v>17031</v>
      </c>
      <c r="F43" s="11">
        <v>1269</v>
      </c>
      <c r="G43" s="11">
        <v>14634</v>
      </c>
      <c r="H43" s="11">
        <v>448</v>
      </c>
      <c r="I43" s="11">
        <v>105</v>
      </c>
      <c r="J43" s="11">
        <v>12</v>
      </c>
      <c r="K43" s="12">
        <v>226</v>
      </c>
      <c r="L43" s="11">
        <v>646</v>
      </c>
      <c r="M43" s="10" t="s">
        <v>732</v>
      </c>
      <c r="N43" s="10" t="s">
        <v>661</v>
      </c>
      <c r="O43" s="10" t="s">
        <v>733</v>
      </c>
      <c r="P43" s="10" t="s">
        <v>636</v>
      </c>
      <c r="Q43" s="10" t="s">
        <v>389</v>
      </c>
      <c r="R43" s="10" t="s">
        <v>89</v>
      </c>
      <c r="S43" s="10" t="s">
        <v>652</v>
      </c>
      <c r="T43" s="10" t="s">
        <v>194</v>
      </c>
      <c r="U43" s="10" t="s">
        <v>653</v>
      </c>
    </row>
    <row r="44" spans="1:21">
      <c r="A44" s="10" t="s">
        <v>654</v>
      </c>
      <c r="B44" s="13">
        <v>46123</v>
      </c>
      <c r="C44" s="11">
        <v>18887</v>
      </c>
      <c r="D44" s="11">
        <v>18176</v>
      </c>
      <c r="E44" s="11">
        <v>16983</v>
      </c>
      <c r="F44" s="11">
        <v>1193</v>
      </c>
      <c r="G44" s="11">
        <v>15663</v>
      </c>
      <c r="H44" s="11">
        <v>690</v>
      </c>
      <c r="I44" s="11">
        <v>107</v>
      </c>
      <c r="J44" s="11">
        <v>33</v>
      </c>
      <c r="K44" s="12">
        <v>217</v>
      </c>
      <c r="L44" s="11">
        <v>382</v>
      </c>
      <c r="M44" s="10" t="s">
        <v>734</v>
      </c>
      <c r="N44" s="10" t="s">
        <v>735</v>
      </c>
      <c r="O44" s="10" t="s">
        <v>92</v>
      </c>
      <c r="P44" s="10" t="s">
        <v>666</v>
      </c>
      <c r="Q44" s="10" t="s">
        <v>196</v>
      </c>
      <c r="R44" s="10" t="s">
        <v>667</v>
      </c>
      <c r="S44" s="10" t="s">
        <v>104</v>
      </c>
      <c r="T44" s="10" t="s">
        <v>427</v>
      </c>
      <c r="U44" s="10" t="s">
        <v>655</v>
      </c>
    </row>
    <row r="45" spans="1:21">
      <c r="A45" s="10" t="s">
        <v>656</v>
      </c>
      <c r="B45" s="13">
        <v>46124</v>
      </c>
      <c r="C45" s="11">
        <v>19876</v>
      </c>
      <c r="D45" s="11">
        <v>19079</v>
      </c>
      <c r="E45" s="11">
        <v>17853</v>
      </c>
      <c r="F45" s="11">
        <v>1226</v>
      </c>
      <c r="G45" s="11">
        <v>16776</v>
      </c>
      <c r="H45" s="11">
        <v>964</v>
      </c>
      <c r="I45" s="11">
        <v>205</v>
      </c>
      <c r="J45" s="11">
        <v>54</v>
      </c>
      <c r="K45" s="12">
        <v>187</v>
      </c>
      <c r="L45" s="11">
        <v>339</v>
      </c>
      <c r="M45" s="10" t="s">
        <v>736</v>
      </c>
      <c r="N45" s="10" t="s">
        <v>737</v>
      </c>
      <c r="O45" s="10" t="s">
        <v>94</v>
      </c>
      <c r="P45" s="10" t="s">
        <v>668</v>
      </c>
      <c r="Q45" s="10" t="s">
        <v>419</v>
      </c>
      <c r="R45" s="10" t="s">
        <v>434</v>
      </c>
      <c r="S45" s="10" t="s">
        <v>669</v>
      </c>
      <c r="T45" s="10" t="s">
        <v>670</v>
      </c>
      <c r="U45" s="10" t="s">
        <v>671</v>
      </c>
    </row>
    <row r="46" spans="1:21">
      <c r="A46" s="10" t="s">
        <v>672</v>
      </c>
      <c r="B46" s="13">
        <v>46125</v>
      </c>
      <c r="C46" s="11">
        <v>19739</v>
      </c>
      <c r="D46" s="11">
        <v>19806</v>
      </c>
      <c r="E46" s="11">
        <v>18213</v>
      </c>
      <c r="F46" s="11">
        <v>1593</v>
      </c>
      <c r="G46" s="11">
        <v>17169</v>
      </c>
      <c r="H46" s="11">
        <v>755</v>
      </c>
      <c r="I46" s="11">
        <v>310</v>
      </c>
      <c r="J46" s="11">
        <v>42</v>
      </c>
      <c r="K46" s="12">
        <v>223</v>
      </c>
      <c r="L46" s="11">
        <v>222</v>
      </c>
      <c r="M46" s="10" t="s">
        <v>738</v>
      </c>
      <c r="N46" s="10" t="s">
        <v>548</v>
      </c>
      <c r="O46" s="10" t="s">
        <v>739</v>
      </c>
      <c r="P46" s="10" t="s">
        <v>740</v>
      </c>
      <c r="Q46" s="10" t="s">
        <v>212</v>
      </c>
      <c r="R46" s="10" t="s">
        <v>741</v>
      </c>
      <c r="S46" s="10" t="s">
        <v>631</v>
      </c>
      <c r="T46" s="10" t="s">
        <v>196</v>
      </c>
      <c r="U46" s="10" t="s">
        <v>742</v>
      </c>
    </row>
    <row r="47" spans="1:21">
      <c r="A47" s="10" t="s">
        <v>743</v>
      </c>
      <c r="B47" s="13">
        <v>46126</v>
      </c>
      <c r="C47" s="11">
        <v>19624</v>
      </c>
      <c r="D47" s="11">
        <v>21218</v>
      </c>
      <c r="E47" s="11">
        <v>19734</v>
      </c>
      <c r="F47" s="11">
        <v>1484</v>
      </c>
      <c r="G47" s="11">
        <v>17852</v>
      </c>
      <c r="H47" s="11">
        <v>571</v>
      </c>
      <c r="I47" s="11">
        <v>200</v>
      </c>
      <c r="J47" s="11">
        <v>-3</v>
      </c>
      <c r="K47" s="12">
        <v>108</v>
      </c>
      <c r="L47" s="11">
        <v>149</v>
      </c>
      <c r="M47" s="10" t="s">
        <v>744</v>
      </c>
      <c r="N47" s="10" t="s">
        <v>745</v>
      </c>
      <c r="O47" s="10" t="s">
        <v>74</v>
      </c>
      <c r="P47" s="10" t="s">
        <v>261</v>
      </c>
      <c r="Q47" s="10" t="s">
        <v>746</v>
      </c>
      <c r="R47" s="10" t="s">
        <v>747</v>
      </c>
      <c r="S47" s="10" t="s">
        <v>748</v>
      </c>
      <c r="T47" s="10" t="s">
        <v>746</v>
      </c>
      <c r="U47" s="10" t="s">
        <v>749</v>
      </c>
    </row>
  </sheetData>
  <autoFilter ref="A1:U1" xr:uid="{9DCF74D3-F449-40A2-B099-8AC35B27ABA0}"/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B96A-BF65-4D0F-91A6-33C7CB76228D}">
  <sheetPr>
    <tabColor rgb="FF92D050"/>
  </sheetPr>
  <dimension ref="A1:U47"/>
  <sheetViews>
    <sheetView topLeftCell="A19"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9" t="s">
        <v>16</v>
      </c>
      <c r="B1" s="9" t="s">
        <v>172</v>
      </c>
      <c r="C1" s="9" t="s">
        <v>8</v>
      </c>
      <c r="D1" s="9" t="s">
        <v>10</v>
      </c>
      <c r="E1" s="9" t="s">
        <v>9</v>
      </c>
      <c r="F1" s="9" t="s">
        <v>173</v>
      </c>
      <c r="G1" s="9" t="s">
        <v>7</v>
      </c>
      <c r="H1" s="9" t="s">
        <v>11</v>
      </c>
      <c r="I1" s="9" t="s">
        <v>174</v>
      </c>
      <c r="J1" s="9" t="s">
        <v>12</v>
      </c>
      <c r="K1" s="9" t="s">
        <v>175</v>
      </c>
      <c r="L1" s="9" t="s">
        <v>176</v>
      </c>
      <c r="M1" s="9" t="s">
        <v>4</v>
      </c>
      <c r="N1" s="9" t="s">
        <v>14</v>
      </c>
      <c r="O1" s="9" t="s">
        <v>177</v>
      </c>
      <c r="P1" s="9" t="s">
        <v>15</v>
      </c>
      <c r="Q1" s="9" t="s">
        <v>13</v>
      </c>
      <c r="R1" s="9" t="s">
        <v>178</v>
      </c>
      <c r="S1" s="9" t="s">
        <v>179</v>
      </c>
      <c r="T1" s="9" t="s">
        <v>180</v>
      </c>
      <c r="U1" s="9" t="s">
        <v>70</v>
      </c>
    </row>
    <row r="2" spans="1:21">
      <c r="A2" s="10" t="s">
        <v>0</v>
      </c>
      <c r="B2" s="10" t="s">
        <v>1</v>
      </c>
      <c r="C2" s="11">
        <v>86420</v>
      </c>
      <c r="D2" s="11">
        <v>86745</v>
      </c>
      <c r="E2" s="11">
        <v>76704</v>
      </c>
      <c r="F2" s="11">
        <v>10041</v>
      </c>
      <c r="G2" s="11">
        <v>63156</v>
      </c>
      <c r="H2" s="11">
        <v>3736</v>
      </c>
      <c r="I2" s="11">
        <v>1269</v>
      </c>
      <c r="J2" s="11">
        <v>1006</v>
      </c>
      <c r="K2" s="12">
        <v>40482</v>
      </c>
      <c r="L2" s="11">
        <v>5449</v>
      </c>
      <c r="M2" s="10" t="s">
        <v>750</v>
      </c>
      <c r="N2" s="10" t="s">
        <v>751</v>
      </c>
      <c r="O2" s="10" t="s">
        <v>752</v>
      </c>
      <c r="P2" s="10" t="s">
        <v>753</v>
      </c>
      <c r="Q2" s="10" t="s">
        <v>754</v>
      </c>
      <c r="R2" s="10" t="s">
        <v>755</v>
      </c>
      <c r="S2" s="10" t="s">
        <v>125</v>
      </c>
      <c r="T2" s="10" t="s">
        <v>95</v>
      </c>
      <c r="U2" s="10" t="s">
        <v>236</v>
      </c>
    </row>
    <row r="3" spans="1:21">
      <c r="A3" s="10" t="s">
        <v>26</v>
      </c>
      <c r="B3" s="13">
        <v>46082</v>
      </c>
      <c r="C3" s="11">
        <v>2730</v>
      </c>
      <c r="D3" s="11">
        <v>2740</v>
      </c>
      <c r="E3" s="11">
        <v>2383</v>
      </c>
      <c r="F3" s="11">
        <v>357</v>
      </c>
      <c r="G3" s="11">
        <v>1786</v>
      </c>
      <c r="H3" s="11">
        <v>69</v>
      </c>
      <c r="I3" s="11">
        <v>7</v>
      </c>
      <c r="J3" s="11">
        <v>15</v>
      </c>
      <c r="K3" s="12">
        <v>1223</v>
      </c>
      <c r="L3" s="11">
        <v>244</v>
      </c>
      <c r="M3" s="10" t="s">
        <v>545</v>
      </c>
      <c r="N3" s="10" t="s">
        <v>546</v>
      </c>
      <c r="O3" s="10" t="s">
        <v>192</v>
      </c>
      <c r="P3" s="10" t="s">
        <v>106</v>
      </c>
      <c r="Q3" s="10" t="s">
        <v>468</v>
      </c>
      <c r="R3" s="10" t="s">
        <v>142</v>
      </c>
      <c r="S3" s="10" t="s">
        <v>170</v>
      </c>
      <c r="T3" s="10" t="s">
        <v>109</v>
      </c>
      <c r="U3" s="10" t="s">
        <v>81</v>
      </c>
    </row>
    <row r="4" spans="1:21">
      <c r="A4" s="10" t="s">
        <v>28</v>
      </c>
      <c r="B4" s="13">
        <v>46083</v>
      </c>
      <c r="C4" s="11">
        <v>2910</v>
      </c>
      <c r="D4" s="11">
        <v>2913</v>
      </c>
      <c r="E4" s="11">
        <v>2544</v>
      </c>
      <c r="F4" s="11">
        <v>369</v>
      </c>
      <c r="G4" s="11">
        <v>1817</v>
      </c>
      <c r="H4" s="11">
        <v>80</v>
      </c>
      <c r="I4" s="11">
        <v>17</v>
      </c>
      <c r="J4" s="11">
        <v>7</v>
      </c>
      <c r="K4" s="12">
        <v>327</v>
      </c>
      <c r="L4" s="11">
        <v>252</v>
      </c>
      <c r="M4" s="10" t="s">
        <v>547</v>
      </c>
      <c r="N4" s="10" t="s">
        <v>548</v>
      </c>
      <c r="O4" s="10" t="s">
        <v>549</v>
      </c>
      <c r="P4" s="10" t="s">
        <v>248</v>
      </c>
      <c r="Q4" s="10" t="s">
        <v>192</v>
      </c>
      <c r="R4" s="10" t="s">
        <v>121</v>
      </c>
      <c r="S4" s="10" t="s">
        <v>249</v>
      </c>
      <c r="T4" s="10" t="s">
        <v>212</v>
      </c>
      <c r="U4" s="10" t="s">
        <v>171</v>
      </c>
    </row>
    <row r="5" spans="1:21">
      <c r="A5" s="10" t="s">
        <v>29</v>
      </c>
      <c r="B5" s="13">
        <v>46084</v>
      </c>
      <c r="C5" s="11">
        <v>2732</v>
      </c>
      <c r="D5" s="11">
        <v>2749</v>
      </c>
      <c r="E5" s="11">
        <v>2408</v>
      </c>
      <c r="F5" s="11">
        <v>341</v>
      </c>
      <c r="G5" s="11">
        <v>1789</v>
      </c>
      <c r="H5" s="11">
        <v>39</v>
      </c>
      <c r="I5" s="11">
        <v>13</v>
      </c>
      <c r="J5" s="11">
        <v>3</v>
      </c>
      <c r="K5" s="12">
        <v>579</v>
      </c>
      <c r="L5" s="11">
        <v>261</v>
      </c>
      <c r="M5" s="10" t="s">
        <v>550</v>
      </c>
      <c r="N5" s="10" t="s">
        <v>395</v>
      </c>
      <c r="O5" s="10" t="s">
        <v>551</v>
      </c>
      <c r="P5" s="10" t="s">
        <v>71</v>
      </c>
      <c r="Q5" s="10" t="s">
        <v>427</v>
      </c>
      <c r="R5" s="10" t="s">
        <v>120</v>
      </c>
      <c r="S5" s="10" t="s">
        <v>245</v>
      </c>
      <c r="T5" s="10" t="s">
        <v>250</v>
      </c>
      <c r="U5" s="10" t="s">
        <v>145</v>
      </c>
    </row>
    <row r="6" spans="1:21">
      <c r="A6" s="10" t="s">
        <v>30</v>
      </c>
      <c r="B6" s="13">
        <v>46085</v>
      </c>
      <c r="C6" s="11">
        <v>2531</v>
      </c>
      <c r="D6" s="11">
        <v>2723</v>
      </c>
      <c r="E6" s="11">
        <v>2388</v>
      </c>
      <c r="F6" s="11">
        <v>335</v>
      </c>
      <c r="G6" s="11">
        <v>1728</v>
      </c>
      <c r="H6" s="11">
        <v>87</v>
      </c>
      <c r="I6" s="11">
        <v>12</v>
      </c>
      <c r="J6" s="11">
        <v>4</v>
      </c>
      <c r="K6" s="12">
        <v>360</v>
      </c>
      <c r="L6" s="11">
        <v>240</v>
      </c>
      <c r="M6" s="10" t="s">
        <v>552</v>
      </c>
      <c r="N6" s="10" t="s">
        <v>553</v>
      </c>
      <c r="O6" s="10" t="s">
        <v>78</v>
      </c>
      <c r="P6" s="10" t="s">
        <v>251</v>
      </c>
      <c r="Q6" s="10" t="s">
        <v>247</v>
      </c>
      <c r="R6" s="10" t="s">
        <v>252</v>
      </c>
      <c r="S6" s="10" t="s">
        <v>122</v>
      </c>
      <c r="T6" s="10" t="s">
        <v>253</v>
      </c>
      <c r="U6" s="10" t="s">
        <v>152</v>
      </c>
    </row>
    <row r="7" spans="1:21">
      <c r="A7" s="10" t="s">
        <v>31</v>
      </c>
      <c r="B7" s="13">
        <v>46086</v>
      </c>
      <c r="C7" s="11">
        <v>2495</v>
      </c>
      <c r="D7" s="11">
        <v>2317</v>
      </c>
      <c r="E7" s="11">
        <v>2047</v>
      </c>
      <c r="F7" s="11">
        <v>270</v>
      </c>
      <c r="G7" s="11">
        <v>1632</v>
      </c>
      <c r="H7" s="11">
        <v>81</v>
      </c>
      <c r="I7" s="11">
        <v>7</v>
      </c>
      <c r="J7" s="11">
        <v>3</v>
      </c>
      <c r="K7" s="12">
        <v>379</v>
      </c>
      <c r="L7" s="11">
        <v>226</v>
      </c>
      <c r="M7" s="10" t="s">
        <v>554</v>
      </c>
      <c r="N7" s="10" t="s">
        <v>555</v>
      </c>
      <c r="O7" s="10" t="s">
        <v>114</v>
      </c>
      <c r="P7" s="10" t="s">
        <v>87</v>
      </c>
      <c r="Q7" s="10" t="s">
        <v>357</v>
      </c>
      <c r="R7" s="10" t="s">
        <v>221</v>
      </c>
      <c r="S7" s="10" t="s">
        <v>254</v>
      </c>
      <c r="T7" s="10" t="s">
        <v>246</v>
      </c>
      <c r="U7" s="10" t="s">
        <v>147</v>
      </c>
    </row>
    <row r="8" spans="1:21">
      <c r="A8" s="10" t="s">
        <v>32</v>
      </c>
      <c r="B8" s="13">
        <v>46087</v>
      </c>
      <c r="C8" s="11">
        <v>2411</v>
      </c>
      <c r="D8" s="11">
        <v>2441</v>
      </c>
      <c r="E8" s="11">
        <v>2109</v>
      </c>
      <c r="F8" s="11">
        <v>332</v>
      </c>
      <c r="G8" s="11">
        <v>1631</v>
      </c>
      <c r="H8" s="11">
        <v>84</v>
      </c>
      <c r="I8" s="11">
        <v>13</v>
      </c>
      <c r="J8" s="11">
        <v>11</v>
      </c>
      <c r="K8" s="12">
        <v>314</v>
      </c>
      <c r="L8" s="11">
        <v>248</v>
      </c>
      <c r="M8" s="10" t="s">
        <v>556</v>
      </c>
      <c r="N8" s="10" t="s">
        <v>557</v>
      </c>
      <c r="O8" s="10" t="s">
        <v>558</v>
      </c>
      <c r="P8" s="10" t="s">
        <v>255</v>
      </c>
      <c r="Q8" s="10" t="s">
        <v>113</v>
      </c>
      <c r="R8" s="10" t="s">
        <v>130</v>
      </c>
      <c r="S8" s="10" t="s">
        <v>163</v>
      </c>
      <c r="T8" s="10" t="s">
        <v>90</v>
      </c>
      <c r="U8" s="10" t="s">
        <v>256</v>
      </c>
    </row>
    <row r="9" spans="1:21">
      <c r="A9" s="10" t="s">
        <v>33</v>
      </c>
      <c r="B9" s="13">
        <v>46088</v>
      </c>
      <c r="C9" s="11">
        <v>2414</v>
      </c>
      <c r="D9" s="11">
        <v>2200</v>
      </c>
      <c r="E9" s="11">
        <v>1943</v>
      </c>
      <c r="F9" s="11">
        <v>257</v>
      </c>
      <c r="G9" s="11">
        <v>1643</v>
      </c>
      <c r="H9" s="11">
        <v>111</v>
      </c>
      <c r="I9" s="11">
        <v>11</v>
      </c>
      <c r="J9" s="11">
        <v>3</v>
      </c>
      <c r="K9" s="12">
        <v>308</v>
      </c>
      <c r="L9" s="11">
        <v>204</v>
      </c>
      <c r="M9" s="10" t="s">
        <v>432</v>
      </c>
      <c r="N9" s="10" t="s">
        <v>559</v>
      </c>
      <c r="O9" s="10" t="s">
        <v>113</v>
      </c>
      <c r="P9" s="10" t="s">
        <v>73</v>
      </c>
      <c r="Q9" s="10" t="s">
        <v>357</v>
      </c>
      <c r="R9" s="10" t="s">
        <v>251</v>
      </c>
      <c r="S9" s="10" t="s">
        <v>90</v>
      </c>
      <c r="T9" s="10" t="s">
        <v>246</v>
      </c>
      <c r="U9" s="10" t="s">
        <v>112</v>
      </c>
    </row>
    <row r="10" spans="1:21">
      <c r="A10" s="10" t="s">
        <v>34</v>
      </c>
      <c r="B10" s="13">
        <v>46089</v>
      </c>
      <c r="C10" s="11">
        <v>2343</v>
      </c>
      <c r="D10" s="11">
        <v>2540</v>
      </c>
      <c r="E10" s="11">
        <v>2261</v>
      </c>
      <c r="F10" s="11">
        <v>279</v>
      </c>
      <c r="G10" s="11">
        <v>1579</v>
      </c>
      <c r="H10" s="11">
        <v>92</v>
      </c>
      <c r="I10" s="11">
        <v>11</v>
      </c>
      <c r="J10" s="11">
        <v>2</v>
      </c>
      <c r="K10" s="12">
        <v>314</v>
      </c>
      <c r="L10" s="11">
        <v>191</v>
      </c>
      <c r="M10" s="10" t="s">
        <v>560</v>
      </c>
      <c r="N10" s="10" t="s">
        <v>561</v>
      </c>
      <c r="O10" s="10" t="s">
        <v>562</v>
      </c>
      <c r="P10" s="10" t="s">
        <v>77</v>
      </c>
      <c r="Q10" s="10" t="s">
        <v>206</v>
      </c>
      <c r="R10" s="10" t="s">
        <v>257</v>
      </c>
      <c r="S10" s="10" t="s">
        <v>122</v>
      </c>
      <c r="T10" s="10" t="s">
        <v>258</v>
      </c>
      <c r="U10" s="10" t="s">
        <v>98</v>
      </c>
    </row>
    <row r="11" spans="1:21">
      <c r="A11" s="10" t="s">
        <v>35</v>
      </c>
      <c r="B11" s="13">
        <v>46090</v>
      </c>
      <c r="C11" s="11">
        <v>2314</v>
      </c>
      <c r="D11" s="11">
        <v>2392</v>
      </c>
      <c r="E11" s="11">
        <v>2056</v>
      </c>
      <c r="F11" s="11">
        <v>336</v>
      </c>
      <c r="G11" s="11">
        <v>1611</v>
      </c>
      <c r="H11" s="11">
        <v>75</v>
      </c>
      <c r="I11" s="11">
        <v>14</v>
      </c>
      <c r="J11" s="11">
        <v>6</v>
      </c>
      <c r="K11" s="12">
        <v>361</v>
      </c>
      <c r="L11" s="11">
        <v>196</v>
      </c>
      <c r="M11" s="10" t="s">
        <v>563</v>
      </c>
      <c r="N11" s="10" t="s">
        <v>564</v>
      </c>
      <c r="O11" s="10" t="s">
        <v>436</v>
      </c>
      <c r="P11" s="10" t="s">
        <v>99</v>
      </c>
      <c r="Q11" s="10" t="s">
        <v>148</v>
      </c>
      <c r="R11" s="10" t="s">
        <v>165</v>
      </c>
      <c r="S11" s="10" t="s">
        <v>123</v>
      </c>
      <c r="T11" s="10" t="s">
        <v>170</v>
      </c>
      <c r="U11" s="10" t="s">
        <v>259</v>
      </c>
    </row>
    <row r="12" spans="1:21">
      <c r="A12" s="10" t="s">
        <v>36</v>
      </c>
      <c r="B12" s="13">
        <v>46091</v>
      </c>
      <c r="C12" s="11">
        <v>2063</v>
      </c>
      <c r="D12" s="11">
        <v>2262</v>
      </c>
      <c r="E12" s="11">
        <v>1942</v>
      </c>
      <c r="F12" s="11">
        <v>320</v>
      </c>
      <c r="G12" s="11">
        <v>1445</v>
      </c>
      <c r="H12" s="11">
        <v>71</v>
      </c>
      <c r="I12" s="11">
        <v>12</v>
      </c>
      <c r="J12" s="11">
        <v>-11</v>
      </c>
      <c r="K12" s="12">
        <v>371</v>
      </c>
      <c r="L12" s="11">
        <v>135</v>
      </c>
      <c r="M12" s="10" t="s">
        <v>565</v>
      </c>
      <c r="N12" s="10" t="s">
        <v>522</v>
      </c>
      <c r="O12" s="10" t="s">
        <v>79</v>
      </c>
      <c r="P12" s="10" t="s">
        <v>260</v>
      </c>
      <c r="Q12" s="10" t="s">
        <v>566</v>
      </c>
      <c r="R12" s="10" t="s">
        <v>252</v>
      </c>
      <c r="S12" s="10" t="s">
        <v>249</v>
      </c>
      <c r="T12" s="10" t="s">
        <v>261</v>
      </c>
      <c r="U12" s="10" t="s">
        <v>262</v>
      </c>
    </row>
    <row r="13" spans="1:21">
      <c r="A13" s="10" t="s">
        <v>37</v>
      </c>
      <c r="B13" s="13">
        <v>46092</v>
      </c>
      <c r="C13" s="11">
        <v>2060</v>
      </c>
      <c r="D13" s="11">
        <v>1908</v>
      </c>
      <c r="E13" s="11">
        <v>1687</v>
      </c>
      <c r="F13" s="11">
        <v>221</v>
      </c>
      <c r="G13" s="11">
        <v>1382</v>
      </c>
      <c r="H13" s="11">
        <v>70</v>
      </c>
      <c r="I13" s="11">
        <v>12</v>
      </c>
      <c r="J13" s="11">
        <v>5</v>
      </c>
      <c r="K13" s="12">
        <v>496</v>
      </c>
      <c r="L13" s="11">
        <v>164</v>
      </c>
      <c r="M13" s="10" t="s">
        <v>567</v>
      </c>
      <c r="N13" s="10" t="s">
        <v>492</v>
      </c>
      <c r="O13" s="10" t="s">
        <v>436</v>
      </c>
      <c r="P13" s="10" t="s">
        <v>67</v>
      </c>
      <c r="Q13" s="10" t="s">
        <v>115</v>
      </c>
      <c r="R13" s="10" t="s">
        <v>263</v>
      </c>
      <c r="S13" s="10" t="s">
        <v>249</v>
      </c>
      <c r="T13" s="10" t="s">
        <v>212</v>
      </c>
      <c r="U13" s="10" t="s">
        <v>127</v>
      </c>
    </row>
    <row r="14" spans="1:21">
      <c r="A14" s="10" t="s">
        <v>38</v>
      </c>
      <c r="B14" s="13">
        <v>46093</v>
      </c>
      <c r="C14" s="11">
        <v>2042</v>
      </c>
      <c r="D14" s="11">
        <v>2082</v>
      </c>
      <c r="E14" s="11">
        <v>1818</v>
      </c>
      <c r="F14" s="11">
        <v>264</v>
      </c>
      <c r="G14" s="11">
        <v>1430</v>
      </c>
      <c r="H14" s="11">
        <v>86</v>
      </c>
      <c r="I14" s="11">
        <v>16</v>
      </c>
      <c r="J14" s="11">
        <v>0</v>
      </c>
      <c r="K14" s="12">
        <v>263</v>
      </c>
      <c r="L14" s="11">
        <v>162</v>
      </c>
      <c r="M14" s="10" t="s">
        <v>568</v>
      </c>
      <c r="N14" s="10" t="s">
        <v>569</v>
      </c>
      <c r="O14" s="10" t="s">
        <v>74</v>
      </c>
      <c r="P14" s="10" t="s">
        <v>27</v>
      </c>
      <c r="Q14" s="10" t="s">
        <v>27</v>
      </c>
      <c r="R14" s="10" t="s">
        <v>161</v>
      </c>
      <c r="S14" s="10" t="s">
        <v>128</v>
      </c>
      <c r="T14" s="10" t="s">
        <v>27</v>
      </c>
      <c r="U14" s="10" t="s">
        <v>27</v>
      </c>
    </row>
    <row r="15" spans="1:21">
      <c r="A15" s="10" t="s">
        <v>39</v>
      </c>
      <c r="B15" s="13">
        <v>46094</v>
      </c>
      <c r="C15" s="11">
        <v>2399</v>
      </c>
      <c r="D15" s="11">
        <v>1916</v>
      </c>
      <c r="E15" s="11">
        <v>1729</v>
      </c>
      <c r="F15" s="11">
        <v>187</v>
      </c>
      <c r="G15" s="11">
        <v>1695</v>
      </c>
      <c r="H15" s="11">
        <v>67</v>
      </c>
      <c r="I15" s="11">
        <v>3</v>
      </c>
      <c r="J15" s="11">
        <v>-5</v>
      </c>
      <c r="K15" s="12">
        <v>198</v>
      </c>
      <c r="L15" s="11">
        <v>222</v>
      </c>
      <c r="M15" s="10" t="s">
        <v>570</v>
      </c>
      <c r="N15" s="10" t="s">
        <v>571</v>
      </c>
      <c r="O15" s="10" t="s">
        <v>357</v>
      </c>
      <c r="P15" s="10" t="s">
        <v>264</v>
      </c>
      <c r="Q15" s="10" t="s">
        <v>393</v>
      </c>
      <c r="R15" s="10" t="s">
        <v>265</v>
      </c>
      <c r="S15" s="10" t="s">
        <v>206</v>
      </c>
      <c r="T15" s="10" t="s">
        <v>244</v>
      </c>
      <c r="U15" s="10" t="s">
        <v>166</v>
      </c>
    </row>
    <row r="16" spans="1:21">
      <c r="A16" s="10" t="s">
        <v>40</v>
      </c>
      <c r="B16" s="13">
        <v>46095</v>
      </c>
      <c r="C16" s="11">
        <v>2375</v>
      </c>
      <c r="D16" s="11">
        <v>2788</v>
      </c>
      <c r="E16" s="11">
        <v>2423</v>
      </c>
      <c r="F16" s="11">
        <v>365</v>
      </c>
      <c r="G16" s="11">
        <v>1583</v>
      </c>
      <c r="H16" s="11">
        <v>118</v>
      </c>
      <c r="I16" s="11">
        <v>33</v>
      </c>
      <c r="J16" s="11">
        <v>8</v>
      </c>
      <c r="K16" s="12">
        <v>613</v>
      </c>
      <c r="L16" s="11">
        <v>201</v>
      </c>
      <c r="M16" s="10" t="s">
        <v>479</v>
      </c>
      <c r="N16" s="10" t="s">
        <v>416</v>
      </c>
      <c r="O16" s="10" t="s">
        <v>572</v>
      </c>
      <c r="P16" s="10" t="s">
        <v>136</v>
      </c>
      <c r="Q16" s="10" t="s">
        <v>573</v>
      </c>
      <c r="R16" s="10" t="s">
        <v>353</v>
      </c>
      <c r="S16" s="10" t="s">
        <v>134</v>
      </c>
      <c r="T16" s="10" t="s">
        <v>167</v>
      </c>
      <c r="U16" s="10" t="s">
        <v>149</v>
      </c>
    </row>
    <row r="17" spans="1:21">
      <c r="A17" s="10" t="s">
        <v>41</v>
      </c>
      <c r="B17" s="13">
        <v>46096</v>
      </c>
      <c r="C17" s="11">
        <v>2305</v>
      </c>
      <c r="D17" s="11">
        <v>2220</v>
      </c>
      <c r="E17" s="11">
        <v>2014</v>
      </c>
      <c r="F17" s="11">
        <v>206</v>
      </c>
      <c r="G17" s="11">
        <v>1599</v>
      </c>
      <c r="H17" s="11">
        <v>144</v>
      </c>
      <c r="I17" s="11">
        <v>25</v>
      </c>
      <c r="J17" s="11">
        <v>14</v>
      </c>
      <c r="K17" s="12">
        <v>744</v>
      </c>
      <c r="L17" s="11">
        <v>196</v>
      </c>
      <c r="M17" s="10" t="s">
        <v>422</v>
      </c>
      <c r="N17" s="10" t="s">
        <v>574</v>
      </c>
      <c r="O17" s="10" t="s">
        <v>423</v>
      </c>
      <c r="P17" s="10" t="s">
        <v>266</v>
      </c>
      <c r="Q17" s="10" t="s">
        <v>575</v>
      </c>
      <c r="R17" s="10" t="s">
        <v>64</v>
      </c>
      <c r="S17" s="10" t="s">
        <v>118</v>
      </c>
      <c r="T17" s="10" t="s">
        <v>123</v>
      </c>
      <c r="U17" s="10" t="s">
        <v>267</v>
      </c>
    </row>
    <row r="18" spans="1:21">
      <c r="A18" s="10" t="s">
        <v>42</v>
      </c>
      <c r="B18" s="13">
        <v>46097</v>
      </c>
      <c r="C18" s="11">
        <v>2680</v>
      </c>
      <c r="D18" s="11">
        <v>2598</v>
      </c>
      <c r="E18" s="11">
        <v>2265</v>
      </c>
      <c r="F18" s="11">
        <v>333</v>
      </c>
      <c r="G18" s="11">
        <v>1928</v>
      </c>
      <c r="H18" s="11">
        <v>119</v>
      </c>
      <c r="I18" s="11">
        <v>51</v>
      </c>
      <c r="J18" s="11">
        <v>32</v>
      </c>
      <c r="K18" s="12">
        <v>1081</v>
      </c>
      <c r="L18" s="11">
        <v>177</v>
      </c>
      <c r="M18" s="10" t="s">
        <v>576</v>
      </c>
      <c r="N18" s="10" t="s">
        <v>577</v>
      </c>
      <c r="O18" s="10" t="s">
        <v>578</v>
      </c>
      <c r="P18" s="10" t="s">
        <v>268</v>
      </c>
      <c r="Q18" s="10" t="s">
        <v>259</v>
      </c>
      <c r="R18" s="10" t="s">
        <v>76</v>
      </c>
      <c r="S18" s="10" t="s">
        <v>126</v>
      </c>
      <c r="T18" s="10" t="s">
        <v>107</v>
      </c>
      <c r="U18" s="10" t="s">
        <v>169</v>
      </c>
    </row>
    <row r="19" spans="1:21">
      <c r="A19" s="10" t="s">
        <v>43</v>
      </c>
      <c r="B19" s="13">
        <v>46098</v>
      </c>
      <c r="C19" s="11">
        <v>2202</v>
      </c>
      <c r="D19" s="11">
        <v>2244</v>
      </c>
      <c r="E19" s="11">
        <v>1918</v>
      </c>
      <c r="F19" s="11">
        <v>326</v>
      </c>
      <c r="G19" s="11">
        <v>1528</v>
      </c>
      <c r="H19" s="11">
        <v>115</v>
      </c>
      <c r="I19" s="11">
        <v>43</v>
      </c>
      <c r="J19" s="11">
        <v>34</v>
      </c>
      <c r="K19" s="12">
        <v>1210</v>
      </c>
      <c r="L19" s="11">
        <v>141</v>
      </c>
      <c r="M19" s="10" t="s">
        <v>421</v>
      </c>
      <c r="N19" s="10" t="s">
        <v>579</v>
      </c>
      <c r="O19" s="10" t="s">
        <v>270</v>
      </c>
      <c r="P19" s="10" t="s">
        <v>269</v>
      </c>
      <c r="Q19" s="10" t="s">
        <v>429</v>
      </c>
      <c r="R19" s="10" t="s">
        <v>197</v>
      </c>
      <c r="S19" s="10" t="s">
        <v>154</v>
      </c>
      <c r="T19" s="10" t="s">
        <v>96</v>
      </c>
      <c r="U19" s="10" t="s">
        <v>270</v>
      </c>
    </row>
    <row r="20" spans="1:21">
      <c r="A20" s="10" t="s">
        <v>44</v>
      </c>
      <c r="B20" s="13">
        <v>46099</v>
      </c>
      <c r="C20" s="11">
        <v>2098</v>
      </c>
      <c r="D20" s="11">
        <v>2201</v>
      </c>
      <c r="E20" s="11">
        <v>1875</v>
      </c>
      <c r="F20" s="11">
        <v>326</v>
      </c>
      <c r="G20" s="11">
        <v>1529</v>
      </c>
      <c r="H20" s="11">
        <v>90</v>
      </c>
      <c r="I20" s="11">
        <v>34</v>
      </c>
      <c r="J20" s="11">
        <v>26</v>
      </c>
      <c r="K20" s="12">
        <v>1004</v>
      </c>
      <c r="L20" s="11">
        <v>142</v>
      </c>
      <c r="M20" s="10" t="s">
        <v>580</v>
      </c>
      <c r="N20" s="10" t="s">
        <v>581</v>
      </c>
      <c r="O20" s="10" t="s">
        <v>582</v>
      </c>
      <c r="P20" s="10" t="s">
        <v>271</v>
      </c>
      <c r="Q20" s="10" t="s">
        <v>413</v>
      </c>
      <c r="R20" s="10" t="s">
        <v>351</v>
      </c>
      <c r="S20" s="10" t="s">
        <v>374</v>
      </c>
      <c r="T20" s="10" t="s">
        <v>272</v>
      </c>
      <c r="U20" s="10" t="s">
        <v>273</v>
      </c>
    </row>
    <row r="21" spans="1:21">
      <c r="A21" s="10" t="s">
        <v>45</v>
      </c>
      <c r="B21" s="13">
        <v>46100</v>
      </c>
      <c r="C21" s="11">
        <v>2228</v>
      </c>
      <c r="D21" s="11">
        <v>2026</v>
      </c>
      <c r="E21" s="11">
        <v>1771</v>
      </c>
      <c r="F21" s="11">
        <v>255</v>
      </c>
      <c r="G21" s="11">
        <v>1611</v>
      </c>
      <c r="H21" s="11">
        <v>126</v>
      </c>
      <c r="I21" s="11">
        <v>58</v>
      </c>
      <c r="J21" s="11">
        <v>25</v>
      </c>
      <c r="K21" s="12">
        <v>1304</v>
      </c>
      <c r="L21" s="11">
        <v>161</v>
      </c>
      <c r="M21" s="10" t="s">
        <v>583</v>
      </c>
      <c r="N21" s="10" t="s">
        <v>584</v>
      </c>
      <c r="O21" s="10" t="s">
        <v>103</v>
      </c>
      <c r="P21" s="10" t="s">
        <v>274</v>
      </c>
      <c r="Q21" s="10" t="s">
        <v>435</v>
      </c>
      <c r="R21" s="10" t="s">
        <v>278</v>
      </c>
      <c r="S21" s="10" t="s">
        <v>430</v>
      </c>
      <c r="T21" s="10" t="s">
        <v>74</v>
      </c>
      <c r="U21" s="10" t="s">
        <v>101</v>
      </c>
    </row>
    <row r="22" spans="1:21">
      <c r="A22" s="10" t="s">
        <v>46</v>
      </c>
      <c r="B22" s="13">
        <v>46101</v>
      </c>
      <c r="C22" s="11">
        <v>2020</v>
      </c>
      <c r="D22" s="11">
        <v>2435</v>
      </c>
      <c r="E22" s="11">
        <v>2149</v>
      </c>
      <c r="F22" s="11">
        <v>286</v>
      </c>
      <c r="G22" s="11">
        <v>1442</v>
      </c>
      <c r="H22" s="11">
        <v>131</v>
      </c>
      <c r="I22" s="11">
        <v>61</v>
      </c>
      <c r="J22" s="11">
        <v>44</v>
      </c>
      <c r="K22" s="12">
        <v>1391</v>
      </c>
      <c r="L22" s="11">
        <v>160</v>
      </c>
      <c r="M22" s="10" t="s">
        <v>585</v>
      </c>
      <c r="N22" s="10" t="s">
        <v>586</v>
      </c>
      <c r="O22" s="10" t="s">
        <v>441</v>
      </c>
      <c r="P22" s="10" t="s">
        <v>275</v>
      </c>
      <c r="Q22" s="10" t="s">
        <v>587</v>
      </c>
      <c r="R22" s="10" t="s">
        <v>85</v>
      </c>
      <c r="S22" s="10" t="s">
        <v>379</v>
      </c>
      <c r="T22" s="10" t="s">
        <v>395</v>
      </c>
      <c r="U22" s="10" t="s">
        <v>162</v>
      </c>
    </row>
    <row r="23" spans="1:21">
      <c r="A23" s="10" t="s">
        <v>47</v>
      </c>
      <c r="B23" s="13">
        <v>46102</v>
      </c>
      <c r="C23" s="11">
        <v>2125</v>
      </c>
      <c r="D23" s="11">
        <v>1791</v>
      </c>
      <c r="E23" s="11">
        <v>1631</v>
      </c>
      <c r="F23" s="11">
        <v>160</v>
      </c>
      <c r="G23" s="11">
        <v>1462</v>
      </c>
      <c r="H23" s="11">
        <v>144</v>
      </c>
      <c r="I23" s="11">
        <v>49</v>
      </c>
      <c r="J23" s="11">
        <v>46</v>
      </c>
      <c r="K23" s="12">
        <v>1390</v>
      </c>
      <c r="L23" s="11">
        <v>141</v>
      </c>
      <c r="M23" s="10" t="s">
        <v>588</v>
      </c>
      <c r="N23" s="10" t="s">
        <v>383</v>
      </c>
      <c r="O23" s="10" t="s">
        <v>208</v>
      </c>
      <c r="P23" s="10" t="s">
        <v>277</v>
      </c>
      <c r="Q23" s="10" t="s">
        <v>156</v>
      </c>
      <c r="R23" s="10" t="s">
        <v>136</v>
      </c>
      <c r="S23" s="10" t="s">
        <v>133</v>
      </c>
      <c r="T23" s="10" t="s">
        <v>168</v>
      </c>
      <c r="U23" s="10" t="s">
        <v>116</v>
      </c>
    </row>
    <row r="24" spans="1:21">
      <c r="A24" s="10" t="s">
        <v>48</v>
      </c>
      <c r="B24" s="13">
        <v>46103</v>
      </c>
      <c r="C24" s="11">
        <v>2512</v>
      </c>
      <c r="D24" s="11">
        <v>2424</v>
      </c>
      <c r="E24" s="11">
        <v>2208</v>
      </c>
      <c r="F24" s="11">
        <v>216</v>
      </c>
      <c r="G24" s="11">
        <v>1801</v>
      </c>
      <c r="H24" s="11">
        <v>235</v>
      </c>
      <c r="I24" s="11">
        <v>139</v>
      </c>
      <c r="J24" s="11">
        <v>37</v>
      </c>
      <c r="K24" s="12">
        <v>1492</v>
      </c>
      <c r="L24" s="11">
        <v>151</v>
      </c>
      <c r="M24" s="10" t="s">
        <v>589</v>
      </c>
      <c r="N24" s="10" t="s">
        <v>590</v>
      </c>
      <c r="O24" s="10" t="s">
        <v>591</v>
      </c>
      <c r="P24" s="10" t="s">
        <v>375</v>
      </c>
      <c r="Q24" s="10" t="s">
        <v>592</v>
      </c>
      <c r="R24" s="10" t="s">
        <v>593</v>
      </c>
      <c r="S24" s="10" t="s">
        <v>382</v>
      </c>
      <c r="T24" s="10" t="s">
        <v>125</v>
      </c>
      <c r="U24" s="10" t="s">
        <v>286</v>
      </c>
    </row>
    <row r="25" spans="1:21">
      <c r="A25" s="10" t="s">
        <v>49</v>
      </c>
      <c r="B25" s="13">
        <v>46104</v>
      </c>
      <c r="C25" s="11">
        <v>2276</v>
      </c>
      <c r="D25" s="11">
        <v>1588</v>
      </c>
      <c r="E25" s="11">
        <v>1433</v>
      </c>
      <c r="F25" s="11">
        <v>155</v>
      </c>
      <c r="G25" s="11">
        <v>1683</v>
      </c>
      <c r="H25" s="11">
        <v>209</v>
      </c>
      <c r="I25" s="11">
        <v>206</v>
      </c>
      <c r="J25" s="11">
        <v>181</v>
      </c>
      <c r="K25" s="12">
        <v>3506</v>
      </c>
      <c r="L25" s="11">
        <v>131</v>
      </c>
      <c r="M25" s="10" t="s">
        <v>594</v>
      </c>
      <c r="N25" s="10" t="s">
        <v>595</v>
      </c>
      <c r="O25" s="10" t="s">
        <v>596</v>
      </c>
      <c r="P25" s="10" t="s">
        <v>376</v>
      </c>
      <c r="Q25" s="10" t="s">
        <v>597</v>
      </c>
      <c r="R25" s="10" t="s">
        <v>386</v>
      </c>
      <c r="S25" s="10" t="s">
        <v>387</v>
      </c>
      <c r="T25" s="10" t="s">
        <v>280</v>
      </c>
      <c r="U25" s="10" t="s">
        <v>284</v>
      </c>
    </row>
    <row r="26" spans="1:21">
      <c r="A26" s="10" t="s">
        <v>50</v>
      </c>
      <c r="B26" s="13">
        <v>46105</v>
      </c>
      <c r="C26" s="11">
        <v>2142</v>
      </c>
      <c r="D26" s="11">
        <v>2756</v>
      </c>
      <c r="E26" s="11">
        <v>2408</v>
      </c>
      <c r="F26" s="11">
        <v>348</v>
      </c>
      <c r="G26" s="11">
        <v>1584</v>
      </c>
      <c r="H26" s="11">
        <v>184</v>
      </c>
      <c r="I26" s="11">
        <v>161</v>
      </c>
      <c r="J26" s="11">
        <v>325</v>
      </c>
      <c r="K26" s="12">
        <v>6162</v>
      </c>
      <c r="L26" s="11">
        <v>136</v>
      </c>
      <c r="M26" s="10" t="s">
        <v>594</v>
      </c>
      <c r="N26" s="10" t="s">
        <v>598</v>
      </c>
      <c r="O26" s="10" t="s">
        <v>599</v>
      </c>
      <c r="P26" s="10" t="s">
        <v>377</v>
      </c>
      <c r="Q26" s="10" t="s">
        <v>600</v>
      </c>
      <c r="R26" s="10" t="s">
        <v>405</v>
      </c>
      <c r="S26" s="10" t="s">
        <v>601</v>
      </c>
      <c r="T26" s="10" t="s">
        <v>406</v>
      </c>
      <c r="U26" s="10" t="s">
        <v>187</v>
      </c>
    </row>
    <row r="27" spans="1:21">
      <c r="A27" s="10" t="s">
        <v>51</v>
      </c>
      <c r="B27" s="13">
        <v>46106</v>
      </c>
      <c r="C27" s="11">
        <v>1908</v>
      </c>
      <c r="D27" s="11">
        <v>2183</v>
      </c>
      <c r="E27" s="11">
        <v>1930</v>
      </c>
      <c r="F27" s="11">
        <v>253</v>
      </c>
      <c r="G27" s="11">
        <v>1432</v>
      </c>
      <c r="H27" s="11">
        <v>66</v>
      </c>
      <c r="I27" s="11">
        <v>13</v>
      </c>
      <c r="J27" s="11">
        <v>3</v>
      </c>
      <c r="K27" s="12">
        <v>447</v>
      </c>
      <c r="L27" s="11">
        <v>104</v>
      </c>
      <c r="M27" s="10" t="s">
        <v>602</v>
      </c>
      <c r="N27" s="10" t="s">
        <v>433</v>
      </c>
      <c r="O27" s="10" t="s">
        <v>155</v>
      </c>
      <c r="P27" s="10" t="s">
        <v>72</v>
      </c>
      <c r="Q27" s="10" t="s">
        <v>196</v>
      </c>
      <c r="R27" s="10" t="s">
        <v>437</v>
      </c>
      <c r="S27" s="10" t="s">
        <v>92</v>
      </c>
      <c r="T27" s="10" t="s">
        <v>253</v>
      </c>
      <c r="U27" s="10" t="s">
        <v>113</v>
      </c>
    </row>
    <row r="28" spans="1:21">
      <c r="A28" s="10" t="s">
        <v>52</v>
      </c>
      <c r="B28" s="13">
        <v>46107</v>
      </c>
      <c r="C28" s="11">
        <v>1756</v>
      </c>
      <c r="D28" s="11">
        <v>1919</v>
      </c>
      <c r="E28" s="11">
        <v>1701</v>
      </c>
      <c r="F28" s="11">
        <v>218</v>
      </c>
      <c r="G28" s="11">
        <v>1368</v>
      </c>
      <c r="H28" s="11">
        <v>80</v>
      </c>
      <c r="I28" s="11">
        <v>5</v>
      </c>
      <c r="J28" s="11">
        <v>-1</v>
      </c>
      <c r="K28" s="12">
        <v>351</v>
      </c>
      <c r="L28" s="11">
        <v>96</v>
      </c>
      <c r="M28" s="10" t="s">
        <v>603</v>
      </c>
      <c r="N28" s="10" t="s">
        <v>604</v>
      </c>
      <c r="O28" s="10" t="s">
        <v>148</v>
      </c>
      <c r="P28" s="10" t="s">
        <v>279</v>
      </c>
      <c r="Q28" s="10" t="s">
        <v>388</v>
      </c>
      <c r="R28" s="10" t="s">
        <v>605</v>
      </c>
      <c r="S28" s="10" t="s">
        <v>254</v>
      </c>
      <c r="T28" s="10" t="s">
        <v>198</v>
      </c>
      <c r="U28" s="10" t="s">
        <v>373</v>
      </c>
    </row>
    <row r="29" spans="1:21">
      <c r="A29" s="10" t="s">
        <v>53</v>
      </c>
      <c r="B29" s="13">
        <v>46108</v>
      </c>
      <c r="C29" s="11">
        <v>1575</v>
      </c>
      <c r="D29" s="11">
        <v>1712</v>
      </c>
      <c r="E29" s="11">
        <v>1485</v>
      </c>
      <c r="F29" s="11">
        <v>227</v>
      </c>
      <c r="G29" s="11">
        <v>1225</v>
      </c>
      <c r="H29" s="11">
        <v>60</v>
      </c>
      <c r="I29" s="11">
        <v>9</v>
      </c>
      <c r="J29" s="11">
        <v>7</v>
      </c>
      <c r="K29" s="12">
        <v>576</v>
      </c>
      <c r="L29" s="11">
        <v>63</v>
      </c>
      <c r="M29" s="10" t="s">
        <v>68</v>
      </c>
      <c r="N29" s="10" t="s">
        <v>417</v>
      </c>
      <c r="O29" s="10" t="s">
        <v>551</v>
      </c>
      <c r="P29" s="10" t="s">
        <v>82</v>
      </c>
      <c r="Q29" s="10" t="s">
        <v>104</v>
      </c>
      <c r="R29" s="10" t="s">
        <v>111</v>
      </c>
      <c r="S29" s="10" t="s">
        <v>104</v>
      </c>
      <c r="T29" s="10" t="s">
        <v>140</v>
      </c>
      <c r="U29" s="10" t="s">
        <v>94</v>
      </c>
    </row>
    <row r="30" spans="1:21">
      <c r="A30" s="10" t="s">
        <v>54</v>
      </c>
      <c r="B30" s="13">
        <v>46109</v>
      </c>
      <c r="C30" s="11">
        <v>1412</v>
      </c>
      <c r="D30" s="11">
        <v>1451</v>
      </c>
      <c r="E30" s="11">
        <v>1334</v>
      </c>
      <c r="F30" s="11">
        <v>117</v>
      </c>
      <c r="G30" s="11">
        <v>1073</v>
      </c>
      <c r="H30" s="11">
        <v>94</v>
      </c>
      <c r="I30" s="11">
        <v>21</v>
      </c>
      <c r="J30" s="11">
        <v>2</v>
      </c>
      <c r="K30" s="12">
        <v>460</v>
      </c>
      <c r="L30" s="11">
        <v>53</v>
      </c>
      <c r="M30" s="10" t="s">
        <v>606</v>
      </c>
      <c r="N30" s="10" t="s">
        <v>607</v>
      </c>
      <c r="O30" s="10" t="s">
        <v>608</v>
      </c>
      <c r="P30" s="10" t="s">
        <v>86</v>
      </c>
      <c r="Q30" s="10" t="s">
        <v>444</v>
      </c>
      <c r="R30" s="10" t="s">
        <v>609</v>
      </c>
      <c r="S30" s="10" t="s">
        <v>124</v>
      </c>
      <c r="T30" s="10" t="s">
        <v>195</v>
      </c>
      <c r="U30" s="10" t="s">
        <v>114</v>
      </c>
    </row>
    <row r="31" spans="1:21">
      <c r="A31" s="10" t="s">
        <v>55</v>
      </c>
      <c r="B31" s="13">
        <v>46110</v>
      </c>
      <c r="C31" s="11">
        <v>1510</v>
      </c>
      <c r="D31" s="11">
        <v>1452</v>
      </c>
      <c r="E31" s="11">
        <v>1347</v>
      </c>
      <c r="F31" s="11">
        <v>105</v>
      </c>
      <c r="G31" s="11">
        <v>1188</v>
      </c>
      <c r="H31" s="11">
        <v>77</v>
      </c>
      <c r="I31" s="11">
        <v>15</v>
      </c>
      <c r="J31" s="11">
        <v>1</v>
      </c>
      <c r="K31" s="12">
        <v>243</v>
      </c>
      <c r="L31" s="11">
        <v>53</v>
      </c>
      <c r="M31" s="10" t="s">
        <v>610</v>
      </c>
      <c r="N31" s="10" t="s">
        <v>450</v>
      </c>
      <c r="O31" s="10" t="s">
        <v>146</v>
      </c>
      <c r="P31" s="10" t="s">
        <v>84</v>
      </c>
      <c r="Q31" s="10" t="s">
        <v>389</v>
      </c>
      <c r="R31" s="10" t="s">
        <v>611</v>
      </c>
      <c r="S31" s="10" t="s">
        <v>117</v>
      </c>
      <c r="T31" s="10" t="s">
        <v>194</v>
      </c>
      <c r="U31" s="10" t="s">
        <v>139</v>
      </c>
    </row>
    <row r="32" spans="1:21">
      <c r="A32" s="10" t="s">
        <v>56</v>
      </c>
      <c r="B32" s="13">
        <v>46111</v>
      </c>
      <c r="C32" s="11">
        <v>1644</v>
      </c>
      <c r="D32" s="11">
        <v>1614</v>
      </c>
      <c r="E32" s="11">
        <v>1436</v>
      </c>
      <c r="F32" s="11">
        <v>178</v>
      </c>
      <c r="G32" s="11">
        <v>1352</v>
      </c>
      <c r="H32" s="11">
        <v>77</v>
      </c>
      <c r="I32" s="11">
        <v>59</v>
      </c>
      <c r="J32" s="11">
        <v>52</v>
      </c>
      <c r="K32" s="12">
        <v>3633</v>
      </c>
      <c r="L32" s="11">
        <v>51</v>
      </c>
      <c r="M32" s="10" t="s">
        <v>612</v>
      </c>
      <c r="N32" s="10" t="s">
        <v>613</v>
      </c>
      <c r="O32" s="10" t="s">
        <v>614</v>
      </c>
      <c r="P32" s="10" t="s">
        <v>385</v>
      </c>
      <c r="Q32" s="10" t="s">
        <v>446</v>
      </c>
      <c r="R32" s="10" t="s">
        <v>378</v>
      </c>
      <c r="S32" s="10" t="s">
        <v>186</v>
      </c>
      <c r="T32" s="10" t="s">
        <v>162</v>
      </c>
      <c r="U32" s="10" t="s">
        <v>120</v>
      </c>
    </row>
    <row r="33" spans="1:21">
      <c r="A33" s="10" t="s">
        <v>57</v>
      </c>
      <c r="B33" s="13">
        <v>46112</v>
      </c>
      <c r="C33" s="11">
        <v>1397</v>
      </c>
      <c r="D33" s="11">
        <v>1538</v>
      </c>
      <c r="E33" s="11">
        <v>1357</v>
      </c>
      <c r="F33" s="11">
        <v>181</v>
      </c>
      <c r="G33" s="11">
        <v>1202</v>
      </c>
      <c r="H33" s="11">
        <v>97</v>
      </c>
      <c r="I33" s="11">
        <v>96</v>
      </c>
      <c r="J33" s="11">
        <v>112</v>
      </c>
      <c r="K33" s="12">
        <v>6861</v>
      </c>
      <c r="L33" s="11">
        <v>20</v>
      </c>
      <c r="M33" s="10" t="s">
        <v>615</v>
      </c>
      <c r="N33" s="10" t="s">
        <v>616</v>
      </c>
      <c r="O33" s="10" t="s">
        <v>617</v>
      </c>
      <c r="P33" s="10" t="s">
        <v>407</v>
      </c>
      <c r="Q33" s="10" t="s">
        <v>618</v>
      </c>
      <c r="R33" s="10" t="s">
        <v>619</v>
      </c>
      <c r="S33" s="10" t="s">
        <v>620</v>
      </c>
      <c r="T33" s="10" t="s">
        <v>621</v>
      </c>
      <c r="U33" s="10" t="s">
        <v>93</v>
      </c>
    </row>
    <row r="34" spans="1:21">
      <c r="A34" s="10" t="s">
        <v>58</v>
      </c>
      <c r="B34" s="13">
        <v>46113</v>
      </c>
      <c r="C34" s="11">
        <v>1290</v>
      </c>
      <c r="D34" s="11">
        <v>1237</v>
      </c>
      <c r="E34" s="11">
        <v>1112</v>
      </c>
      <c r="F34" s="11">
        <v>125</v>
      </c>
      <c r="G34" s="11">
        <v>961</v>
      </c>
      <c r="H34" s="11">
        <v>33</v>
      </c>
      <c r="I34" s="11">
        <v>3</v>
      </c>
      <c r="J34" s="11">
        <v>8</v>
      </c>
      <c r="K34" s="12">
        <v>344</v>
      </c>
      <c r="L34" s="11">
        <v>59</v>
      </c>
      <c r="M34" s="10" t="s">
        <v>756</v>
      </c>
      <c r="N34" s="10" t="s">
        <v>757</v>
      </c>
      <c r="O34" s="10" t="s">
        <v>625</v>
      </c>
      <c r="P34" s="10" t="s">
        <v>622</v>
      </c>
      <c r="Q34" s="10" t="s">
        <v>79</v>
      </c>
      <c r="R34" s="10" t="s">
        <v>634</v>
      </c>
      <c r="S34" s="10" t="s">
        <v>247</v>
      </c>
      <c r="T34" s="10" t="s">
        <v>440</v>
      </c>
      <c r="U34" s="10" t="s">
        <v>100</v>
      </c>
    </row>
    <row r="35" spans="1:21">
      <c r="A35" s="10" t="s">
        <v>59</v>
      </c>
      <c r="B35" s="13">
        <v>46114</v>
      </c>
      <c r="C35" s="11">
        <v>1056</v>
      </c>
      <c r="D35" s="11">
        <v>1171</v>
      </c>
      <c r="E35" s="11">
        <v>1057</v>
      </c>
      <c r="F35" s="11">
        <v>114</v>
      </c>
      <c r="G35" s="11">
        <v>796</v>
      </c>
      <c r="H35" s="11">
        <v>41</v>
      </c>
      <c r="I35" s="11">
        <v>1</v>
      </c>
      <c r="J35" s="11">
        <v>2</v>
      </c>
      <c r="K35" s="12">
        <v>187</v>
      </c>
      <c r="L35" s="11">
        <v>58</v>
      </c>
      <c r="M35" s="10" t="s">
        <v>662</v>
      </c>
      <c r="N35" s="10" t="s">
        <v>557</v>
      </c>
      <c r="O35" s="10" t="s">
        <v>206</v>
      </c>
      <c r="P35" s="10" t="s">
        <v>443</v>
      </c>
      <c r="Q35" s="10" t="s">
        <v>356</v>
      </c>
      <c r="R35" s="10" t="s">
        <v>657</v>
      </c>
      <c r="S35" s="10" t="s">
        <v>258</v>
      </c>
      <c r="T35" s="10" t="s">
        <v>444</v>
      </c>
      <c r="U35" s="10" t="s">
        <v>418</v>
      </c>
    </row>
    <row r="36" spans="1:21">
      <c r="A36" s="10" t="s">
        <v>60</v>
      </c>
      <c r="B36" s="13">
        <v>46115</v>
      </c>
      <c r="C36" s="11">
        <v>1173</v>
      </c>
      <c r="D36" s="11">
        <v>1140</v>
      </c>
      <c r="E36" s="11">
        <v>1054</v>
      </c>
      <c r="F36" s="11">
        <v>86</v>
      </c>
      <c r="G36" s="11">
        <v>872</v>
      </c>
      <c r="H36" s="11">
        <v>36</v>
      </c>
      <c r="I36" s="11">
        <v>2</v>
      </c>
      <c r="J36" s="11">
        <v>-2</v>
      </c>
      <c r="K36" s="12">
        <v>178</v>
      </c>
      <c r="L36" s="11">
        <v>41</v>
      </c>
      <c r="M36" s="10" t="s">
        <v>758</v>
      </c>
      <c r="N36" s="10" t="s">
        <v>759</v>
      </c>
      <c r="O36" s="10" t="s">
        <v>247</v>
      </c>
      <c r="P36" s="10" t="s">
        <v>445</v>
      </c>
      <c r="Q36" s="10" t="s">
        <v>673</v>
      </c>
      <c r="R36" s="10" t="s">
        <v>635</v>
      </c>
      <c r="S36" s="10" t="s">
        <v>427</v>
      </c>
      <c r="T36" s="10" t="s">
        <v>623</v>
      </c>
      <c r="U36" s="10" t="s">
        <v>624</v>
      </c>
    </row>
    <row r="37" spans="1:21">
      <c r="A37" s="10" t="s">
        <v>61</v>
      </c>
      <c r="B37" s="13">
        <v>46116</v>
      </c>
      <c r="C37" s="11">
        <v>1073</v>
      </c>
      <c r="D37" s="11">
        <v>1088</v>
      </c>
      <c r="E37" s="11">
        <v>1006</v>
      </c>
      <c r="F37" s="11">
        <v>82</v>
      </c>
      <c r="G37" s="11">
        <v>793</v>
      </c>
      <c r="H37" s="11">
        <v>37</v>
      </c>
      <c r="I37" s="11">
        <v>2</v>
      </c>
      <c r="J37" s="11">
        <v>0</v>
      </c>
      <c r="K37" s="12">
        <v>142</v>
      </c>
      <c r="L37" s="11">
        <v>44</v>
      </c>
      <c r="M37" s="10" t="s">
        <v>760</v>
      </c>
      <c r="N37" s="10" t="s">
        <v>761</v>
      </c>
      <c r="O37" s="10" t="s">
        <v>356</v>
      </c>
      <c r="P37" s="10" t="s">
        <v>27</v>
      </c>
      <c r="Q37" s="10" t="s">
        <v>27</v>
      </c>
      <c r="R37" s="10" t="s">
        <v>660</v>
      </c>
      <c r="S37" s="10" t="s">
        <v>444</v>
      </c>
      <c r="T37" s="10" t="s">
        <v>27</v>
      </c>
      <c r="U37" s="10" t="s">
        <v>27</v>
      </c>
    </row>
    <row r="38" spans="1:21">
      <c r="A38" s="10" t="s">
        <v>62</v>
      </c>
      <c r="B38" s="13">
        <v>46117</v>
      </c>
      <c r="C38" s="11">
        <v>1192</v>
      </c>
      <c r="D38" s="11">
        <v>1104</v>
      </c>
      <c r="E38" s="11">
        <v>1021</v>
      </c>
      <c r="F38" s="11">
        <v>83</v>
      </c>
      <c r="G38" s="11">
        <v>903</v>
      </c>
      <c r="H38" s="11">
        <v>58</v>
      </c>
      <c r="I38" s="11">
        <v>3</v>
      </c>
      <c r="J38" s="11">
        <v>0</v>
      </c>
      <c r="K38" s="12">
        <v>93</v>
      </c>
      <c r="L38" s="11">
        <v>50</v>
      </c>
      <c r="M38" s="10" t="s">
        <v>762</v>
      </c>
      <c r="N38" s="10" t="s">
        <v>763</v>
      </c>
      <c r="O38" s="10" t="s">
        <v>649</v>
      </c>
      <c r="P38" s="10" t="s">
        <v>27</v>
      </c>
      <c r="Q38" s="10" t="s">
        <v>27</v>
      </c>
      <c r="R38" s="10" t="s">
        <v>646</v>
      </c>
      <c r="S38" s="10" t="s">
        <v>356</v>
      </c>
      <c r="T38" s="10" t="s">
        <v>27</v>
      </c>
      <c r="U38" s="10" t="s">
        <v>27</v>
      </c>
    </row>
    <row r="39" spans="1:21">
      <c r="A39" s="10" t="s">
        <v>63</v>
      </c>
      <c r="B39" s="13">
        <v>46118</v>
      </c>
      <c r="C39" s="11">
        <v>1248</v>
      </c>
      <c r="D39" s="11">
        <v>1155</v>
      </c>
      <c r="E39" s="11">
        <v>1052</v>
      </c>
      <c r="F39" s="11">
        <v>103</v>
      </c>
      <c r="G39" s="11">
        <v>991</v>
      </c>
      <c r="H39" s="11">
        <v>61</v>
      </c>
      <c r="I39" s="11">
        <v>3</v>
      </c>
      <c r="J39" s="11">
        <v>1</v>
      </c>
      <c r="K39" s="12">
        <v>125</v>
      </c>
      <c r="L39" s="11">
        <v>48</v>
      </c>
      <c r="M39" s="10" t="s">
        <v>764</v>
      </c>
      <c r="N39" s="10" t="s">
        <v>765</v>
      </c>
      <c r="O39" s="10" t="s">
        <v>160</v>
      </c>
      <c r="P39" s="10" t="s">
        <v>528</v>
      </c>
      <c r="Q39" s="10" t="s">
        <v>442</v>
      </c>
      <c r="R39" s="10" t="s">
        <v>766</v>
      </c>
      <c r="S39" s="10" t="s">
        <v>212</v>
      </c>
      <c r="T39" s="10" t="s">
        <v>389</v>
      </c>
      <c r="U39" s="10" t="s">
        <v>558</v>
      </c>
    </row>
    <row r="40" spans="1:21">
      <c r="A40" s="10" t="s">
        <v>626</v>
      </c>
      <c r="B40" s="13">
        <v>46119</v>
      </c>
      <c r="C40" s="11">
        <v>1200</v>
      </c>
      <c r="D40" s="11">
        <v>1237</v>
      </c>
      <c r="E40" s="11">
        <v>1136</v>
      </c>
      <c r="F40" s="11">
        <v>101</v>
      </c>
      <c r="G40" s="11">
        <v>936</v>
      </c>
      <c r="H40" s="11">
        <v>30</v>
      </c>
      <c r="I40" s="11">
        <v>5</v>
      </c>
      <c r="J40" s="11">
        <v>0</v>
      </c>
      <c r="K40" s="12">
        <v>188</v>
      </c>
      <c r="L40" s="11">
        <v>33</v>
      </c>
      <c r="M40" s="10" t="s">
        <v>767</v>
      </c>
      <c r="N40" s="10" t="s">
        <v>768</v>
      </c>
      <c r="O40" s="10" t="s">
        <v>674</v>
      </c>
      <c r="P40" s="10" t="s">
        <v>27</v>
      </c>
      <c r="Q40" s="10" t="s">
        <v>27</v>
      </c>
      <c r="R40" s="10" t="s">
        <v>89</v>
      </c>
      <c r="S40" s="10" t="s">
        <v>627</v>
      </c>
      <c r="T40" s="10" t="s">
        <v>27</v>
      </c>
      <c r="U40" s="10" t="s">
        <v>27</v>
      </c>
    </row>
    <row r="41" spans="1:21">
      <c r="A41" s="10" t="s">
        <v>630</v>
      </c>
      <c r="B41" s="13">
        <v>46120</v>
      </c>
      <c r="C41" s="11">
        <v>1041</v>
      </c>
      <c r="D41" s="11">
        <v>1173</v>
      </c>
      <c r="E41" s="11">
        <v>1057</v>
      </c>
      <c r="F41" s="11">
        <v>116</v>
      </c>
      <c r="G41" s="11">
        <v>847</v>
      </c>
      <c r="H41" s="11">
        <v>34</v>
      </c>
      <c r="I41" s="11">
        <v>4</v>
      </c>
      <c r="J41" s="11">
        <v>3</v>
      </c>
      <c r="K41" s="12">
        <v>191</v>
      </c>
      <c r="L41" s="11">
        <v>28</v>
      </c>
      <c r="M41" s="10" t="s">
        <v>769</v>
      </c>
      <c r="N41" s="10" t="s">
        <v>503</v>
      </c>
      <c r="O41" s="10" t="s">
        <v>122</v>
      </c>
      <c r="P41" s="10" t="s">
        <v>658</v>
      </c>
      <c r="Q41" s="10" t="s">
        <v>520</v>
      </c>
      <c r="R41" s="10" t="s">
        <v>770</v>
      </c>
      <c r="S41" s="10" t="s">
        <v>105</v>
      </c>
      <c r="T41" s="10" t="s">
        <v>539</v>
      </c>
      <c r="U41" s="10" t="s">
        <v>631</v>
      </c>
    </row>
    <row r="42" spans="1:21">
      <c r="A42" s="10" t="s">
        <v>638</v>
      </c>
      <c r="B42" s="13">
        <v>46121</v>
      </c>
      <c r="C42" s="11">
        <v>1167</v>
      </c>
      <c r="D42" s="11">
        <v>1118</v>
      </c>
      <c r="E42" s="11">
        <v>1007</v>
      </c>
      <c r="F42" s="11">
        <v>111</v>
      </c>
      <c r="G42" s="11">
        <v>957</v>
      </c>
      <c r="H42" s="11">
        <v>26</v>
      </c>
      <c r="I42" s="11">
        <v>3</v>
      </c>
      <c r="J42" s="11">
        <v>1</v>
      </c>
      <c r="K42" s="12">
        <v>112</v>
      </c>
      <c r="L42" s="11">
        <v>23</v>
      </c>
      <c r="M42" s="10" t="s">
        <v>771</v>
      </c>
      <c r="N42" s="10" t="s">
        <v>772</v>
      </c>
      <c r="O42" s="10" t="s">
        <v>625</v>
      </c>
      <c r="P42" s="10" t="s">
        <v>446</v>
      </c>
      <c r="Q42" s="10" t="s">
        <v>442</v>
      </c>
      <c r="R42" s="10" t="s">
        <v>429</v>
      </c>
      <c r="S42" s="10" t="s">
        <v>170</v>
      </c>
      <c r="T42" s="10" t="s">
        <v>258</v>
      </c>
      <c r="U42" s="10" t="s">
        <v>647</v>
      </c>
    </row>
    <row r="43" spans="1:21">
      <c r="A43" s="10" t="s">
        <v>645</v>
      </c>
      <c r="B43" s="13">
        <v>46122</v>
      </c>
      <c r="C43" s="11">
        <v>1209</v>
      </c>
      <c r="D43" s="11">
        <v>1085</v>
      </c>
      <c r="E43" s="11">
        <v>969</v>
      </c>
      <c r="F43" s="11">
        <v>116</v>
      </c>
      <c r="G43" s="11">
        <v>1010</v>
      </c>
      <c r="H43" s="11">
        <v>32</v>
      </c>
      <c r="I43" s="11">
        <v>5</v>
      </c>
      <c r="J43" s="11">
        <v>5</v>
      </c>
      <c r="K43" s="12">
        <v>226</v>
      </c>
      <c r="L43" s="11">
        <v>36</v>
      </c>
      <c r="M43" s="10" t="s">
        <v>773</v>
      </c>
      <c r="N43" s="10" t="s">
        <v>774</v>
      </c>
      <c r="O43" s="10" t="s">
        <v>97</v>
      </c>
      <c r="P43" s="10" t="s">
        <v>659</v>
      </c>
      <c r="Q43" s="10" t="s">
        <v>97</v>
      </c>
      <c r="R43" s="10" t="s">
        <v>578</v>
      </c>
      <c r="S43" s="10" t="s">
        <v>139</v>
      </c>
      <c r="T43" s="10" t="s">
        <v>139</v>
      </c>
      <c r="U43" s="10" t="s">
        <v>639</v>
      </c>
    </row>
    <row r="44" spans="1:21">
      <c r="A44" s="10" t="s">
        <v>654</v>
      </c>
      <c r="B44" s="13">
        <v>46123</v>
      </c>
      <c r="C44" s="11">
        <v>1389</v>
      </c>
      <c r="D44" s="11">
        <v>1341</v>
      </c>
      <c r="E44" s="11">
        <v>1247</v>
      </c>
      <c r="F44" s="11">
        <v>94</v>
      </c>
      <c r="G44" s="11">
        <v>1145</v>
      </c>
      <c r="H44" s="11">
        <v>43</v>
      </c>
      <c r="I44" s="11">
        <v>3</v>
      </c>
      <c r="J44" s="11">
        <v>2</v>
      </c>
      <c r="K44" s="12">
        <v>217</v>
      </c>
      <c r="L44" s="11">
        <v>27</v>
      </c>
      <c r="M44" s="10" t="s">
        <v>775</v>
      </c>
      <c r="N44" s="10" t="s">
        <v>650</v>
      </c>
      <c r="O44" s="10" t="s">
        <v>170</v>
      </c>
      <c r="P44" s="10" t="s">
        <v>776</v>
      </c>
      <c r="Q44" s="10" t="s">
        <v>427</v>
      </c>
      <c r="R44" s="10" t="s">
        <v>352</v>
      </c>
      <c r="S44" s="10" t="s">
        <v>640</v>
      </c>
      <c r="T44" s="10" t="s">
        <v>195</v>
      </c>
      <c r="U44" s="10" t="s">
        <v>431</v>
      </c>
    </row>
    <row r="45" spans="1:21">
      <c r="A45" s="10" t="s">
        <v>656</v>
      </c>
      <c r="B45" s="13">
        <v>46124</v>
      </c>
      <c r="C45" s="11">
        <v>1681</v>
      </c>
      <c r="D45" s="11">
        <v>1360</v>
      </c>
      <c r="E45" s="11">
        <v>1247</v>
      </c>
      <c r="F45" s="11">
        <v>113</v>
      </c>
      <c r="G45" s="11">
        <v>1489</v>
      </c>
      <c r="H45" s="11">
        <v>46</v>
      </c>
      <c r="I45" s="11">
        <v>3</v>
      </c>
      <c r="J45" s="11">
        <v>0</v>
      </c>
      <c r="K45" s="12">
        <v>187</v>
      </c>
      <c r="L45" s="11">
        <v>33</v>
      </c>
      <c r="M45" s="10" t="s">
        <v>777</v>
      </c>
      <c r="N45" s="10" t="s">
        <v>675</v>
      </c>
      <c r="O45" s="10" t="s">
        <v>182</v>
      </c>
      <c r="P45" s="10" t="s">
        <v>27</v>
      </c>
      <c r="Q45" s="10" t="s">
        <v>27</v>
      </c>
      <c r="R45" s="10" t="s">
        <v>778</v>
      </c>
      <c r="S45" s="10" t="s">
        <v>357</v>
      </c>
      <c r="T45" s="10" t="s">
        <v>27</v>
      </c>
      <c r="U45" s="10" t="s">
        <v>27</v>
      </c>
    </row>
    <row r="46" spans="1:21">
      <c r="A46" s="10" t="s">
        <v>672</v>
      </c>
      <c r="B46" s="13">
        <v>46125</v>
      </c>
      <c r="C46" s="11">
        <v>2222</v>
      </c>
      <c r="D46" s="11">
        <v>2595</v>
      </c>
      <c r="E46" s="11">
        <v>2164</v>
      </c>
      <c r="F46" s="11">
        <v>431</v>
      </c>
      <c r="G46" s="11">
        <v>1967</v>
      </c>
      <c r="H46" s="11">
        <v>36</v>
      </c>
      <c r="I46" s="11">
        <v>1</v>
      </c>
      <c r="J46" s="11">
        <v>0</v>
      </c>
      <c r="K46" s="12">
        <v>223</v>
      </c>
      <c r="L46" s="11">
        <v>31</v>
      </c>
      <c r="M46" s="10" t="s">
        <v>779</v>
      </c>
      <c r="N46" s="10" t="s">
        <v>780</v>
      </c>
      <c r="O46" s="10" t="s">
        <v>542</v>
      </c>
      <c r="P46" s="10" t="s">
        <v>27</v>
      </c>
      <c r="Q46" s="10" t="s">
        <v>27</v>
      </c>
      <c r="R46" s="10" t="s">
        <v>374</v>
      </c>
      <c r="S46" s="10" t="s">
        <v>542</v>
      </c>
      <c r="T46" s="10" t="s">
        <v>27</v>
      </c>
      <c r="U46" s="10" t="s">
        <v>27</v>
      </c>
    </row>
    <row r="47" spans="1:21">
      <c r="A47" s="10" t="s">
        <v>743</v>
      </c>
      <c r="B47" s="13">
        <v>46126</v>
      </c>
      <c r="C47" s="11">
        <v>1870</v>
      </c>
      <c r="D47" s="11">
        <v>1818</v>
      </c>
      <c r="E47" s="11">
        <v>1575</v>
      </c>
      <c r="F47" s="11">
        <v>243</v>
      </c>
      <c r="G47" s="11">
        <v>1731</v>
      </c>
      <c r="H47" s="11">
        <v>45</v>
      </c>
      <c r="I47" s="11">
        <v>5</v>
      </c>
      <c r="J47" s="11">
        <v>-5</v>
      </c>
      <c r="K47" s="12">
        <v>108</v>
      </c>
      <c r="L47" s="11">
        <v>16</v>
      </c>
      <c r="M47" s="10" t="s">
        <v>781</v>
      </c>
      <c r="N47" s="10" t="s">
        <v>430</v>
      </c>
      <c r="O47" s="10" t="s">
        <v>539</v>
      </c>
      <c r="P47" s="10" t="s">
        <v>782</v>
      </c>
      <c r="Q47" s="10" t="s">
        <v>393</v>
      </c>
      <c r="R47" s="10" t="s">
        <v>783</v>
      </c>
      <c r="S47" s="10" t="s">
        <v>670</v>
      </c>
      <c r="T47" s="10" t="s">
        <v>784</v>
      </c>
      <c r="U47" s="10" t="s">
        <v>785</v>
      </c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8C648-0B2B-4B42-AFDE-B1C1C816EEA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43" t="s">
        <v>628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参数</vt:lpstr>
      <vt:lpstr>目标竖版</vt:lpstr>
      <vt:lpstr>全车有效线索管控</vt:lpstr>
      <vt:lpstr>全国按日NEV</vt:lpstr>
      <vt:lpstr>全国按日ICE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chengge liang</cp:lastModifiedBy>
  <dcterms:created xsi:type="dcterms:W3CDTF">2015-06-05T18:19:00Z</dcterms:created>
  <dcterms:modified xsi:type="dcterms:W3CDTF">2026-04-15T01:50:21Z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