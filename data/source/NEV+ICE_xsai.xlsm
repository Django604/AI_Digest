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/>
  <mc:AlternateContent xmlns:mc="http://schemas.openxmlformats.org/markup-compatibility/2006">
    <mc:Choice Requires="x15">
      <x15ac:absPath xmlns:x15ac="http://schemas.microsoft.com/office/spreadsheetml/2010/11/ac" url="D:\WorkCode\AI_Digest\data\source\"/>
    </mc:Choice>
  </mc:AlternateContent>
  <xr:revisionPtr revIDLastSave="0" documentId="13_ncr:1_{A9604F75-83D1-4270-9CD1-709107470A38}" xr6:coauthVersionLast="47" xr6:coauthVersionMax="47" xr10:uidLastSave="{00000000-0000-0000-0000-000000000000}"/>
  <bookViews>
    <workbookView xWindow="-120" yWindow="-120" windowWidth="29040" windowHeight="15720" tabRatio="858" activeTab="1" xr2:uid="{00000000-000D-0000-FFFF-FFFF00000000}"/>
  </bookViews>
  <sheets>
    <sheet name="参数" sheetId="1" r:id="rId1"/>
    <sheet name="目标竖版" sheetId="2" r:id="rId2"/>
    <sheet name="全车有效线索管控" sheetId="3" r:id="rId3"/>
    <sheet name="全国按日NEV" sheetId="4" r:id="rId4"/>
    <sheet name="全国按日NEV-同期" sheetId="5" r:id="rId5"/>
    <sheet name="全国按日ICE" sheetId="6" r:id="rId6"/>
    <sheet name="全国按日ICE-同期" sheetId="7" r:id="rId7"/>
    <sheet name="十五代轩逸按日" sheetId="8" r:id="rId8"/>
    <sheet name="每日NEV早报模板" sheetId="9" r:id="rId9"/>
  </sheets>
  <definedNames>
    <definedName name="_xlnm._FilterDatabase" localSheetId="1" hidden="1">目标竖版!$A$2:$BP$1226</definedName>
    <definedName name="_xlnm._FilterDatabase" localSheetId="5" hidden="1">全国按日ICE!$A$1:$U$1</definedName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395" i="2" l="1"/>
  <c r="M1394" i="2"/>
  <c r="M1393" i="2"/>
  <c r="M1392" i="2"/>
  <c r="M1391" i="2"/>
  <c r="M1390" i="2"/>
  <c r="M1389" i="2"/>
  <c r="M1388" i="2"/>
  <c r="M1387" i="2"/>
  <c r="M1386" i="2"/>
  <c r="M1385" i="2"/>
  <c r="M1384" i="2"/>
  <c r="M1383" i="2"/>
  <c r="M1382" i="2"/>
  <c r="M1381" i="2"/>
  <c r="M1380" i="2"/>
  <c r="M1379" i="2"/>
  <c r="M1378" i="2"/>
  <c r="M1377" i="2"/>
  <c r="M1376" i="2"/>
  <c r="M1375" i="2"/>
  <c r="M1374" i="2"/>
  <c r="M1373" i="2"/>
  <c r="M1372" i="2"/>
  <c r="M1371" i="2"/>
  <c r="M1370" i="2"/>
  <c r="M1369" i="2"/>
  <c r="M1368" i="2"/>
  <c r="M1367" i="2"/>
  <c r="M1366" i="2"/>
  <c r="M1365" i="2"/>
  <c r="M1364" i="2"/>
  <c r="M1363" i="2"/>
  <c r="M1362" i="2"/>
  <c r="M1361" i="2"/>
  <c r="M1360" i="2"/>
  <c r="M1359" i="2"/>
  <c r="M1358" i="2"/>
  <c r="M1357" i="2"/>
  <c r="M1356" i="2"/>
  <c r="M1355" i="2"/>
  <c r="M1354" i="2"/>
  <c r="M1353" i="2"/>
  <c r="M1352" i="2"/>
  <c r="M1351" i="2"/>
  <c r="M1350" i="2"/>
  <c r="M1349" i="2"/>
  <c r="M1348" i="2"/>
  <c r="M1347" i="2"/>
  <c r="M1346" i="2"/>
  <c r="M1345" i="2"/>
  <c r="M1344" i="2"/>
  <c r="M1343" i="2"/>
  <c r="M1342" i="2"/>
  <c r="M1341" i="2"/>
  <c r="M1340" i="2"/>
  <c r="M1339" i="2"/>
  <c r="M1338" i="2"/>
  <c r="M1337" i="2"/>
  <c r="M1336" i="2"/>
  <c r="M1335" i="2"/>
  <c r="M1334" i="2"/>
  <c r="M1333" i="2"/>
  <c r="M1332" i="2"/>
  <c r="M1331" i="2"/>
  <c r="M1330" i="2"/>
  <c r="M1329" i="2"/>
  <c r="M1328" i="2"/>
  <c r="M1327" i="2"/>
  <c r="M1326" i="2"/>
  <c r="M1325" i="2"/>
  <c r="M1324" i="2"/>
  <c r="M1323" i="2"/>
  <c r="M1322" i="2"/>
  <c r="M1321" i="2"/>
  <c r="M1320" i="2"/>
  <c r="M1319" i="2"/>
  <c r="M1318" i="2"/>
  <c r="M1317" i="2"/>
  <c r="M1316" i="2"/>
  <c r="M1315" i="2"/>
  <c r="M1314" i="2"/>
  <c r="M1313" i="2"/>
  <c r="M1312" i="2"/>
  <c r="M1311" i="2"/>
  <c r="M1310" i="2"/>
  <c r="M1309" i="2"/>
  <c r="M1308" i="2"/>
  <c r="M1307" i="2"/>
  <c r="M1306" i="2"/>
  <c r="M1305" i="2"/>
  <c r="M1304" i="2"/>
  <c r="M1303" i="2"/>
  <c r="M1302" i="2"/>
  <c r="M1301" i="2"/>
  <c r="M1300" i="2"/>
  <c r="M1299" i="2"/>
  <c r="M1298" i="2"/>
  <c r="M1297" i="2"/>
  <c r="M1296" i="2"/>
  <c r="M1295" i="2"/>
  <c r="M1294" i="2"/>
  <c r="M1293" i="2"/>
  <c r="M1292" i="2"/>
  <c r="M1291" i="2"/>
  <c r="M1290" i="2"/>
  <c r="M1289" i="2"/>
  <c r="M1288" i="2"/>
  <c r="M1287" i="2"/>
  <c r="M1286" i="2"/>
  <c r="M1285" i="2"/>
  <c r="M1284" i="2"/>
  <c r="M1283" i="2"/>
  <c r="M1282" i="2"/>
  <c r="M1281" i="2"/>
  <c r="M1280" i="2"/>
  <c r="M1279" i="2"/>
  <c r="M1278" i="2"/>
  <c r="M1277" i="2"/>
  <c r="M1276" i="2"/>
  <c r="M1275" i="2"/>
  <c r="M1274" i="2"/>
  <c r="M1273" i="2"/>
  <c r="M1272" i="2"/>
  <c r="M1271" i="2"/>
  <c r="M1270" i="2"/>
  <c r="M1269" i="2"/>
  <c r="M1268" i="2"/>
  <c r="M1267" i="2"/>
  <c r="M1266" i="2"/>
  <c r="M1265" i="2"/>
  <c r="M1264" i="2"/>
  <c r="M1263" i="2"/>
  <c r="M1262" i="2"/>
  <c r="M1261" i="2"/>
  <c r="M1260" i="2"/>
  <c r="M1259" i="2"/>
  <c r="M1258" i="2"/>
  <c r="M1257" i="2"/>
  <c r="M1256" i="2"/>
  <c r="M1255" i="2"/>
  <c r="M1254" i="2"/>
  <c r="M1253" i="2"/>
  <c r="M1252" i="2"/>
  <c r="M1251" i="2"/>
  <c r="M1250" i="2"/>
  <c r="M1249" i="2"/>
  <c r="M1248" i="2"/>
  <c r="M1247" i="2"/>
  <c r="M1246" i="2"/>
  <c r="M1245" i="2"/>
  <c r="M1244" i="2"/>
  <c r="M1243" i="2"/>
  <c r="M1242" i="2"/>
  <c r="M1241" i="2"/>
  <c r="M1240" i="2"/>
  <c r="M1239" i="2"/>
  <c r="M1238" i="2"/>
  <c r="M1237" i="2"/>
  <c r="M1236" i="2"/>
  <c r="M1235" i="2"/>
  <c r="M1234" i="2"/>
  <c r="M1233" i="2"/>
  <c r="M1232" i="2"/>
  <c r="M1231" i="2"/>
  <c r="M1230" i="2"/>
  <c r="M1229" i="2"/>
  <c r="M1228" i="2"/>
  <c r="M1227" i="2"/>
  <c r="M1226" i="2"/>
  <c r="M1225" i="2"/>
  <c r="M1224" i="2"/>
  <c r="M1223" i="2"/>
  <c r="M1222" i="2"/>
  <c r="M1221" i="2"/>
  <c r="M1220" i="2"/>
  <c r="M1219" i="2"/>
  <c r="M1218" i="2"/>
  <c r="M1217" i="2"/>
  <c r="M1216" i="2"/>
  <c r="M1215" i="2"/>
  <c r="M1214" i="2"/>
  <c r="M1213" i="2"/>
  <c r="M1212" i="2"/>
  <c r="M1211" i="2"/>
  <c r="M1210" i="2"/>
  <c r="M1209" i="2"/>
  <c r="M1208" i="2"/>
  <c r="M1207" i="2"/>
  <c r="M1206" i="2"/>
  <c r="M1205" i="2"/>
  <c r="M1204" i="2"/>
  <c r="M1203" i="2"/>
  <c r="M1202" i="2"/>
  <c r="M1201" i="2"/>
  <c r="M1200" i="2"/>
  <c r="M1199" i="2"/>
  <c r="M1198" i="2"/>
  <c r="M1197" i="2"/>
  <c r="M1196" i="2"/>
  <c r="M1195" i="2"/>
  <c r="M1194" i="2"/>
  <c r="M1193" i="2"/>
  <c r="M1192" i="2"/>
  <c r="M1191" i="2"/>
  <c r="M1190" i="2"/>
  <c r="M1189" i="2"/>
  <c r="M1188" i="2"/>
  <c r="M1187" i="2"/>
  <c r="M1186" i="2"/>
  <c r="M1185" i="2"/>
  <c r="M1184" i="2"/>
  <c r="M1183" i="2"/>
  <c r="M1182" i="2"/>
  <c r="M1181" i="2"/>
  <c r="M1180" i="2"/>
  <c r="M1179" i="2"/>
  <c r="M1178" i="2"/>
  <c r="M1177" i="2"/>
  <c r="M1176" i="2"/>
  <c r="M1175" i="2"/>
  <c r="M1174" i="2"/>
  <c r="M1173" i="2"/>
  <c r="M1172" i="2"/>
  <c r="M1171" i="2"/>
  <c r="M1170" i="2"/>
  <c r="M1169" i="2"/>
  <c r="M1168" i="2"/>
  <c r="M1167" i="2"/>
  <c r="M1166" i="2"/>
  <c r="M1165" i="2"/>
  <c r="M1164" i="2"/>
  <c r="M1163" i="2"/>
  <c r="M1162" i="2"/>
  <c r="M1161" i="2"/>
  <c r="M1160" i="2"/>
  <c r="M1159" i="2"/>
  <c r="M1158" i="2"/>
  <c r="M1157" i="2"/>
  <c r="M1156" i="2"/>
  <c r="M1155" i="2"/>
  <c r="M1154" i="2"/>
  <c r="M1153" i="2"/>
  <c r="M1152" i="2"/>
  <c r="M1151" i="2"/>
  <c r="M1150" i="2"/>
  <c r="M1149" i="2"/>
  <c r="M1148" i="2"/>
  <c r="M1147" i="2"/>
  <c r="M1146" i="2"/>
  <c r="M1145" i="2"/>
  <c r="M1144" i="2"/>
  <c r="M1143" i="2"/>
  <c r="M1142" i="2"/>
  <c r="M1141" i="2"/>
  <c r="M1140" i="2"/>
  <c r="M1139" i="2"/>
  <c r="M1138" i="2"/>
  <c r="M1137" i="2"/>
  <c r="M1136" i="2"/>
  <c r="M1135" i="2"/>
  <c r="M1134" i="2"/>
  <c r="M1133" i="2"/>
  <c r="M1132" i="2"/>
  <c r="M1131" i="2"/>
  <c r="M1130" i="2"/>
  <c r="M1129" i="2"/>
  <c r="M1128" i="2"/>
  <c r="M1127" i="2"/>
  <c r="M1126" i="2"/>
  <c r="M1125" i="2"/>
  <c r="M1124" i="2"/>
  <c r="M1123" i="2"/>
  <c r="M1122" i="2"/>
  <c r="M1121" i="2"/>
  <c r="N1120" i="2"/>
  <c r="M1120" i="2" s="1"/>
  <c r="N1119" i="2"/>
  <c r="M1119" i="2"/>
  <c r="N1118" i="2"/>
  <c r="M1118" i="2" s="1"/>
  <c r="N1117" i="2"/>
  <c r="M1117" i="2" s="1"/>
  <c r="N1116" i="2"/>
  <c r="M1116" i="2"/>
  <c r="N1115" i="2"/>
  <c r="M1115" i="2"/>
  <c r="N1114" i="2"/>
  <c r="M1114" i="2" s="1"/>
  <c r="N1113" i="2"/>
  <c r="M1113" i="2"/>
  <c r="N1112" i="2"/>
  <c r="M1112" i="2"/>
  <c r="N1111" i="2"/>
  <c r="M1111" i="2"/>
  <c r="N1110" i="2"/>
  <c r="M1110" i="2" s="1"/>
  <c r="N1109" i="2"/>
  <c r="M1109" i="2"/>
  <c r="M1108" i="2"/>
  <c r="M1107" i="2"/>
  <c r="M1106" i="2"/>
  <c r="M1105" i="2"/>
  <c r="M1104" i="2"/>
  <c r="M1103" i="2"/>
  <c r="M1102" i="2"/>
  <c r="M1101" i="2"/>
  <c r="M1100" i="2"/>
  <c r="M1099" i="2"/>
  <c r="M1098" i="2"/>
  <c r="M1097" i="2"/>
  <c r="M1096" i="2"/>
  <c r="M1095" i="2"/>
  <c r="M1094" i="2"/>
  <c r="M1093" i="2"/>
  <c r="M1092" i="2"/>
  <c r="M1091" i="2"/>
  <c r="M1090" i="2"/>
  <c r="M1089" i="2"/>
  <c r="M1088" i="2"/>
  <c r="M1087" i="2"/>
  <c r="M1086" i="2"/>
  <c r="M1085" i="2"/>
  <c r="M1084" i="2"/>
  <c r="M1083" i="2"/>
  <c r="M1082" i="2"/>
  <c r="M1081" i="2"/>
  <c r="M1080" i="2"/>
  <c r="M1079" i="2"/>
  <c r="M1078" i="2"/>
  <c r="M1077" i="2"/>
  <c r="M1076" i="2"/>
  <c r="M1075" i="2"/>
  <c r="M1074" i="2"/>
  <c r="M1073" i="2"/>
  <c r="M1072" i="2"/>
  <c r="M1071" i="2"/>
  <c r="M1070" i="2"/>
  <c r="M1069" i="2"/>
  <c r="M1068" i="2"/>
  <c r="M1067" i="2"/>
  <c r="M1066" i="2"/>
  <c r="M1065" i="2"/>
  <c r="M1064" i="2"/>
  <c r="M1063" i="2"/>
  <c r="M1062" i="2"/>
  <c r="M1061" i="2"/>
  <c r="M1060" i="2"/>
  <c r="M1059" i="2"/>
  <c r="M1058" i="2"/>
  <c r="M1057" i="2"/>
  <c r="M1056" i="2"/>
  <c r="M1055" i="2"/>
  <c r="M1054" i="2"/>
  <c r="M1053" i="2"/>
  <c r="M1052" i="2"/>
  <c r="M1051" i="2"/>
  <c r="M1050" i="2"/>
  <c r="M1049" i="2"/>
  <c r="M1048" i="2"/>
  <c r="M1047" i="2"/>
  <c r="M1046" i="2"/>
  <c r="M1045" i="2"/>
  <c r="M1044" i="2"/>
  <c r="M1043" i="2"/>
  <c r="M1042" i="2"/>
  <c r="M1041" i="2"/>
  <c r="M1040" i="2"/>
  <c r="M1039" i="2"/>
  <c r="M1038" i="2"/>
  <c r="M1037" i="2"/>
  <c r="M1036" i="2"/>
  <c r="M1035" i="2"/>
  <c r="M1034" i="2"/>
  <c r="M1033" i="2"/>
  <c r="M1032" i="2"/>
  <c r="M1031" i="2"/>
  <c r="M1030" i="2"/>
  <c r="M1029" i="2"/>
  <c r="M1028" i="2"/>
  <c r="M1027" i="2"/>
  <c r="M1026" i="2"/>
  <c r="M1025" i="2"/>
  <c r="M1024" i="2"/>
  <c r="M1023" i="2"/>
  <c r="M1022" i="2"/>
  <c r="M1021" i="2"/>
  <c r="M1020" i="2"/>
  <c r="M1019" i="2"/>
  <c r="M1018" i="2"/>
  <c r="M1017" i="2"/>
  <c r="M1016" i="2"/>
  <c r="M1015" i="2"/>
  <c r="M1014" i="2"/>
  <c r="M1013" i="2"/>
  <c r="M1012" i="2"/>
  <c r="M1011" i="2"/>
  <c r="M1010" i="2"/>
  <c r="M1009" i="2"/>
  <c r="M1008" i="2"/>
  <c r="M1007" i="2"/>
  <c r="M1006" i="2"/>
  <c r="M1005" i="2"/>
  <c r="M1004" i="2"/>
  <c r="M1003" i="2"/>
  <c r="M1002" i="2"/>
  <c r="M1001" i="2"/>
  <c r="M1000" i="2"/>
  <c r="M999" i="2"/>
  <c r="M998" i="2"/>
  <c r="M997" i="2"/>
  <c r="M996" i="2"/>
  <c r="M995" i="2"/>
  <c r="M994" i="2"/>
  <c r="M993" i="2"/>
  <c r="M992" i="2"/>
  <c r="M991" i="2"/>
  <c r="M990" i="2"/>
  <c r="M989" i="2"/>
  <c r="M988" i="2"/>
  <c r="M987" i="2"/>
  <c r="M986" i="2"/>
  <c r="M985" i="2"/>
  <c r="M984" i="2"/>
  <c r="M983" i="2"/>
  <c r="M982" i="2"/>
  <c r="M981" i="2"/>
  <c r="M980" i="2"/>
  <c r="M979" i="2"/>
  <c r="M978" i="2"/>
  <c r="M977" i="2"/>
  <c r="M976" i="2"/>
  <c r="M975" i="2"/>
  <c r="M974" i="2"/>
  <c r="M973" i="2"/>
  <c r="M972" i="2"/>
  <c r="M971" i="2"/>
  <c r="M970" i="2"/>
  <c r="M969" i="2"/>
  <c r="M968" i="2"/>
  <c r="M967" i="2"/>
  <c r="M966" i="2"/>
  <c r="M965" i="2"/>
  <c r="M964" i="2"/>
  <c r="M963" i="2"/>
  <c r="M962" i="2"/>
  <c r="M961" i="2"/>
  <c r="M960" i="2"/>
  <c r="M959" i="2"/>
  <c r="M958" i="2"/>
  <c r="M957" i="2"/>
  <c r="M956" i="2"/>
  <c r="M955" i="2"/>
  <c r="M954" i="2"/>
  <c r="M953" i="2"/>
  <c r="M952" i="2"/>
  <c r="M951" i="2"/>
  <c r="M950" i="2"/>
  <c r="M949" i="2"/>
  <c r="M948" i="2"/>
  <c r="M947" i="2"/>
  <c r="M946" i="2"/>
  <c r="M945" i="2"/>
  <c r="M944" i="2"/>
  <c r="M943" i="2"/>
  <c r="M942" i="2"/>
  <c r="M941" i="2"/>
  <c r="M940" i="2"/>
  <c r="M939" i="2"/>
  <c r="M938" i="2"/>
  <c r="M937" i="2"/>
  <c r="M936" i="2"/>
  <c r="M935" i="2"/>
  <c r="M934" i="2"/>
  <c r="M933" i="2"/>
  <c r="M932" i="2"/>
  <c r="M931" i="2"/>
  <c r="M930" i="2"/>
  <c r="M929" i="2"/>
  <c r="M928" i="2"/>
  <c r="M927" i="2"/>
  <c r="M926" i="2"/>
  <c r="M925" i="2"/>
  <c r="M924" i="2"/>
  <c r="M923" i="2"/>
  <c r="M922" i="2"/>
  <c r="M921" i="2"/>
  <c r="M920" i="2"/>
  <c r="M919" i="2"/>
  <c r="M918" i="2"/>
  <c r="M917" i="2"/>
  <c r="M916" i="2"/>
  <c r="M915" i="2"/>
  <c r="M914" i="2"/>
  <c r="M913" i="2"/>
  <c r="M912" i="2"/>
  <c r="M911" i="2"/>
  <c r="M910" i="2"/>
  <c r="M909" i="2"/>
  <c r="M908" i="2"/>
  <c r="M907" i="2"/>
  <c r="M906" i="2"/>
  <c r="M905" i="2"/>
  <c r="M904" i="2"/>
  <c r="M903" i="2"/>
  <c r="M902" i="2"/>
  <c r="M901" i="2"/>
  <c r="M900" i="2"/>
  <c r="M899" i="2"/>
  <c r="M898" i="2"/>
  <c r="M897" i="2"/>
  <c r="M896" i="2"/>
  <c r="M895" i="2"/>
  <c r="M894" i="2"/>
  <c r="M893" i="2"/>
  <c r="M892" i="2"/>
  <c r="M891" i="2"/>
  <c r="M890" i="2"/>
  <c r="M889" i="2"/>
  <c r="M888" i="2"/>
  <c r="M887" i="2"/>
  <c r="M886" i="2"/>
  <c r="M885" i="2"/>
  <c r="M884" i="2"/>
  <c r="M883" i="2"/>
  <c r="M882" i="2"/>
  <c r="M881" i="2"/>
  <c r="M880" i="2"/>
  <c r="M879" i="2"/>
  <c r="M878" i="2"/>
  <c r="M877" i="2"/>
  <c r="M876" i="2"/>
  <c r="M875" i="2"/>
  <c r="M874" i="2"/>
  <c r="M873" i="2"/>
  <c r="M872" i="2"/>
  <c r="M871" i="2"/>
  <c r="M870" i="2"/>
  <c r="M869" i="2"/>
  <c r="M868" i="2"/>
  <c r="M867" i="2"/>
  <c r="M866" i="2"/>
  <c r="M865" i="2"/>
  <c r="M864" i="2"/>
  <c r="M863" i="2"/>
  <c r="M862" i="2"/>
  <c r="M861" i="2"/>
  <c r="M860" i="2"/>
  <c r="M859" i="2"/>
  <c r="M858" i="2"/>
  <c r="M857" i="2"/>
  <c r="M856" i="2"/>
  <c r="M855" i="2"/>
  <c r="M854" i="2"/>
  <c r="M853" i="2"/>
  <c r="M852" i="2"/>
  <c r="M851" i="2"/>
  <c r="M850" i="2"/>
  <c r="M849" i="2"/>
  <c r="M848" i="2"/>
  <c r="M847" i="2"/>
  <c r="M846" i="2"/>
  <c r="M845" i="2"/>
  <c r="M844" i="2"/>
  <c r="M843" i="2"/>
  <c r="M842" i="2"/>
  <c r="M841" i="2"/>
  <c r="M840" i="2"/>
  <c r="M839" i="2"/>
  <c r="M838" i="2"/>
  <c r="M837" i="2"/>
  <c r="M836" i="2"/>
  <c r="M835" i="2"/>
  <c r="M834" i="2"/>
  <c r="M833" i="2"/>
  <c r="M832" i="2"/>
  <c r="M831" i="2"/>
  <c r="M830" i="2"/>
  <c r="M829" i="2"/>
  <c r="M828" i="2"/>
  <c r="M827" i="2"/>
  <c r="M826" i="2"/>
  <c r="M825" i="2"/>
  <c r="M824" i="2"/>
  <c r="M823" i="2"/>
  <c r="M822" i="2"/>
  <c r="M821" i="2"/>
  <c r="M820" i="2"/>
  <c r="M819" i="2"/>
  <c r="M818" i="2"/>
  <c r="M817" i="2"/>
  <c r="M816" i="2"/>
  <c r="M815" i="2"/>
  <c r="M814" i="2"/>
  <c r="M813" i="2"/>
  <c r="M812" i="2"/>
  <c r="M811" i="2"/>
  <c r="M810" i="2"/>
  <c r="M809" i="2"/>
  <c r="M808" i="2"/>
  <c r="M807" i="2"/>
  <c r="M806" i="2"/>
  <c r="M805" i="2"/>
  <c r="M804" i="2"/>
  <c r="M803" i="2"/>
  <c r="M802" i="2"/>
  <c r="M801" i="2"/>
  <c r="M800" i="2"/>
  <c r="M799" i="2"/>
  <c r="M798" i="2"/>
  <c r="M797" i="2"/>
  <c r="M796" i="2"/>
  <c r="M795" i="2"/>
  <c r="M794" i="2"/>
  <c r="M793" i="2"/>
  <c r="M792" i="2"/>
  <c r="M791" i="2"/>
  <c r="M790" i="2"/>
  <c r="M789" i="2"/>
  <c r="M788" i="2"/>
  <c r="M787" i="2"/>
  <c r="M786" i="2"/>
  <c r="M785" i="2"/>
  <c r="M784" i="2"/>
  <c r="M783" i="2"/>
  <c r="M782" i="2"/>
  <c r="M781" i="2"/>
  <c r="M780" i="2"/>
  <c r="M779" i="2"/>
  <c r="M778" i="2"/>
  <c r="M777" i="2"/>
  <c r="M776" i="2"/>
  <c r="M775" i="2"/>
  <c r="M774" i="2"/>
  <c r="M773" i="2"/>
  <c r="M772" i="2"/>
  <c r="M771" i="2"/>
  <c r="M770" i="2"/>
  <c r="M769" i="2"/>
  <c r="M768" i="2"/>
  <c r="M767" i="2"/>
  <c r="M766" i="2"/>
  <c r="M765" i="2"/>
  <c r="M764" i="2"/>
  <c r="M763" i="2"/>
  <c r="M762" i="2"/>
  <c r="M761" i="2"/>
  <c r="M760" i="2"/>
  <c r="M759" i="2"/>
  <c r="M758" i="2"/>
  <c r="M757" i="2"/>
  <c r="M756" i="2"/>
  <c r="M755" i="2"/>
  <c r="M754" i="2"/>
  <c r="M753" i="2"/>
  <c r="M752" i="2"/>
  <c r="M751" i="2"/>
  <c r="M750" i="2"/>
  <c r="M749" i="2"/>
  <c r="M748" i="2"/>
  <c r="M747" i="2"/>
  <c r="M746" i="2"/>
  <c r="M745" i="2"/>
  <c r="M744" i="2"/>
  <c r="M743" i="2"/>
  <c r="M742" i="2"/>
  <c r="M741" i="2"/>
  <c r="M740" i="2"/>
  <c r="M739" i="2"/>
  <c r="M738" i="2"/>
  <c r="M737" i="2"/>
  <c r="M736" i="2"/>
  <c r="M735" i="2"/>
  <c r="M734" i="2"/>
  <c r="M733" i="2"/>
  <c r="M732" i="2"/>
  <c r="M731" i="2"/>
  <c r="M730" i="2"/>
  <c r="M729" i="2"/>
  <c r="M728" i="2"/>
  <c r="M727" i="2"/>
  <c r="M726" i="2"/>
  <c r="M725" i="2"/>
  <c r="M724" i="2"/>
  <c r="M723" i="2"/>
  <c r="M722" i="2"/>
  <c r="M721" i="2"/>
  <c r="M720" i="2"/>
  <c r="M719" i="2"/>
  <c r="M718" i="2"/>
  <c r="M717" i="2"/>
  <c r="M716" i="2"/>
  <c r="M715" i="2"/>
  <c r="M714" i="2"/>
  <c r="M713" i="2"/>
  <c r="M712" i="2"/>
  <c r="M711" i="2"/>
  <c r="M710" i="2"/>
  <c r="M709" i="2"/>
  <c r="M708" i="2"/>
  <c r="M707" i="2"/>
  <c r="M706" i="2"/>
  <c r="M705" i="2"/>
  <c r="M704" i="2"/>
  <c r="M703" i="2"/>
  <c r="M702" i="2"/>
  <c r="M701" i="2"/>
  <c r="M700" i="2"/>
  <c r="M699" i="2"/>
  <c r="M698" i="2"/>
  <c r="M697" i="2"/>
  <c r="M696" i="2"/>
  <c r="M695" i="2"/>
  <c r="M694" i="2"/>
  <c r="M693" i="2"/>
  <c r="M692" i="2"/>
  <c r="M691" i="2"/>
  <c r="M690" i="2"/>
  <c r="M689" i="2"/>
  <c r="M688" i="2"/>
  <c r="M687" i="2"/>
  <c r="M686" i="2"/>
  <c r="M685" i="2"/>
  <c r="M684" i="2"/>
  <c r="M683" i="2"/>
  <c r="M682" i="2"/>
  <c r="M681" i="2"/>
  <c r="M680" i="2"/>
  <c r="M679" i="2"/>
  <c r="M678" i="2"/>
  <c r="M677" i="2"/>
  <c r="M676" i="2"/>
  <c r="M675" i="2"/>
  <c r="M674" i="2"/>
  <c r="M673" i="2"/>
  <c r="M672" i="2"/>
  <c r="M671" i="2"/>
  <c r="M670" i="2"/>
  <c r="M669" i="2"/>
  <c r="M668" i="2"/>
  <c r="M667" i="2"/>
  <c r="M666" i="2"/>
  <c r="M665" i="2"/>
  <c r="M664" i="2"/>
  <c r="M663" i="2"/>
  <c r="M662" i="2"/>
  <c r="M661" i="2"/>
  <c r="M660" i="2"/>
  <c r="M659" i="2"/>
  <c r="M658" i="2"/>
  <c r="M657" i="2"/>
  <c r="M656" i="2"/>
  <c r="M655" i="2"/>
  <c r="M654" i="2"/>
  <c r="M653" i="2"/>
  <c r="M652" i="2"/>
  <c r="M651" i="2"/>
  <c r="M650" i="2"/>
  <c r="M649" i="2"/>
  <c r="M648" i="2"/>
  <c r="M647" i="2"/>
  <c r="M646" i="2"/>
  <c r="M645" i="2"/>
  <c r="M644" i="2"/>
  <c r="M643" i="2"/>
  <c r="M642" i="2"/>
  <c r="M641" i="2"/>
  <c r="M640" i="2"/>
  <c r="M639" i="2"/>
  <c r="M638" i="2"/>
  <c r="M637" i="2"/>
  <c r="M636" i="2"/>
  <c r="M635" i="2"/>
  <c r="M634" i="2"/>
  <c r="M633" i="2"/>
  <c r="M632" i="2"/>
  <c r="M631" i="2"/>
  <c r="M630" i="2"/>
  <c r="M629" i="2"/>
  <c r="M628" i="2"/>
  <c r="M627" i="2"/>
  <c r="M626" i="2"/>
  <c r="M625" i="2"/>
  <c r="M624" i="2"/>
  <c r="M623" i="2"/>
  <c r="M622" i="2"/>
  <c r="M621" i="2"/>
  <c r="M620" i="2"/>
  <c r="M619" i="2"/>
  <c r="M618" i="2"/>
  <c r="M617" i="2"/>
  <c r="M616" i="2"/>
  <c r="M615" i="2"/>
  <c r="M614" i="2"/>
  <c r="M613" i="2"/>
  <c r="M612" i="2"/>
  <c r="M611" i="2"/>
  <c r="M610" i="2"/>
  <c r="M609" i="2"/>
  <c r="M608" i="2"/>
  <c r="M607" i="2"/>
  <c r="M606" i="2"/>
  <c r="M605" i="2"/>
  <c r="M604" i="2"/>
  <c r="M603" i="2"/>
  <c r="M602" i="2"/>
  <c r="M601" i="2"/>
  <c r="M600" i="2"/>
  <c r="M599" i="2"/>
  <c r="M598" i="2"/>
  <c r="M597" i="2"/>
  <c r="M596" i="2"/>
  <c r="M595" i="2"/>
  <c r="M594" i="2"/>
  <c r="M593" i="2"/>
  <c r="M592" i="2"/>
  <c r="M591" i="2"/>
  <c r="M590" i="2"/>
  <c r="M589" i="2"/>
  <c r="M588" i="2"/>
  <c r="M587" i="2"/>
  <c r="M586" i="2"/>
  <c r="M585" i="2"/>
  <c r="M584" i="2"/>
  <c r="M583" i="2"/>
  <c r="M582" i="2"/>
  <c r="M581" i="2"/>
  <c r="M580" i="2"/>
  <c r="M579" i="2"/>
  <c r="M578" i="2"/>
  <c r="M577" i="2"/>
  <c r="M576" i="2"/>
  <c r="M575" i="2"/>
  <c r="M574" i="2"/>
  <c r="M573" i="2"/>
  <c r="M572" i="2"/>
  <c r="M571" i="2"/>
  <c r="M570" i="2"/>
  <c r="M569" i="2"/>
  <c r="M568" i="2"/>
  <c r="M567" i="2"/>
  <c r="M566" i="2"/>
  <c r="M565" i="2"/>
  <c r="M564" i="2"/>
  <c r="M563" i="2"/>
  <c r="M562" i="2"/>
  <c r="M561" i="2"/>
  <c r="M560" i="2"/>
  <c r="M559" i="2"/>
  <c r="M558" i="2"/>
  <c r="M557" i="2"/>
  <c r="M556" i="2"/>
  <c r="M555" i="2"/>
  <c r="M554" i="2"/>
  <c r="M553" i="2"/>
  <c r="M552" i="2"/>
  <c r="M551" i="2"/>
  <c r="M550" i="2"/>
  <c r="M549" i="2"/>
  <c r="M548" i="2"/>
  <c r="M547" i="2"/>
  <c r="M546" i="2"/>
  <c r="M545" i="2"/>
  <c r="M544" i="2"/>
  <c r="M543" i="2"/>
  <c r="M542" i="2"/>
  <c r="M541" i="2"/>
  <c r="M540" i="2"/>
  <c r="M539" i="2"/>
  <c r="M538" i="2"/>
  <c r="M537" i="2"/>
  <c r="M536" i="2"/>
  <c r="M535" i="2"/>
  <c r="M534" i="2"/>
  <c r="M533" i="2"/>
  <c r="M532" i="2"/>
  <c r="M531" i="2"/>
  <c r="M530" i="2"/>
  <c r="M529" i="2"/>
  <c r="M528" i="2"/>
  <c r="M527" i="2"/>
  <c r="M526" i="2"/>
  <c r="M525" i="2"/>
  <c r="M524" i="2"/>
  <c r="M523" i="2"/>
  <c r="M522" i="2"/>
  <c r="M521" i="2"/>
  <c r="M520" i="2"/>
  <c r="M519" i="2"/>
  <c r="M518" i="2"/>
  <c r="M517" i="2"/>
  <c r="M516" i="2"/>
  <c r="M515" i="2"/>
  <c r="M514" i="2"/>
  <c r="M513" i="2"/>
  <c r="M512" i="2"/>
  <c r="M511" i="2"/>
  <c r="M510" i="2"/>
  <c r="M509" i="2"/>
  <c r="M508" i="2"/>
  <c r="M507" i="2"/>
  <c r="M506" i="2"/>
  <c r="M505" i="2"/>
  <c r="M504" i="2"/>
  <c r="M503" i="2"/>
  <c r="M502" i="2"/>
  <c r="M501" i="2"/>
  <c r="M500" i="2"/>
  <c r="M499" i="2"/>
  <c r="M498" i="2"/>
  <c r="M497" i="2"/>
  <c r="M496" i="2"/>
  <c r="M495" i="2"/>
  <c r="M494" i="2"/>
  <c r="M493" i="2"/>
  <c r="M492" i="2"/>
  <c r="M491" i="2"/>
  <c r="M490" i="2"/>
  <c r="M489" i="2"/>
  <c r="M488" i="2"/>
  <c r="M487" i="2"/>
  <c r="M486" i="2"/>
  <c r="M485" i="2"/>
  <c r="M484" i="2"/>
  <c r="M483" i="2"/>
  <c r="M482" i="2"/>
  <c r="M481" i="2"/>
  <c r="M480" i="2"/>
  <c r="M479" i="2"/>
  <c r="M478" i="2"/>
  <c r="M477" i="2"/>
  <c r="M476" i="2"/>
  <c r="M475" i="2"/>
  <c r="M474" i="2"/>
  <c r="M473" i="2"/>
  <c r="M472" i="2"/>
  <c r="M471" i="2"/>
  <c r="M470" i="2"/>
  <c r="M469" i="2"/>
  <c r="M468" i="2"/>
  <c r="M467" i="2"/>
  <c r="M466" i="2"/>
  <c r="M465" i="2"/>
  <c r="M464" i="2"/>
  <c r="M463" i="2"/>
  <c r="M462" i="2"/>
  <c r="M461" i="2"/>
  <c r="M460" i="2"/>
  <c r="M459" i="2"/>
  <c r="M458" i="2"/>
  <c r="M457" i="2"/>
  <c r="M456" i="2"/>
  <c r="M455" i="2"/>
  <c r="M454" i="2"/>
  <c r="M453" i="2"/>
  <c r="M452" i="2"/>
  <c r="M451" i="2"/>
  <c r="M450" i="2"/>
  <c r="M449" i="2"/>
  <c r="M448" i="2"/>
  <c r="M447" i="2"/>
  <c r="M446" i="2"/>
  <c r="M445" i="2"/>
  <c r="M444" i="2"/>
  <c r="M443" i="2"/>
  <c r="M442" i="2"/>
  <c r="M441" i="2"/>
  <c r="M440" i="2"/>
  <c r="M439" i="2"/>
  <c r="M438" i="2"/>
  <c r="M437" i="2"/>
  <c r="M436" i="2"/>
  <c r="M435" i="2"/>
  <c r="M434" i="2"/>
  <c r="M433" i="2"/>
  <c r="M432" i="2"/>
  <c r="M431" i="2"/>
  <c r="M430" i="2"/>
  <c r="M429" i="2"/>
  <c r="M428" i="2"/>
  <c r="M427" i="2"/>
  <c r="M426" i="2"/>
  <c r="M425" i="2"/>
  <c r="M424" i="2"/>
  <c r="M423" i="2"/>
  <c r="M422" i="2"/>
  <c r="M421" i="2"/>
  <c r="M420" i="2"/>
  <c r="M419" i="2"/>
  <c r="M418" i="2"/>
  <c r="M417" i="2"/>
  <c r="M416" i="2"/>
  <c r="M415" i="2"/>
  <c r="M414" i="2"/>
  <c r="M413" i="2"/>
  <c r="M412" i="2"/>
  <c r="M411" i="2"/>
  <c r="M410" i="2"/>
  <c r="M409" i="2"/>
  <c r="M408" i="2"/>
  <c r="M407" i="2"/>
  <c r="M406" i="2"/>
  <c r="M405" i="2"/>
  <c r="M404" i="2"/>
  <c r="M403" i="2"/>
  <c r="M402" i="2"/>
  <c r="M401" i="2"/>
  <c r="M400" i="2"/>
  <c r="M399" i="2"/>
  <c r="M398" i="2"/>
  <c r="M397" i="2"/>
  <c r="M396" i="2"/>
  <c r="M395" i="2"/>
  <c r="M394" i="2"/>
  <c r="M393" i="2"/>
  <c r="M392" i="2"/>
  <c r="M391" i="2"/>
  <c r="M390" i="2"/>
  <c r="M389" i="2"/>
  <c r="M388" i="2"/>
  <c r="M387" i="2"/>
  <c r="M386" i="2"/>
  <c r="M385" i="2"/>
  <c r="M384" i="2"/>
  <c r="M383" i="2"/>
  <c r="M382" i="2"/>
  <c r="M381" i="2"/>
  <c r="M380" i="2"/>
  <c r="M379" i="2"/>
  <c r="M378" i="2"/>
  <c r="M377" i="2"/>
  <c r="M376" i="2"/>
  <c r="M375" i="2"/>
  <c r="M374" i="2"/>
  <c r="M373" i="2"/>
  <c r="M372" i="2"/>
  <c r="M371" i="2"/>
  <c r="M370" i="2"/>
  <c r="M369" i="2"/>
  <c r="M368" i="2"/>
  <c r="M367" i="2"/>
  <c r="M366" i="2"/>
  <c r="M365" i="2"/>
  <c r="M364" i="2"/>
  <c r="M363" i="2"/>
  <c r="M362" i="2"/>
  <c r="M361" i="2"/>
  <c r="M360" i="2"/>
  <c r="M359" i="2"/>
  <c r="M358" i="2"/>
  <c r="M357" i="2"/>
  <c r="M356" i="2"/>
  <c r="M355" i="2"/>
  <c r="M354" i="2"/>
  <c r="M353" i="2"/>
  <c r="M352" i="2"/>
  <c r="M351" i="2"/>
  <c r="M350" i="2"/>
  <c r="M349" i="2"/>
  <c r="M348" i="2"/>
  <c r="M347" i="2"/>
  <c r="M346" i="2"/>
  <c r="M345" i="2"/>
  <c r="M344" i="2"/>
  <c r="M343" i="2"/>
  <c r="M342" i="2"/>
  <c r="M341" i="2"/>
  <c r="M340" i="2"/>
  <c r="M339" i="2"/>
  <c r="M338" i="2"/>
  <c r="M337" i="2"/>
  <c r="M336" i="2"/>
  <c r="M335" i="2"/>
  <c r="M334" i="2"/>
  <c r="M333" i="2"/>
  <c r="M332" i="2"/>
  <c r="M331" i="2"/>
  <c r="M330" i="2"/>
  <c r="M329" i="2"/>
  <c r="M328" i="2"/>
  <c r="M327" i="2"/>
  <c r="M326" i="2"/>
  <c r="M325" i="2"/>
  <c r="M324" i="2"/>
  <c r="M323" i="2"/>
  <c r="M322" i="2"/>
  <c r="M321" i="2"/>
  <c r="M320" i="2"/>
  <c r="M319" i="2"/>
  <c r="M318" i="2"/>
  <c r="M317" i="2"/>
  <c r="M316" i="2"/>
  <c r="M315" i="2"/>
  <c r="M314" i="2"/>
  <c r="M313" i="2"/>
  <c r="M312" i="2"/>
  <c r="M311" i="2"/>
  <c r="M310" i="2"/>
  <c r="M309" i="2"/>
  <c r="M308" i="2"/>
  <c r="M307" i="2"/>
  <c r="M306" i="2"/>
  <c r="M305" i="2"/>
  <c r="M304" i="2"/>
  <c r="M303" i="2"/>
  <c r="M302" i="2"/>
  <c r="M301" i="2"/>
  <c r="M300" i="2"/>
  <c r="M299" i="2"/>
  <c r="M298" i="2"/>
  <c r="M297" i="2"/>
  <c r="M296" i="2"/>
  <c r="M295" i="2"/>
  <c r="M294" i="2"/>
  <c r="M293" i="2"/>
  <c r="M292" i="2"/>
  <c r="M291" i="2"/>
  <c r="M290" i="2"/>
  <c r="M289" i="2"/>
  <c r="M288" i="2"/>
  <c r="M287" i="2"/>
  <c r="M286" i="2"/>
  <c r="M285" i="2"/>
  <c r="M284" i="2"/>
  <c r="M283" i="2"/>
  <c r="M282" i="2"/>
  <c r="M281" i="2"/>
  <c r="M280" i="2"/>
  <c r="M279" i="2"/>
  <c r="M278" i="2"/>
  <c r="M277" i="2"/>
  <c r="M276" i="2"/>
  <c r="M275" i="2"/>
  <c r="M274" i="2"/>
  <c r="M273" i="2"/>
  <c r="M272" i="2"/>
  <c r="M271" i="2"/>
  <c r="M270" i="2"/>
  <c r="M269" i="2"/>
  <c r="M268" i="2"/>
  <c r="M267" i="2"/>
  <c r="M266" i="2"/>
  <c r="M265" i="2"/>
  <c r="M264" i="2"/>
  <c r="M263" i="2"/>
  <c r="M262" i="2"/>
  <c r="M261" i="2"/>
  <c r="M260" i="2"/>
  <c r="M259" i="2"/>
  <c r="M258" i="2"/>
  <c r="M257" i="2"/>
  <c r="M256" i="2"/>
  <c r="M255" i="2"/>
  <c r="M254" i="2"/>
  <c r="M253" i="2"/>
  <c r="M252" i="2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AF9" i="3"/>
  <c r="X9" i="3"/>
  <c r="P9" i="3"/>
  <c r="H9" i="3"/>
  <c r="AE6" i="3"/>
  <c r="AE9" i="3" s="1"/>
  <c r="AD6" i="3"/>
  <c r="AD9" i="3" s="1"/>
  <c r="AC6" i="3"/>
  <c r="AC9" i="3" s="1"/>
  <c r="AB6" i="3"/>
  <c r="AB9" i="3" s="1"/>
  <c r="AA6" i="3"/>
  <c r="AA9" i="3" s="1"/>
  <c r="Z6" i="3"/>
  <c r="Z9" i="3" s="1"/>
  <c r="Y6" i="3"/>
  <c r="Y9" i="3" s="1"/>
  <c r="X6" i="3"/>
  <c r="W6" i="3"/>
  <c r="W9" i="3" s="1"/>
  <c r="V6" i="3"/>
  <c r="V9" i="3" s="1"/>
  <c r="U6" i="3"/>
  <c r="U9" i="3" s="1"/>
  <c r="T6" i="3"/>
  <c r="T9" i="3" s="1"/>
  <c r="S6" i="3"/>
  <c r="S9" i="3" s="1"/>
  <c r="R6" i="3"/>
  <c r="R9" i="3" s="1"/>
  <c r="Q6" i="3"/>
  <c r="Q9" i="3" s="1"/>
  <c r="P6" i="3"/>
  <c r="O6" i="3"/>
  <c r="O9" i="3" s="1"/>
  <c r="N6" i="3"/>
  <c r="N9" i="3" s="1"/>
  <c r="M6" i="3"/>
  <c r="M9" i="3" s="1"/>
  <c r="L6" i="3"/>
  <c r="L9" i="3" s="1"/>
  <c r="K6" i="3"/>
  <c r="K9" i="3" s="1"/>
  <c r="J6" i="3"/>
  <c r="J9" i="3" s="1"/>
  <c r="I6" i="3"/>
  <c r="I9" i="3" s="1"/>
  <c r="H6" i="3"/>
  <c r="G6" i="3"/>
  <c r="G9" i="3" s="1"/>
  <c r="F6" i="3"/>
  <c r="F9" i="3" s="1"/>
  <c r="E6" i="3"/>
  <c r="E9" i="3" s="1"/>
  <c r="D6" i="3"/>
  <c r="D9" i="3" s="1"/>
  <c r="C6" i="3"/>
  <c r="C9" i="3" s="1"/>
  <c r="B6" i="3"/>
  <c r="AD8" i="3" s="1"/>
  <c r="AF5" i="3"/>
  <c r="AE5" i="3"/>
  <c r="AD5" i="3"/>
  <c r="AC5" i="3"/>
  <c r="AB5" i="3"/>
  <c r="AA5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V7" i="3" s="1"/>
  <c r="B5" i="3"/>
  <c r="AC7" i="3" s="1"/>
  <c r="C7" i="1"/>
  <c r="C1" i="1"/>
  <c r="C2" i="1" s="1"/>
  <c r="C6" i="1" l="1"/>
  <c r="C3" i="1"/>
  <c r="I2" i="1"/>
  <c r="C5" i="1"/>
  <c r="F2" i="1"/>
  <c r="C4" i="1"/>
  <c r="AD7" i="3"/>
  <c r="AD10" i="3" s="1"/>
  <c r="G8" i="3"/>
  <c r="O8" i="3"/>
  <c r="W8" i="3"/>
  <c r="W10" i="3" s="1"/>
  <c r="AE8" i="3"/>
  <c r="G7" i="3"/>
  <c r="O7" i="3"/>
  <c r="W7" i="3"/>
  <c r="AE7" i="3"/>
  <c r="H8" i="3"/>
  <c r="P8" i="3"/>
  <c r="X8" i="3"/>
  <c r="X10" i="3" s="1"/>
  <c r="AF8" i="3"/>
  <c r="H7" i="3"/>
  <c r="P7" i="3"/>
  <c r="X7" i="3"/>
  <c r="AF7" i="3"/>
  <c r="I8" i="3"/>
  <c r="Q8" i="3"/>
  <c r="Y8" i="3"/>
  <c r="B9" i="3"/>
  <c r="N7" i="3"/>
  <c r="I7" i="3"/>
  <c r="Q7" i="3"/>
  <c r="Y7" i="3"/>
  <c r="B8" i="3"/>
  <c r="J8" i="3"/>
  <c r="R8" i="3"/>
  <c r="R10" i="3" s="1"/>
  <c r="Z8" i="3"/>
  <c r="B7" i="3"/>
  <c r="J7" i="3"/>
  <c r="R7" i="3"/>
  <c r="Z7" i="3"/>
  <c r="C8" i="3"/>
  <c r="K8" i="3"/>
  <c r="S8" i="3"/>
  <c r="AA8" i="3"/>
  <c r="AA10" i="3" s="1"/>
  <c r="F7" i="3"/>
  <c r="C7" i="3"/>
  <c r="K7" i="3"/>
  <c r="S7" i="3"/>
  <c r="AA7" i="3"/>
  <c r="D8" i="3"/>
  <c r="L8" i="3"/>
  <c r="L10" i="3" s="1"/>
  <c r="T8" i="3"/>
  <c r="AB8" i="3"/>
  <c r="AB10" i="3" s="1"/>
  <c r="D7" i="3"/>
  <c r="L7" i="3"/>
  <c r="T7" i="3"/>
  <c r="AB7" i="3"/>
  <c r="E8" i="3"/>
  <c r="M8" i="3"/>
  <c r="M10" i="3" s="1"/>
  <c r="U8" i="3"/>
  <c r="AC8" i="3"/>
  <c r="AC10" i="3" s="1"/>
  <c r="E7" i="3"/>
  <c r="M7" i="3"/>
  <c r="U7" i="3"/>
  <c r="F8" i="3"/>
  <c r="N8" i="3"/>
  <c r="N10" i="3" s="1"/>
  <c r="V8" i="3"/>
  <c r="V10" i="3" s="1"/>
  <c r="F3" i="1" l="1"/>
  <c r="F5" i="1"/>
  <c r="F4" i="1"/>
  <c r="F6" i="1"/>
  <c r="U10" i="3"/>
  <c r="T10" i="3"/>
  <c r="Z10" i="3"/>
  <c r="AF10" i="3"/>
  <c r="AE10" i="3"/>
  <c r="I5" i="1"/>
  <c r="I4" i="1"/>
  <c r="I3" i="1"/>
  <c r="I6" i="1"/>
  <c r="S10" i="3"/>
  <c r="Y10" i="3"/>
  <c r="E10" i="3"/>
  <c r="D10" i="3"/>
  <c r="K10" i="3"/>
  <c r="J10" i="3"/>
  <c r="Q10" i="3"/>
  <c r="P10" i="3"/>
  <c r="O10" i="3"/>
  <c r="F10" i="3"/>
  <c r="C10" i="3"/>
  <c r="B10" i="3"/>
  <c r="I10" i="3"/>
  <c r="H10" i="3"/>
  <c r="G10" i="3"/>
</calcChain>
</file>

<file path=xl/sharedStrings.xml><?xml version="1.0" encoding="utf-8"?>
<sst xmlns="http://schemas.openxmlformats.org/spreadsheetml/2006/main" count="5611" uniqueCount="999">
  <si>
    <t>序号</t>
  </si>
  <si>
    <t>按日</t>
  </si>
  <si>
    <t>线索总量</t>
  </si>
  <si>
    <t>应回访线索量</t>
  </si>
  <si>
    <t>按时回访量</t>
  </si>
  <si>
    <t>超时回访量</t>
  </si>
  <si>
    <t>有效线索量</t>
  </si>
  <si>
    <t>到店量</t>
  </si>
  <si>
    <t>订单量</t>
  </si>
  <si>
    <t>成交量</t>
  </si>
  <si>
    <t>总成交量</t>
  </si>
  <si>
    <t>战败线索量</t>
  </si>
  <si>
    <t>线索有效率</t>
  </si>
  <si>
    <t>有效线索到店率</t>
  </si>
  <si>
    <t>有效线索下订率</t>
  </si>
  <si>
    <t>到店成交率</t>
  </si>
  <si>
    <t>有效线索转化率</t>
  </si>
  <si>
    <t>线索到店率</t>
  </si>
  <si>
    <t>线索下订率</t>
  </si>
  <si>
    <t>线索转化率</t>
  </si>
  <si>
    <t>数营成交贡献度</t>
  </si>
  <si>
    <t>1</t>
  </si>
  <si>
    <t>合计</t>
  </si>
  <si>
    <t>70.23%</t>
  </si>
  <si>
    <t>9.93%</t>
  </si>
  <si>
    <t>3.96%</t>
  </si>
  <si>
    <t>31.92%</t>
  </si>
  <si>
    <t>3.17%</t>
  </si>
  <si>
    <t>6.98%</t>
  </si>
  <si>
    <t>2.78%</t>
  </si>
  <si>
    <t>2.23%</t>
  </si>
  <si>
    <t>52.71%</t>
  </si>
  <si>
    <t>2</t>
  </si>
  <si>
    <t>60.38%</t>
  </si>
  <si>
    <t>5.35%</t>
  </si>
  <si>
    <t>0.64%</t>
  </si>
  <si>
    <t>3.51%</t>
  </si>
  <si>
    <t>0.19%</t>
  </si>
  <si>
    <t>3.23%</t>
  </si>
  <si>
    <t>0.39%</t>
  </si>
  <si>
    <t>0.11%</t>
  </si>
  <si>
    <t>10.69%</t>
  </si>
  <si>
    <t>3</t>
  </si>
  <si>
    <t>62.97%</t>
  </si>
  <si>
    <t>4.50%</t>
  </si>
  <si>
    <t>0.85%</t>
  </si>
  <si>
    <t>10.47%</t>
  </si>
  <si>
    <t>0.47%</t>
  </si>
  <si>
    <t>2.84%</t>
  </si>
  <si>
    <t>0.53%</t>
  </si>
  <si>
    <t>0.30%</t>
  </si>
  <si>
    <t>28.79%</t>
  </si>
  <si>
    <t>4</t>
  </si>
  <si>
    <t>63.16%</t>
  </si>
  <si>
    <t>5.10%</t>
  </si>
  <si>
    <t>0.79%</t>
  </si>
  <si>
    <t>5.39%</t>
  </si>
  <si>
    <t>0.28%</t>
  </si>
  <si>
    <t>3.22%</t>
  </si>
  <si>
    <t>0.50%</t>
  </si>
  <si>
    <t>0.17%</t>
  </si>
  <si>
    <t>18.34%</t>
  </si>
  <si>
    <t>5</t>
  </si>
  <si>
    <t>64.12%</t>
  </si>
  <si>
    <t>5.50%</t>
  </si>
  <si>
    <t>1.48%</t>
  </si>
  <si>
    <t>5.94%</t>
  </si>
  <si>
    <t>0.33%</t>
  </si>
  <si>
    <t>3.52%</t>
  </si>
  <si>
    <t>0.95%</t>
  </si>
  <si>
    <t>0.21%</t>
  </si>
  <si>
    <t>19.88%</t>
  </si>
  <si>
    <t>6</t>
  </si>
  <si>
    <t>64.83%</t>
  </si>
  <si>
    <t>9.26%</t>
  </si>
  <si>
    <t>1.13%</t>
  </si>
  <si>
    <t>3.45%</t>
  </si>
  <si>
    <t>0.32%</t>
  </si>
  <si>
    <t>6.00%</t>
  </si>
  <si>
    <t>0.73%</t>
  </si>
  <si>
    <t>23.27%</t>
  </si>
  <si>
    <t>7</t>
  </si>
  <si>
    <t>64.76%</t>
  </si>
  <si>
    <t>10.53%</t>
  </si>
  <si>
    <t>1.16%</t>
  </si>
  <si>
    <t>2.64%</t>
  </si>
  <si>
    <t>6.82%</t>
  </si>
  <si>
    <t>0.75%</t>
  </si>
  <si>
    <t>0.18%</t>
  </si>
  <si>
    <t>28.72%</t>
  </si>
  <si>
    <t>8</t>
  </si>
  <si>
    <t>64.80%</t>
  </si>
  <si>
    <t>7.38%</t>
  </si>
  <si>
    <t>1.88%</t>
  </si>
  <si>
    <t>4.30%</t>
  </si>
  <si>
    <t>4.78%</t>
  </si>
  <si>
    <t>1.22%</t>
  </si>
  <si>
    <t>22.83%</t>
  </si>
  <si>
    <t>9</t>
  </si>
  <si>
    <t>63.59%</t>
  </si>
  <si>
    <t>6.37%</t>
  </si>
  <si>
    <t>1.47%</t>
  </si>
  <si>
    <t>5.56%</t>
  </si>
  <si>
    <t>0.35%</t>
  </si>
  <si>
    <t>4.05%</t>
  </si>
  <si>
    <t>0.94%</t>
  </si>
  <si>
    <t>0.23%</t>
  </si>
  <si>
    <t>21.62%</t>
  </si>
  <si>
    <t>10</t>
  </si>
  <si>
    <t>65.14%</t>
  </si>
  <si>
    <t>6.72%</t>
  </si>
  <si>
    <t>1.59%</t>
  </si>
  <si>
    <t>9.19%</t>
  </si>
  <si>
    <t>0.62%</t>
  </si>
  <si>
    <t>4.38%</t>
  </si>
  <si>
    <t>1.03%</t>
  </si>
  <si>
    <t>0.40%</t>
  </si>
  <si>
    <t>30.16%</t>
  </si>
  <si>
    <t>11</t>
  </si>
  <si>
    <t>67.40%</t>
  </si>
  <si>
    <t>6.36%</t>
  </si>
  <si>
    <t>1.56%</t>
  </si>
  <si>
    <t>11.44%</t>
  </si>
  <si>
    <t>4.29%</t>
  </si>
  <si>
    <t>1.05%</t>
  </si>
  <si>
    <t>0.49%</t>
  </si>
  <si>
    <t>34.36%</t>
  </si>
  <si>
    <t>12</t>
  </si>
  <si>
    <t>65.98%</t>
  </si>
  <si>
    <t>7.46%</t>
  </si>
  <si>
    <t>1.65%</t>
  </si>
  <si>
    <t>10.45%</t>
  </si>
  <si>
    <t>0.78%</t>
  </si>
  <si>
    <t>4.92%</t>
  </si>
  <si>
    <t>1.09%</t>
  </si>
  <si>
    <t>0.51%</t>
  </si>
  <si>
    <t>31.84%</t>
  </si>
  <si>
    <t>13</t>
  </si>
  <si>
    <t>67.84%</t>
  </si>
  <si>
    <t>9.21%</t>
  </si>
  <si>
    <t>1.45%</t>
  </si>
  <si>
    <t>10.50%</t>
  </si>
  <si>
    <t>0.97%</t>
  </si>
  <si>
    <t>6.25%</t>
  </si>
  <si>
    <t>0.98%</t>
  </si>
  <si>
    <t>0.66%</t>
  </si>
  <si>
    <t>37.71%</t>
  </si>
  <si>
    <t>14</t>
  </si>
  <si>
    <t>67.44%</t>
  </si>
  <si>
    <t>10.99%</t>
  </si>
  <si>
    <t>2.07%</t>
  </si>
  <si>
    <t>8.76%</t>
  </si>
  <si>
    <t>0.96%</t>
  </si>
  <si>
    <t>7.41%</t>
  </si>
  <si>
    <t>1.40%</t>
  </si>
  <si>
    <t>0.65%</t>
  </si>
  <si>
    <t>43.35%</t>
  </si>
  <si>
    <t>15</t>
  </si>
  <si>
    <t>68.39%</t>
  </si>
  <si>
    <t>8.52%</t>
  </si>
  <si>
    <t>3.10%</t>
  </si>
  <si>
    <t>15.45%</t>
  </si>
  <si>
    <t>1.32%</t>
  </si>
  <si>
    <t>5.82%</t>
  </si>
  <si>
    <t>2.12%</t>
  </si>
  <si>
    <t>0.90%</t>
  </si>
  <si>
    <t>40.54%</t>
  </si>
  <si>
    <t>16</t>
  </si>
  <si>
    <t>68.72%</t>
  </si>
  <si>
    <t>7.74%</t>
  </si>
  <si>
    <t>2.50%</t>
  </si>
  <si>
    <t>19.99%</t>
  </si>
  <si>
    <t>1.55%</t>
  </si>
  <si>
    <t>5.32%</t>
  </si>
  <si>
    <t>1.72%</t>
  </si>
  <si>
    <t>1.06%</t>
  </si>
  <si>
    <t>47.21%</t>
  </si>
  <si>
    <t>17</t>
  </si>
  <si>
    <t>68.82%</t>
  </si>
  <si>
    <t>2.16%</t>
  </si>
  <si>
    <t>20.39%</t>
  </si>
  <si>
    <t>1.50%</t>
  </si>
  <si>
    <t>5.08%</t>
  </si>
  <si>
    <t>40.65%</t>
  </si>
  <si>
    <t>18</t>
  </si>
  <si>
    <t>69.11%</t>
  </si>
  <si>
    <t>8.33%</t>
  </si>
  <si>
    <t>1.38%</t>
  </si>
  <si>
    <t>13.02%</t>
  </si>
  <si>
    <t>1.08%</t>
  </si>
  <si>
    <t>5.76%</t>
  </si>
  <si>
    <t>37.09%</t>
  </si>
  <si>
    <t>19</t>
  </si>
  <si>
    <t>69.00%</t>
  </si>
  <si>
    <t>8.02%</t>
  </si>
  <si>
    <t>0.84%</t>
  </si>
  <si>
    <t>4.39%</t>
  </si>
  <si>
    <t>5.53%</t>
  </si>
  <si>
    <t>0.58%</t>
  </si>
  <si>
    <t>0.24%</t>
  </si>
  <si>
    <t>23.87%</t>
  </si>
  <si>
    <t>20</t>
  </si>
  <si>
    <t>71.22%</t>
  </si>
  <si>
    <t>14.44%</t>
  </si>
  <si>
    <t>8.19%</t>
  </si>
  <si>
    <t>21.92%</t>
  </si>
  <si>
    <t>3.16%</t>
  </si>
  <si>
    <t>10.28%</t>
  </si>
  <si>
    <t>5.83%</t>
  </si>
  <si>
    <t>2.25%</t>
  </si>
  <si>
    <t>54.59%</t>
  </si>
  <si>
    <t>21</t>
  </si>
  <si>
    <t>71.86%</t>
  </si>
  <si>
    <t>12.82%</t>
  </si>
  <si>
    <t>21.02%</t>
  </si>
  <si>
    <t>2.70%</t>
  </si>
  <si>
    <t>3.67%</t>
  </si>
  <si>
    <t>1.94%</t>
  </si>
  <si>
    <t>52.87%</t>
  </si>
  <si>
    <t>22</t>
  </si>
  <si>
    <t>72.03%</t>
  </si>
  <si>
    <t>11.82%</t>
  </si>
  <si>
    <t>39.20%</t>
  </si>
  <si>
    <t>4.63%</t>
  </si>
  <si>
    <t>8.51%</t>
  </si>
  <si>
    <t>5.57%</t>
  </si>
  <si>
    <t>3.34%</t>
  </si>
  <si>
    <t>56.61%</t>
  </si>
  <si>
    <t>23</t>
  </si>
  <si>
    <t>73.46%</t>
  </si>
  <si>
    <t>11.23%</t>
  </si>
  <si>
    <t>6.63%</t>
  </si>
  <si>
    <t>43.13%</t>
  </si>
  <si>
    <t>4.84%</t>
  </si>
  <si>
    <t>8.25%</t>
  </si>
  <si>
    <t>4.87%</t>
  </si>
  <si>
    <t>3.56%</t>
  </si>
  <si>
    <t>60.45%</t>
  </si>
  <si>
    <t>24</t>
  </si>
  <si>
    <t>74.06%</t>
  </si>
  <si>
    <t>12.80%</t>
  </si>
  <si>
    <t>6.43%</t>
  </si>
  <si>
    <t>36.74%</t>
  </si>
  <si>
    <t>4.70%</t>
  </si>
  <si>
    <t>9.48%</t>
  </si>
  <si>
    <t>4.76%</t>
  </si>
  <si>
    <t>3.48%</t>
  </si>
  <si>
    <t>55.63%</t>
  </si>
  <si>
    <t>25</t>
  </si>
  <si>
    <t>73.88%</t>
  </si>
  <si>
    <t>11.63%</t>
  </si>
  <si>
    <t>5.01%</t>
  </si>
  <si>
    <t>44.33%</t>
  </si>
  <si>
    <t>5.16%</t>
  </si>
  <si>
    <t>8.59%</t>
  </si>
  <si>
    <t>3.70%</t>
  </si>
  <si>
    <t>3.81%</t>
  </si>
  <si>
    <t>59.05%</t>
  </si>
  <si>
    <t>26</t>
  </si>
  <si>
    <t>75.27%</t>
  </si>
  <si>
    <t>13.38%</t>
  </si>
  <si>
    <t>32.72%</t>
  </si>
  <si>
    <t>10.07%</t>
  </si>
  <si>
    <t>4.06%</t>
  </si>
  <si>
    <t>3.30%</t>
  </si>
  <si>
    <t>57.33%</t>
  </si>
  <si>
    <t>27</t>
  </si>
  <si>
    <t>74.97%</t>
  </si>
  <si>
    <t>14.18%</t>
  </si>
  <si>
    <t>5.15%</t>
  </si>
  <si>
    <t>23.03%</t>
  </si>
  <si>
    <t>3.26%</t>
  </si>
  <si>
    <t>10.63%</t>
  </si>
  <si>
    <t>3.86%</t>
  </si>
  <si>
    <t>2.45%</t>
  </si>
  <si>
    <t>57.26%</t>
  </si>
  <si>
    <t>28</t>
  </si>
  <si>
    <t>76.82%</t>
  </si>
  <si>
    <t>17.47%</t>
  </si>
  <si>
    <t>7.47%</t>
  </si>
  <si>
    <t>21.46%</t>
  </si>
  <si>
    <t>3.75%</t>
  </si>
  <si>
    <t>13.42%</t>
  </si>
  <si>
    <t>5.74%</t>
  </si>
  <si>
    <t>2.88%</t>
  </si>
  <si>
    <t>61.16%</t>
  </si>
  <si>
    <t>29</t>
  </si>
  <si>
    <t>77.63%</t>
  </si>
  <si>
    <t>11.24%</t>
  </si>
  <si>
    <t>6.59%</t>
  </si>
  <si>
    <t>53.65%</t>
  </si>
  <si>
    <t>6.03%</t>
  </si>
  <si>
    <t>8.73%</t>
  </si>
  <si>
    <t>5.12%</t>
  </si>
  <si>
    <t>4.68%</t>
  </si>
  <si>
    <t>60.99%</t>
  </si>
  <si>
    <t>30</t>
  </si>
  <si>
    <t>79.70%</t>
  </si>
  <si>
    <t>10.37%</t>
  </si>
  <si>
    <t>7.49%</t>
  </si>
  <si>
    <t>80.84%</t>
  </si>
  <si>
    <t>8.39%</t>
  </si>
  <si>
    <t>8.27%</t>
  </si>
  <si>
    <t>5.97%</t>
  </si>
  <si>
    <t>6.68%</t>
  </si>
  <si>
    <t>61.90%</t>
  </si>
  <si>
    <t>31</t>
  </si>
  <si>
    <t>80.92%</t>
  </si>
  <si>
    <t>10.43%</t>
  </si>
  <si>
    <t>111.53%</t>
  </si>
  <si>
    <t>11.64%</t>
  </si>
  <si>
    <t>8.44%</t>
  </si>
  <si>
    <t>9.42%</t>
  </si>
  <si>
    <t>59.79%</t>
  </si>
  <si>
    <t>32</t>
  </si>
  <si>
    <t>82.80%</t>
  </si>
  <si>
    <t>10.81%</t>
  </si>
  <si>
    <t>7.28%</t>
  </si>
  <si>
    <t>125.83%</t>
  </si>
  <si>
    <t>13.60%</t>
  </si>
  <si>
    <t>8.95%</t>
  </si>
  <si>
    <t>6.02%</t>
  </si>
  <si>
    <t>11.26%</t>
  </si>
  <si>
    <t>50.83%</t>
  </si>
  <si>
    <t>今日</t>
  </si>
  <si>
    <t>日报日期</t>
  </si>
  <si>
    <t>上期</t>
  </si>
  <si>
    <t>去年同期</t>
  </si>
  <si>
    <t>时间进度</t>
  </si>
  <si>
    <t>年份</t>
  </si>
  <si>
    <t>月份</t>
  </si>
  <si>
    <t>日</t>
  </si>
  <si>
    <t>当月首日</t>
  </si>
  <si>
    <t>日期</t>
  </si>
  <si>
    <t>N7</t>
  </si>
  <si>
    <t>N6</t>
  </si>
  <si>
    <t>天籁·鸿蒙座舱</t>
  </si>
  <si>
    <t>NX8</t>
  </si>
  <si>
    <t>上期日期</t>
  </si>
  <si>
    <t>本期日期</t>
  </si>
  <si>
    <t>上期实绩</t>
  </si>
  <si>
    <t>本期实绩</t>
  </si>
  <si>
    <t>上期累计实绩</t>
  </si>
  <si>
    <t>本期累计实绩</t>
  </si>
  <si>
    <t>环比</t>
  </si>
  <si>
    <t>累计环比</t>
  </si>
  <si>
    <t>区域</t>
  </si>
  <si>
    <t>意向基准车系</t>
  </si>
  <si>
    <t>线索开发</t>
  </si>
  <si>
    <t>线索跟进</t>
  </si>
  <si>
    <t>现存线索</t>
  </si>
  <si>
    <t>异常线索</t>
  </si>
  <si>
    <t>到店转化</t>
  </si>
  <si>
    <t>试驾转化</t>
  </si>
  <si>
    <t>订单转化</t>
  </si>
  <si>
    <t>满意度</t>
  </si>
  <si>
    <t>新增线索量</t>
  </si>
  <si>
    <t>有效线索率</t>
  </si>
  <si>
    <t>门店线索总量</t>
  </si>
  <si>
    <t>门店线索占比</t>
  </si>
  <si>
    <t>应首访量</t>
  </si>
  <si>
    <t>按时首访量</t>
  </si>
  <si>
    <t>按时首访率</t>
  </si>
  <si>
    <t>应跟进任务量</t>
  </si>
  <si>
    <t>实际跟进任务量</t>
  </si>
  <si>
    <t>按时跟进任务量</t>
  </si>
  <si>
    <t>线索按时跟进率</t>
  </si>
  <si>
    <t>超期未回访数</t>
  </si>
  <si>
    <t>现存线索量</t>
  </si>
  <si>
    <t>现存线索量H级数</t>
  </si>
  <si>
    <t>现存线索量H级占比</t>
  </si>
  <si>
    <t>现存线索企微绑定数</t>
  </si>
  <si>
    <t>现存线索企微绑定率</t>
  </si>
  <si>
    <t>战败率</t>
  </si>
  <si>
    <t>休眠线索量</t>
  </si>
  <si>
    <t>休眠率</t>
  </si>
  <si>
    <t>暂败线索量</t>
  </si>
  <si>
    <t>暂败率</t>
  </si>
  <si>
    <t>新增到店量</t>
  </si>
  <si>
    <t>新增到店率</t>
  </si>
  <si>
    <t>再次来店量</t>
  </si>
  <si>
    <t>再次来店占比</t>
  </si>
  <si>
    <t>到店企微绑定数</t>
  </si>
  <si>
    <t>到店企微绑定率</t>
  </si>
  <si>
    <t>线索排程量</t>
  </si>
  <si>
    <t>线索排程率</t>
  </si>
  <si>
    <t>排程试驾量</t>
  </si>
  <si>
    <t>排程试驾率</t>
  </si>
  <si>
    <t>试驾量</t>
  </si>
  <si>
    <t>有效试驾量</t>
  </si>
  <si>
    <t>线索试驾率</t>
  </si>
  <si>
    <t>到店线索试驾率</t>
  </si>
  <si>
    <t>试驾24H回访率</t>
  </si>
  <si>
    <t>试驾24H店长跟进占比</t>
  </si>
  <si>
    <t>试驾24H店长跟进占比(虚拟号)</t>
  </si>
  <si>
    <t>新增小订量</t>
  </si>
  <si>
    <t>小订量</t>
  </si>
  <si>
    <t>新增大定量</t>
  </si>
  <si>
    <t>大定量</t>
  </si>
  <si>
    <t>锁单量</t>
  </si>
  <si>
    <t>交车量</t>
  </si>
  <si>
    <t>线索-大定率</t>
  </si>
  <si>
    <t>线索-锁单率</t>
  </si>
  <si>
    <t>线索-交车率</t>
  </si>
  <si>
    <t>试驾-锁单率</t>
  </si>
  <si>
    <t>销售有效客诉量</t>
  </si>
  <si>
    <t>低满数</t>
  </si>
  <si>
    <t>试驾NPS值</t>
  </si>
  <si>
    <t>订单NPS值</t>
  </si>
  <si>
    <t>交付NPS值</t>
  </si>
  <si>
    <t>全国</t>
  </si>
  <si>
    <t>0.0%</t>
  </si>
  <si>
    <t>-</t>
  </si>
  <si>
    <t>2026款探陆</t>
  </si>
  <si>
    <t>探陆</t>
  </si>
  <si>
    <t>72.86%</t>
  </si>
  <si>
    <t>5.51%</t>
  </si>
  <si>
    <t>2.43%</t>
  </si>
  <si>
    <t>30.03%</t>
  </si>
  <si>
    <t>1.66%</t>
  </si>
  <si>
    <t>4.02%</t>
  </si>
  <si>
    <t>1.77%</t>
  </si>
  <si>
    <t>1.21%</t>
  </si>
  <si>
    <t>30.07%</t>
  </si>
  <si>
    <t>61.99%</t>
  </si>
  <si>
    <t>3.76%</t>
  </si>
  <si>
    <t>1.33%</t>
  </si>
  <si>
    <t>0.05%</t>
  </si>
  <si>
    <t>2.33%</t>
  </si>
  <si>
    <t>0.03%</t>
  </si>
  <si>
    <t>2.09%</t>
  </si>
  <si>
    <t>62.55%</t>
  </si>
  <si>
    <t>3.11%</t>
  </si>
  <si>
    <t>0.70%</t>
  </si>
  <si>
    <t>5.47%</t>
  </si>
  <si>
    <t>1.95%</t>
  </si>
  <si>
    <t>0.44%</t>
  </si>
  <si>
    <t>6.51%</t>
  </si>
  <si>
    <t>63.75%</t>
  </si>
  <si>
    <t>3.47%</t>
  </si>
  <si>
    <t>4.36%</t>
  </si>
  <si>
    <t>0.15%</t>
  </si>
  <si>
    <t>2.21%</t>
  </si>
  <si>
    <t>0.10%</t>
  </si>
  <si>
    <t>7.58%</t>
  </si>
  <si>
    <t>64.51%</t>
  </si>
  <si>
    <t>-0.51%</t>
  </si>
  <si>
    <t>-0.02%</t>
  </si>
  <si>
    <t>2.37%</t>
  </si>
  <si>
    <t>-0.01%</t>
  </si>
  <si>
    <t>-0.86%</t>
  </si>
  <si>
    <t>3.69%</t>
  </si>
  <si>
    <t>-3.05%</t>
  </si>
  <si>
    <t>-0.11%</t>
  </si>
  <si>
    <t>2.41%</t>
  </si>
  <si>
    <t>-0.07%</t>
  </si>
  <si>
    <t>-4.56%</t>
  </si>
  <si>
    <t>64.48%</t>
  </si>
  <si>
    <t>5.43%</t>
  </si>
  <si>
    <t>0.46%</t>
  </si>
  <si>
    <t>3.50%</t>
  </si>
  <si>
    <t>0.29%</t>
  </si>
  <si>
    <t>10.22%</t>
  </si>
  <si>
    <t>64.77%</t>
  </si>
  <si>
    <t>6.83%</t>
  </si>
  <si>
    <t>0.52%</t>
  </si>
  <si>
    <t>1.63%</t>
  </si>
  <si>
    <t>4.43%</t>
  </si>
  <si>
    <t>0.07%</t>
  </si>
  <si>
    <t>5.70%</t>
  </si>
  <si>
    <t>66.44%</t>
  </si>
  <si>
    <t>5.00%</t>
  </si>
  <si>
    <t>0.76%</t>
  </si>
  <si>
    <t>-3.70%</t>
  </si>
  <si>
    <t>-0.18%</t>
  </si>
  <si>
    <t>3.32%</t>
  </si>
  <si>
    <t>-0.12%</t>
  </si>
  <si>
    <t>-7.21%</t>
  </si>
  <si>
    <t>65.71%</t>
  </si>
  <si>
    <t>4.61%</t>
  </si>
  <si>
    <t>2.48%</t>
  </si>
  <si>
    <t>3.03%</t>
  </si>
  <si>
    <t>0.41%</t>
  </si>
  <si>
    <t>0.08%</t>
  </si>
  <si>
    <t>5.26%</t>
  </si>
  <si>
    <t>66.81%</t>
  </si>
  <si>
    <t>3.87%</t>
  </si>
  <si>
    <t>4.69%</t>
  </si>
  <si>
    <t>2.59%</t>
  </si>
  <si>
    <t>0.43%</t>
  </si>
  <si>
    <t>0.12%</t>
  </si>
  <si>
    <t>66.38%</t>
  </si>
  <si>
    <t>4.25%</t>
  </si>
  <si>
    <t>0.89%</t>
  </si>
  <si>
    <t>-3.90%</t>
  </si>
  <si>
    <t>-0.17%</t>
  </si>
  <si>
    <t>2.82%</t>
  </si>
  <si>
    <t>0.59%</t>
  </si>
  <si>
    <t>-9.38%</t>
  </si>
  <si>
    <t>66.82%</t>
  </si>
  <si>
    <t>4.93%</t>
  </si>
  <si>
    <t>1.28%</t>
  </si>
  <si>
    <t>3.05%</t>
  </si>
  <si>
    <t>0.86%</t>
  </si>
  <si>
    <t>7.52%</t>
  </si>
  <si>
    <t>67.49%</t>
  </si>
  <si>
    <t>5.88%</t>
  </si>
  <si>
    <t>3.18%</t>
  </si>
  <si>
    <t>3.97%</t>
  </si>
  <si>
    <t>0.13%</t>
  </si>
  <si>
    <t>8.06%</t>
  </si>
  <si>
    <t>68.21%</t>
  </si>
  <si>
    <t>7.31%</t>
  </si>
  <si>
    <t>1.01%</t>
  </si>
  <si>
    <t>2.19%</t>
  </si>
  <si>
    <t>0.16%</t>
  </si>
  <si>
    <t>4.99%</t>
  </si>
  <si>
    <t>0.69%</t>
  </si>
  <si>
    <t>7.54%</t>
  </si>
  <si>
    <t>68.45%</t>
  </si>
  <si>
    <t>5.21%</t>
  </si>
  <si>
    <t>1.53%</t>
  </si>
  <si>
    <t>-0.83%</t>
  </si>
  <si>
    <t>-0.04%</t>
  </si>
  <si>
    <t>-0.03%</t>
  </si>
  <si>
    <t>-1.56%</t>
  </si>
  <si>
    <t>68.67%</t>
  </si>
  <si>
    <t>6.13%</t>
  </si>
  <si>
    <t>2.39%</t>
  </si>
  <si>
    <t>7.13%</t>
  </si>
  <si>
    <t>4.21%</t>
  </si>
  <si>
    <t>1.64%</t>
  </si>
  <si>
    <t>14.41%</t>
  </si>
  <si>
    <t>69.98%</t>
  </si>
  <si>
    <t>6.32%</t>
  </si>
  <si>
    <t>2.77%</t>
  </si>
  <si>
    <t>5.85%</t>
  </si>
  <si>
    <t>0.37%</t>
  </si>
  <si>
    <t>4.42%</t>
  </si>
  <si>
    <t>0.26%</t>
  </si>
  <si>
    <t>13.17%</t>
  </si>
  <si>
    <t>71.80%</t>
  </si>
  <si>
    <t>5.92%</t>
  </si>
  <si>
    <t>18.78%</t>
  </si>
  <si>
    <t>1.11%</t>
  </si>
  <si>
    <t>1.78%</t>
  </si>
  <si>
    <t>0.80%</t>
  </si>
  <si>
    <t>25.43%</t>
  </si>
  <si>
    <t>72.22%</t>
  </si>
  <si>
    <t>7.30%</t>
  </si>
  <si>
    <t>7.55%</t>
  </si>
  <si>
    <t>0.55%</t>
  </si>
  <si>
    <t>5.28%</t>
  </si>
  <si>
    <t>1.20%</t>
  </si>
  <si>
    <t>26.79%</t>
  </si>
  <si>
    <t>72.92%</t>
  </si>
  <si>
    <t>6.85%</t>
  </si>
  <si>
    <t>1.52%</t>
  </si>
  <si>
    <t>19.11%</t>
  </si>
  <si>
    <t>73.68%</t>
  </si>
  <si>
    <t>7.37%</t>
  </si>
  <si>
    <t>2.03%</t>
  </si>
  <si>
    <t>23.91%</t>
  </si>
  <si>
    <t>75.33%</t>
  </si>
  <si>
    <t>7.63%</t>
  </si>
  <si>
    <t>16.95%</t>
  </si>
  <si>
    <t>1.29%</t>
  </si>
  <si>
    <t>5.75%</t>
  </si>
  <si>
    <t>40.52%</t>
  </si>
  <si>
    <t>75.25%</t>
  </si>
  <si>
    <t>8.96%</t>
  </si>
  <si>
    <t>4.73%</t>
  </si>
  <si>
    <t>11.95%</t>
  </si>
  <si>
    <t>1.07%</t>
  </si>
  <si>
    <t>6.75%</t>
  </si>
  <si>
    <t>0.81%</t>
  </si>
  <si>
    <t>39.83%</t>
  </si>
  <si>
    <t>73.89%</t>
  </si>
  <si>
    <t>7.89%</t>
  </si>
  <si>
    <t>6.40%</t>
  </si>
  <si>
    <t>23.48%</t>
  </si>
  <si>
    <t>1.85%</t>
  </si>
  <si>
    <t>1.37%</t>
  </si>
  <si>
    <t>51.10%</t>
  </si>
  <si>
    <t>76.91%</t>
  </si>
  <si>
    <t>5.46%</t>
  </si>
  <si>
    <t>3.88%</t>
  </si>
  <si>
    <t>61.15%</t>
  </si>
  <si>
    <t>4.20%</t>
  </si>
  <si>
    <t>2.99%</t>
  </si>
  <si>
    <t>2.57%</t>
  </si>
  <si>
    <t>59.28%</t>
  </si>
  <si>
    <t>79.13%</t>
  </si>
  <si>
    <t>7.04%</t>
  </si>
  <si>
    <t>4.00%</t>
  </si>
  <si>
    <t>29.36%</t>
  </si>
  <si>
    <t>31.33%</t>
  </si>
  <si>
    <t>80.42%</t>
  </si>
  <si>
    <t>6.80%</t>
  </si>
  <si>
    <t>3.27%</t>
  </si>
  <si>
    <t>29.23%</t>
  </si>
  <si>
    <t>1.99%</t>
  </si>
  <si>
    <t>2.63%</t>
  </si>
  <si>
    <t>1.60%</t>
  </si>
  <si>
    <t>26.75%</t>
  </si>
  <si>
    <t>84.22%</t>
  </si>
  <si>
    <t>6.01%</t>
  </si>
  <si>
    <t>2.47%</t>
  </si>
  <si>
    <t>25.62%</t>
  </si>
  <si>
    <t>1.54%</t>
  </si>
  <si>
    <t>5.06%</t>
  </si>
  <si>
    <t>2.08%</t>
  </si>
  <si>
    <t>1.30%</t>
  </si>
  <si>
    <t>38.92%</t>
  </si>
  <si>
    <t>87.46%</t>
  </si>
  <si>
    <t>5.36%</t>
  </si>
  <si>
    <t>4.03%</t>
  </si>
  <si>
    <t>70.43%</t>
  </si>
  <si>
    <t>3.77%</t>
  </si>
  <si>
    <t>41.66%</t>
  </si>
  <si>
    <t>87.96%</t>
  </si>
  <si>
    <t>10.16%</t>
  </si>
  <si>
    <t>10.94%</t>
  </si>
  <si>
    <t>149.60%</t>
  </si>
  <si>
    <t>15.20%</t>
  </si>
  <si>
    <t>8.93%</t>
  </si>
  <si>
    <t>9.62%</t>
  </si>
  <si>
    <t>13.37%</t>
  </si>
  <si>
    <t>35.53%</t>
  </si>
  <si>
    <t>63.84%</t>
  </si>
  <si>
    <t>4.49%</t>
  </si>
  <si>
    <t>0.93%</t>
  </si>
  <si>
    <t>22.60%</t>
  </si>
  <si>
    <t>1.02%</t>
  </si>
  <si>
    <t>2.87%</t>
  </si>
  <si>
    <t>10.56%</t>
  </si>
  <si>
    <t>33</t>
  </si>
  <si>
    <t>64.54%</t>
  </si>
  <si>
    <t>3.13%</t>
  </si>
  <si>
    <t>0.48%</t>
  </si>
  <si>
    <t>29.79%</t>
  </si>
  <si>
    <t>2.02%</t>
  </si>
  <si>
    <t>0.31%</t>
  </si>
  <si>
    <t>0.60%</t>
  </si>
  <si>
    <t>26.50%</t>
  </si>
  <si>
    <t>34</t>
  </si>
  <si>
    <t>64.52%</t>
  </si>
  <si>
    <t>1.57%</t>
  </si>
  <si>
    <t>23.77%</t>
  </si>
  <si>
    <t>26.06%</t>
  </si>
  <si>
    <t>35</t>
  </si>
  <si>
    <t>65.36%</t>
  </si>
  <si>
    <t>4.65%</t>
  </si>
  <si>
    <t>0.54%</t>
  </si>
  <si>
    <t>4.86%</t>
  </si>
  <si>
    <t>3.04%</t>
  </si>
  <si>
    <t>9.66%</t>
  </si>
  <si>
    <t>36</t>
  </si>
  <si>
    <t>5.79%</t>
  </si>
  <si>
    <t>0.67%</t>
  </si>
  <si>
    <t>3.80%</t>
  </si>
  <si>
    <t>16.52%</t>
  </si>
  <si>
    <t>37</t>
  </si>
  <si>
    <t>65.80%</t>
  </si>
  <si>
    <t>3.14%</t>
  </si>
  <si>
    <t>0.14%</t>
  </si>
  <si>
    <t>8.08%</t>
  </si>
  <si>
    <t>38</t>
  </si>
  <si>
    <t>66.59%</t>
  </si>
  <si>
    <t>7.02%</t>
  </si>
  <si>
    <t>0.25%</t>
  </si>
  <si>
    <t>2.34%</t>
  </si>
  <si>
    <t>39</t>
  </si>
  <si>
    <t>67.00%</t>
  </si>
  <si>
    <t>20.28%</t>
  </si>
  <si>
    <t>2.52%</t>
  </si>
  <si>
    <t>29.19%</t>
  </si>
  <si>
    <t>40</t>
  </si>
  <si>
    <t>14.29%</t>
  </si>
  <si>
    <t>0.57%</t>
  </si>
  <si>
    <t>0.38%</t>
  </si>
  <si>
    <t>17.33%</t>
  </si>
  <si>
    <t>41</t>
  </si>
  <si>
    <t>69.09%</t>
  </si>
  <si>
    <t>3.57%</t>
  </si>
  <si>
    <t>0.74%</t>
  </si>
  <si>
    <t>6.11%</t>
  </si>
  <si>
    <t>42</t>
  </si>
  <si>
    <t>70.38%</t>
  </si>
  <si>
    <t>4.18%</t>
  </si>
  <si>
    <t>4.64%</t>
  </si>
  <si>
    <t>2.94%</t>
  </si>
  <si>
    <t>12.15%</t>
  </si>
  <si>
    <t>43</t>
  </si>
  <si>
    <t>68.81%</t>
  </si>
  <si>
    <t>4.98%</t>
  </si>
  <si>
    <t>3.24%</t>
  </si>
  <si>
    <t>3.43%</t>
  </si>
  <si>
    <t>11.76%</t>
  </si>
  <si>
    <t>44</t>
  </si>
  <si>
    <t>69.70%</t>
  </si>
  <si>
    <t>4.58%</t>
  </si>
  <si>
    <t>3.19%</t>
  </si>
  <si>
    <t>45</t>
  </si>
  <si>
    <t>69.48%</t>
  </si>
  <si>
    <t>2.72%</t>
  </si>
  <si>
    <t>16.67%</t>
  </si>
  <si>
    <t>0.45%</t>
  </si>
  <si>
    <t>1.89%</t>
  </si>
  <si>
    <t>18.98%</t>
  </si>
  <si>
    <t>46</t>
  </si>
  <si>
    <t>69.83%</t>
  </si>
  <si>
    <t>1.14%</t>
  </si>
  <si>
    <t>11.79%</t>
  </si>
  <si>
    <t>19.78%</t>
  </si>
  <si>
    <t>47</t>
  </si>
  <si>
    <t>70.83%</t>
  </si>
  <si>
    <t>3.46%</t>
  </si>
  <si>
    <t>0.68%</t>
  </si>
  <si>
    <t>3.09%</t>
  </si>
  <si>
    <t>4.17%</t>
  </si>
  <si>
    <t>48</t>
  </si>
  <si>
    <t>72.00%</t>
  </si>
  <si>
    <t>1.96%</t>
  </si>
  <si>
    <t>1.41%</t>
  </si>
  <si>
    <t>10.84%</t>
  </si>
  <si>
    <t>49</t>
  </si>
  <si>
    <t>72.68%</t>
  </si>
  <si>
    <t>4.95%</t>
  </si>
  <si>
    <t>1.43%</t>
  </si>
  <si>
    <t>12.87%</t>
  </si>
  <si>
    <t>3.60%</t>
  </si>
  <si>
    <t>1.04%</t>
  </si>
  <si>
    <t>22.84%</t>
  </si>
  <si>
    <t>50</t>
  </si>
  <si>
    <t>6.10%</t>
  </si>
  <si>
    <t>1.00%</t>
  </si>
  <si>
    <t>6.47%</t>
  </si>
  <si>
    <t>4.48%</t>
  </si>
  <si>
    <t>20.52%</t>
  </si>
  <si>
    <t>51</t>
  </si>
  <si>
    <t>74.88%</t>
  </si>
  <si>
    <t>4.40%</t>
  </si>
  <si>
    <t>1.67%</t>
  </si>
  <si>
    <t>3.54%</t>
  </si>
  <si>
    <t>1.25%</t>
  </si>
  <si>
    <t>52</t>
  </si>
  <si>
    <t>75.65%</t>
  </si>
  <si>
    <t>4.66%</t>
  </si>
  <si>
    <t>18.46%</t>
  </si>
  <si>
    <t>3.53%</t>
  </si>
  <si>
    <t>26.22%</t>
  </si>
  <si>
    <t>53</t>
  </si>
  <si>
    <t>76.48%</t>
  </si>
  <si>
    <t>5.03%</t>
  </si>
  <si>
    <t>2.73%</t>
  </si>
  <si>
    <t>29.03%</t>
  </si>
  <si>
    <t>1.46%</t>
  </si>
  <si>
    <t>3.85%</t>
  </si>
  <si>
    <t>1.12%</t>
  </si>
  <si>
    <t>35.48%</t>
  </si>
  <si>
    <t>54</t>
  </si>
  <si>
    <t>77.51%</t>
  </si>
  <si>
    <t>4.90%</t>
  </si>
  <si>
    <t>41.15%</t>
  </si>
  <si>
    <t>2.04%</t>
  </si>
  <si>
    <t>50.09%</t>
  </si>
  <si>
    <t>55</t>
  </si>
  <si>
    <t>79.45%</t>
  </si>
  <si>
    <t>4.15%</t>
  </si>
  <si>
    <t>28.92%</t>
  </si>
  <si>
    <t>3.29%</t>
  </si>
  <si>
    <t>56</t>
  </si>
  <si>
    <t>80.66%</t>
  </si>
  <si>
    <t>4.23%</t>
  </si>
  <si>
    <t>19.31%</t>
  </si>
  <si>
    <t>0.82%</t>
  </si>
  <si>
    <t>3.41%</t>
  </si>
  <si>
    <t>25.32%</t>
  </si>
  <si>
    <t>57</t>
  </si>
  <si>
    <t>81.88%</t>
  </si>
  <si>
    <t>5.77%</t>
  </si>
  <si>
    <t>1.58%</t>
  </si>
  <si>
    <t>12.68%</t>
  </si>
  <si>
    <t>22.90%</t>
  </si>
  <si>
    <t>58</t>
  </si>
  <si>
    <t>82.40%</t>
  </si>
  <si>
    <t>4.19%</t>
  </si>
  <si>
    <t>40.51%</t>
  </si>
  <si>
    <t>1.82%</t>
  </si>
  <si>
    <t>33.47%</t>
  </si>
  <si>
    <t>59</t>
  </si>
  <si>
    <t>85.08%</t>
  </si>
  <si>
    <t>6.60%</t>
  </si>
  <si>
    <t>52.69%</t>
  </si>
  <si>
    <t>5.62%</t>
  </si>
  <si>
    <t>2.96%</t>
  </si>
  <si>
    <t>38.45%</t>
  </si>
  <si>
    <t>60</t>
  </si>
  <si>
    <t>87.59%</t>
  </si>
  <si>
    <t>69.47%</t>
  </si>
  <si>
    <t>4.01%</t>
  </si>
  <si>
    <t>37.74%</t>
  </si>
  <si>
    <t>61</t>
  </si>
  <si>
    <t>89.07%</t>
  </si>
  <si>
    <t>8.65%</t>
  </si>
  <si>
    <t>87.76%</t>
  </si>
  <si>
    <t>7.59%</t>
  </si>
  <si>
    <t>7.70%</t>
  </si>
  <si>
    <t>6.89%</t>
  </si>
  <si>
    <t>6.76%</t>
  </si>
  <si>
    <t>36.89%</t>
  </si>
  <si>
    <t>62</t>
  </si>
  <si>
    <t>91.96%</t>
  </si>
  <si>
    <t>8.24%</t>
  </si>
  <si>
    <t>7.10%</t>
  </si>
  <si>
    <t>110.32%</t>
  </si>
  <si>
    <t>9.09%</t>
  </si>
  <si>
    <t>6.53%</t>
  </si>
  <si>
    <t>8.36%</t>
  </si>
  <si>
    <t>38.98%</t>
  </si>
  <si>
    <t>76.38%</t>
  </si>
  <si>
    <t>2.20%</t>
  </si>
  <si>
    <t>63.07%</t>
  </si>
  <si>
    <t>4.53%</t>
  </si>
  <si>
    <t>0.34%</t>
  </si>
  <si>
    <t>0.00%</t>
  </si>
  <si>
    <t>2.86%</t>
  </si>
  <si>
    <t>66.63%</t>
  </si>
  <si>
    <t>-8.33%</t>
  </si>
  <si>
    <t>-0.38%</t>
  </si>
  <si>
    <t>63.35%</t>
  </si>
  <si>
    <t>12.50%</t>
  </si>
  <si>
    <t>3.07%</t>
  </si>
  <si>
    <t>1.42%</t>
  </si>
  <si>
    <t>66.75%</t>
  </si>
  <si>
    <t>2.06%</t>
  </si>
  <si>
    <t>18.18%</t>
  </si>
  <si>
    <t>68.19%</t>
  </si>
  <si>
    <t>-17.65%</t>
  </si>
  <si>
    <t>-0.49%</t>
  </si>
  <si>
    <t>-0.33%</t>
  </si>
  <si>
    <t>-1.05%</t>
  </si>
  <si>
    <t>70.04%</t>
  </si>
  <si>
    <t>3.83%</t>
  </si>
  <si>
    <t>11.54%</t>
  </si>
  <si>
    <t>2.69%</t>
  </si>
  <si>
    <t>68.35%</t>
  </si>
  <si>
    <t>5.29%</t>
  </si>
  <si>
    <t>3.61%</t>
  </si>
  <si>
    <t>6.39%</t>
  </si>
  <si>
    <t>4.47%</t>
  </si>
  <si>
    <t>0.20%</t>
  </si>
  <si>
    <t>68.10%</t>
  </si>
  <si>
    <t>3.82%</t>
  </si>
  <si>
    <t>8.70%</t>
  </si>
  <si>
    <t>2.60%</t>
  </si>
  <si>
    <t>68.12%</t>
  </si>
  <si>
    <t>2.13%</t>
  </si>
  <si>
    <t>-20.00%</t>
  </si>
  <si>
    <t>-0.43%</t>
  </si>
  <si>
    <t>-0.29%</t>
  </si>
  <si>
    <t>-1.14%</t>
  </si>
  <si>
    <t>66.37%</t>
  </si>
  <si>
    <t>2.36%</t>
  </si>
  <si>
    <t>0.22%</t>
  </si>
  <si>
    <t>68.71%</t>
  </si>
  <si>
    <t>2.85%</t>
  </si>
  <si>
    <t>69.52%</t>
  </si>
  <si>
    <t>2.54%</t>
  </si>
  <si>
    <t>-12.90%</t>
  </si>
  <si>
    <t>-0.23%</t>
  </si>
  <si>
    <t>-1.47%</t>
  </si>
  <si>
    <t>70.41%</t>
  </si>
  <si>
    <t>69.72%</t>
  </si>
  <si>
    <t>2.42%</t>
  </si>
  <si>
    <t>0.27%</t>
  </si>
  <si>
    <t>69.20%</t>
  </si>
  <si>
    <t>0.77%</t>
  </si>
  <si>
    <t>13.04%</t>
  </si>
  <si>
    <t>1.75%</t>
  </si>
  <si>
    <t>73.50%</t>
  </si>
  <si>
    <t>15.79%</t>
  </si>
  <si>
    <t>0.56%</t>
  </si>
  <si>
    <t>72.07%</t>
  </si>
  <si>
    <t>1.49%</t>
  </si>
  <si>
    <t>73.08%</t>
  </si>
  <si>
    <t>2.29%</t>
  </si>
  <si>
    <t>72.91%</t>
  </si>
  <si>
    <t>76.62%</t>
  </si>
  <si>
    <t>2.46%</t>
  </si>
  <si>
    <t>75.83%</t>
  </si>
  <si>
    <t>35.00%</t>
  </si>
  <si>
    <t>1.18%</t>
  </si>
  <si>
    <t>75.40%</t>
  </si>
  <si>
    <t>2.91%</t>
  </si>
  <si>
    <t>23.68%</t>
  </si>
  <si>
    <t>2.51%</t>
  </si>
  <si>
    <t>76.74%</t>
  </si>
  <si>
    <t>4.32%</t>
  </si>
  <si>
    <t>10.64%</t>
  </si>
  <si>
    <t>3.31%</t>
  </si>
  <si>
    <t>2.18%</t>
  </si>
  <si>
    <t>81.66%</t>
  </si>
  <si>
    <t>0.72%</t>
  </si>
  <si>
    <t>113.64%</t>
  </si>
  <si>
    <t>1.80%</t>
  </si>
  <si>
    <t>78.15%</t>
  </si>
  <si>
    <t>82.09%</t>
  </si>
  <si>
    <t>3.20%</t>
  </si>
  <si>
    <t>83.92%</t>
  </si>
  <si>
    <t>4.24%</t>
  </si>
  <si>
    <t>14.81%</t>
  </si>
  <si>
    <t>0.63%</t>
  </si>
  <si>
    <t>0.99%</t>
  </si>
  <si>
    <t>1.17%</t>
  </si>
  <si>
    <t>86.12%</t>
  </si>
  <si>
    <t>54.79%</t>
  </si>
  <si>
    <t>3.99%</t>
  </si>
  <si>
    <t>2.79%</t>
  </si>
  <si>
    <t>87.27%</t>
  </si>
  <si>
    <t>7.66%</t>
  </si>
  <si>
    <t>6.48%</t>
  </si>
  <si>
    <t>93.27%</t>
  </si>
  <si>
    <t>7.15%</t>
  </si>
  <si>
    <t>6.69%</t>
  </si>
  <si>
    <t>5.66%</t>
  </si>
  <si>
    <t>6.24%</t>
  </si>
  <si>
    <t>71.36%</t>
  </si>
  <si>
    <t>7.69%</t>
  </si>
  <si>
    <t>73.03%</t>
  </si>
  <si>
    <t>19.05%</t>
  </si>
  <si>
    <t>1.26%</t>
  </si>
  <si>
    <t>72.53%</t>
  </si>
  <si>
    <t>1.91%</t>
  </si>
  <si>
    <t>180.00%</t>
  </si>
  <si>
    <t>3.44%</t>
  </si>
  <si>
    <t>1.39%</t>
  </si>
  <si>
    <t>7.65%</t>
  </si>
  <si>
    <t>75.50%</t>
  </si>
  <si>
    <t>0.09%</t>
  </si>
  <si>
    <t>0.42%</t>
  </si>
  <si>
    <t>75.97%</t>
  </si>
  <si>
    <t>78.28%</t>
  </si>
  <si>
    <t>1.24%</t>
  </si>
  <si>
    <t>78.42%</t>
  </si>
  <si>
    <t>80.13%</t>
  </si>
  <si>
    <t>1.19%</t>
  </si>
  <si>
    <t>81.98%</t>
  </si>
  <si>
    <t>28.57%</t>
  </si>
  <si>
    <t>81.96%</t>
  </si>
  <si>
    <t>1.76%</t>
  </si>
  <si>
    <t>-26.32%</t>
  </si>
  <si>
    <t>-0.46%</t>
  </si>
  <si>
    <t>1.44%</t>
  </si>
  <si>
    <t>-1.91%</t>
  </si>
  <si>
    <t>84.40%</t>
  </si>
  <si>
    <t>11.11%</t>
  </si>
  <si>
    <t>83.45%</t>
  </si>
  <si>
    <t>18.75%</t>
  </si>
  <si>
    <t>82.77%</t>
  </si>
  <si>
    <t>1.36%</t>
  </si>
  <si>
    <t>88.90%</t>
  </si>
  <si>
    <t>1.81%</t>
  </si>
  <si>
    <t>1.61%</t>
  </si>
  <si>
    <t>91.03%</t>
  </si>
  <si>
    <t>10.71%</t>
  </si>
  <si>
    <t>1.10%</t>
  </si>
  <si>
    <t>93.10%</t>
  </si>
  <si>
    <t>1.31%</t>
  </si>
  <si>
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</si>
  <si>
    <t>车型</t>
    <phoneticPr fontId="5" type="noConversion"/>
  </si>
  <si>
    <t>华东一区</t>
    <phoneticPr fontId="5" type="noConversion"/>
  </si>
  <si>
    <t>华东二区</t>
    <phoneticPr fontId="5" type="noConversion"/>
  </si>
  <si>
    <t>华东三区</t>
    <phoneticPr fontId="5" type="noConversion"/>
  </si>
  <si>
    <t>华南区</t>
    <phoneticPr fontId="5" type="noConversion"/>
  </si>
  <si>
    <t>华中一区</t>
    <phoneticPr fontId="5" type="noConversion"/>
  </si>
  <si>
    <t>华中二区</t>
    <phoneticPr fontId="5" type="noConversion"/>
  </si>
  <si>
    <t>西南区</t>
    <phoneticPr fontId="5" type="noConversion"/>
  </si>
  <si>
    <t>西北区</t>
    <phoneticPr fontId="5" type="noConversion"/>
  </si>
  <si>
    <t>华北区</t>
    <phoneticPr fontId="5" type="noConversion"/>
  </si>
  <si>
    <t>东北区</t>
    <phoneticPr fontId="5" type="noConversion"/>
  </si>
  <si>
    <t>其它</t>
    <phoneticPr fontId="5" type="noConversion"/>
  </si>
  <si>
    <t>合计</t>
    <phoneticPr fontId="5" type="noConversion"/>
  </si>
  <si>
    <t>R1-自有平台</t>
    <phoneticPr fontId="5" type="noConversion"/>
  </si>
  <si>
    <t>R2-总部客服</t>
    <phoneticPr fontId="5" type="noConversion"/>
  </si>
  <si>
    <t>R3-天网行动</t>
    <phoneticPr fontId="5" type="noConversion"/>
  </si>
  <si>
    <t>R4-媒体专案</t>
    <phoneticPr fontId="5" type="noConversion"/>
  </si>
  <si>
    <t>R5-专营店自建</t>
    <phoneticPr fontId="5" type="noConversion"/>
  </si>
  <si>
    <t>R6-1总部新媒体</t>
    <phoneticPr fontId="5" type="noConversion"/>
  </si>
  <si>
    <t>R8-线下活动</t>
    <phoneticPr fontId="5" type="noConversion"/>
  </si>
  <si>
    <t>R9-保客推荐</t>
    <phoneticPr fontId="5" type="noConversion"/>
  </si>
  <si>
    <t>R6-2经销商新媒体</t>
    <phoneticPr fontId="5" type="noConversion"/>
  </si>
  <si>
    <t>R6-3总部自媒体</t>
    <phoneticPr fontId="5" type="noConversion"/>
  </si>
  <si>
    <t>N7</t>
    <phoneticPr fontId="5" type="noConversion"/>
  </si>
  <si>
    <t>N6</t>
    <phoneticPr fontId="5" type="noConversion"/>
  </si>
  <si>
    <t>天籁·鸿蒙座舱</t>
    <phoneticPr fontId="5" type="noConversion"/>
  </si>
  <si>
    <t>2026款探陆</t>
    <phoneticPr fontId="5" type="noConversion"/>
  </si>
  <si>
    <t>NX8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</si>
</sst>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m/d;@"/>
    <numFmt numFmtId="177" formatCode="0.0%"/>
    <numFmt numFmtId="178" formatCode="[$-F800]dddd\,\ mmmm\ dd\,\ yyyy"/>
    <numFmt numFmtId="179" formatCode="0_ "/>
    <numFmt numFmtId="180" formatCode="0.0_ "/>
    <numFmt numFmtId="181" formatCode="#0.0%"/>
    <numFmt numFmtId="182" formatCode="#0.00%"/>
    <numFmt numFmtId="183" formatCode="#0"/>
  </numFmts>
  <fonts count="21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i/>
      <u/>
      <sz val="11"/>
      <color rgb="FFFF0000"/>
      <name val="等线"/>
      <family val="3"/>
      <charset val="134"/>
      <scheme val="minor"/>
    </font>
    <font>
      <sz val="11"/>
      <color theme="1" tint="0.34998626667073579"/>
      <name val="Arial"/>
      <family val="2"/>
    </font>
    <font>
      <sz val="11"/>
      <color rgb="FF000000"/>
      <name val="等线"/>
      <family val="3"/>
      <charset val="134"/>
      <scheme val="minor"/>
    </font>
    <font>
      <sz val="11"/>
      <color indexed="8"/>
      <name val="等线"/>
      <family val="2"/>
      <scheme val="minor"/>
    </font>
    <font>
      <sz val="11"/>
      <color indexed="8"/>
      <name val="simsun"/>
      <charset val="134"/>
    </font>
    <font>
      <b/>
      <sz val="11"/>
      <color indexed="8"/>
      <name val="simsun"/>
      <charset val="134"/>
    </font>
    <font>
      <sz val="11"/>
      <color indexed="8"/>
      <name val="simsun"/>
      <charset val="134"/>
    </font>
    <font>
      <b/>
      <sz val="10"/>
      <color rgb="FF000333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b/>
      <sz val="9"/>
      <color rgb="FF000000"/>
      <name val="微软雅黑"/>
      <family val="2"/>
      <charset val="134"/>
    </font>
    <font>
      <sz val="9"/>
      <color rgb="FF333333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11"/>
      <color indexed="8"/>
      <name val="simsun"/>
      <charset val="134"/>
    </font>
    <font>
      <sz val="11"/>
      <color indexed="8"/>
      <name val="simsun"/>
      <charset val="134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7">
    <xf numFmtId="0" fontId="0" fillId="0" borderId="0"/>
    <xf numFmtId="9" fontId="6" fillId="0" borderId="0">
      <alignment vertical="center"/>
    </xf>
    <xf numFmtId="9" fontId="4" fillId="0" borderId="0">
      <alignment vertical="center"/>
    </xf>
    <xf numFmtId="9" fontId="6" fillId="0" borderId="0">
      <alignment vertical="center"/>
    </xf>
    <xf numFmtId="9" fontId="6" fillId="0" borderId="0">
      <alignment vertical="center"/>
    </xf>
    <xf numFmtId="9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" fillId="0" borderId="0"/>
    <xf numFmtId="0" fontId="6" fillId="0" borderId="0"/>
    <xf numFmtId="0" fontId="6" fillId="0" borderId="0">
      <alignment vertical="center"/>
    </xf>
    <xf numFmtId="178" fontId="6" fillId="0" borderId="0">
      <alignment vertical="center"/>
    </xf>
    <xf numFmtId="0" fontId="3" fillId="0" borderId="0"/>
    <xf numFmtId="0" fontId="4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</cellStyleXfs>
  <cellXfs count="62">
    <xf numFmtId="0" fontId="0" fillId="0" borderId="0" xfId="0"/>
    <xf numFmtId="0" fontId="6" fillId="2" borderId="1" xfId="0" applyFont="1" applyFill="1" applyBorder="1"/>
    <xf numFmtId="31" fontId="0" fillId="2" borderId="2" xfId="0" applyNumberFormat="1" applyFill="1" applyBorder="1"/>
    <xf numFmtId="0" fontId="6" fillId="2" borderId="3" xfId="0" applyFont="1" applyFill="1" applyBorder="1"/>
    <xf numFmtId="10" fontId="0" fillId="2" borderId="4" xfId="1" applyNumberFormat="1" applyFont="1" applyFill="1" applyBorder="1" applyAlignment="1"/>
    <xf numFmtId="0" fontId="0" fillId="2" borderId="4" xfId="0" applyFill="1" applyBorder="1"/>
    <xf numFmtId="0" fontId="6" fillId="2" borderId="5" xfId="0" applyFont="1" applyFill="1" applyBorder="1"/>
    <xf numFmtId="0" fontId="0" fillId="2" borderId="6" xfId="0" applyFill="1" applyBorder="1"/>
    <xf numFmtId="31" fontId="7" fillId="2" borderId="2" xfId="0" applyNumberFormat="1" applyFont="1" applyFill="1" applyBorder="1"/>
    <xf numFmtId="0" fontId="9" fillId="0" borderId="8" xfId="0" applyFont="1" applyBorder="1" applyAlignment="1">
      <alignment horizontal="center" vertical="center"/>
    </xf>
    <xf numFmtId="0" fontId="2" fillId="0" borderId="0" xfId="0" applyFont="1"/>
    <xf numFmtId="31" fontId="7" fillId="2" borderId="9" xfId="0" applyNumberFormat="1" applyFont="1" applyFill="1" applyBorder="1"/>
    <xf numFmtId="0" fontId="2" fillId="2" borderId="5" xfId="0" applyFont="1" applyFill="1" applyBorder="1"/>
    <xf numFmtId="14" fontId="0" fillId="0" borderId="6" xfId="0" applyNumberFormat="1" applyBorder="1"/>
    <xf numFmtId="0" fontId="2" fillId="0" borderId="0" xfId="8" applyFont="1" applyAlignment="1">
      <alignment vertical="top" wrapText="1"/>
    </xf>
    <xf numFmtId="176" fontId="0" fillId="0" borderId="0" xfId="0" applyNumberFormat="1"/>
    <xf numFmtId="177" fontId="0" fillId="0" borderId="0" xfId="1" applyNumberFormat="1" applyFont="1" applyAlignment="1"/>
    <xf numFmtId="0" fontId="6" fillId="0" borderId="0" xfId="8" applyAlignment="1">
      <alignment horizontal="center"/>
    </xf>
    <xf numFmtId="0" fontId="9" fillId="0" borderId="7" xfId="0" applyFont="1" applyBorder="1" applyAlignment="1">
      <alignment horizontal="center" vertical="center"/>
    </xf>
    <xf numFmtId="178" fontId="6" fillId="0" borderId="0" xfId="8" applyNumberFormat="1" applyAlignment="1">
      <alignment horizontal="center"/>
    </xf>
    <xf numFmtId="0" fontId="11" fillId="0" borderId="10" xfId="0" applyFont="1" applyBorder="1" applyAlignment="1">
      <alignment horizontal="center" vertical="center"/>
    </xf>
    <xf numFmtId="179" fontId="11" fillId="0" borderId="10" xfId="0" applyNumberFormat="1" applyFont="1" applyBorder="1" applyAlignment="1">
      <alignment horizontal="center" vertical="center"/>
    </xf>
    <xf numFmtId="180" fontId="11" fillId="0" borderId="10" xfId="0" applyNumberFormat="1" applyFont="1" applyBorder="1" applyAlignment="1">
      <alignment horizontal="center" vertical="center"/>
    </xf>
    <xf numFmtId="14" fontId="11" fillId="0" borderId="10" xfId="0" applyNumberFormat="1" applyFont="1" applyBorder="1" applyAlignment="1">
      <alignment horizontal="center" vertical="center"/>
    </xf>
    <xf numFmtId="0" fontId="12" fillId="3" borderId="1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179" fontId="13" fillId="0" borderId="11" xfId="0" applyNumberFormat="1" applyFont="1" applyBorder="1" applyAlignment="1">
      <alignment horizontal="center" vertical="center"/>
    </xf>
    <xf numFmtId="180" fontId="13" fillId="0" borderId="11" xfId="0" applyNumberFormat="1" applyFont="1" applyBorder="1" applyAlignment="1">
      <alignment horizontal="center" vertical="center"/>
    </xf>
    <xf numFmtId="14" fontId="13" fillId="0" borderId="11" xfId="0" applyNumberFormat="1" applyFont="1" applyBorder="1" applyAlignment="1">
      <alignment horizontal="center" vertical="center"/>
    </xf>
    <xf numFmtId="0" fontId="14" fillId="6" borderId="12" xfId="0" applyFont="1" applyFill="1" applyBorder="1" applyAlignment="1">
      <alignment horizontal="center" vertical="center" wrapText="1"/>
    </xf>
    <xf numFmtId="0" fontId="15" fillId="6" borderId="12" xfId="0" applyFont="1" applyFill="1" applyBorder="1" applyAlignment="1">
      <alignment horizontal="center" vertical="center" wrapText="1"/>
    </xf>
    <xf numFmtId="0" fontId="17" fillId="7" borderId="12" xfId="0" applyFont="1" applyFill="1" applyBorder="1" applyAlignment="1">
      <alignment horizontal="center" vertical="center" wrapText="1"/>
    </xf>
    <xf numFmtId="181" fontId="17" fillId="7" borderId="12" xfId="0" applyNumberFormat="1" applyFont="1" applyFill="1" applyBorder="1" applyAlignment="1">
      <alignment horizontal="center" vertical="center" wrapText="1"/>
    </xf>
    <xf numFmtId="181" fontId="18" fillId="0" borderId="12" xfId="0" applyNumberFormat="1" applyFont="1" applyBorder="1" applyAlignment="1">
      <alignment horizontal="center" vertical="center" wrapText="1"/>
    </xf>
    <xf numFmtId="182" fontId="17" fillId="7" borderId="12" xfId="0" applyNumberFormat="1" applyFont="1" applyFill="1" applyBorder="1" applyAlignment="1">
      <alignment horizontal="center" vertical="center" wrapText="1"/>
    </xf>
    <xf numFmtId="0" fontId="18" fillId="0" borderId="12" xfId="0" applyFont="1" applyBorder="1" applyAlignment="1">
      <alignment horizontal="center" vertical="center" wrapText="1"/>
    </xf>
    <xf numFmtId="183" fontId="17" fillId="7" borderId="12" xfId="0" applyNumberFormat="1" applyFont="1" applyFill="1" applyBorder="1" applyAlignment="1">
      <alignment horizontal="center" vertical="center" wrapText="1"/>
    </xf>
    <xf numFmtId="14" fontId="18" fillId="0" borderId="12" xfId="0" applyNumberFormat="1" applyFont="1" applyBorder="1" applyAlignment="1">
      <alignment horizontal="center" vertical="center" wrapText="1"/>
    </xf>
    <xf numFmtId="0" fontId="19" fillId="3" borderId="16" xfId="0" applyFont="1" applyFill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179" fontId="20" fillId="0" borderId="16" xfId="0" applyNumberFormat="1" applyFont="1" applyBorder="1" applyAlignment="1">
      <alignment horizontal="center" vertical="center"/>
    </xf>
    <xf numFmtId="180" fontId="20" fillId="0" borderId="16" xfId="0" applyNumberFormat="1" applyFont="1" applyBorder="1" applyAlignment="1">
      <alignment horizontal="center" vertical="center"/>
    </xf>
    <xf numFmtId="14" fontId="20" fillId="0" borderId="16" xfId="0" applyNumberFormat="1" applyFont="1" applyBorder="1" applyAlignment="1">
      <alignment horizontal="center" vertical="center"/>
    </xf>
    <xf numFmtId="0" fontId="14" fillId="6" borderId="12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0" fontId="16" fillId="0" borderId="12" xfId="0" applyFont="1" applyBorder="1" applyAlignment="1">
      <alignment horizontal="center" vertical="center" wrapText="1"/>
    </xf>
    <xf numFmtId="0" fontId="0" fillId="0" borderId="15" xfId="0" applyBorder="1"/>
    <xf numFmtId="178" fontId="6" fillId="5" borderId="16" xfId="8" applyNumberFormat="1" applyFill="1" applyBorder="1" applyAlignment="1">
      <alignment horizontal="center" vertical="center"/>
    </xf>
    <xf numFmtId="0" fontId="6" fillId="5" borderId="16" xfId="8" applyFill="1" applyBorder="1" applyAlignment="1">
      <alignment horizontal="center" vertical="center"/>
    </xf>
    <xf numFmtId="0" fontId="6" fillId="0" borderId="16" xfId="8" applyBorder="1" applyAlignment="1">
      <alignment horizontal="center" vertical="center"/>
    </xf>
    <xf numFmtId="0" fontId="6" fillId="4" borderId="16" xfId="8" applyFill="1" applyBorder="1" applyAlignment="1">
      <alignment horizontal="center" vertical="center"/>
    </xf>
    <xf numFmtId="178" fontId="6" fillId="0" borderId="16" xfId="8" applyNumberFormat="1" applyBorder="1" applyAlignment="1">
      <alignment horizontal="center"/>
    </xf>
    <xf numFmtId="31" fontId="6" fillId="0" borderId="16" xfId="8" applyNumberFormat="1" applyBorder="1" applyAlignment="1">
      <alignment horizontal="center"/>
    </xf>
    <xf numFmtId="1" fontId="8" fillId="0" borderId="16" xfId="3" applyNumberFormat="1" applyFont="1" applyBorder="1" applyAlignment="1">
      <alignment horizontal="center" vertical="center" wrapText="1"/>
    </xf>
    <xf numFmtId="1" fontId="8" fillId="4" borderId="16" xfId="3" applyNumberFormat="1" applyFont="1" applyFill="1" applyBorder="1" applyAlignment="1">
      <alignment horizontal="center" vertical="center" wrapText="1"/>
    </xf>
    <xf numFmtId="1" fontId="6" fillId="0" borderId="16" xfId="8" applyNumberFormat="1" applyBorder="1" applyAlignment="1">
      <alignment horizontal="center"/>
    </xf>
    <xf numFmtId="1" fontId="6" fillId="4" borderId="16" xfId="8" applyNumberFormat="1" applyFill="1" applyBorder="1" applyAlignment="1">
      <alignment horizontal="center"/>
    </xf>
    <xf numFmtId="0" fontId="6" fillId="0" borderId="16" xfId="8" applyBorder="1" applyAlignment="1">
      <alignment horizontal="center"/>
    </xf>
    <xf numFmtId="0" fontId="6" fillId="0" borderId="16" xfId="9" applyBorder="1" applyAlignment="1">
      <alignment horizontal="center" vertical="center"/>
    </xf>
    <xf numFmtId="1" fontId="2" fillId="0" borderId="16" xfId="0" applyNumberFormat="1" applyFont="1" applyBorder="1" applyAlignment="1">
      <alignment horizontal="center" vertical="center"/>
    </xf>
    <xf numFmtId="31" fontId="6" fillId="8" borderId="16" xfId="8" applyNumberFormat="1" applyFill="1" applyBorder="1" applyAlignment="1">
      <alignment horizontal="center"/>
    </xf>
  </cellXfs>
  <cellStyles count="17">
    <cellStyle name="百分比" xfId="1" builtinId="5"/>
    <cellStyle name="百分比 2" xfId="2" xr:uid="{00000000-0005-0000-0000-000002000000}"/>
    <cellStyle name="百分比 2 2" xfId="3" xr:uid="{00000000-0005-0000-0000-000003000000}"/>
    <cellStyle name="百分比 4" xfId="4" xr:uid="{00000000-0005-0000-0000-000004000000}"/>
    <cellStyle name="百分比 5" xfId="5" xr:uid="{00000000-0005-0000-0000-000005000000}"/>
    <cellStyle name="常规" xfId="0" builtinId="0"/>
    <cellStyle name="常规 2" xfId="6" xr:uid="{00000000-0005-0000-0000-000006000000}"/>
    <cellStyle name="常规 2 2 2" xfId="7" xr:uid="{00000000-0005-0000-0000-000007000000}"/>
    <cellStyle name="常规 2 3" xfId="8" xr:uid="{00000000-0005-0000-0000-000008000000}"/>
    <cellStyle name="常规 3" xfId="9" xr:uid="{00000000-0005-0000-0000-000009000000}"/>
    <cellStyle name="常规 4" xfId="10" xr:uid="{00000000-0005-0000-0000-00000A000000}"/>
    <cellStyle name="常规 4 2" xfId="11" xr:uid="{00000000-0005-0000-0000-00000B000000}"/>
    <cellStyle name="常规 5" xfId="12" xr:uid="{00000000-0005-0000-0000-00000C000000}"/>
    <cellStyle name="常规 6" xfId="16" xr:uid="{00000000-0005-0000-0000-000010000000}"/>
    <cellStyle name="常规 7" xfId="13" xr:uid="{00000000-0005-0000-0000-00000D000000}"/>
    <cellStyle name="常规 7 2" xfId="15" xr:uid="{00000000-0005-0000-0000-00000F000000}"/>
    <cellStyle name="常规 8" xfId="14" xr:uid="{00000000-0005-0000-0000-00000E000000}"/>
  </cellStyles>
  <dxfs count="8"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全车有效线索管控!$A$5</c:f>
              <c:strCache>
                <c:ptCount val="1"/>
                <c:pt idx="0">
                  <c:v>上期实绩</c:v>
                </c:pt>
              </c:strCache>
            </c:strRef>
          </c:tx>
          <c:spPr>
            <a:solidFill>
              <a:srgbClr val="C00000"/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全车有效线索管控!$B$5:$AF$5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9F-4C6B-BDCA-2CB38ADA15E3}"/>
            </c:ext>
          </c:extLst>
        </c:ser>
        <c:ser>
          <c:idx val="2"/>
          <c:order val="1"/>
          <c:tx>
            <c:strRef>
              <c:f>全车有效线索管控!$A$6</c:f>
              <c:strCache>
                <c:ptCount val="1"/>
                <c:pt idx="0">
                  <c:v>本期实绩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全车有效线索管控!$B$4:$AE$4</c:f>
              <c:numCache>
                <c:formatCode>m/d;@</c:formatCode>
                <c:ptCount val="30"/>
                <c:pt idx="0">
                  <c:v>46113</c:v>
                </c:pt>
                <c:pt idx="1">
                  <c:v>46114</c:v>
                </c:pt>
                <c:pt idx="2">
                  <c:v>46115</c:v>
                </c:pt>
                <c:pt idx="3">
                  <c:v>46116</c:v>
                </c:pt>
                <c:pt idx="4">
                  <c:v>46117</c:v>
                </c:pt>
                <c:pt idx="5">
                  <c:v>46118</c:v>
                </c:pt>
                <c:pt idx="6">
                  <c:v>46119</c:v>
                </c:pt>
                <c:pt idx="7">
                  <c:v>46120</c:v>
                </c:pt>
                <c:pt idx="8">
                  <c:v>46121</c:v>
                </c:pt>
                <c:pt idx="9">
                  <c:v>46122</c:v>
                </c:pt>
                <c:pt idx="10">
                  <c:v>46123</c:v>
                </c:pt>
                <c:pt idx="11">
                  <c:v>46124</c:v>
                </c:pt>
                <c:pt idx="12">
                  <c:v>46125</c:v>
                </c:pt>
                <c:pt idx="13">
                  <c:v>46126</c:v>
                </c:pt>
                <c:pt idx="14">
                  <c:v>46127</c:v>
                </c:pt>
                <c:pt idx="15">
                  <c:v>46128</c:v>
                </c:pt>
                <c:pt idx="16">
                  <c:v>46129</c:v>
                </c:pt>
                <c:pt idx="17">
                  <c:v>46130</c:v>
                </c:pt>
                <c:pt idx="18">
                  <c:v>46131</c:v>
                </c:pt>
                <c:pt idx="19">
                  <c:v>46132</c:v>
                </c:pt>
                <c:pt idx="20">
                  <c:v>46133</c:v>
                </c:pt>
                <c:pt idx="21">
                  <c:v>46134</c:v>
                </c:pt>
                <c:pt idx="22">
                  <c:v>46135</c:v>
                </c:pt>
                <c:pt idx="23">
                  <c:v>46136</c:v>
                </c:pt>
                <c:pt idx="24">
                  <c:v>46137</c:v>
                </c:pt>
                <c:pt idx="25">
                  <c:v>46138</c:v>
                </c:pt>
                <c:pt idx="26">
                  <c:v>46139</c:v>
                </c:pt>
                <c:pt idx="27">
                  <c:v>46140</c:v>
                </c:pt>
                <c:pt idx="28">
                  <c:v>46141</c:v>
                </c:pt>
                <c:pt idx="29">
                  <c:v>46142</c:v>
                </c:pt>
              </c:numCache>
            </c:numRef>
          </c:cat>
          <c:val>
            <c:numRef>
              <c:f>全车有效线索管控!$B$6:$AF$6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9F-4C6B-BDCA-2CB38ADA1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4336288"/>
        <c:axId val="20596112"/>
      </c:barChart>
      <c:lineChart>
        <c:grouping val="standard"/>
        <c:varyColors val="0"/>
        <c:ser>
          <c:idx val="3"/>
          <c:order val="2"/>
          <c:tx>
            <c:strRef>
              <c:f>全车有效线索管控!$A$7</c:f>
              <c:strCache>
                <c:ptCount val="1"/>
                <c:pt idx="0">
                  <c:v>上期累计实绩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全车有效线索管控!$B$7:$AF$7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9F-4C6B-BDCA-2CB38ADA15E3}"/>
            </c:ext>
          </c:extLst>
        </c:ser>
        <c:ser>
          <c:idx val="4"/>
          <c:order val="3"/>
          <c:tx>
            <c:strRef>
              <c:f>全车有效线索管控!$A$8</c:f>
              <c:strCache>
                <c:ptCount val="1"/>
                <c:pt idx="0">
                  <c:v>本期累计实绩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val>
            <c:numRef>
              <c:f>全车有效线索管控!$B$8:$AF$8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9F-4C6B-BDCA-2CB38ADA1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134048"/>
        <c:axId val="2115135008"/>
      </c:lineChart>
      <c:dateAx>
        <c:axId val="2114336288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20596112"/>
        <c:crosses val="autoZero"/>
        <c:auto val="1"/>
        <c:lblOffset val="100"/>
        <c:baseTimeUnit val="days"/>
      </c:dateAx>
      <c:valAx>
        <c:axId val="205961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4336288"/>
        <c:crosses val="max"/>
        <c:crossBetween val="between"/>
      </c:valAx>
      <c:catAx>
        <c:axId val="2115134048"/>
        <c:scaling>
          <c:orientation val="minMax"/>
        </c:scaling>
        <c:delete val="0"/>
        <c:axPos val="b"/>
        <c:numFmt formatCode="m/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5008"/>
        <c:crosses val="autoZero"/>
        <c:auto val="1"/>
        <c:lblAlgn val="ctr"/>
        <c:lblOffset val="100"/>
        <c:noMultiLvlLbl val="0"/>
      </c:catAx>
      <c:valAx>
        <c:axId val="211513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151340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783167</xdr:colOff>
      <xdr:row>14</xdr:row>
      <xdr:rowOff>14817</xdr:rowOff>
    </xdr:from>
    <xdr:to>
      <xdr:col>32</xdr:col>
      <xdr:colOff>328084</xdr:colOff>
      <xdr:row>36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E54C5E"/>
  </sheetPr>
  <dimension ref="B1:I7"/>
  <sheetViews>
    <sheetView workbookViewId="0">
      <selection activeCell="I13" sqref="I13"/>
    </sheetView>
  </sheetViews>
  <sheetFormatPr defaultRowHeight="14.25"/>
  <cols>
    <col min="1" max="1" width="11" bestFit="1" customWidth="1"/>
    <col min="3" max="3" width="15" bestFit="1" customWidth="1"/>
    <col min="6" max="6" width="15" bestFit="1" customWidth="1"/>
    <col min="9" max="9" width="13.875" bestFit="1" customWidth="1"/>
  </cols>
  <sheetData>
    <row r="1" spans="2:9" ht="15" customHeight="1" thickBot="1">
      <c r="B1" s="10" t="s">
        <v>324</v>
      </c>
      <c r="C1" s="11">
        <f ca="1">TODAY()</f>
        <v>46235</v>
      </c>
    </row>
    <row r="2" spans="2:9">
      <c r="B2" s="1" t="s">
        <v>325</v>
      </c>
      <c r="C2" s="8">
        <f ca="1">C1-1</f>
        <v>46234</v>
      </c>
      <c r="E2" s="1" t="s">
        <v>326</v>
      </c>
      <c r="F2" s="2">
        <f ca="1">EDATE(C2,-1)</f>
        <v>46203</v>
      </c>
      <c r="H2" s="1" t="s">
        <v>327</v>
      </c>
      <c r="I2" s="2">
        <f ca="1">EDATE(C2,-12)</f>
        <v>45869</v>
      </c>
    </row>
    <row r="3" spans="2:9">
      <c r="B3" s="3" t="s">
        <v>328</v>
      </c>
      <c r="C3" s="4">
        <f ca="1">DAY(C2)/DAY(EOMONTH(C2,0))</f>
        <v>1</v>
      </c>
      <c r="E3" s="3" t="s">
        <v>328</v>
      </c>
      <c r="F3" s="4">
        <f ca="1">DAY(F2)/DAY(EOMONTH(F2,0))</f>
        <v>1</v>
      </c>
      <c r="H3" s="3" t="s">
        <v>328</v>
      </c>
      <c r="I3" s="4">
        <f ca="1">DAY(I2)/DAY(EOMONTH(I2,0))</f>
        <v>1</v>
      </c>
    </row>
    <row r="4" spans="2:9">
      <c r="B4" s="3" t="s">
        <v>329</v>
      </c>
      <c r="C4" s="5">
        <f ca="1">YEAR(C2)</f>
        <v>2026</v>
      </c>
      <c r="E4" s="3" t="s">
        <v>329</v>
      </c>
      <c r="F4" s="5">
        <f ca="1">YEAR(F2)</f>
        <v>2026</v>
      </c>
      <c r="H4" s="3" t="s">
        <v>329</v>
      </c>
      <c r="I4" s="5">
        <f ca="1">YEAR(I2)</f>
        <v>2025</v>
      </c>
    </row>
    <row r="5" spans="2:9">
      <c r="B5" s="3" t="s">
        <v>330</v>
      </c>
      <c r="C5" s="5">
        <f ca="1">MONTH(C2)</f>
        <v>7</v>
      </c>
      <c r="E5" s="3" t="s">
        <v>330</v>
      </c>
      <c r="F5" s="5">
        <f ca="1">MONTH(F2)</f>
        <v>6</v>
      </c>
      <c r="H5" s="3" t="s">
        <v>330</v>
      </c>
      <c r="I5" s="5">
        <f ca="1">MONTH(I2)</f>
        <v>7</v>
      </c>
    </row>
    <row r="6" spans="2:9" ht="15" customHeight="1" thickBot="1">
      <c r="B6" s="3" t="s">
        <v>331</v>
      </c>
      <c r="C6" s="5">
        <f ca="1">DAY(C2)</f>
        <v>31</v>
      </c>
      <c r="E6" s="6" t="s">
        <v>331</v>
      </c>
      <c r="F6" s="7">
        <f ca="1">DAY(F2)</f>
        <v>30</v>
      </c>
      <c r="H6" s="6" t="s">
        <v>331</v>
      </c>
      <c r="I6" s="7">
        <f ca="1">DAY(I2)</f>
        <v>31</v>
      </c>
    </row>
    <row r="7" spans="2:9" ht="15" customHeight="1" thickBot="1">
      <c r="B7" s="12" t="s">
        <v>332</v>
      </c>
      <c r="C7" s="13">
        <f ca="1">TODAY() - DAY(TODAY()) + 1</f>
        <v>46235</v>
      </c>
    </row>
  </sheetData>
  <phoneticPr fontId="5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7" tint="0.79998168889431442"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sqref="A1:XFD1048576"/>
    </sheetView>
  </sheetViews>
  <sheetFormatPr defaultRowHeight="14.25"/>
  <cols>
    <col min="1" max="1" width="15.625" style="19" bestFit="1" customWidth="1"/>
    <col min="2" max="2" width="15" style="17" customWidth="1"/>
    <col min="3" max="14" width="9" style="17"/>
    <col min="15" max="18" width="16.625" style="17" bestFit="1" customWidth="1"/>
    <col min="19" max="19" width="18.625" style="17" bestFit="1" customWidth="1"/>
    <col min="20" max="20" width="19.625" style="17" bestFit="1" customWidth="1"/>
    <col min="21" max="22" width="16.625" style="17" bestFit="1" customWidth="1"/>
    <col min="23" max="23" width="21.75" style="17" bestFit="1" customWidth="1"/>
    <col min="24" max="24" width="19.625" style="17" bestFit="1" customWidth="1"/>
    <col min="25" max="16384" width="9" style="17"/>
  </cols>
  <sheetData>
    <row r="2" spans="1:24">
      <c r="A2" s="48" t="s">
        <v>333</v>
      </c>
      <c r="B2" s="49" t="s">
        <v>971</v>
      </c>
      <c r="C2" s="50" t="s">
        <v>972</v>
      </c>
      <c r="D2" s="50" t="s">
        <v>973</v>
      </c>
      <c r="E2" s="50" t="s">
        <v>974</v>
      </c>
      <c r="F2" s="50" t="s">
        <v>975</v>
      </c>
      <c r="G2" s="50" t="s">
        <v>976</v>
      </c>
      <c r="H2" s="50" t="s">
        <v>977</v>
      </c>
      <c r="I2" s="50" t="s">
        <v>978</v>
      </c>
      <c r="J2" s="50" t="s">
        <v>979</v>
      </c>
      <c r="K2" s="50" t="s">
        <v>980</v>
      </c>
      <c r="L2" s="50" t="s">
        <v>981</v>
      </c>
      <c r="M2" s="50" t="s">
        <v>982</v>
      </c>
      <c r="N2" s="51" t="s">
        <v>983</v>
      </c>
      <c r="O2" s="50" t="s">
        <v>984</v>
      </c>
      <c r="P2" s="50" t="s">
        <v>985</v>
      </c>
      <c r="Q2" s="50" t="s">
        <v>986</v>
      </c>
      <c r="R2" s="50" t="s">
        <v>987</v>
      </c>
      <c r="S2" s="50" t="s">
        <v>988</v>
      </c>
      <c r="T2" s="50" t="s">
        <v>989</v>
      </c>
      <c r="U2" s="50" t="s">
        <v>990</v>
      </c>
      <c r="V2" s="50" t="s">
        <v>991</v>
      </c>
      <c r="W2" s="50" t="s">
        <v>992</v>
      </c>
      <c r="X2" s="50" t="s">
        <v>993</v>
      </c>
    </row>
    <row r="3" spans="1:24">
      <c r="A3" s="52">
        <v>46082</v>
      </c>
      <c r="B3" s="53" t="s">
        <v>994</v>
      </c>
      <c r="C3" s="54">
        <v>322</v>
      </c>
      <c r="D3" s="54">
        <v>297</v>
      </c>
      <c r="E3" s="54">
        <v>148</v>
      </c>
      <c r="F3" s="54">
        <v>495</v>
      </c>
      <c r="G3" s="54">
        <v>297</v>
      </c>
      <c r="H3" s="54">
        <v>223</v>
      </c>
      <c r="I3" s="54">
        <v>247</v>
      </c>
      <c r="J3" s="54">
        <v>99</v>
      </c>
      <c r="K3" s="54">
        <v>247</v>
      </c>
      <c r="L3" s="54">
        <v>99</v>
      </c>
      <c r="M3" s="54">
        <f t="shared" ref="M3:M66" si="0">N3-SUM(C3:L3)</f>
        <v>1060</v>
      </c>
      <c r="N3" s="55">
        <v>3534</v>
      </c>
      <c r="O3" s="54">
        <v>134</v>
      </c>
      <c r="P3" s="54">
        <v>6</v>
      </c>
      <c r="Q3" s="54">
        <v>550</v>
      </c>
      <c r="R3" s="54">
        <v>1000</v>
      </c>
      <c r="S3" s="54">
        <v>500</v>
      </c>
      <c r="T3" s="54">
        <v>300</v>
      </c>
      <c r="U3" s="54">
        <v>0</v>
      </c>
      <c r="V3" s="54">
        <v>435</v>
      </c>
      <c r="W3" s="54">
        <v>609</v>
      </c>
      <c r="X3" s="54">
        <v>0</v>
      </c>
    </row>
    <row r="4" spans="1:24">
      <c r="A4" s="52">
        <v>46083</v>
      </c>
      <c r="B4" s="53" t="s">
        <v>994</v>
      </c>
      <c r="C4" s="54">
        <v>318</v>
      </c>
      <c r="D4" s="54">
        <v>294</v>
      </c>
      <c r="E4" s="54">
        <v>147</v>
      </c>
      <c r="F4" s="54">
        <v>490</v>
      </c>
      <c r="G4" s="54">
        <v>294</v>
      </c>
      <c r="H4" s="54">
        <v>220</v>
      </c>
      <c r="I4" s="54">
        <v>245</v>
      </c>
      <c r="J4" s="54">
        <v>98</v>
      </c>
      <c r="K4" s="54">
        <v>245</v>
      </c>
      <c r="L4" s="54">
        <v>98</v>
      </c>
      <c r="M4" s="54">
        <f t="shared" si="0"/>
        <v>1050</v>
      </c>
      <c r="N4" s="55">
        <v>3499</v>
      </c>
      <c r="O4" s="54">
        <v>134</v>
      </c>
      <c r="P4" s="54">
        <v>6</v>
      </c>
      <c r="Q4" s="54">
        <v>422</v>
      </c>
      <c r="R4" s="54">
        <v>1000</v>
      </c>
      <c r="S4" s="54">
        <v>450</v>
      </c>
      <c r="T4" s="54">
        <v>300</v>
      </c>
      <c r="U4" s="54">
        <v>0</v>
      </c>
      <c r="V4" s="54">
        <v>435</v>
      </c>
      <c r="W4" s="54">
        <v>729</v>
      </c>
      <c r="X4" s="54">
        <v>23</v>
      </c>
    </row>
    <row r="5" spans="1:24">
      <c r="A5" s="52">
        <v>46084</v>
      </c>
      <c r="B5" s="53" t="s">
        <v>994</v>
      </c>
      <c r="C5" s="54">
        <v>321</v>
      </c>
      <c r="D5" s="54">
        <v>297</v>
      </c>
      <c r="E5" s="54">
        <v>148</v>
      </c>
      <c r="F5" s="54">
        <v>494</v>
      </c>
      <c r="G5" s="54">
        <v>297</v>
      </c>
      <c r="H5" s="54">
        <v>222</v>
      </c>
      <c r="I5" s="54">
        <v>247</v>
      </c>
      <c r="J5" s="54">
        <v>99</v>
      </c>
      <c r="K5" s="54">
        <v>247</v>
      </c>
      <c r="L5" s="54">
        <v>99</v>
      </c>
      <c r="M5" s="54">
        <f t="shared" si="0"/>
        <v>1060</v>
      </c>
      <c r="N5" s="55">
        <v>3531</v>
      </c>
      <c r="O5" s="54">
        <v>134</v>
      </c>
      <c r="P5" s="54">
        <v>6</v>
      </c>
      <c r="Q5" s="54">
        <v>422</v>
      </c>
      <c r="R5" s="54">
        <v>1000</v>
      </c>
      <c r="S5" s="54">
        <v>450</v>
      </c>
      <c r="T5" s="54">
        <v>300</v>
      </c>
      <c r="U5" s="54">
        <v>0</v>
      </c>
      <c r="V5" s="54">
        <v>435</v>
      </c>
      <c r="W5" s="54">
        <v>761</v>
      </c>
      <c r="X5" s="54">
        <v>23</v>
      </c>
    </row>
    <row r="6" spans="1:24">
      <c r="A6" s="52">
        <v>46085</v>
      </c>
      <c r="B6" s="53" t="s">
        <v>994</v>
      </c>
      <c r="C6" s="54">
        <v>320</v>
      </c>
      <c r="D6" s="54">
        <v>295</v>
      </c>
      <c r="E6" s="54">
        <v>148</v>
      </c>
      <c r="F6" s="54">
        <v>492</v>
      </c>
      <c r="G6" s="54">
        <v>295</v>
      </c>
      <c r="H6" s="54">
        <v>222</v>
      </c>
      <c r="I6" s="54">
        <v>246</v>
      </c>
      <c r="J6" s="54">
        <v>98</v>
      </c>
      <c r="K6" s="54">
        <v>246</v>
      </c>
      <c r="L6" s="54">
        <v>98</v>
      </c>
      <c r="M6" s="54">
        <f t="shared" si="0"/>
        <v>1057</v>
      </c>
      <c r="N6" s="55">
        <v>3517</v>
      </c>
      <c r="O6" s="54">
        <v>134</v>
      </c>
      <c r="P6" s="54">
        <v>6</v>
      </c>
      <c r="Q6" s="54">
        <v>422</v>
      </c>
      <c r="R6" s="54">
        <v>1000</v>
      </c>
      <c r="S6" s="54">
        <v>450</v>
      </c>
      <c r="T6" s="54">
        <v>300</v>
      </c>
      <c r="U6" s="54">
        <v>0</v>
      </c>
      <c r="V6" s="54">
        <v>435</v>
      </c>
      <c r="W6" s="54">
        <v>747</v>
      </c>
      <c r="X6" s="54">
        <v>23</v>
      </c>
    </row>
    <row r="7" spans="1:24">
      <c r="A7" s="52">
        <v>46086</v>
      </c>
      <c r="B7" s="53" t="s">
        <v>994</v>
      </c>
      <c r="C7" s="54">
        <v>328</v>
      </c>
      <c r="D7" s="54">
        <v>302</v>
      </c>
      <c r="E7" s="54">
        <v>151</v>
      </c>
      <c r="F7" s="54">
        <v>504</v>
      </c>
      <c r="G7" s="54">
        <v>302</v>
      </c>
      <c r="H7" s="54">
        <v>227</v>
      </c>
      <c r="I7" s="54">
        <v>252</v>
      </c>
      <c r="J7" s="54">
        <v>101</v>
      </c>
      <c r="K7" s="54">
        <v>252</v>
      </c>
      <c r="L7" s="54">
        <v>101</v>
      </c>
      <c r="M7" s="54">
        <f t="shared" si="0"/>
        <v>1079</v>
      </c>
      <c r="N7" s="55">
        <v>3599</v>
      </c>
      <c r="O7" s="54">
        <v>134</v>
      </c>
      <c r="P7" s="54">
        <v>6</v>
      </c>
      <c r="Q7" s="54">
        <v>422</v>
      </c>
      <c r="R7" s="54">
        <v>1000</v>
      </c>
      <c r="S7" s="54">
        <v>450</v>
      </c>
      <c r="T7" s="54">
        <v>300</v>
      </c>
      <c r="U7" s="54">
        <v>0</v>
      </c>
      <c r="V7" s="54">
        <v>435</v>
      </c>
      <c r="W7" s="54">
        <v>829</v>
      </c>
      <c r="X7" s="54">
        <v>23</v>
      </c>
    </row>
    <row r="8" spans="1:24">
      <c r="A8" s="52">
        <v>46087</v>
      </c>
      <c r="B8" s="53" t="s">
        <v>994</v>
      </c>
      <c r="C8" s="54">
        <v>336</v>
      </c>
      <c r="D8" s="54">
        <v>310</v>
      </c>
      <c r="E8" s="54">
        <v>155</v>
      </c>
      <c r="F8" s="54">
        <v>517</v>
      </c>
      <c r="G8" s="54">
        <v>310</v>
      </c>
      <c r="H8" s="54">
        <v>233</v>
      </c>
      <c r="I8" s="54">
        <v>259</v>
      </c>
      <c r="J8" s="54">
        <v>103</v>
      </c>
      <c r="K8" s="54">
        <v>259</v>
      </c>
      <c r="L8" s="54">
        <v>103</v>
      </c>
      <c r="M8" s="54">
        <f t="shared" si="0"/>
        <v>1110</v>
      </c>
      <c r="N8" s="55">
        <v>3695</v>
      </c>
      <c r="O8" s="54">
        <v>134</v>
      </c>
      <c r="P8" s="54">
        <v>6</v>
      </c>
      <c r="Q8" s="54">
        <v>422</v>
      </c>
      <c r="R8" s="54">
        <v>1000</v>
      </c>
      <c r="S8" s="54">
        <v>450</v>
      </c>
      <c r="T8" s="54">
        <v>300</v>
      </c>
      <c r="U8" s="54">
        <v>118</v>
      </c>
      <c r="V8" s="54">
        <v>435</v>
      </c>
      <c r="W8" s="54">
        <v>807</v>
      </c>
      <c r="X8" s="54">
        <v>23</v>
      </c>
    </row>
    <row r="9" spans="1:24">
      <c r="A9" s="52">
        <v>46088</v>
      </c>
      <c r="B9" s="53" t="s">
        <v>994</v>
      </c>
      <c r="C9" s="54">
        <v>361</v>
      </c>
      <c r="D9" s="54">
        <v>333</v>
      </c>
      <c r="E9" s="54">
        <v>167</v>
      </c>
      <c r="F9" s="54">
        <v>556</v>
      </c>
      <c r="G9" s="54">
        <v>333</v>
      </c>
      <c r="H9" s="54">
        <v>250</v>
      </c>
      <c r="I9" s="54">
        <v>278</v>
      </c>
      <c r="J9" s="54">
        <v>111</v>
      </c>
      <c r="K9" s="54">
        <v>278</v>
      </c>
      <c r="L9" s="54">
        <v>111</v>
      </c>
      <c r="M9" s="54">
        <f t="shared" si="0"/>
        <v>1191</v>
      </c>
      <c r="N9" s="55">
        <v>3969</v>
      </c>
      <c r="O9" s="54">
        <v>134</v>
      </c>
      <c r="P9" s="54">
        <v>6</v>
      </c>
      <c r="Q9" s="54">
        <v>549</v>
      </c>
      <c r="R9" s="54">
        <v>1000</v>
      </c>
      <c r="S9" s="54">
        <v>500</v>
      </c>
      <c r="T9" s="54">
        <v>350</v>
      </c>
      <c r="U9" s="54">
        <v>118</v>
      </c>
      <c r="V9" s="54">
        <v>435</v>
      </c>
      <c r="W9" s="54">
        <v>877</v>
      </c>
      <c r="X9" s="54">
        <v>0</v>
      </c>
    </row>
    <row r="10" spans="1:24">
      <c r="A10" s="52">
        <v>46089</v>
      </c>
      <c r="B10" s="53" t="s">
        <v>994</v>
      </c>
      <c r="C10" s="54">
        <v>455</v>
      </c>
      <c r="D10" s="54">
        <v>420</v>
      </c>
      <c r="E10" s="54">
        <v>210</v>
      </c>
      <c r="F10" s="54">
        <v>700</v>
      </c>
      <c r="G10" s="54">
        <v>420</v>
      </c>
      <c r="H10" s="54">
        <v>315</v>
      </c>
      <c r="I10" s="54">
        <v>350</v>
      </c>
      <c r="J10" s="54">
        <v>140</v>
      </c>
      <c r="K10" s="54">
        <v>350</v>
      </c>
      <c r="L10" s="54">
        <v>140</v>
      </c>
      <c r="M10" s="54">
        <f t="shared" si="0"/>
        <v>1499</v>
      </c>
      <c r="N10" s="55">
        <v>4999</v>
      </c>
      <c r="O10" s="54">
        <v>134</v>
      </c>
      <c r="P10" s="54">
        <v>6</v>
      </c>
      <c r="Q10" s="54">
        <v>549</v>
      </c>
      <c r="R10" s="54">
        <v>1941</v>
      </c>
      <c r="S10" s="54">
        <v>550</v>
      </c>
      <c r="T10" s="54">
        <v>350</v>
      </c>
      <c r="U10" s="54">
        <v>118</v>
      </c>
      <c r="V10" s="54">
        <v>435</v>
      </c>
      <c r="W10" s="54">
        <v>916</v>
      </c>
      <c r="X10" s="54">
        <v>0</v>
      </c>
    </row>
    <row r="11" spans="1:24">
      <c r="A11" s="52">
        <v>46090</v>
      </c>
      <c r="B11" s="53" t="s">
        <v>994</v>
      </c>
      <c r="C11" s="54">
        <v>432</v>
      </c>
      <c r="D11" s="54">
        <v>399</v>
      </c>
      <c r="E11" s="54">
        <v>200</v>
      </c>
      <c r="F11" s="54">
        <v>665</v>
      </c>
      <c r="G11" s="54">
        <v>399</v>
      </c>
      <c r="H11" s="54">
        <v>299</v>
      </c>
      <c r="I11" s="54">
        <v>333</v>
      </c>
      <c r="J11" s="54">
        <v>133</v>
      </c>
      <c r="K11" s="54">
        <v>333</v>
      </c>
      <c r="L11" s="54">
        <v>133</v>
      </c>
      <c r="M11" s="54">
        <f t="shared" si="0"/>
        <v>1425</v>
      </c>
      <c r="N11" s="55">
        <v>4751</v>
      </c>
      <c r="O11" s="54">
        <v>134</v>
      </c>
      <c r="P11" s="54">
        <v>6</v>
      </c>
      <c r="Q11" s="54">
        <v>422</v>
      </c>
      <c r="R11" s="54">
        <v>1941</v>
      </c>
      <c r="S11" s="54">
        <v>450</v>
      </c>
      <c r="T11" s="54">
        <v>300</v>
      </c>
      <c r="U11" s="54">
        <v>118</v>
      </c>
      <c r="V11" s="54">
        <v>435</v>
      </c>
      <c r="W11" s="54">
        <v>922</v>
      </c>
      <c r="X11" s="54">
        <v>23</v>
      </c>
    </row>
    <row r="12" spans="1:24">
      <c r="A12" s="52">
        <v>46091</v>
      </c>
      <c r="B12" s="53" t="s">
        <v>994</v>
      </c>
      <c r="C12" s="54">
        <v>429</v>
      </c>
      <c r="D12" s="54">
        <v>396</v>
      </c>
      <c r="E12" s="54">
        <v>198</v>
      </c>
      <c r="F12" s="54">
        <v>661</v>
      </c>
      <c r="G12" s="54">
        <v>396</v>
      </c>
      <c r="H12" s="54">
        <v>297</v>
      </c>
      <c r="I12" s="54">
        <v>330</v>
      </c>
      <c r="J12" s="54">
        <v>132</v>
      </c>
      <c r="K12" s="54">
        <v>330</v>
      </c>
      <c r="L12" s="54">
        <v>132</v>
      </c>
      <c r="M12" s="54">
        <f t="shared" si="0"/>
        <v>1418</v>
      </c>
      <c r="N12" s="55">
        <v>4719</v>
      </c>
      <c r="O12" s="54">
        <v>134</v>
      </c>
      <c r="P12" s="54">
        <v>6</v>
      </c>
      <c r="Q12" s="54">
        <v>422</v>
      </c>
      <c r="R12" s="54">
        <v>1941</v>
      </c>
      <c r="S12" s="54">
        <v>450</v>
      </c>
      <c r="T12" s="54">
        <v>400</v>
      </c>
      <c r="U12" s="54">
        <v>0</v>
      </c>
      <c r="V12" s="54">
        <v>435</v>
      </c>
      <c r="W12" s="54">
        <v>907</v>
      </c>
      <c r="X12" s="54">
        <v>24</v>
      </c>
    </row>
    <row r="13" spans="1:24">
      <c r="A13" s="52">
        <v>46092</v>
      </c>
      <c r="B13" s="53" t="s">
        <v>994</v>
      </c>
      <c r="C13" s="54">
        <v>448</v>
      </c>
      <c r="D13" s="54">
        <v>413</v>
      </c>
      <c r="E13" s="54">
        <v>207</v>
      </c>
      <c r="F13" s="54">
        <v>689</v>
      </c>
      <c r="G13" s="54">
        <v>413</v>
      </c>
      <c r="H13" s="54">
        <v>310</v>
      </c>
      <c r="I13" s="54">
        <v>344</v>
      </c>
      <c r="J13" s="54">
        <v>138</v>
      </c>
      <c r="K13" s="54">
        <v>344</v>
      </c>
      <c r="L13" s="54">
        <v>138</v>
      </c>
      <c r="M13" s="54">
        <f t="shared" si="0"/>
        <v>1474</v>
      </c>
      <c r="N13" s="55">
        <v>4918</v>
      </c>
      <c r="O13" s="54">
        <v>134</v>
      </c>
      <c r="P13" s="54">
        <v>6</v>
      </c>
      <c r="Q13" s="54">
        <v>465</v>
      </c>
      <c r="R13" s="54">
        <v>1941</v>
      </c>
      <c r="S13" s="54">
        <v>450</v>
      </c>
      <c r="T13" s="54">
        <v>400</v>
      </c>
      <c r="U13" s="54">
        <v>226</v>
      </c>
      <c r="V13" s="54">
        <v>435</v>
      </c>
      <c r="W13" s="54">
        <v>837</v>
      </c>
      <c r="X13" s="54">
        <v>24</v>
      </c>
    </row>
    <row r="14" spans="1:24">
      <c r="A14" s="52">
        <v>46093</v>
      </c>
      <c r="B14" s="53" t="s">
        <v>994</v>
      </c>
      <c r="C14" s="54">
        <v>596</v>
      </c>
      <c r="D14" s="54">
        <v>550</v>
      </c>
      <c r="E14" s="54">
        <v>275</v>
      </c>
      <c r="F14" s="54">
        <v>917</v>
      </c>
      <c r="G14" s="54">
        <v>550</v>
      </c>
      <c r="H14" s="54">
        <v>412</v>
      </c>
      <c r="I14" s="54">
        <v>458</v>
      </c>
      <c r="J14" s="54">
        <v>183</v>
      </c>
      <c r="K14" s="54">
        <v>458</v>
      </c>
      <c r="L14" s="54">
        <v>183</v>
      </c>
      <c r="M14" s="54">
        <f t="shared" si="0"/>
        <v>1965</v>
      </c>
      <c r="N14" s="55">
        <v>6547</v>
      </c>
      <c r="O14" s="54">
        <v>134</v>
      </c>
      <c r="P14" s="54">
        <v>6</v>
      </c>
      <c r="Q14" s="54">
        <v>465</v>
      </c>
      <c r="R14" s="54">
        <v>3600</v>
      </c>
      <c r="S14" s="54">
        <v>450</v>
      </c>
      <c r="T14" s="54">
        <v>400</v>
      </c>
      <c r="U14" s="54">
        <v>226</v>
      </c>
      <c r="V14" s="54">
        <v>435</v>
      </c>
      <c r="W14" s="54">
        <v>807</v>
      </c>
      <c r="X14" s="54">
        <v>24</v>
      </c>
    </row>
    <row r="15" spans="1:24">
      <c r="A15" s="52">
        <v>46094</v>
      </c>
      <c r="B15" s="53" t="s">
        <v>994</v>
      </c>
      <c r="C15" s="54">
        <v>606</v>
      </c>
      <c r="D15" s="54">
        <v>559</v>
      </c>
      <c r="E15" s="54">
        <v>280</v>
      </c>
      <c r="F15" s="54">
        <v>932</v>
      </c>
      <c r="G15" s="54">
        <v>559</v>
      </c>
      <c r="H15" s="54">
        <v>419</v>
      </c>
      <c r="I15" s="54">
        <v>466</v>
      </c>
      <c r="J15" s="54">
        <v>186</v>
      </c>
      <c r="K15" s="54">
        <v>466</v>
      </c>
      <c r="L15" s="54">
        <v>186</v>
      </c>
      <c r="M15" s="54">
        <f t="shared" si="0"/>
        <v>1998</v>
      </c>
      <c r="N15" s="55">
        <v>6657</v>
      </c>
      <c r="O15" s="54">
        <v>134</v>
      </c>
      <c r="P15" s="54">
        <v>6</v>
      </c>
      <c r="Q15" s="54">
        <v>465</v>
      </c>
      <c r="R15" s="54">
        <v>3600</v>
      </c>
      <c r="S15" s="54">
        <v>450</v>
      </c>
      <c r="T15" s="54">
        <v>400</v>
      </c>
      <c r="U15" s="54">
        <v>226</v>
      </c>
      <c r="V15" s="54">
        <v>435</v>
      </c>
      <c r="W15" s="54">
        <v>917</v>
      </c>
      <c r="X15" s="54">
        <v>24</v>
      </c>
    </row>
    <row r="16" spans="1:24">
      <c r="A16" s="52">
        <v>46095</v>
      </c>
      <c r="B16" s="53" t="s">
        <v>994</v>
      </c>
      <c r="C16" s="54">
        <v>625</v>
      </c>
      <c r="D16" s="54">
        <v>577</v>
      </c>
      <c r="E16" s="54">
        <v>288</v>
      </c>
      <c r="F16" s="54">
        <v>961</v>
      </c>
      <c r="G16" s="54">
        <v>577</v>
      </c>
      <c r="H16" s="54">
        <v>433</v>
      </c>
      <c r="I16" s="54">
        <v>481</v>
      </c>
      <c r="J16" s="54">
        <v>192</v>
      </c>
      <c r="K16" s="54">
        <v>481</v>
      </c>
      <c r="L16" s="54">
        <v>192</v>
      </c>
      <c r="M16" s="54">
        <f t="shared" si="0"/>
        <v>2059</v>
      </c>
      <c r="N16" s="55">
        <v>6866</v>
      </c>
      <c r="O16" s="54">
        <v>134</v>
      </c>
      <c r="P16" s="54">
        <v>6</v>
      </c>
      <c r="Q16" s="54">
        <v>604</v>
      </c>
      <c r="R16" s="54">
        <v>3600</v>
      </c>
      <c r="S16" s="54">
        <v>500</v>
      </c>
      <c r="T16" s="54">
        <v>400</v>
      </c>
      <c r="U16" s="54">
        <v>226</v>
      </c>
      <c r="V16" s="54">
        <v>435</v>
      </c>
      <c r="W16" s="54">
        <v>961</v>
      </c>
      <c r="X16" s="54">
        <v>0</v>
      </c>
    </row>
    <row r="17" spans="1:24">
      <c r="A17" s="52">
        <v>46096</v>
      </c>
      <c r="B17" s="53" t="s">
        <v>994</v>
      </c>
      <c r="C17" s="54">
        <v>637</v>
      </c>
      <c r="D17" s="54">
        <v>588</v>
      </c>
      <c r="E17" s="54">
        <v>294</v>
      </c>
      <c r="F17" s="54">
        <v>980</v>
      </c>
      <c r="G17" s="54">
        <v>588</v>
      </c>
      <c r="H17" s="54">
        <v>441</v>
      </c>
      <c r="I17" s="54">
        <v>490</v>
      </c>
      <c r="J17" s="54">
        <v>196</v>
      </c>
      <c r="K17" s="54">
        <v>490</v>
      </c>
      <c r="L17" s="54">
        <v>196</v>
      </c>
      <c r="M17" s="54">
        <f t="shared" si="0"/>
        <v>2097</v>
      </c>
      <c r="N17" s="55">
        <v>6997</v>
      </c>
      <c r="O17" s="54">
        <v>134</v>
      </c>
      <c r="P17" s="54">
        <v>6</v>
      </c>
      <c r="Q17" s="54">
        <v>604</v>
      </c>
      <c r="R17" s="54">
        <v>3600</v>
      </c>
      <c r="S17" s="54">
        <v>500</v>
      </c>
      <c r="T17" s="54">
        <v>400</v>
      </c>
      <c r="U17" s="54">
        <v>226</v>
      </c>
      <c r="V17" s="54">
        <v>435</v>
      </c>
      <c r="W17" s="54">
        <v>1092</v>
      </c>
      <c r="X17" s="54">
        <v>0</v>
      </c>
    </row>
    <row r="18" spans="1:24">
      <c r="A18" s="52">
        <v>46097</v>
      </c>
      <c r="B18" s="53" t="s">
        <v>994</v>
      </c>
      <c r="C18" s="54">
        <v>625</v>
      </c>
      <c r="D18" s="54">
        <v>577</v>
      </c>
      <c r="E18" s="54">
        <v>289</v>
      </c>
      <c r="F18" s="54">
        <v>962</v>
      </c>
      <c r="G18" s="54">
        <v>577</v>
      </c>
      <c r="H18" s="54">
        <v>433</v>
      </c>
      <c r="I18" s="54">
        <v>481</v>
      </c>
      <c r="J18" s="54">
        <v>192</v>
      </c>
      <c r="K18" s="54">
        <v>481</v>
      </c>
      <c r="L18" s="54">
        <v>192</v>
      </c>
      <c r="M18" s="54">
        <f t="shared" si="0"/>
        <v>2062</v>
      </c>
      <c r="N18" s="55">
        <v>6871</v>
      </c>
      <c r="O18" s="54">
        <v>133</v>
      </c>
      <c r="P18" s="54">
        <v>6</v>
      </c>
      <c r="Q18" s="54">
        <v>465</v>
      </c>
      <c r="R18" s="54">
        <v>3600</v>
      </c>
      <c r="S18" s="54">
        <v>450</v>
      </c>
      <c r="T18" s="54">
        <v>400</v>
      </c>
      <c r="U18" s="54">
        <v>226</v>
      </c>
      <c r="V18" s="54">
        <v>435</v>
      </c>
      <c r="W18" s="54">
        <v>1132</v>
      </c>
      <c r="X18" s="54">
        <v>24</v>
      </c>
    </row>
    <row r="19" spans="1:24">
      <c r="A19" s="52">
        <v>46098</v>
      </c>
      <c r="B19" s="53" t="s">
        <v>994</v>
      </c>
      <c r="C19" s="54">
        <v>615</v>
      </c>
      <c r="D19" s="54">
        <v>568</v>
      </c>
      <c r="E19" s="54">
        <v>284</v>
      </c>
      <c r="F19" s="54">
        <v>946</v>
      </c>
      <c r="G19" s="54">
        <v>568</v>
      </c>
      <c r="H19" s="54">
        <v>426</v>
      </c>
      <c r="I19" s="54">
        <v>473</v>
      </c>
      <c r="J19" s="54">
        <v>189</v>
      </c>
      <c r="K19" s="54">
        <v>473</v>
      </c>
      <c r="L19" s="54">
        <v>189</v>
      </c>
      <c r="M19" s="54">
        <f t="shared" si="0"/>
        <v>2026</v>
      </c>
      <c r="N19" s="55">
        <v>6757</v>
      </c>
      <c r="O19" s="54">
        <v>133</v>
      </c>
      <c r="P19" s="54">
        <v>6</v>
      </c>
      <c r="Q19" s="54">
        <v>465</v>
      </c>
      <c r="R19" s="54">
        <v>3600</v>
      </c>
      <c r="S19" s="54">
        <v>450</v>
      </c>
      <c r="T19" s="54">
        <v>600</v>
      </c>
      <c r="U19" s="54">
        <v>0</v>
      </c>
      <c r="V19" s="54">
        <v>435</v>
      </c>
      <c r="W19" s="54">
        <v>1044</v>
      </c>
      <c r="X19" s="54">
        <v>24</v>
      </c>
    </row>
    <row r="20" spans="1:24">
      <c r="A20" s="52">
        <v>46099</v>
      </c>
      <c r="B20" s="53" t="s">
        <v>994</v>
      </c>
      <c r="C20" s="54">
        <v>520</v>
      </c>
      <c r="D20" s="54">
        <v>480</v>
      </c>
      <c r="E20" s="54">
        <v>240</v>
      </c>
      <c r="F20" s="54">
        <v>800</v>
      </c>
      <c r="G20" s="54">
        <v>480</v>
      </c>
      <c r="H20" s="54">
        <v>360</v>
      </c>
      <c r="I20" s="54">
        <v>400</v>
      </c>
      <c r="J20" s="54">
        <v>160</v>
      </c>
      <c r="K20" s="54">
        <v>400</v>
      </c>
      <c r="L20" s="54">
        <v>160</v>
      </c>
      <c r="M20" s="54">
        <f t="shared" si="0"/>
        <v>1711</v>
      </c>
      <c r="N20" s="55">
        <v>5711</v>
      </c>
      <c r="O20" s="54">
        <v>133</v>
      </c>
      <c r="P20" s="54">
        <v>6</v>
      </c>
      <c r="Q20" s="54">
        <v>465</v>
      </c>
      <c r="R20" s="54">
        <v>2556</v>
      </c>
      <c r="S20" s="54">
        <v>450</v>
      </c>
      <c r="T20" s="54">
        <v>600</v>
      </c>
      <c r="U20" s="54">
        <v>0</v>
      </c>
      <c r="V20" s="54">
        <v>435</v>
      </c>
      <c r="W20" s="54">
        <v>1042</v>
      </c>
      <c r="X20" s="54">
        <v>24</v>
      </c>
    </row>
    <row r="21" spans="1:24">
      <c r="A21" s="52">
        <v>46100</v>
      </c>
      <c r="B21" s="53" t="s">
        <v>994</v>
      </c>
      <c r="C21" s="54">
        <v>469</v>
      </c>
      <c r="D21" s="54">
        <v>433</v>
      </c>
      <c r="E21" s="54">
        <v>216</v>
      </c>
      <c r="F21" s="54">
        <v>721</v>
      </c>
      <c r="G21" s="54">
        <v>433</v>
      </c>
      <c r="H21" s="54">
        <v>325</v>
      </c>
      <c r="I21" s="54">
        <v>361</v>
      </c>
      <c r="J21" s="54">
        <v>144</v>
      </c>
      <c r="K21" s="54">
        <v>361</v>
      </c>
      <c r="L21" s="54">
        <v>144</v>
      </c>
      <c r="M21" s="54">
        <f t="shared" si="0"/>
        <v>1544</v>
      </c>
      <c r="N21" s="55">
        <v>5151</v>
      </c>
      <c r="O21" s="54">
        <v>133</v>
      </c>
      <c r="P21" s="54">
        <v>6</v>
      </c>
      <c r="Q21" s="54">
        <v>465</v>
      </c>
      <c r="R21" s="54">
        <v>1941</v>
      </c>
      <c r="S21" s="54">
        <v>450</v>
      </c>
      <c r="T21" s="54">
        <v>600</v>
      </c>
      <c r="U21" s="54">
        <v>0</v>
      </c>
      <c r="V21" s="54">
        <v>435</v>
      </c>
      <c r="W21" s="54">
        <v>1097</v>
      </c>
      <c r="X21" s="54">
        <v>24</v>
      </c>
    </row>
    <row r="22" spans="1:24">
      <c r="A22" s="52">
        <v>46101</v>
      </c>
      <c r="B22" s="53" t="s">
        <v>994</v>
      </c>
      <c r="C22" s="54">
        <v>464</v>
      </c>
      <c r="D22" s="54">
        <v>428</v>
      </c>
      <c r="E22" s="54">
        <v>214</v>
      </c>
      <c r="F22" s="54">
        <v>714</v>
      </c>
      <c r="G22" s="54">
        <v>428</v>
      </c>
      <c r="H22" s="54">
        <v>321</v>
      </c>
      <c r="I22" s="54">
        <v>357</v>
      </c>
      <c r="J22" s="54">
        <v>143</v>
      </c>
      <c r="K22" s="54">
        <v>357</v>
      </c>
      <c r="L22" s="54">
        <v>143</v>
      </c>
      <c r="M22" s="54">
        <f t="shared" si="0"/>
        <v>1529</v>
      </c>
      <c r="N22" s="55">
        <v>5098</v>
      </c>
      <c r="O22" s="54">
        <v>133</v>
      </c>
      <c r="P22" s="54">
        <v>6</v>
      </c>
      <c r="Q22" s="54">
        <v>465</v>
      </c>
      <c r="R22" s="54">
        <v>1941</v>
      </c>
      <c r="S22" s="54">
        <v>450</v>
      </c>
      <c r="T22" s="54">
        <v>600</v>
      </c>
      <c r="U22" s="54">
        <v>0</v>
      </c>
      <c r="V22" s="54">
        <v>435</v>
      </c>
      <c r="W22" s="54">
        <v>1044</v>
      </c>
      <c r="X22" s="54">
        <v>24</v>
      </c>
    </row>
    <row r="23" spans="1:24">
      <c r="A23" s="52">
        <v>46102</v>
      </c>
      <c r="B23" s="53" t="s">
        <v>994</v>
      </c>
      <c r="C23" s="54">
        <v>494</v>
      </c>
      <c r="D23" s="54">
        <v>456</v>
      </c>
      <c r="E23" s="54">
        <v>228</v>
      </c>
      <c r="F23" s="54">
        <v>760</v>
      </c>
      <c r="G23" s="54">
        <v>456</v>
      </c>
      <c r="H23" s="54">
        <v>342</v>
      </c>
      <c r="I23" s="54">
        <v>380</v>
      </c>
      <c r="J23" s="54">
        <v>152</v>
      </c>
      <c r="K23" s="54">
        <v>380</v>
      </c>
      <c r="L23" s="54">
        <v>152</v>
      </c>
      <c r="M23" s="54">
        <f t="shared" si="0"/>
        <v>1627</v>
      </c>
      <c r="N23" s="55">
        <v>5427</v>
      </c>
      <c r="O23" s="54">
        <v>133</v>
      </c>
      <c r="P23" s="54">
        <v>6</v>
      </c>
      <c r="Q23" s="54">
        <v>659</v>
      </c>
      <c r="R23" s="54">
        <v>1941</v>
      </c>
      <c r="S23" s="54">
        <v>500</v>
      </c>
      <c r="T23" s="54">
        <v>700</v>
      </c>
      <c r="U23" s="54">
        <v>0</v>
      </c>
      <c r="V23" s="54">
        <v>435</v>
      </c>
      <c r="W23" s="54">
        <v>1053</v>
      </c>
      <c r="X23" s="54">
        <v>0</v>
      </c>
    </row>
    <row r="24" spans="1:24">
      <c r="A24" s="52">
        <v>46103</v>
      </c>
      <c r="B24" s="53" t="s">
        <v>994</v>
      </c>
      <c r="C24" s="54">
        <v>652</v>
      </c>
      <c r="D24" s="54">
        <v>602</v>
      </c>
      <c r="E24" s="54">
        <v>301</v>
      </c>
      <c r="F24" s="54">
        <v>1004</v>
      </c>
      <c r="G24" s="54">
        <v>602</v>
      </c>
      <c r="H24" s="54">
        <v>452</v>
      </c>
      <c r="I24" s="54">
        <v>502</v>
      </c>
      <c r="J24" s="54">
        <v>201</v>
      </c>
      <c r="K24" s="54">
        <v>502</v>
      </c>
      <c r="L24" s="54">
        <v>201</v>
      </c>
      <c r="M24" s="54">
        <f t="shared" si="0"/>
        <v>2149</v>
      </c>
      <c r="N24" s="55">
        <v>7168</v>
      </c>
      <c r="O24" s="54">
        <v>133</v>
      </c>
      <c r="P24" s="54">
        <v>6</v>
      </c>
      <c r="Q24" s="54">
        <v>659</v>
      </c>
      <c r="R24" s="54">
        <v>3600</v>
      </c>
      <c r="S24" s="54">
        <v>500</v>
      </c>
      <c r="T24" s="54">
        <v>700</v>
      </c>
      <c r="U24" s="54">
        <v>0</v>
      </c>
      <c r="V24" s="54">
        <v>435</v>
      </c>
      <c r="W24" s="54">
        <v>1135</v>
      </c>
      <c r="X24" s="54">
        <v>0</v>
      </c>
    </row>
    <row r="25" spans="1:24">
      <c r="A25" s="52">
        <v>46104</v>
      </c>
      <c r="B25" s="53" t="s">
        <v>994</v>
      </c>
      <c r="C25" s="54">
        <v>488</v>
      </c>
      <c r="D25" s="54">
        <v>451</v>
      </c>
      <c r="E25" s="54">
        <v>225</v>
      </c>
      <c r="F25" s="54">
        <v>751</v>
      </c>
      <c r="G25" s="54">
        <v>451</v>
      </c>
      <c r="H25" s="54">
        <v>338</v>
      </c>
      <c r="I25" s="54">
        <v>376</v>
      </c>
      <c r="J25" s="54">
        <v>150</v>
      </c>
      <c r="K25" s="54">
        <v>376</v>
      </c>
      <c r="L25" s="54">
        <v>150</v>
      </c>
      <c r="M25" s="54">
        <f t="shared" si="0"/>
        <v>1611</v>
      </c>
      <c r="N25" s="55">
        <v>5367</v>
      </c>
      <c r="O25" s="54">
        <v>133</v>
      </c>
      <c r="P25" s="54">
        <v>6</v>
      </c>
      <c r="Q25" s="54">
        <v>507</v>
      </c>
      <c r="R25" s="54">
        <v>1941</v>
      </c>
      <c r="S25" s="54">
        <v>450</v>
      </c>
      <c r="T25" s="54">
        <v>700</v>
      </c>
      <c r="U25" s="54">
        <v>0</v>
      </c>
      <c r="V25" s="54">
        <v>435</v>
      </c>
      <c r="W25" s="54">
        <v>1171</v>
      </c>
      <c r="X25" s="54">
        <v>24</v>
      </c>
    </row>
    <row r="26" spans="1:24">
      <c r="A26" s="52">
        <v>46105</v>
      </c>
      <c r="B26" s="53" t="s">
        <v>994</v>
      </c>
      <c r="C26" s="54">
        <v>479</v>
      </c>
      <c r="D26" s="54">
        <v>442</v>
      </c>
      <c r="E26" s="54">
        <v>221</v>
      </c>
      <c r="F26" s="54">
        <v>737</v>
      </c>
      <c r="G26" s="54">
        <v>442</v>
      </c>
      <c r="H26" s="54">
        <v>332</v>
      </c>
      <c r="I26" s="54">
        <v>368</v>
      </c>
      <c r="J26" s="54">
        <v>147</v>
      </c>
      <c r="K26" s="54">
        <v>368</v>
      </c>
      <c r="L26" s="54">
        <v>147</v>
      </c>
      <c r="M26" s="54">
        <f t="shared" si="0"/>
        <v>1579</v>
      </c>
      <c r="N26" s="55">
        <v>5262</v>
      </c>
      <c r="O26" s="54">
        <v>133</v>
      </c>
      <c r="P26" s="54">
        <v>6</v>
      </c>
      <c r="Q26" s="54">
        <v>507</v>
      </c>
      <c r="R26" s="54">
        <v>1941</v>
      </c>
      <c r="S26" s="54">
        <v>450</v>
      </c>
      <c r="T26" s="54">
        <v>700</v>
      </c>
      <c r="U26" s="54">
        <v>0</v>
      </c>
      <c r="V26" s="54">
        <v>435</v>
      </c>
      <c r="W26" s="54">
        <v>1066</v>
      </c>
      <c r="X26" s="54">
        <v>24</v>
      </c>
    </row>
    <row r="27" spans="1:24">
      <c r="A27" s="52">
        <v>46106</v>
      </c>
      <c r="B27" s="53" t="s">
        <v>994</v>
      </c>
      <c r="C27" s="54">
        <v>479</v>
      </c>
      <c r="D27" s="54">
        <v>442</v>
      </c>
      <c r="E27" s="54">
        <v>221</v>
      </c>
      <c r="F27" s="54">
        <v>737</v>
      </c>
      <c r="G27" s="54">
        <v>442</v>
      </c>
      <c r="H27" s="54">
        <v>332</v>
      </c>
      <c r="I27" s="54">
        <v>368</v>
      </c>
      <c r="J27" s="54">
        <v>147</v>
      </c>
      <c r="K27" s="54">
        <v>368</v>
      </c>
      <c r="L27" s="54">
        <v>147</v>
      </c>
      <c r="M27" s="54">
        <f t="shared" si="0"/>
        <v>1580</v>
      </c>
      <c r="N27" s="55">
        <v>5263</v>
      </c>
      <c r="O27" s="54">
        <v>133</v>
      </c>
      <c r="P27" s="54">
        <v>6</v>
      </c>
      <c r="Q27" s="54">
        <v>507</v>
      </c>
      <c r="R27" s="54">
        <v>1941</v>
      </c>
      <c r="S27" s="54">
        <v>450</v>
      </c>
      <c r="T27" s="54">
        <v>700</v>
      </c>
      <c r="U27" s="54">
        <v>0</v>
      </c>
      <c r="V27" s="54">
        <v>435</v>
      </c>
      <c r="W27" s="54">
        <v>1067</v>
      </c>
      <c r="X27" s="54">
        <v>24</v>
      </c>
    </row>
    <row r="28" spans="1:24">
      <c r="A28" s="52">
        <v>46107</v>
      </c>
      <c r="B28" s="53" t="s">
        <v>994</v>
      </c>
      <c r="C28" s="54">
        <v>415</v>
      </c>
      <c r="D28" s="54">
        <v>383</v>
      </c>
      <c r="E28" s="54">
        <v>192</v>
      </c>
      <c r="F28" s="54">
        <v>639</v>
      </c>
      <c r="G28" s="54">
        <v>383</v>
      </c>
      <c r="H28" s="54">
        <v>288</v>
      </c>
      <c r="I28" s="54">
        <v>320</v>
      </c>
      <c r="J28" s="54">
        <v>128</v>
      </c>
      <c r="K28" s="54">
        <v>320</v>
      </c>
      <c r="L28" s="54">
        <v>128</v>
      </c>
      <c r="M28" s="54">
        <f t="shared" si="0"/>
        <v>1369</v>
      </c>
      <c r="N28" s="55">
        <v>4565</v>
      </c>
      <c r="O28" s="54">
        <v>133</v>
      </c>
      <c r="P28" s="54">
        <v>6</v>
      </c>
      <c r="Q28" s="54">
        <v>507</v>
      </c>
      <c r="R28" s="54">
        <v>1000</v>
      </c>
      <c r="S28" s="54">
        <v>450</v>
      </c>
      <c r="T28" s="54">
        <v>700</v>
      </c>
      <c r="U28" s="54">
        <v>240</v>
      </c>
      <c r="V28" s="54">
        <v>438</v>
      </c>
      <c r="W28" s="54">
        <v>1067</v>
      </c>
      <c r="X28" s="54">
        <v>24</v>
      </c>
    </row>
    <row r="29" spans="1:24">
      <c r="A29" s="52">
        <v>46108</v>
      </c>
      <c r="B29" s="53" t="s">
        <v>994</v>
      </c>
      <c r="C29" s="54">
        <v>427</v>
      </c>
      <c r="D29" s="54">
        <v>394</v>
      </c>
      <c r="E29" s="54">
        <v>197</v>
      </c>
      <c r="F29" s="54">
        <v>656</v>
      </c>
      <c r="G29" s="54">
        <v>394</v>
      </c>
      <c r="H29" s="54">
        <v>295</v>
      </c>
      <c r="I29" s="54">
        <v>328</v>
      </c>
      <c r="J29" s="54">
        <v>131</v>
      </c>
      <c r="K29" s="54">
        <v>328</v>
      </c>
      <c r="L29" s="54">
        <v>131</v>
      </c>
      <c r="M29" s="54">
        <f t="shared" si="0"/>
        <v>1406</v>
      </c>
      <c r="N29" s="55">
        <v>4687</v>
      </c>
      <c r="O29" s="54">
        <v>133</v>
      </c>
      <c r="P29" s="54">
        <v>6</v>
      </c>
      <c r="Q29" s="54">
        <v>507</v>
      </c>
      <c r="R29" s="54">
        <v>1000</v>
      </c>
      <c r="S29" s="54">
        <v>450</v>
      </c>
      <c r="T29" s="54">
        <v>700</v>
      </c>
      <c r="U29" s="54">
        <v>353</v>
      </c>
      <c r="V29" s="54">
        <v>435</v>
      </c>
      <c r="W29" s="54">
        <v>1079</v>
      </c>
      <c r="X29" s="54">
        <v>24</v>
      </c>
    </row>
    <row r="30" spans="1:24">
      <c r="A30" s="52">
        <v>46109</v>
      </c>
      <c r="B30" s="53" t="s">
        <v>994</v>
      </c>
      <c r="C30" s="54">
        <v>450</v>
      </c>
      <c r="D30" s="54">
        <v>415</v>
      </c>
      <c r="E30" s="54">
        <v>208</v>
      </c>
      <c r="F30" s="54">
        <v>692</v>
      </c>
      <c r="G30" s="54">
        <v>415</v>
      </c>
      <c r="H30" s="54">
        <v>312</v>
      </c>
      <c r="I30" s="54">
        <v>346</v>
      </c>
      <c r="J30" s="54">
        <v>138</v>
      </c>
      <c r="K30" s="54">
        <v>346</v>
      </c>
      <c r="L30" s="54">
        <v>138</v>
      </c>
      <c r="M30" s="54">
        <f t="shared" si="0"/>
        <v>1485</v>
      </c>
      <c r="N30" s="55">
        <v>4945</v>
      </c>
      <c r="O30" s="54">
        <v>133</v>
      </c>
      <c r="P30" s="54">
        <v>6</v>
      </c>
      <c r="Q30" s="54">
        <v>659</v>
      </c>
      <c r="R30" s="54">
        <v>1000</v>
      </c>
      <c r="S30" s="54">
        <v>500</v>
      </c>
      <c r="T30" s="54">
        <v>700</v>
      </c>
      <c r="U30" s="54">
        <v>353</v>
      </c>
      <c r="V30" s="54">
        <v>440</v>
      </c>
      <c r="W30" s="54">
        <v>1154</v>
      </c>
      <c r="X30" s="54">
        <v>0</v>
      </c>
    </row>
    <row r="31" spans="1:24">
      <c r="A31" s="52">
        <v>46110</v>
      </c>
      <c r="B31" s="53" t="s">
        <v>994</v>
      </c>
      <c r="C31" s="54">
        <v>453</v>
      </c>
      <c r="D31" s="54">
        <v>418</v>
      </c>
      <c r="E31" s="54">
        <v>209</v>
      </c>
      <c r="F31" s="54">
        <v>697</v>
      </c>
      <c r="G31" s="54">
        <v>418</v>
      </c>
      <c r="H31" s="54">
        <v>313</v>
      </c>
      <c r="I31" s="54">
        <v>348</v>
      </c>
      <c r="J31" s="54">
        <v>139</v>
      </c>
      <c r="K31" s="54">
        <v>348</v>
      </c>
      <c r="L31" s="54">
        <v>139</v>
      </c>
      <c r="M31" s="54">
        <f t="shared" si="0"/>
        <v>1493</v>
      </c>
      <c r="N31" s="55">
        <v>4975</v>
      </c>
      <c r="O31" s="54">
        <v>133</v>
      </c>
      <c r="P31" s="54">
        <v>6</v>
      </c>
      <c r="Q31" s="54">
        <v>659</v>
      </c>
      <c r="R31" s="54">
        <v>1000</v>
      </c>
      <c r="S31" s="54">
        <v>500</v>
      </c>
      <c r="T31" s="54">
        <v>700</v>
      </c>
      <c r="U31" s="54">
        <v>347</v>
      </c>
      <c r="V31" s="54">
        <v>440</v>
      </c>
      <c r="W31" s="54">
        <v>1190</v>
      </c>
      <c r="X31" s="54">
        <v>0</v>
      </c>
    </row>
    <row r="32" spans="1:24">
      <c r="A32" s="52">
        <v>46111</v>
      </c>
      <c r="B32" s="53" t="s">
        <v>994</v>
      </c>
      <c r="C32" s="54">
        <v>390</v>
      </c>
      <c r="D32" s="54">
        <v>360</v>
      </c>
      <c r="E32" s="54">
        <v>180</v>
      </c>
      <c r="F32" s="54">
        <v>600</v>
      </c>
      <c r="G32" s="54">
        <v>360</v>
      </c>
      <c r="H32" s="54">
        <v>270</v>
      </c>
      <c r="I32" s="54">
        <v>300</v>
      </c>
      <c r="J32" s="54">
        <v>120</v>
      </c>
      <c r="K32" s="54">
        <v>300</v>
      </c>
      <c r="L32" s="54">
        <v>120</v>
      </c>
      <c r="M32" s="54">
        <f t="shared" si="0"/>
        <v>1288</v>
      </c>
      <c r="N32" s="55">
        <v>4288</v>
      </c>
      <c r="O32" s="54">
        <v>133</v>
      </c>
      <c r="P32" s="54">
        <v>6</v>
      </c>
      <c r="Q32" s="54">
        <v>507</v>
      </c>
      <c r="R32" s="54">
        <v>1000</v>
      </c>
      <c r="S32" s="54">
        <v>400</v>
      </c>
      <c r="T32" s="54">
        <v>700</v>
      </c>
      <c r="U32" s="54">
        <v>0</v>
      </c>
      <c r="V32" s="54">
        <v>440</v>
      </c>
      <c r="W32" s="54">
        <v>1079</v>
      </c>
      <c r="X32" s="54">
        <v>23</v>
      </c>
    </row>
    <row r="33" spans="1:24">
      <c r="A33" s="52">
        <v>46112</v>
      </c>
      <c r="B33" s="53" t="s">
        <v>994</v>
      </c>
      <c r="C33" s="54">
        <v>397</v>
      </c>
      <c r="D33" s="54">
        <v>366</v>
      </c>
      <c r="E33" s="54">
        <v>183</v>
      </c>
      <c r="F33" s="54">
        <v>610</v>
      </c>
      <c r="G33" s="54">
        <v>366</v>
      </c>
      <c r="H33" s="54">
        <v>275</v>
      </c>
      <c r="I33" s="54">
        <v>305</v>
      </c>
      <c r="J33" s="54">
        <v>122</v>
      </c>
      <c r="K33" s="54">
        <v>305</v>
      </c>
      <c r="L33" s="54">
        <v>122</v>
      </c>
      <c r="M33" s="54">
        <f t="shared" si="0"/>
        <v>1308</v>
      </c>
      <c r="N33" s="55">
        <v>4359</v>
      </c>
      <c r="O33" s="54">
        <v>133</v>
      </c>
      <c r="P33" s="54">
        <v>6</v>
      </c>
      <c r="Q33" s="54">
        <v>507</v>
      </c>
      <c r="R33" s="54">
        <v>1000</v>
      </c>
      <c r="S33" s="54">
        <v>410</v>
      </c>
      <c r="T33" s="54">
        <v>827</v>
      </c>
      <c r="U33" s="54">
        <v>0</v>
      </c>
      <c r="V33" s="54">
        <v>440</v>
      </c>
      <c r="W33" s="54">
        <v>1013</v>
      </c>
      <c r="X33" s="54">
        <v>23</v>
      </c>
    </row>
    <row r="34" spans="1:24">
      <c r="A34" s="52">
        <v>46113</v>
      </c>
      <c r="B34" s="53" t="s">
        <v>994</v>
      </c>
      <c r="C34" s="56">
        <v>234.11240968885247</v>
      </c>
      <c r="D34" s="56">
        <v>229.78918775837769</v>
      </c>
      <c r="E34" s="56">
        <v>174.5381789356677</v>
      </c>
      <c r="F34" s="56">
        <v>438.30651220300882</v>
      </c>
      <c r="G34" s="56">
        <v>250.3104272747496</v>
      </c>
      <c r="H34" s="56">
        <v>202.61099217698893</v>
      </c>
      <c r="I34" s="56">
        <v>223.1316444426958</v>
      </c>
      <c r="J34" s="56">
        <v>125.62137321362084</v>
      </c>
      <c r="K34" s="56">
        <v>247.08207548027244</v>
      </c>
      <c r="L34" s="56">
        <v>84.397198825764434</v>
      </c>
      <c r="M34" s="54">
        <f>N34-SUM(C34:L34)</f>
        <v>947.10000000000127</v>
      </c>
      <c r="N34" s="57">
        <v>3157</v>
      </c>
      <c r="O34" s="56">
        <v>158</v>
      </c>
      <c r="P34" s="56">
        <v>3</v>
      </c>
      <c r="Q34" s="56">
        <v>391</v>
      </c>
      <c r="R34" s="56">
        <v>813</v>
      </c>
      <c r="S34" s="56">
        <v>260</v>
      </c>
      <c r="T34" s="56">
        <v>261</v>
      </c>
      <c r="U34" s="56">
        <v>182</v>
      </c>
      <c r="V34" s="56">
        <v>477</v>
      </c>
      <c r="W34" s="56">
        <v>548</v>
      </c>
      <c r="X34" s="56">
        <v>64</v>
      </c>
    </row>
    <row r="35" spans="1:24">
      <c r="A35" s="52">
        <v>46114</v>
      </c>
      <c r="B35" s="53" t="s">
        <v>994</v>
      </c>
      <c r="C35" s="56">
        <v>236.26295130461958</v>
      </c>
      <c r="D35" s="56">
        <v>231.90001653411193</v>
      </c>
      <c r="E35" s="56">
        <v>176.14147547958103</v>
      </c>
      <c r="F35" s="56">
        <v>442.33276777915307</v>
      </c>
      <c r="G35" s="56">
        <v>252.60976284363392</v>
      </c>
      <c r="H35" s="56">
        <v>204.47216378710382</v>
      </c>
      <c r="I35" s="56">
        <v>225.18131745151373</v>
      </c>
      <c r="J35" s="56">
        <v>126.77532311010327</v>
      </c>
      <c r="K35" s="56">
        <v>249.35175561613812</v>
      </c>
      <c r="L35" s="56">
        <v>85.172466094040388</v>
      </c>
      <c r="M35" s="54">
        <f t="shared" si="0"/>
        <v>955.80000000000109</v>
      </c>
      <c r="N35" s="57">
        <v>3186</v>
      </c>
      <c r="O35" s="56">
        <v>164</v>
      </c>
      <c r="P35" s="56">
        <v>6</v>
      </c>
      <c r="Q35" s="56">
        <v>391</v>
      </c>
      <c r="R35" s="56">
        <v>820</v>
      </c>
      <c r="S35" s="56">
        <v>268</v>
      </c>
      <c r="T35" s="56">
        <v>268</v>
      </c>
      <c r="U35" s="56">
        <v>182</v>
      </c>
      <c r="V35" s="56">
        <v>477</v>
      </c>
      <c r="W35" s="56">
        <v>546</v>
      </c>
      <c r="X35" s="56">
        <v>64</v>
      </c>
    </row>
    <row r="36" spans="1:24">
      <c r="A36" s="52">
        <v>46115</v>
      </c>
      <c r="B36" s="53" t="s">
        <v>994</v>
      </c>
      <c r="C36" s="56">
        <v>236.11463808973909</v>
      </c>
      <c r="D36" s="56">
        <v>231.75444213578544</v>
      </c>
      <c r="E36" s="56">
        <v>176.03090330413875</v>
      </c>
      <c r="F36" s="56">
        <v>442.05509498079829</v>
      </c>
      <c r="G36" s="56">
        <v>252.45118797681431</v>
      </c>
      <c r="H36" s="56">
        <v>204.34380712433727</v>
      </c>
      <c r="I36" s="56">
        <v>225.03996069228489</v>
      </c>
      <c r="J36" s="56">
        <v>126.69574035862172</v>
      </c>
      <c r="K36" s="56">
        <v>249.19522595159563</v>
      </c>
      <c r="L36" s="56">
        <v>85.118999385883427</v>
      </c>
      <c r="M36" s="54">
        <f t="shared" si="0"/>
        <v>955.20000000000118</v>
      </c>
      <c r="N36" s="57">
        <v>3184</v>
      </c>
      <c r="O36" s="56">
        <v>164</v>
      </c>
      <c r="P36" s="56">
        <v>6</v>
      </c>
      <c r="Q36" s="56">
        <v>391</v>
      </c>
      <c r="R36" s="56">
        <v>820</v>
      </c>
      <c r="S36" s="56">
        <v>268</v>
      </c>
      <c r="T36" s="56">
        <v>268</v>
      </c>
      <c r="U36" s="56">
        <v>182</v>
      </c>
      <c r="V36" s="56">
        <v>477</v>
      </c>
      <c r="W36" s="56">
        <v>544</v>
      </c>
      <c r="X36" s="56">
        <v>64</v>
      </c>
    </row>
    <row r="37" spans="1:24">
      <c r="A37" s="52">
        <v>46116</v>
      </c>
      <c r="B37" s="53" t="s">
        <v>994</v>
      </c>
      <c r="C37" s="56">
        <v>252.05830868939171</v>
      </c>
      <c r="D37" s="56">
        <v>247.403689955884</v>
      </c>
      <c r="E37" s="56">
        <v>187.91741216418581</v>
      </c>
      <c r="F37" s="56">
        <v>471.90492080393636</v>
      </c>
      <c r="G37" s="56">
        <v>269.49798615992205</v>
      </c>
      <c r="H37" s="56">
        <v>218.14214837174072</v>
      </c>
      <c r="I37" s="56">
        <v>240.23581230938328</v>
      </c>
      <c r="J37" s="56">
        <v>135.25088614288794</v>
      </c>
      <c r="K37" s="56">
        <v>266.02216488991007</v>
      </c>
      <c r="L37" s="56">
        <v>90.866670512756841</v>
      </c>
      <c r="M37" s="54">
        <f t="shared" si="0"/>
        <v>1019.7000000000012</v>
      </c>
      <c r="N37" s="57">
        <v>3399</v>
      </c>
      <c r="O37" s="56">
        <v>188</v>
      </c>
      <c r="P37" s="56">
        <v>7</v>
      </c>
      <c r="Q37" s="56">
        <v>450</v>
      </c>
      <c r="R37" s="56">
        <v>820</v>
      </c>
      <c r="S37" s="56">
        <v>308</v>
      </c>
      <c r="T37" s="56">
        <v>308</v>
      </c>
      <c r="U37" s="56">
        <v>209</v>
      </c>
      <c r="V37" s="56">
        <v>549</v>
      </c>
      <c r="W37" s="56">
        <v>560</v>
      </c>
      <c r="X37" s="56">
        <v>0</v>
      </c>
    </row>
    <row r="38" spans="1:24">
      <c r="A38" s="52">
        <v>46117</v>
      </c>
      <c r="B38" s="53" t="s">
        <v>994</v>
      </c>
      <c r="C38" s="56">
        <v>251.98415208195146</v>
      </c>
      <c r="D38" s="56">
        <v>247.33090275672077</v>
      </c>
      <c r="E38" s="56">
        <v>187.86212607646465</v>
      </c>
      <c r="F38" s="56">
        <v>471.766084404759</v>
      </c>
      <c r="G38" s="56">
        <v>269.41869872651228</v>
      </c>
      <c r="H38" s="56">
        <v>218.07797004035746</v>
      </c>
      <c r="I38" s="56">
        <v>240.1651339297689</v>
      </c>
      <c r="J38" s="56">
        <v>135.21109476714719</v>
      </c>
      <c r="K38" s="56">
        <v>265.94390005763881</v>
      </c>
      <c r="L38" s="56">
        <v>90.839937158678367</v>
      </c>
      <c r="M38" s="54">
        <f t="shared" si="0"/>
        <v>1019.400000000001</v>
      </c>
      <c r="N38" s="57">
        <v>3398</v>
      </c>
      <c r="O38" s="56">
        <v>188</v>
      </c>
      <c r="P38" s="56">
        <v>7</v>
      </c>
      <c r="Q38" s="56">
        <v>450</v>
      </c>
      <c r="R38" s="56">
        <v>820</v>
      </c>
      <c r="S38" s="56">
        <v>308</v>
      </c>
      <c r="T38" s="56">
        <v>308</v>
      </c>
      <c r="U38" s="56">
        <v>209</v>
      </c>
      <c r="V38" s="56">
        <v>549</v>
      </c>
      <c r="W38" s="56">
        <v>559</v>
      </c>
      <c r="X38" s="56">
        <v>0</v>
      </c>
    </row>
    <row r="39" spans="1:24">
      <c r="A39" s="52">
        <v>46118</v>
      </c>
      <c r="B39" s="53" t="s">
        <v>994</v>
      </c>
      <c r="C39" s="56">
        <v>250.05608028850509</v>
      </c>
      <c r="D39" s="56">
        <v>245.43843557847629</v>
      </c>
      <c r="E39" s="56">
        <v>186.42468779571476</v>
      </c>
      <c r="F39" s="56">
        <v>468.1563380261469</v>
      </c>
      <c r="G39" s="56">
        <v>267.35722545785734</v>
      </c>
      <c r="H39" s="56">
        <v>216.40933342439237</v>
      </c>
      <c r="I39" s="56">
        <v>238.32749605979419</v>
      </c>
      <c r="J39" s="56">
        <v>134.17651899788706</v>
      </c>
      <c r="K39" s="56">
        <v>263.90901441858682</v>
      </c>
      <c r="L39" s="56">
        <v>90.144869952637848</v>
      </c>
      <c r="M39" s="54">
        <f t="shared" si="0"/>
        <v>1011.6000000000017</v>
      </c>
      <c r="N39" s="57">
        <v>3372</v>
      </c>
      <c r="O39" s="56">
        <v>188</v>
      </c>
      <c r="P39" s="56">
        <v>7</v>
      </c>
      <c r="Q39" s="56">
        <v>450</v>
      </c>
      <c r="R39" s="56">
        <v>820</v>
      </c>
      <c r="S39" s="56">
        <v>308</v>
      </c>
      <c r="T39" s="56">
        <v>308</v>
      </c>
      <c r="U39" s="56">
        <v>209</v>
      </c>
      <c r="V39" s="56">
        <v>549</v>
      </c>
      <c r="W39" s="56">
        <v>533</v>
      </c>
      <c r="X39" s="56">
        <v>0</v>
      </c>
    </row>
    <row r="40" spans="1:24">
      <c r="A40" s="52">
        <v>46119</v>
      </c>
      <c r="B40" s="53" t="s">
        <v>994</v>
      </c>
      <c r="C40" s="56">
        <v>234.26072290373298</v>
      </c>
      <c r="D40" s="56">
        <v>229.93476215670421</v>
      </c>
      <c r="E40" s="56">
        <v>174.64875111111002</v>
      </c>
      <c r="F40" s="56">
        <v>438.58418500136361</v>
      </c>
      <c r="G40" s="56">
        <v>250.46900214156923</v>
      </c>
      <c r="H40" s="56">
        <v>202.73934883975548</v>
      </c>
      <c r="I40" s="56">
        <v>223.27300120192461</v>
      </c>
      <c r="J40" s="56">
        <v>125.70095596510239</v>
      </c>
      <c r="K40" s="56">
        <v>247.2386051448149</v>
      </c>
      <c r="L40" s="56">
        <v>84.450665533921395</v>
      </c>
      <c r="M40" s="54">
        <f t="shared" si="0"/>
        <v>947.70000000000118</v>
      </c>
      <c r="N40" s="57">
        <v>3159</v>
      </c>
      <c r="O40" s="56">
        <v>164</v>
      </c>
      <c r="P40" s="56">
        <v>6</v>
      </c>
      <c r="Q40" s="56">
        <v>391</v>
      </c>
      <c r="R40" s="56">
        <v>820</v>
      </c>
      <c r="S40" s="56">
        <v>268</v>
      </c>
      <c r="T40" s="56">
        <v>268</v>
      </c>
      <c r="U40" s="56">
        <v>182</v>
      </c>
      <c r="V40" s="56">
        <v>477</v>
      </c>
      <c r="W40" s="56">
        <v>519</v>
      </c>
      <c r="X40" s="56">
        <v>64</v>
      </c>
    </row>
    <row r="41" spans="1:24">
      <c r="A41" s="52">
        <v>46120</v>
      </c>
      <c r="B41" s="53" t="s">
        <v>994</v>
      </c>
      <c r="C41" s="56">
        <v>218.76199194872186</v>
      </c>
      <c r="D41" s="56">
        <v>214.72223753158514</v>
      </c>
      <c r="E41" s="56">
        <v>163.09395877738987</v>
      </c>
      <c r="F41" s="56">
        <v>409.56737757328989</v>
      </c>
      <c r="G41" s="56">
        <v>233.89792855892031</v>
      </c>
      <c r="H41" s="56">
        <v>189.32607758065171</v>
      </c>
      <c r="I41" s="56">
        <v>208.50121986251273</v>
      </c>
      <c r="J41" s="56">
        <v>117.38455843528081</v>
      </c>
      <c r="K41" s="56">
        <v>230.8812552001279</v>
      </c>
      <c r="L41" s="56">
        <v>78.863394531518892</v>
      </c>
      <c r="M41" s="54">
        <f t="shared" si="0"/>
        <v>885.00000000000091</v>
      </c>
      <c r="N41" s="57">
        <v>2950</v>
      </c>
      <c r="O41" s="56">
        <v>164</v>
      </c>
      <c r="P41" s="56">
        <v>6</v>
      </c>
      <c r="Q41" s="56">
        <v>391</v>
      </c>
      <c r="R41" s="56">
        <v>820</v>
      </c>
      <c r="S41" s="56">
        <v>268</v>
      </c>
      <c r="T41" s="56">
        <v>100</v>
      </c>
      <c r="U41" s="56">
        <v>182</v>
      </c>
      <c r="V41" s="56">
        <v>477</v>
      </c>
      <c r="W41" s="56">
        <v>478</v>
      </c>
      <c r="X41" s="56">
        <v>64</v>
      </c>
    </row>
    <row r="42" spans="1:24">
      <c r="A42" s="52">
        <v>46121</v>
      </c>
      <c r="B42" s="53" t="s">
        <v>994</v>
      </c>
      <c r="C42" s="56">
        <v>233.0000605772488</v>
      </c>
      <c r="D42" s="56">
        <v>228.69737977092896</v>
      </c>
      <c r="E42" s="56">
        <v>173.70888761985046</v>
      </c>
      <c r="F42" s="56">
        <v>436.22396621534801</v>
      </c>
      <c r="G42" s="56">
        <v>249.12111577360255</v>
      </c>
      <c r="H42" s="56">
        <v>201.64831720623985</v>
      </c>
      <c r="I42" s="56">
        <v>222.07146874847962</v>
      </c>
      <c r="J42" s="56">
        <v>125.02450257750924</v>
      </c>
      <c r="K42" s="56">
        <v>245.90810299620398</v>
      </c>
      <c r="L42" s="56">
        <v>83.996198514587221</v>
      </c>
      <c r="M42" s="54">
        <f t="shared" si="0"/>
        <v>942.60000000000127</v>
      </c>
      <c r="N42" s="57">
        <v>3142</v>
      </c>
      <c r="O42" s="56">
        <v>164</v>
      </c>
      <c r="P42" s="56">
        <v>6</v>
      </c>
      <c r="Q42" s="56">
        <v>391</v>
      </c>
      <c r="R42" s="56">
        <v>820</v>
      </c>
      <c r="S42" s="56">
        <v>268</v>
      </c>
      <c r="T42" s="56">
        <v>268</v>
      </c>
      <c r="U42" s="56">
        <v>182</v>
      </c>
      <c r="V42" s="56">
        <v>477</v>
      </c>
      <c r="W42" s="56">
        <v>502</v>
      </c>
      <c r="X42" s="56">
        <v>64</v>
      </c>
    </row>
    <row r="43" spans="1:24">
      <c r="A43" s="52">
        <v>46122</v>
      </c>
      <c r="B43" s="53" t="s">
        <v>994</v>
      </c>
      <c r="C43" s="56">
        <v>233.37084361445002</v>
      </c>
      <c r="D43" s="56">
        <v>229.0613157667452</v>
      </c>
      <c r="E43" s="56">
        <v>173.98531805845622</v>
      </c>
      <c r="F43" s="56">
        <v>436.91814821123495</v>
      </c>
      <c r="G43" s="56">
        <v>249.51755294065157</v>
      </c>
      <c r="H43" s="56">
        <v>201.96920886315621</v>
      </c>
      <c r="I43" s="56">
        <v>222.42486064655168</v>
      </c>
      <c r="J43" s="56">
        <v>125.22345945621311</v>
      </c>
      <c r="K43" s="56">
        <v>246.29942715756013</v>
      </c>
      <c r="L43" s="56">
        <v>84.12986528497963</v>
      </c>
      <c r="M43" s="54">
        <f t="shared" si="0"/>
        <v>944.10000000000127</v>
      </c>
      <c r="N43" s="57">
        <v>3147</v>
      </c>
      <c r="O43" s="56">
        <v>164</v>
      </c>
      <c r="P43" s="56">
        <v>6</v>
      </c>
      <c r="Q43" s="56">
        <v>391</v>
      </c>
      <c r="R43" s="56">
        <v>820</v>
      </c>
      <c r="S43" s="56">
        <v>268</v>
      </c>
      <c r="T43" s="56">
        <v>268</v>
      </c>
      <c r="U43" s="56">
        <v>182</v>
      </c>
      <c r="V43" s="56">
        <v>477</v>
      </c>
      <c r="W43" s="56">
        <v>507</v>
      </c>
      <c r="X43" s="56">
        <v>64</v>
      </c>
    </row>
    <row r="44" spans="1:24">
      <c r="A44" s="52">
        <v>46123</v>
      </c>
      <c r="B44" s="53" t="s">
        <v>994</v>
      </c>
      <c r="C44" s="56">
        <v>259.91890907805765</v>
      </c>
      <c r="D44" s="56">
        <v>255.11913306718844</v>
      </c>
      <c r="E44" s="56">
        <v>193.77773746262761</v>
      </c>
      <c r="F44" s="56">
        <v>486.62157911673938</v>
      </c>
      <c r="G44" s="56">
        <v>277.90245410136129</v>
      </c>
      <c r="H44" s="56">
        <v>224.94505149836755</v>
      </c>
      <c r="I44" s="56">
        <v>247.72772054851089</v>
      </c>
      <c r="J44" s="56">
        <v>139.46877197140992</v>
      </c>
      <c r="K44" s="56">
        <v>274.31823711066045</v>
      </c>
      <c r="L44" s="56">
        <v>93.700406045075837</v>
      </c>
      <c r="M44" s="54">
        <f t="shared" si="0"/>
        <v>1051.5000000000009</v>
      </c>
      <c r="N44" s="57">
        <v>3505</v>
      </c>
      <c r="O44" s="56">
        <v>188</v>
      </c>
      <c r="P44" s="56">
        <v>7</v>
      </c>
      <c r="Q44" s="56">
        <v>450</v>
      </c>
      <c r="R44" s="56">
        <v>960</v>
      </c>
      <c r="S44" s="56">
        <v>308</v>
      </c>
      <c r="T44" s="56">
        <v>308</v>
      </c>
      <c r="U44" s="56">
        <v>209</v>
      </c>
      <c r="V44" s="56">
        <v>549</v>
      </c>
      <c r="W44" s="56">
        <v>526</v>
      </c>
      <c r="X44" s="56">
        <v>0</v>
      </c>
    </row>
    <row r="45" spans="1:24">
      <c r="A45" s="52">
        <v>46124</v>
      </c>
      <c r="B45" s="53" t="s">
        <v>994</v>
      </c>
      <c r="C45" s="56">
        <v>260.51216193757961</v>
      </c>
      <c r="D45" s="56">
        <v>255.70143066049445</v>
      </c>
      <c r="E45" s="56">
        <v>194.22002616439681</v>
      </c>
      <c r="F45" s="56">
        <v>487.73227031015841</v>
      </c>
      <c r="G45" s="56">
        <v>278.53675356863971</v>
      </c>
      <c r="H45" s="56">
        <v>225.45847814943372</v>
      </c>
      <c r="I45" s="56">
        <v>248.29314758542617</v>
      </c>
      <c r="J45" s="56">
        <v>139.7871029773361</v>
      </c>
      <c r="K45" s="56">
        <v>274.94435576883029</v>
      </c>
      <c r="L45" s="56">
        <v>93.914272877703681</v>
      </c>
      <c r="M45" s="54">
        <f t="shared" si="0"/>
        <v>1053.900000000001</v>
      </c>
      <c r="N45" s="57">
        <v>3513</v>
      </c>
      <c r="O45" s="56">
        <v>188</v>
      </c>
      <c r="P45" s="56">
        <v>7</v>
      </c>
      <c r="Q45" s="56">
        <v>450</v>
      </c>
      <c r="R45" s="56">
        <v>960</v>
      </c>
      <c r="S45" s="56">
        <v>308</v>
      </c>
      <c r="T45" s="56">
        <v>308</v>
      </c>
      <c r="U45" s="56">
        <v>209</v>
      </c>
      <c r="V45" s="56">
        <v>549</v>
      </c>
      <c r="W45" s="56">
        <v>534</v>
      </c>
      <c r="X45" s="56">
        <v>0</v>
      </c>
    </row>
    <row r="46" spans="1:24">
      <c r="A46" s="52">
        <v>46125</v>
      </c>
      <c r="B46" s="53" t="s">
        <v>994</v>
      </c>
      <c r="C46" s="56">
        <v>244.04939508584528</v>
      </c>
      <c r="D46" s="56">
        <v>239.54267244625311</v>
      </c>
      <c r="E46" s="56">
        <v>181.94651469030171</v>
      </c>
      <c r="F46" s="56">
        <v>456.91058969277861</v>
      </c>
      <c r="G46" s="56">
        <v>260.93494335166332</v>
      </c>
      <c r="H46" s="56">
        <v>211.21088858234737</v>
      </c>
      <c r="I46" s="56">
        <v>232.60254731102691</v>
      </c>
      <c r="J46" s="56">
        <v>130.95341756288445</v>
      </c>
      <c r="K46" s="56">
        <v>257.56956300461724</v>
      </c>
      <c r="L46" s="56">
        <v>87.979468272280897</v>
      </c>
      <c r="M46" s="54">
        <f t="shared" si="0"/>
        <v>987.30000000000109</v>
      </c>
      <c r="N46" s="57">
        <v>3291</v>
      </c>
      <c r="O46" s="56">
        <v>164</v>
      </c>
      <c r="P46" s="56">
        <v>6</v>
      </c>
      <c r="Q46" s="56">
        <v>391</v>
      </c>
      <c r="R46" s="56">
        <v>960</v>
      </c>
      <c r="S46" s="56">
        <v>268</v>
      </c>
      <c r="T46" s="56">
        <v>268</v>
      </c>
      <c r="U46" s="56">
        <v>182</v>
      </c>
      <c r="V46" s="56">
        <v>477</v>
      </c>
      <c r="W46" s="56">
        <v>511</v>
      </c>
      <c r="X46" s="56">
        <v>64</v>
      </c>
    </row>
    <row r="47" spans="1:24">
      <c r="A47" s="52">
        <v>46126</v>
      </c>
      <c r="B47" s="53" t="s">
        <v>994</v>
      </c>
      <c r="C47" s="56">
        <v>244.86511776768796</v>
      </c>
      <c r="D47" s="56">
        <v>240.34333163704883</v>
      </c>
      <c r="E47" s="56">
        <v>182.55466165523433</v>
      </c>
      <c r="F47" s="56">
        <v>458.43779008372985</v>
      </c>
      <c r="G47" s="56">
        <v>261.80710511917113</v>
      </c>
      <c r="H47" s="56">
        <v>211.91685022756334</v>
      </c>
      <c r="I47" s="56">
        <v>233.38000948678541</v>
      </c>
      <c r="J47" s="56">
        <v>131.39112269603294</v>
      </c>
      <c r="K47" s="56">
        <v>258.43047615960074</v>
      </c>
      <c r="L47" s="56">
        <v>88.273535167144175</v>
      </c>
      <c r="M47" s="54">
        <f t="shared" si="0"/>
        <v>990.60000000000127</v>
      </c>
      <c r="N47" s="57">
        <v>3302</v>
      </c>
      <c r="O47" s="56">
        <v>164</v>
      </c>
      <c r="P47" s="56">
        <v>6</v>
      </c>
      <c r="Q47" s="56">
        <v>391</v>
      </c>
      <c r="R47" s="56">
        <v>960</v>
      </c>
      <c r="S47" s="56">
        <v>268</v>
      </c>
      <c r="T47" s="56">
        <v>268</v>
      </c>
      <c r="U47" s="56">
        <v>182</v>
      </c>
      <c r="V47" s="56">
        <v>477</v>
      </c>
      <c r="W47" s="56">
        <v>522</v>
      </c>
      <c r="X47" s="56">
        <v>64</v>
      </c>
    </row>
    <row r="48" spans="1:24">
      <c r="A48" s="52">
        <v>46127</v>
      </c>
      <c r="B48" s="53" t="s">
        <v>994</v>
      </c>
      <c r="C48" s="56">
        <v>245.01343098256845</v>
      </c>
      <c r="D48" s="56">
        <v>240.48890603537535</v>
      </c>
      <c r="E48" s="56">
        <v>182.66523383067664</v>
      </c>
      <c r="F48" s="56">
        <v>458.71546288208464</v>
      </c>
      <c r="G48" s="56">
        <v>261.96567998599073</v>
      </c>
      <c r="H48" s="56">
        <v>212.04520689032989</v>
      </c>
      <c r="I48" s="56">
        <v>233.52136624601422</v>
      </c>
      <c r="J48" s="56">
        <v>131.47070544751449</v>
      </c>
      <c r="K48" s="56">
        <v>258.5870058241432</v>
      </c>
      <c r="L48" s="56">
        <v>88.32700187530115</v>
      </c>
      <c r="M48" s="54">
        <f t="shared" si="0"/>
        <v>991.20000000000164</v>
      </c>
      <c r="N48" s="57">
        <v>3304</v>
      </c>
      <c r="O48" s="56">
        <v>164</v>
      </c>
      <c r="P48" s="56">
        <v>6</v>
      </c>
      <c r="Q48" s="56">
        <v>391</v>
      </c>
      <c r="R48" s="56">
        <v>960</v>
      </c>
      <c r="S48" s="56">
        <v>268</v>
      </c>
      <c r="T48" s="56">
        <v>268</v>
      </c>
      <c r="U48" s="56">
        <v>182</v>
      </c>
      <c r="V48" s="56">
        <v>477</v>
      </c>
      <c r="W48" s="56">
        <v>524</v>
      </c>
      <c r="X48" s="56">
        <v>64</v>
      </c>
    </row>
    <row r="49" spans="1:24">
      <c r="A49" s="52">
        <v>46128</v>
      </c>
      <c r="B49" s="53" t="s">
        <v>994</v>
      </c>
      <c r="C49" s="56">
        <v>244.86511776768796</v>
      </c>
      <c r="D49" s="56">
        <v>240.34333163704883</v>
      </c>
      <c r="E49" s="56">
        <v>182.55466165523433</v>
      </c>
      <c r="F49" s="56">
        <v>458.43779008372985</v>
      </c>
      <c r="G49" s="56">
        <v>261.80710511917113</v>
      </c>
      <c r="H49" s="56">
        <v>211.91685022756334</v>
      </c>
      <c r="I49" s="56">
        <v>233.38000948678541</v>
      </c>
      <c r="J49" s="56">
        <v>131.39112269603294</v>
      </c>
      <c r="K49" s="56">
        <v>258.43047615960074</v>
      </c>
      <c r="L49" s="56">
        <v>88.273535167144175</v>
      </c>
      <c r="M49" s="54">
        <f t="shared" si="0"/>
        <v>990.60000000000127</v>
      </c>
      <c r="N49" s="57">
        <v>3302</v>
      </c>
      <c r="O49" s="56">
        <v>164</v>
      </c>
      <c r="P49" s="56">
        <v>6</v>
      </c>
      <c r="Q49" s="56">
        <v>391</v>
      </c>
      <c r="R49" s="56">
        <v>960</v>
      </c>
      <c r="S49" s="56">
        <v>268</v>
      </c>
      <c r="T49" s="56">
        <v>268</v>
      </c>
      <c r="U49" s="56">
        <v>182</v>
      </c>
      <c r="V49" s="56">
        <v>477</v>
      </c>
      <c r="W49" s="56">
        <v>522</v>
      </c>
      <c r="X49" s="56">
        <v>64</v>
      </c>
    </row>
    <row r="50" spans="1:24">
      <c r="A50" s="52">
        <v>46129</v>
      </c>
      <c r="B50" s="53" t="s">
        <v>994</v>
      </c>
      <c r="C50" s="56">
        <v>246.12578009417211</v>
      </c>
      <c r="D50" s="56">
        <v>241.58071402282408</v>
      </c>
      <c r="E50" s="56">
        <v>183.49452514649386</v>
      </c>
      <c r="F50" s="56">
        <v>460.79800886974544</v>
      </c>
      <c r="G50" s="56">
        <v>263.15499148713781</v>
      </c>
      <c r="H50" s="56">
        <v>213.00788186107897</v>
      </c>
      <c r="I50" s="56">
        <v>234.58154194023041</v>
      </c>
      <c r="J50" s="56">
        <v>132.06757608362611</v>
      </c>
      <c r="K50" s="56">
        <v>259.76097830821169</v>
      </c>
      <c r="L50" s="56">
        <v>88.728002186478363</v>
      </c>
      <c r="M50" s="54">
        <f t="shared" si="0"/>
        <v>995.70000000000118</v>
      </c>
      <c r="N50" s="57">
        <v>3319</v>
      </c>
      <c r="O50" s="56">
        <v>164</v>
      </c>
      <c r="P50" s="56">
        <v>6</v>
      </c>
      <c r="Q50" s="56">
        <v>391</v>
      </c>
      <c r="R50" s="56">
        <v>960</v>
      </c>
      <c r="S50" s="56">
        <v>268</v>
      </c>
      <c r="T50" s="56">
        <v>268</v>
      </c>
      <c r="U50" s="56">
        <v>182</v>
      </c>
      <c r="V50" s="56">
        <v>477</v>
      </c>
      <c r="W50" s="56">
        <v>539</v>
      </c>
      <c r="X50" s="56">
        <v>64</v>
      </c>
    </row>
    <row r="51" spans="1:24">
      <c r="A51" s="52">
        <v>46130</v>
      </c>
      <c r="B51" s="53" t="s">
        <v>994</v>
      </c>
      <c r="C51" s="56">
        <v>263.1817998054284</v>
      </c>
      <c r="D51" s="56">
        <v>258.32176983037141</v>
      </c>
      <c r="E51" s="56">
        <v>196.21032532235816</v>
      </c>
      <c r="F51" s="56">
        <v>492.73038068054433</v>
      </c>
      <c r="G51" s="56">
        <v>281.39110117139256</v>
      </c>
      <c r="H51" s="56">
        <v>227.76889807923149</v>
      </c>
      <c r="I51" s="56">
        <v>250.83756925154495</v>
      </c>
      <c r="J51" s="56">
        <v>141.21959250400391</v>
      </c>
      <c r="K51" s="56">
        <v>277.76188973059453</v>
      </c>
      <c r="L51" s="56">
        <v>94.876673624528976</v>
      </c>
      <c r="M51" s="54">
        <f t="shared" si="0"/>
        <v>1064.7000000000012</v>
      </c>
      <c r="N51" s="57">
        <v>3549</v>
      </c>
      <c r="O51" s="56">
        <v>188</v>
      </c>
      <c r="P51" s="56">
        <v>7</v>
      </c>
      <c r="Q51" s="56">
        <v>450</v>
      </c>
      <c r="R51" s="56">
        <v>960</v>
      </c>
      <c r="S51" s="56">
        <v>308</v>
      </c>
      <c r="T51" s="56">
        <v>308</v>
      </c>
      <c r="U51" s="56">
        <v>209</v>
      </c>
      <c r="V51" s="56">
        <v>549</v>
      </c>
      <c r="W51" s="56">
        <v>570</v>
      </c>
      <c r="X51" s="56">
        <v>0</v>
      </c>
    </row>
    <row r="52" spans="1:24">
      <c r="A52" s="52">
        <v>46131</v>
      </c>
      <c r="B52" s="53" t="s">
        <v>994</v>
      </c>
      <c r="C52" s="56">
        <v>263.47842623518943</v>
      </c>
      <c r="D52" s="56">
        <v>258.61291862702438</v>
      </c>
      <c r="E52" s="56">
        <v>196.43146967324276</v>
      </c>
      <c r="F52" s="56">
        <v>493.2857262772539</v>
      </c>
      <c r="G52" s="56">
        <v>281.70825090503183</v>
      </c>
      <c r="H52" s="56">
        <v>228.02561140476459</v>
      </c>
      <c r="I52" s="56">
        <v>251.1202827700026</v>
      </c>
      <c r="J52" s="56">
        <v>141.37875800696702</v>
      </c>
      <c r="K52" s="56">
        <v>278.07494905967945</v>
      </c>
      <c r="L52" s="56">
        <v>94.983607040842912</v>
      </c>
      <c r="M52" s="54">
        <f t="shared" si="0"/>
        <v>1065.900000000001</v>
      </c>
      <c r="N52" s="57">
        <v>3553</v>
      </c>
      <c r="O52" s="56">
        <v>188</v>
      </c>
      <c r="P52" s="56">
        <v>7</v>
      </c>
      <c r="Q52" s="56">
        <v>450</v>
      </c>
      <c r="R52" s="56">
        <v>960</v>
      </c>
      <c r="S52" s="56">
        <v>308</v>
      </c>
      <c r="T52" s="56">
        <v>308</v>
      </c>
      <c r="U52" s="56">
        <v>209</v>
      </c>
      <c r="V52" s="56">
        <v>549</v>
      </c>
      <c r="W52" s="56">
        <v>574</v>
      </c>
      <c r="X52" s="56">
        <v>0</v>
      </c>
    </row>
    <row r="53" spans="1:24">
      <c r="A53" s="52">
        <v>46132</v>
      </c>
      <c r="B53" s="53" t="s">
        <v>994</v>
      </c>
      <c r="C53" s="56">
        <v>248.49879153225996</v>
      </c>
      <c r="D53" s="56">
        <v>243.90990439604806</v>
      </c>
      <c r="E53" s="56">
        <v>185.26367995357066</v>
      </c>
      <c r="F53" s="56">
        <v>465.24077364342179</v>
      </c>
      <c r="G53" s="56">
        <v>265.6921893562515</v>
      </c>
      <c r="H53" s="56">
        <v>215.06158846534368</v>
      </c>
      <c r="I53" s="56">
        <v>236.84325008789156</v>
      </c>
      <c r="J53" s="56">
        <v>133.34090010733084</v>
      </c>
      <c r="K53" s="56">
        <v>262.26545294089101</v>
      </c>
      <c r="L53" s="56">
        <v>89.583469516989751</v>
      </c>
      <c r="M53" s="54">
        <f t="shared" si="0"/>
        <v>1005.3000000000011</v>
      </c>
      <c r="N53" s="57">
        <v>3351</v>
      </c>
      <c r="O53" s="56">
        <v>164</v>
      </c>
      <c r="P53" s="56">
        <v>6</v>
      </c>
      <c r="Q53" s="56">
        <v>391</v>
      </c>
      <c r="R53" s="56">
        <v>960</v>
      </c>
      <c r="S53" s="56">
        <v>268</v>
      </c>
      <c r="T53" s="56">
        <v>268</v>
      </c>
      <c r="U53" s="56">
        <v>182</v>
      </c>
      <c r="V53" s="56">
        <v>477</v>
      </c>
      <c r="W53" s="56">
        <v>571</v>
      </c>
      <c r="X53" s="56">
        <v>64</v>
      </c>
    </row>
    <row r="54" spans="1:24">
      <c r="A54" s="52">
        <v>46133</v>
      </c>
      <c r="B54" s="53" t="s">
        <v>994</v>
      </c>
      <c r="C54" s="56">
        <v>262.88517337566748</v>
      </c>
      <c r="D54" s="56">
        <v>258.03062103371843</v>
      </c>
      <c r="E54" s="56">
        <v>195.98918097147359</v>
      </c>
      <c r="F54" s="56">
        <v>492.17503508383481</v>
      </c>
      <c r="G54" s="56">
        <v>281.07395143775341</v>
      </c>
      <c r="H54" s="56">
        <v>227.51218475369842</v>
      </c>
      <c r="I54" s="56">
        <v>250.55485573308735</v>
      </c>
      <c r="J54" s="56">
        <v>141.06042700104084</v>
      </c>
      <c r="K54" s="56">
        <v>277.44883040150961</v>
      </c>
      <c r="L54" s="56">
        <v>94.769740208215069</v>
      </c>
      <c r="M54" s="54">
        <f t="shared" si="0"/>
        <v>1063.5000000000014</v>
      </c>
      <c r="N54" s="57">
        <v>3545</v>
      </c>
      <c r="O54" s="56">
        <v>164</v>
      </c>
      <c r="P54" s="56">
        <v>7</v>
      </c>
      <c r="Q54" s="56">
        <v>391</v>
      </c>
      <c r="R54" s="56">
        <v>1136</v>
      </c>
      <c r="S54" s="56">
        <v>268</v>
      </c>
      <c r="T54" s="56">
        <v>268</v>
      </c>
      <c r="U54" s="56">
        <v>182</v>
      </c>
      <c r="V54" s="56">
        <v>477</v>
      </c>
      <c r="W54" s="56">
        <v>588</v>
      </c>
      <c r="X54" s="56">
        <v>64</v>
      </c>
    </row>
    <row r="55" spans="1:24">
      <c r="A55" s="52">
        <v>46134</v>
      </c>
      <c r="B55" s="53" t="s">
        <v>994</v>
      </c>
      <c r="C55" s="56">
        <v>265.1098715988748</v>
      </c>
      <c r="D55" s="56">
        <v>260.2142370086159</v>
      </c>
      <c r="E55" s="56">
        <v>197.64776360310805</v>
      </c>
      <c r="F55" s="56">
        <v>496.34012705915643</v>
      </c>
      <c r="G55" s="56">
        <v>283.4525744400475</v>
      </c>
      <c r="H55" s="56">
        <v>229.43753469519658</v>
      </c>
      <c r="I55" s="56">
        <v>252.67520712151966</v>
      </c>
      <c r="J55" s="56">
        <v>142.25416827326404</v>
      </c>
      <c r="K55" s="56">
        <v>279.79677536964653</v>
      </c>
      <c r="L55" s="56">
        <v>95.571740830569496</v>
      </c>
      <c r="M55" s="54">
        <f t="shared" si="0"/>
        <v>1072.5000000000009</v>
      </c>
      <c r="N55" s="57">
        <v>3575</v>
      </c>
      <c r="O55" s="56">
        <v>164</v>
      </c>
      <c r="P55" s="56">
        <v>7</v>
      </c>
      <c r="Q55" s="56">
        <v>391</v>
      </c>
      <c r="R55" s="56">
        <v>1136</v>
      </c>
      <c r="S55" s="56">
        <v>268</v>
      </c>
      <c r="T55" s="56">
        <v>268</v>
      </c>
      <c r="U55" s="56">
        <v>182</v>
      </c>
      <c r="V55" s="56">
        <v>477</v>
      </c>
      <c r="W55" s="56">
        <v>618</v>
      </c>
      <c r="X55" s="56">
        <v>64</v>
      </c>
    </row>
    <row r="56" spans="1:24">
      <c r="A56" s="52">
        <v>46135</v>
      </c>
      <c r="B56" s="53" t="s">
        <v>994</v>
      </c>
      <c r="C56" s="56">
        <v>265.92559428071746</v>
      </c>
      <c r="D56" s="56">
        <v>261.01489619941162</v>
      </c>
      <c r="E56" s="56">
        <v>198.25591056804069</v>
      </c>
      <c r="F56" s="56">
        <v>497.86732745010761</v>
      </c>
      <c r="G56" s="56">
        <v>284.3247362075553</v>
      </c>
      <c r="H56" s="56">
        <v>230.14349634041255</v>
      </c>
      <c r="I56" s="56">
        <v>253.45266929727816</v>
      </c>
      <c r="J56" s="56">
        <v>142.69187340641253</v>
      </c>
      <c r="K56" s="56">
        <v>280.65768852463003</v>
      </c>
      <c r="L56" s="56">
        <v>95.865807725432788</v>
      </c>
      <c r="M56" s="54">
        <f t="shared" si="0"/>
        <v>1075.8000000000015</v>
      </c>
      <c r="N56" s="57">
        <v>3586</v>
      </c>
      <c r="O56" s="56">
        <v>164</v>
      </c>
      <c r="P56" s="56">
        <v>7</v>
      </c>
      <c r="Q56" s="56">
        <v>391</v>
      </c>
      <c r="R56" s="56">
        <v>1136</v>
      </c>
      <c r="S56" s="56">
        <v>268</v>
      </c>
      <c r="T56" s="56">
        <v>268</v>
      </c>
      <c r="U56" s="56">
        <v>182</v>
      </c>
      <c r="V56" s="56">
        <v>477</v>
      </c>
      <c r="W56" s="56">
        <v>629</v>
      </c>
      <c r="X56" s="56">
        <v>64</v>
      </c>
    </row>
    <row r="57" spans="1:24">
      <c r="A57" s="52">
        <v>46136</v>
      </c>
      <c r="B57" s="53" t="s">
        <v>994</v>
      </c>
      <c r="C57" s="56">
        <v>266.6671603551199</v>
      </c>
      <c r="D57" s="56">
        <v>261.74276819104409</v>
      </c>
      <c r="E57" s="56">
        <v>198.80877144525218</v>
      </c>
      <c r="F57" s="56">
        <v>499.25569144188148</v>
      </c>
      <c r="G57" s="56">
        <v>285.11761054165339</v>
      </c>
      <c r="H57" s="56">
        <v>230.78527965424527</v>
      </c>
      <c r="I57" s="56">
        <v>254.15945309342229</v>
      </c>
      <c r="J57" s="56">
        <v>143.08978716382026</v>
      </c>
      <c r="K57" s="56">
        <v>281.44033684734234</v>
      </c>
      <c r="L57" s="56">
        <v>96.133141266217592</v>
      </c>
      <c r="M57" s="54">
        <f t="shared" si="0"/>
        <v>1078.8000000000015</v>
      </c>
      <c r="N57" s="57">
        <v>3596</v>
      </c>
      <c r="O57" s="56">
        <v>164</v>
      </c>
      <c r="P57" s="56">
        <v>7</v>
      </c>
      <c r="Q57" s="56">
        <v>391</v>
      </c>
      <c r="R57" s="56">
        <v>1136</v>
      </c>
      <c r="S57" s="56">
        <v>268</v>
      </c>
      <c r="T57" s="56">
        <v>268</v>
      </c>
      <c r="U57" s="56">
        <v>182</v>
      </c>
      <c r="V57" s="56">
        <v>477</v>
      </c>
      <c r="W57" s="56">
        <v>639</v>
      </c>
      <c r="X57" s="56">
        <v>64</v>
      </c>
    </row>
    <row r="58" spans="1:24">
      <c r="A58" s="52">
        <v>46137</v>
      </c>
      <c r="B58" s="53" t="s">
        <v>994</v>
      </c>
      <c r="C58" s="56">
        <v>287.43101043838845</v>
      </c>
      <c r="D58" s="56">
        <v>282.12318395675391</v>
      </c>
      <c r="E58" s="56">
        <v>214.28887600717394</v>
      </c>
      <c r="F58" s="56">
        <v>538.12988321154967</v>
      </c>
      <c r="G58" s="56">
        <v>307.31809189639836</v>
      </c>
      <c r="H58" s="56">
        <v>248.75521244156135</v>
      </c>
      <c r="I58" s="56">
        <v>273.94939938545741</v>
      </c>
      <c r="J58" s="56">
        <v>154.23137237123674</v>
      </c>
      <c r="K58" s="56">
        <v>303.35448988328665</v>
      </c>
      <c r="L58" s="56">
        <v>103.61848040819227</v>
      </c>
      <c r="M58" s="54">
        <f t="shared" si="0"/>
        <v>1162.8000000000015</v>
      </c>
      <c r="N58" s="57">
        <v>3876</v>
      </c>
      <c r="O58" s="56">
        <v>188</v>
      </c>
      <c r="P58" s="56">
        <v>7</v>
      </c>
      <c r="Q58" s="56">
        <v>450</v>
      </c>
      <c r="R58" s="56">
        <v>1136</v>
      </c>
      <c r="S58" s="56">
        <v>308</v>
      </c>
      <c r="T58" s="56">
        <v>308</v>
      </c>
      <c r="U58" s="56">
        <v>209</v>
      </c>
      <c r="V58" s="56">
        <v>549</v>
      </c>
      <c r="W58" s="56">
        <v>721</v>
      </c>
      <c r="X58" s="56">
        <v>0</v>
      </c>
    </row>
    <row r="59" spans="1:24">
      <c r="A59" s="52">
        <v>46138</v>
      </c>
      <c r="B59" s="53" t="s">
        <v>994</v>
      </c>
      <c r="C59" s="56">
        <v>278.82884397532007</v>
      </c>
      <c r="D59" s="56">
        <v>273.67986885381703</v>
      </c>
      <c r="E59" s="56">
        <v>207.87568983152065</v>
      </c>
      <c r="F59" s="56">
        <v>522.02486090697289</v>
      </c>
      <c r="G59" s="56">
        <v>298.12074962086115</v>
      </c>
      <c r="H59" s="56">
        <v>241.31052600110183</v>
      </c>
      <c r="I59" s="56">
        <v>265.75070735018573</v>
      </c>
      <c r="J59" s="56">
        <v>149.61557278530708</v>
      </c>
      <c r="K59" s="56">
        <v>294.27576933982402</v>
      </c>
      <c r="L59" s="56">
        <v>100.51741133508848</v>
      </c>
      <c r="M59" s="54">
        <f t="shared" si="0"/>
        <v>1128.0000000000009</v>
      </c>
      <c r="N59" s="57">
        <v>3760</v>
      </c>
      <c r="O59" s="56">
        <v>188</v>
      </c>
      <c r="P59" s="56">
        <v>7</v>
      </c>
      <c r="Q59" s="56">
        <v>450</v>
      </c>
      <c r="R59" s="56">
        <v>1136</v>
      </c>
      <c r="S59" s="56">
        <v>308</v>
      </c>
      <c r="T59" s="56">
        <v>308</v>
      </c>
      <c r="U59" s="56">
        <v>209</v>
      </c>
      <c r="V59" s="56">
        <v>549</v>
      </c>
      <c r="W59" s="56">
        <v>605</v>
      </c>
      <c r="X59" s="56">
        <v>0</v>
      </c>
    </row>
    <row r="60" spans="1:24">
      <c r="A60" s="52">
        <v>46139</v>
      </c>
      <c r="B60" s="53" t="s">
        <v>994</v>
      </c>
      <c r="C60" s="56">
        <v>276.38167592979192</v>
      </c>
      <c r="D60" s="56">
        <v>271.27789128142973</v>
      </c>
      <c r="E60" s="56">
        <v>206.05124893672269</v>
      </c>
      <c r="F60" s="56">
        <v>517.44325973411912</v>
      </c>
      <c r="G60" s="56">
        <v>295.50426431833762</v>
      </c>
      <c r="H60" s="56">
        <v>239.19264106545384</v>
      </c>
      <c r="I60" s="56">
        <v>263.41832082291012</v>
      </c>
      <c r="J60" s="56">
        <v>148.30245738586154</v>
      </c>
      <c r="K60" s="56">
        <v>291.69302987487339</v>
      </c>
      <c r="L60" s="56">
        <v>99.635210650498593</v>
      </c>
      <c r="M60" s="54">
        <f t="shared" si="0"/>
        <v>1118.1000000000013</v>
      </c>
      <c r="N60" s="57">
        <v>3727</v>
      </c>
      <c r="O60" s="56">
        <v>164</v>
      </c>
      <c r="P60" s="56">
        <v>6</v>
      </c>
      <c r="Q60" s="56">
        <v>391</v>
      </c>
      <c r="R60" s="56">
        <v>1136</v>
      </c>
      <c r="S60" s="56">
        <v>268</v>
      </c>
      <c r="T60" s="56">
        <v>436</v>
      </c>
      <c r="U60" s="56">
        <v>182</v>
      </c>
      <c r="V60" s="56">
        <v>477</v>
      </c>
      <c r="W60" s="56">
        <v>603</v>
      </c>
      <c r="X60" s="56">
        <v>64</v>
      </c>
    </row>
    <row r="61" spans="1:24">
      <c r="A61" s="52">
        <v>46140</v>
      </c>
      <c r="B61" s="53" t="s">
        <v>994</v>
      </c>
      <c r="C61" s="56">
        <v>264.88740177655404</v>
      </c>
      <c r="D61" s="56">
        <v>259.99587541112612</v>
      </c>
      <c r="E61" s="56">
        <v>197.48190533994457</v>
      </c>
      <c r="F61" s="56">
        <v>495.92361786162417</v>
      </c>
      <c r="G61" s="56">
        <v>283.21471213981806</v>
      </c>
      <c r="H61" s="56">
        <v>229.24499970104671</v>
      </c>
      <c r="I61" s="56">
        <v>252.46317198267641</v>
      </c>
      <c r="J61" s="56">
        <v>142.13479414604168</v>
      </c>
      <c r="K61" s="56">
        <v>279.56198087283281</v>
      </c>
      <c r="L61" s="56">
        <v>95.491540768334048</v>
      </c>
      <c r="M61" s="54">
        <f t="shared" si="0"/>
        <v>1071.6000000000017</v>
      </c>
      <c r="N61" s="57">
        <v>3572</v>
      </c>
      <c r="O61" s="56">
        <v>164</v>
      </c>
      <c r="P61" s="56">
        <v>6</v>
      </c>
      <c r="Q61" s="56">
        <v>391</v>
      </c>
      <c r="R61" s="56">
        <v>1136</v>
      </c>
      <c r="S61" s="56">
        <v>268</v>
      </c>
      <c r="T61" s="56">
        <v>268</v>
      </c>
      <c r="U61" s="56">
        <v>182</v>
      </c>
      <c r="V61" s="56">
        <v>477</v>
      </c>
      <c r="W61" s="56">
        <v>616</v>
      </c>
      <c r="X61" s="56">
        <v>64</v>
      </c>
    </row>
    <row r="62" spans="1:24">
      <c r="A62" s="52">
        <v>46141</v>
      </c>
      <c r="B62" s="53" t="s">
        <v>994</v>
      </c>
      <c r="C62" s="56">
        <v>264.73908856167355</v>
      </c>
      <c r="D62" s="56">
        <v>259.85030101279966</v>
      </c>
      <c r="E62" s="56">
        <v>197.37133316450232</v>
      </c>
      <c r="F62" s="56">
        <v>495.64594506326949</v>
      </c>
      <c r="G62" s="56">
        <v>283.05613727299851</v>
      </c>
      <c r="H62" s="56">
        <v>229.11664303828022</v>
      </c>
      <c r="I62" s="56">
        <v>252.3218152234476</v>
      </c>
      <c r="J62" s="56">
        <v>142.05521139456016</v>
      </c>
      <c r="K62" s="56">
        <v>279.4054512082904</v>
      </c>
      <c r="L62" s="56">
        <v>95.438074060177101</v>
      </c>
      <c r="M62" s="54">
        <f t="shared" si="0"/>
        <v>1071.0000000000009</v>
      </c>
      <c r="N62" s="57">
        <v>3570</v>
      </c>
      <c r="O62" s="56">
        <v>164</v>
      </c>
      <c r="P62" s="56">
        <v>6</v>
      </c>
      <c r="Q62" s="56">
        <v>391</v>
      </c>
      <c r="R62" s="56">
        <v>1136</v>
      </c>
      <c r="S62" s="56">
        <v>268</v>
      </c>
      <c r="T62" s="56">
        <v>268</v>
      </c>
      <c r="U62" s="56">
        <v>182</v>
      </c>
      <c r="V62" s="56">
        <v>477</v>
      </c>
      <c r="W62" s="56">
        <v>614</v>
      </c>
      <c r="X62" s="56">
        <v>64</v>
      </c>
    </row>
    <row r="63" spans="1:24">
      <c r="A63" s="52">
        <v>46142</v>
      </c>
      <c r="B63" s="53" t="s">
        <v>994</v>
      </c>
      <c r="C63" s="56">
        <v>267.70535285928338</v>
      </c>
      <c r="D63" s="56">
        <v>262.76178897932959</v>
      </c>
      <c r="E63" s="56">
        <v>199.58277667334829</v>
      </c>
      <c r="F63" s="56">
        <v>501.19940103036492</v>
      </c>
      <c r="G63" s="56">
        <v>286.22763460939063</v>
      </c>
      <c r="H63" s="56">
        <v>231.68377629361109</v>
      </c>
      <c r="I63" s="56">
        <v>255.14895040802406</v>
      </c>
      <c r="J63" s="56">
        <v>143.6468664241911</v>
      </c>
      <c r="K63" s="56">
        <v>282.53604449913956</v>
      </c>
      <c r="L63" s="56">
        <v>96.507408223316332</v>
      </c>
      <c r="M63" s="54">
        <f t="shared" si="0"/>
        <v>1083.0000000000009</v>
      </c>
      <c r="N63" s="57">
        <v>3610</v>
      </c>
      <c r="O63" s="56">
        <v>164</v>
      </c>
      <c r="P63" s="56">
        <v>6</v>
      </c>
      <c r="Q63" s="56">
        <v>400</v>
      </c>
      <c r="R63" s="56">
        <v>1136</v>
      </c>
      <c r="S63" s="56">
        <v>268</v>
      </c>
      <c r="T63" s="56">
        <v>268</v>
      </c>
      <c r="U63" s="56">
        <v>190</v>
      </c>
      <c r="V63" s="56">
        <v>482</v>
      </c>
      <c r="W63" s="56">
        <v>629</v>
      </c>
      <c r="X63" s="56">
        <v>67</v>
      </c>
    </row>
    <row r="64" spans="1:24">
      <c r="A64" s="52">
        <v>46143</v>
      </c>
      <c r="B64" s="53" t="s">
        <v>994</v>
      </c>
      <c r="C64" s="56">
        <v>354.14373913043477</v>
      </c>
      <c r="D64" s="56">
        <v>401.06021739130432</v>
      </c>
      <c r="E64" s="56">
        <v>286.03917391304344</v>
      </c>
      <c r="F64" s="56">
        <v>632.61573913043469</v>
      </c>
      <c r="G64" s="56">
        <v>354.14373913043477</v>
      </c>
      <c r="H64" s="56">
        <v>308.74069565217388</v>
      </c>
      <c r="I64" s="56">
        <v>348.09</v>
      </c>
      <c r="J64" s="56">
        <v>217.93460869565217</v>
      </c>
      <c r="K64" s="56">
        <v>422.24830434782604</v>
      </c>
      <c r="L64" s="56">
        <v>155.88378260869564</v>
      </c>
      <c r="M64" s="54">
        <f t="shared" si="0"/>
        <v>764.10000000000036</v>
      </c>
      <c r="N64" s="57">
        <v>4245</v>
      </c>
      <c r="O64" s="56">
        <v>204</v>
      </c>
      <c r="P64" s="56">
        <v>15</v>
      </c>
      <c r="Q64" s="56">
        <v>645</v>
      </c>
      <c r="R64" s="56">
        <v>62</v>
      </c>
      <c r="S64" s="56">
        <v>350</v>
      </c>
      <c r="T64" s="56">
        <v>150</v>
      </c>
      <c r="U64" s="56">
        <v>1162</v>
      </c>
      <c r="V64" s="56">
        <v>553</v>
      </c>
      <c r="W64" s="56">
        <v>1104</v>
      </c>
      <c r="X64" s="56">
        <v>0</v>
      </c>
    </row>
    <row r="65" spans="1:24">
      <c r="A65" s="52">
        <v>46144</v>
      </c>
      <c r="B65" s="53" t="s">
        <v>994</v>
      </c>
      <c r="C65" s="56">
        <v>353.55975652173913</v>
      </c>
      <c r="D65" s="56">
        <v>400.39886956521735</v>
      </c>
      <c r="E65" s="56">
        <v>285.56749565217393</v>
      </c>
      <c r="F65" s="56">
        <v>631.5725565217391</v>
      </c>
      <c r="G65" s="56">
        <v>353.55975652173913</v>
      </c>
      <c r="H65" s="56">
        <v>308.23158260869559</v>
      </c>
      <c r="I65" s="56">
        <v>347.51600000000002</v>
      </c>
      <c r="J65" s="56">
        <v>217.5752347826087</v>
      </c>
      <c r="K65" s="56">
        <v>421.55201739130433</v>
      </c>
      <c r="L65" s="56">
        <v>155.62673043478262</v>
      </c>
      <c r="M65" s="54">
        <f t="shared" si="0"/>
        <v>762.8400000000006</v>
      </c>
      <c r="N65" s="57">
        <v>4238</v>
      </c>
      <c r="O65" s="56">
        <v>204</v>
      </c>
      <c r="P65" s="56">
        <v>15</v>
      </c>
      <c r="Q65" s="56">
        <v>645</v>
      </c>
      <c r="R65" s="56">
        <v>102</v>
      </c>
      <c r="S65" s="56">
        <v>350</v>
      </c>
      <c r="T65" s="56">
        <v>150</v>
      </c>
      <c r="U65" s="56">
        <v>1160</v>
      </c>
      <c r="V65" s="56">
        <v>553</v>
      </c>
      <c r="W65" s="56">
        <v>1059</v>
      </c>
      <c r="X65" s="56">
        <v>0</v>
      </c>
    </row>
    <row r="66" spans="1:24">
      <c r="A66" s="52">
        <v>46145</v>
      </c>
      <c r="B66" s="53" t="s">
        <v>994</v>
      </c>
      <c r="C66" s="56">
        <v>364.07144347826085</v>
      </c>
      <c r="D66" s="56">
        <v>412.30313043478259</v>
      </c>
      <c r="E66" s="56">
        <v>294.05770434782607</v>
      </c>
      <c r="F66" s="56">
        <v>650.34984347826071</v>
      </c>
      <c r="G66" s="56">
        <v>364.07144347826085</v>
      </c>
      <c r="H66" s="56">
        <v>317.39561739130426</v>
      </c>
      <c r="I66" s="56">
        <v>357.84799999999996</v>
      </c>
      <c r="J66" s="56">
        <v>224.0439652173913</v>
      </c>
      <c r="K66" s="56">
        <v>434.08518260869562</v>
      </c>
      <c r="L66" s="56">
        <v>160.25366956521739</v>
      </c>
      <c r="M66" s="54">
        <f t="shared" si="0"/>
        <v>785.52000000000044</v>
      </c>
      <c r="N66" s="57">
        <v>4364</v>
      </c>
      <c r="O66" s="56">
        <v>204</v>
      </c>
      <c r="P66" s="56">
        <v>15</v>
      </c>
      <c r="Q66" s="56">
        <v>645</v>
      </c>
      <c r="R66" s="56">
        <v>223</v>
      </c>
      <c r="S66" s="56">
        <v>350</v>
      </c>
      <c r="T66" s="56">
        <v>150</v>
      </c>
      <c r="U66" s="56">
        <v>1149</v>
      </c>
      <c r="V66" s="56">
        <v>553</v>
      </c>
      <c r="W66" s="56">
        <v>1075</v>
      </c>
      <c r="X66" s="56">
        <v>0</v>
      </c>
    </row>
    <row r="67" spans="1:24">
      <c r="A67" s="52">
        <v>46146</v>
      </c>
      <c r="B67" s="53" t="s">
        <v>994</v>
      </c>
      <c r="C67" s="56">
        <v>353.14262608695651</v>
      </c>
      <c r="D67" s="56">
        <v>399.92647826086954</v>
      </c>
      <c r="E67" s="56">
        <v>285.23058260869567</v>
      </c>
      <c r="F67" s="56">
        <v>630.82742608695651</v>
      </c>
      <c r="G67" s="56">
        <v>353.14262608695651</v>
      </c>
      <c r="H67" s="56">
        <v>307.86793043478258</v>
      </c>
      <c r="I67" s="56">
        <v>347.10599999999999</v>
      </c>
      <c r="J67" s="56">
        <v>217.3185391304348</v>
      </c>
      <c r="K67" s="56">
        <v>421.05466956521741</v>
      </c>
      <c r="L67" s="56">
        <v>155.44312173913045</v>
      </c>
      <c r="M67" s="54">
        <f t="shared" ref="M67:M130" si="1">N67-SUM(C67:L67)</f>
        <v>761.9399999999996</v>
      </c>
      <c r="N67" s="57">
        <v>4233</v>
      </c>
      <c r="O67" s="56">
        <v>204</v>
      </c>
      <c r="P67" s="56">
        <v>15</v>
      </c>
      <c r="Q67" s="56">
        <v>645</v>
      </c>
      <c r="R67" s="56">
        <v>300</v>
      </c>
      <c r="S67" s="56">
        <v>350</v>
      </c>
      <c r="T67" s="56">
        <v>150</v>
      </c>
      <c r="U67" s="56">
        <v>966</v>
      </c>
      <c r="V67" s="56">
        <v>553</v>
      </c>
      <c r="W67" s="56">
        <v>1050</v>
      </c>
      <c r="X67" s="56">
        <v>0</v>
      </c>
    </row>
    <row r="68" spans="1:24">
      <c r="A68" s="52">
        <v>46147</v>
      </c>
      <c r="B68" s="53" t="s">
        <v>994</v>
      </c>
      <c r="C68" s="56">
        <v>315.76773913043479</v>
      </c>
      <c r="D68" s="56">
        <v>357.60021739130434</v>
      </c>
      <c r="E68" s="56">
        <v>255.04317391304346</v>
      </c>
      <c r="F68" s="56">
        <v>564.06373913043467</v>
      </c>
      <c r="G68" s="56">
        <v>315.76773913043479</v>
      </c>
      <c r="H68" s="56">
        <v>275.28469565217387</v>
      </c>
      <c r="I68" s="56">
        <v>310.37</v>
      </c>
      <c r="J68" s="56">
        <v>194.31860869565219</v>
      </c>
      <c r="K68" s="56">
        <v>376.49230434782606</v>
      </c>
      <c r="L68" s="56">
        <v>138.99178260869564</v>
      </c>
      <c r="M68" s="54">
        <f t="shared" si="1"/>
        <v>681.30000000000018</v>
      </c>
      <c r="N68" s="57">
        <v>3785</v>
      </c>
      <c r="O68" s="56">
        <v>204</v>
      </c>
      <c r="P68" s="56">
        <v>15</v>
      </c>
      <c r="Q68" s="56">
        <v>645</v>
      </c>
      <c r="R68" s="56">
        <v>300</v>
      </c>
      <c r="S68" s="56">
        <v>350</v>
      </c>
      <c r="T68" s="56">
        <v>150</v>
      </c>
      <c r="U68" s="56">
        <v>588</v>
      </c>
      <c r="V68" s="56">
        <v>553</v>
      </c>
      <c r="W68" s="56">
        <v>980</v>
      </c>
      <c r="X68" s="56">
        <v>0</v>
      </c>
    </row>
    <row r="69" spans="1:24">
      <c r="A69" s="52">
        <v>46148</v>
      </c>
      <c r="B69" s="53" t="s">
        <v>994</v>
      </c>
      <c r="C69" s="56">
        <v>234.09360000000001</v>
      </c>
      <c r="D69" s="56">
        <v>265.10599999999999</v>
      </c>
      <c r="E69" s="56">
        <v>189.07560000000001</v>
      </c>
      <c r="F69" s="56">
        <v>418.16719999999998</v>
      </c>
      <c r="G69" s="56">
        <v>234.09360000000001</v>
      </c>
      <c r="H69" s="56">
        <v>204.08159999999998</v>
      </c>
      <c r="I69" s="56">
        <v>230.09200000000001</v>
      </c>
      <c r="J69" s="56">
        <v>144.05760000000001</v>
      </c>
      <c r="K69" s="56">
        <v>279.11160000000001</v>
      </c>
      <c r="L69" s="56">
        <v>103.0412</v>
      </c>
      <c r="M69" s="54">
        <f t="shared" si="1"/>
        <v>505.07999999999993</v>
      </c>
      <c r="N69" s="57">
        <v>2806</v>
      </c>
      <c r="O69" s="56">
        <v>106</v>
      </c>
      <c r="P69" s="56">
        <v>9</v>
      </c>
      <c r="Q69" s="56">
        <v>430</v>
      </c>
      <c r="R69" s="56">
        <v>300</v>
      </c>
      <c r="S69" s="56">
        <v>200</v>
      </c>
      <c r="T69" s="56">
        <v>160</v>
      </c>
      <c r="U69" s="56">
        <v>35</v>
      </c>
      <c r="V69" s="56">
        <v>553</v>
      </c>
      <c r="W69" s="56">
        <v>928</v>
      </c>
      <c r="X69" s="56">
        <v>85</v>
      </c>
    </row>
    <row r="70" spans="1:24">
      <c r="A70" s="52">
        <v>46149</v>
      </c>
      <c r="B70" s="53" t="s">
        <v>994</v>
      </c>
      <c r="C70" s="56">
        <v>229.00460869565219</v>
      </c>
      <c r="D70" s="56">
        <v>259.34282608695651</v>
      </c>
      <c r="E70" s="56">
        <v>184.96526086956524</v>
      </c>
      <c r="F70" s="56">
        <v>409.07660869565217</v>
      </c>
      <c r="G70" s="56">
        <v>229.00460869565219</v>
      </c>
      <c r="H70" s="56">
        <v>199.64504347826087</v>
      </c>
      <c r="I70" s="56">
        <v>225.09000000000003</v>
      </c>
      <c r="J70" s="56">
        <v>140.92591304347829</v>
      </c>
      <c r="K70" s="56">
        <v>273.04395652173912</v>
      </c>
      <c r="L70" s="56">
        <v>100.80117391304348</v>
      </c>
      <c r="M70" s="54">
        <f t="shared" si="1"/>
        <v>494.09999999999991</v>
      </c>
      <c r="N70" s="57">
        <v>2745</v>
      </c>
      <c r="O70" s="56">
        <v>105</v>
      </c>
      <c r="P70" s="56">
        <v>9</v>
      </c>
      <c r="Q70" s="56">
        <v>430</v>
      </c>
      <c r="R70" s="56">
        <v>300</v>
      </c>
      <c r="S70" s="56">
        <v>200</v>
      </c>
      <c r="T70" s="56">
        <v>162</v>
      </c>
      <c r="U70" s="56">
        <v>0</v>
      </c>
      <c r="V70" s="56">
        <v>553</v>
      </c>
      <c r="W70" s="56">
        <v>901</v>
      </c>
      <c r="X70" s="56">
        <v>85</v>
      </c>
    </row>
    <row r="71" spans="1:24">
      <c r="A71" s="52">
        <v>46150</v>
      </c>
      <c r="B71" s="53" t="s">
        <v>994</v>
      </c>
      <c r="C71" s="56">
        <v>233.92674782608694</v>
      </c>
      <c r="D71" s="56">
        <v>264.91704347826084</v>
      </c>
      <c r="E71" s="56">
        <v>188.94083478260868</v>
      </c>
      <c r="F71" s="56">
        <v>417.86914782608687</v>
      </c>
      <c r="G71" s="56">
        <v>233.92674782608694</v>
      </c>
      <c r="H71" s="56">
        <v>203.93613913043475</v>
      </c>
      <c r="I71" s="56">
        <v>229.928</v>
      </c>
      <c r="J71" s="56">
        <v>143.95492173913044</v>
      </c>
      <c r="K71" s="56">
        <v>278.91266086956517</v>
      </c>
      <c r="L71" s="56">
        <v>102.96775652173912</v>
      </c>
      <c r="M71" s="54">
        <f t="shared" si="1"/>
        <v>504.72000000000071</v>
      </c>
      <c r="N71" s="57">
        <v>2804</v>
      </c>
      <c r="O71" s="56">
        <v>105</v>
      </c>
      <c r="P71" s="56">
        <v>7</v>
      </c>
      <c r="Q71" s="56">
        <v>430</v>
      </c>
      <c r="R71" s="56">
        <v>300</v>
      </c>
      <c r="S71" s="56">
        <v>241</v>
      </c>
      <c r="T71" s="56">
        <v>200</v>
      </c>
      <c r="U71" s="56">
        <v>0</v>
      </c>
      <c r="V71" s="56">
        <v>553</v>
      </c>
      <c r="W71" s="56">
        <v>883</v>
      </c>
      <c r="X71" s="56">
        <v>85</v>
      </c>
    </row>
    <row r="72" spans="1:24">
      <c r="A72" s="52">
        <v>46151</v>
      </c>
      <c r="B72" s="53" t="s">
        <v>994</v>
      </c>
      <c r="C72" s="56">
        <v>242.51963478260868</v>
      </c>
      <c r="D72" s="56">
        <v>274.64830434782607</v>
      </c>
      <c r="E72" s="56">
        <v>195.88124347826087</v>
      </c>
      <c r="F72" s="56">
        <v>433.21883478260861</v>
      </c>
      <c r="G72" s="56">
        <v>242.51963478260868</v>
      </c>
      <c r="H72" s="56">
        <v>211.42737391304345</v>
      </c>
      <c r="I72" s="56">
        <v>238.374</v>
      </c>
      <c r="J72" s="56">
        <v>149.24285217391304</v>
      </c>
      <c r="K72" s="56">
        <v>289.15802608695651</v>
      </c>
      <c r="L72" s="56">
        <v>106.75009565217391</v>
      </c>
      <c r="M72" s="54">
        <f t="shared" si="1"/>
        <v>523.26000000000022</v>
      </c>
      <c r="N72" s="57">
        <v>2907</v>
      </c>
      <c r="O72" s="56">
        <v>105</v>
      </c>
      <c r="P72" s="56">
        <v>7</v>
      </c>
      <c r="Q72" s="56">
        <v>430</v>
      </c>
      <c r="R72" s="56">
        <v>300</v>
      </c>
      <c r="S72" s="56">
        <v>250</v>
      </c>
      <c r="T72" s="56">
        <v>200</v>
      </c>
      <c r="U72" s="56">
        <v>37</v>
      </c>
      <c r="V72" s="56">
        <v>553</v>
      </c>
      <c r="W72" s="56">
        <v>940</v>
      </c>
      <c r="X72" s="56">
        <v>85</v>
      </c>
    </row>
    <row r="73" spans="1:24">
      <c r="A73" s="52">
        <v>46152</v>
      </c>
      <c r="B73" s="53" t="s">
        <v>994</v>
      </c>
      <c r="C73" s="56">
        <v>265.96236521739127</v>
      </c>
      <c r="D73" s="56">
        <v>301.1966956521739</v>
      </c>
      <c r="E73" s="56">
        <v>214.81575652173913</v>
      </c>
      <c r="F73" s="56">
        <v>475.09516521739124</v>
      </c>
      <c r="G73" s="56">
        <v>265.96236521739127</v>
      </c>
      <c r="H73" s="56">
        <v>231.86462608695649</v>
      </c>
      <c r="I73" s="56">
        <v>261.416</v>
      </c>
      <c r="J73" s="56">
        <v>163.66914782608697</v>
      </c>
      <c r="K73" s="56">
        <v>317.10897391304349</v>
      </c>
      <c r="L73" s="56">
        <v>117.06890434782609</v>
      </c>
      <c r="M73" s="54">
        <f t="shared" si="1"/>
        <v>573.8400000000006</v>
      </c>
      <c r="N73" s="57">
        <v>3188</v>
      </c>
      <c r="O73" s="56">
        <v>151</v>
      </c>
      <c r="P73" s="56">
        <v>10</v>
      </c>
      <c r="Q73" s="56">
        <v>645</v>
      </c>
      <c r="R73" s="56">
        <v>300</v>
      </c>
      <c r="S73" s="56">
        <v>350</v>
      </c>
      <c r="T73" s="56">
        <v>200</v>
      </c>
      <c r="U73" s="56">
        <v>37</v>
      </c>
      <c r="V73" s="56">
        <v>553</v>
      </c>
      <c r="W73" s="56">
        <v>942</v>
      </c>
      <c r="X73" s="56">
        <v>0</v>
      </c>
    </row>
    <row r="74" spans="1:24">
      <c r="A74" s="52">
        <v>46153</v>
      </c>
      <c r="B74" s="53" t="s">
        <v>994</v>
      </c>
      <c r="C74" s="56">
        <v>241.93565217391304</v>
      </c>
      <c r="D74" s="56">
        <v>273.98695652173916</v>
      </c>
      <c r="E74" s="56">
        <v>195.4095652173913</v>
      </c>
      <c r="F74" s="56">
        <v>432.17565217391302</v>
      </c>
      <c r="G74" s="56">
        <v>241.93565217391304</v>
      </c>
      <c r="H74" s="56">
        <v>210.91826086956519</v>
      </c>
      <c r="I74" s="56">
        <v>237.8</v>
      </c>
      <c r="J74" s="56">
        <v>148.88347826086957</v>
      </c>
      <c r="K74" s="56">
        <v>288.46173913043481</v>
      </c>
      <c r="L74" s="56">
        <v>106.49304347826087</v>
      </c>
      <c r="M74" s="54">
        <f t="shared" si="1"/>
        <v>522</v>
      </c>
      <c r="N74" s="57">
        <v>2900</v>
      </c>
      <c r="O74" s="56">
        <v>105</v>
      </c>
      <c r="P74" s="56">
        <v>7</v>
      </c>
      <c r="Q74" s="56">
        <v>430</v>
      </c>
      <c r="R74" s="56">
        <v>300</v>
      </c>
      <c r="S74" s="56">
        <v>250</v>
      </c>
      <c r="T74" s="56">
        <v>200</v>
      </c>
      <c r="U74" s="56">
        <v>26</v>
      </c>
      <c r="V74" s="56">
        <v>553</v>
      </c>
      <c r="W74" s="56">
        <v>943</v>
      </c>
      <c r="X74" s="56">
        <v>86</v>
      </c>
    </row>
    <row r="75" spans="1:24">
      <c r="A75" s="52">
        <v>46154</v>
      </c>
      <c r="B75" s="53" t="s">
        <v>994</v>
      </c>
      <c r="C75" s="56">
        <v>237.01351304347824</v>
      </c>
      <c r="D75" s="56">
        <v>268.41273913043477</v>
      </c>
      <c r="E75" s="56">
        <v>191.43399130434781</v>
      </c>
      <c r="F75" s="56">
        <v>423.3831130434782</v>
      </c>
      <c r="G75" s="56">
        <v>237.01351304347824</v>
      </c>
      <c r="H75" s="56">
        <v>206.62716521739128</v>
      </c>
      <c r="I75" s="56">
        <v>232.96199999999999</v>
      </c>
      <c r="J75" s="56">
        <v>145.85446956521739</v>
      </c>
      <c r="K75" s="56">
        <v>282.5930347826087</v>
      </c>
      <c r="L75" s="56">
        <v>104.32646086956522</v>
      </c>
      <c r="M75" s="54">
        <f t="shared" si="1"/>
        <v>511.38000000000011</v>
      </c>
      <c r="N75" s="57">
        <v>2841</v>
      </c>
      <c r="O75" s="56">
        <v>105</v>
      </c>
      <c r="P75" s="56">
        <v>7</v>
      </c>
      <c r="Q75" s="56">
        <v>430</v>
      </c>
      <c r="R75" s="56">
        <v>308</v>
      </c>
      <c r="S75" s="56">
        <v>250</v>
      </c>
      <c r="T75" s="56">
        <v>200</v>
      </c>
      <c r="U75" s="56">
        <v>0</v>
      </c>
      <c r="V75" s="56">
        <v>553</v>
      </c>
      <c r="W75" s="56">
        <v>902</v>
      </c>
      <c r="X75" s="56">
        <v>86</v>
      </c>
    </row>
    <row r="76" spans="1:24">
      <c r="A76" s="52">
        <v>46155</v>
      </c>
      <c r="B76" s="53" t="s">
        <v>994</v>
      </c>
      <c r="C76" s="56">
        <v>238.09805217391303</v>
      </c>
      <c r="D76" s="56">
        <v>269.6409565217391</v>
      </c>
      <c r="E76" s="56">
        <v>192.30996521739129</v>
      </c>
      <c r="F76" s="56">
        <v>425.320452173913</v>
      </c>
      <c r="G76" s="56">
        <v>238.09805217391303</v>
      </c>
      <c r="H76" s="56">
        <v>207.57266086956517</v>
      </c>
      <c r="I76" s="56">
        <v>234.02799999999999</v>
      </c>
      <c r="J76" s="56">
        <v>146.52187826086956</v>
      </c>
      <c r="K76" s="56">
        <v>283.88613913043474</v>
      </c>
      <c r="L76" s="56">
        <v>104.80384347826086</v>
      </c>
      <c r="M76" s="54">
        <f t="shared" si="1"/>
        <v>513.72000000000025</v>
      </c>
      <c r="N76" s="57">
        <v>2854</v>
      </c>
      <c r="O76" s="56">
        <v>105</v>
      </c>
      <c r="P76" s="56">
        <v>7</v>
      </c>
      <c r="Q76" s="56">
        <v>430</v>
      </c>
      <c r="R76" s="56">
        <v>319</v>
      </c>
      <c r="S76" s="56">
        <v>250</v>
      </c>
      <c r="T76" s="56">
        <v>200</v>
      </c>
      <c r="U76" s="56">
        <v>0</v>
      </c>
      <c r="V76" s="56">
        <v>553</v>
      </c>
      <c r="W76" s="56">
        <v>904</v>
      </c>
      <c r="X76" s="56">
        <v>86</v>
      </c>
    </row>
    <row r="77" spans="1:24">
      <c r="A77" s="52">
        <v>46156</v>
      </c>
      <c r="B77" s="53" t="s">
        <v>994</v>
      </c>
      <c r="C77" s="56">
        <v>249.52742608695652</v>
      </c>
      <c r="D77" s="56">
        <v>282.58447826086956</v>
      </c>
      <c r="E77" s="56">
        <v>201.54138260869564</v>
      </c>
      <c r="F77" s="56">
        <v>445.73702608695646</v>
      </c>
      <c r="G77" s="56">
        <v>249.52742608695652</v>
      </c>
      <c r="H77" s="56">
        <v>217.53673043478258</v>
      </c>
      <c r="I77" s="56">
        <v>245.262</v>
      </c>
      <c r="J77" s="56">
        <v>153.55533913043479</v>
      </c>
      <c r="K77" s="56">
        <v>297.51346956521735</v>
      </c>
      <c r="L77" s="56">
        <v>109.83472173913043</v>
      </c>
      <c r="M77" s="54">
        <f t="shared" si="1"/>
        <v>538.38000000000011</v>
      </c>
      <c r="N77" s="57">
        <v>2991</v>
      </c>
      <c r="O77" s="56">
        <v>105</v>
      </c>
      <c r="P77" s="56">
        <v>7</v>
      </c>
      <c r="Q77" s="56">
        <v>430</v>
      </c>
      <c r="R77" s="56">
        <v>330</v>
      </c>
      <c r="S77" s="56">
        <v>250</v>
      </c>
      <c r="T77" s="56">
        <v>250</v>
      </c>
      <c r="U77" s="56">
        <v>48</v>
      </c>
      <c r="V77" s="56">
        <v>553</v>
      </c>
      <c r="W77" s="56">
        <v>933</v>
      </c>
      <c r="X77" s="56">
        <v>85</v>
      </c>
    </row>
    <row r="78" spans="1:24">
      <c r="A78" s="52">
        <v>46157</v>
      </c>
      <c r="B78" s="53" t="s">
        <v>994</v>
      </c>
      <c r="C78" s="56">
        <v>251.02909565217388</v>
      </c>
      <c r="D78" s="56">
        <v>284.2850869565217</v>
      </c>
      <c r="E78" s="56">
        <v>202.75426956521736</v>
      </c>
      <c r="F78" s="56">
        <v>448.41949565217385</v>
      </c>
      <c r="G78" s="56">
        <v>251.02909565217388</v>
      </c>
      <c r="H78" s="56">
        <v>218.84587826086951</v>
      </c>
      <c r="I78" s="56">
        <v>246.73799999999997</v>
      </c>
      <c r="J78" s="56">
        <v>154.47944347826086</v>
      </c>
      <c r="K78" s="56">
        <v>299.30392173913037</v>
      </c>
      <c r="L78" s="56">
        <v>110.49571304347825</v>
      </c>
      <c r="M78" s="54">
        <f t="shared" si="1"/>
        <v>541.62000000000035</v>
      </c>
      <c r="N78" s="57">
        <v>3009</v>
      </c>
      <c r="O78" s="56">
        <v>105</v>
      </c>
      <c r="P78" s="56">
        <v>7</v>
      </c>
      <c r="Q78" s="56">
        <v>430</v>
      </c>
      <c r="R78" s="56">
        <v>311</v>
      </c>
      <c r="S78" s="56">
        <v>250</v>
      </c>
      <c r="T78" s="56">
        <v>250</v>
      </c>
      <c r="U78" s="56">
        <v>64</v>
      </c>
      <c r="V78" s="56">
        <v>553</v>
      </c>
      <c r="W78" s="56">
        <v>954</v>
      </c>
      <c r="X78" s="56">
        <v>85</v>
      </c>
    </row>
    <row r="79" spans="1:24">
      <c r="A79" s="52">
        <v>46158</v>
      </c>
      <c r="B79" s="53" t="s">
        <v>994</v>
      </c>
      <c r="C79" s="56">
        <v>294.24380869565215</v>
      </c>
      <c r="D79" s="56">
        <v>333.22482608695651</v>
      </c>
      <c r="E79" s="56">
        <v>237.6584608695652</v>
      </c>
      <c r="F79" s="56">
        <v>525.61500869565214</v>
      </c>
      <c r="G79" s="56">
        <v>294.24380869565215</v>
      </c>
      <c r="H79" s="56">
        <v>256.52024347826085</v>
      </c>
      <c r="I79" s="56">
        <v>289.214</v>
      </c>
      <c r="J79" s="56">
        <v>181.07311304347826</v>
      </c>
      <c r="K79" s="56">
        <v>350.82915652173909</v>
      </c>
      <c r="L79" s="56">
        <v>129.51757391304349</v>
      </c>
      <c r="M79" s="54">
        <f t="shared" si="1"/>
        <v>634.85999999999967</v>
      </c>
      <c r="N79" s="57">
        <v>3527</v>
      </c>
      <c r="O79" s="56">
        <v>151</v>
      </c>
      <c r="P79" s="56">
        <v>10</v>
      </c>
      <c r="Q79" s="56">
        <v>645</v>
      </c>
      <c r="R79" s="56">
        <v>410</v>
      </c>
      <c r="S79" s="56">
        <v>350</v>
      </c>
      <c r="T79" s="56">
        <v>250</v>
      </c>
      <c r="U79" s="56">
        <v>97</v>
      </c>
      <c r="V79" s="56">
        <v>553</v>
      </c>
      <c r="W79" s="56">
        <v>1061</v>
      </c>
      <c r="X79" s="56">
        <v>0</v>
      </c>
    </row>
    <row r="80" spans="1:24">
      <c r="A80" s="52">
        <v>46159</v>
      </c>
      <c r="B80" s="53" t="s">
        <v>994</v>
      </c>
      <c r="C80" s="56">
        <v>299.9167826086956</v>
      </c>
      <c r="D80" s="56">
        <v>339.64934782608691</v>
      </c>
      <c r="E80" s="56">
        <v>242.24047826086954</v>
      </c>
      <c r="F80" s="56">
        <v>535.74878260869559</v>
      </c>
      <c r="G80" s="56">
        <v>299.9167826086956</v>
      </c>
      <c r="H80" s="56">
        <v>261.46591304347822</v>
      </c>
      <c r="I80" s="56">
        <v>294.78999999999996</v>
      </c>
      <c r="J80" s="56">
        <v>184.56417391304348</v>
      </c>
      <c r="K80" s="56">
        <v>357.59308695652169</v>
      </c>
      <c r="L80" s="56">
        <v>132.01465217391302</v>
      </c>
      <c r="M80" s="54">
        <f t="shared" si="1"/>
        <v>647.10000000000082</v>
      </c>
      <c r="N80" s="57">
        <v>3595</v>
      </c>
      <c r="O80" s="56">
        <v>151</v>
      </c>
      <c r="P80" s="56">
        <v>10</v>
      </c>
      <c r="Q80" s="56">
        <v>645</v>
      </c>
      <c r="R80" s="56">
        <v>410</v>
      </c>
      <c r="S80" s="56">
        <v>350</v>
      </c>
      <c r="T80" s="56">
        <v>250</v>
      </c>
      <c r="U80" s="56">
        <v>97</v>
      </c>
      <c r="V80" s="56">
        <v>553</v>
      </c>
      <c r="W80" s="56">
        <v>1129</v>
      </c>
      <c r="X80" s="56">
        <v>0</v>
      </c>
    </row>
    <row r="81" spans="1:24">
      <c r="A81" s="52">
        <v>46160</v>
      </c>
      <c r="B81" s="53" t="s">
        <v>994</v>
      </c>
      <c r="C81" s="56">
        <v>265.04467826086955</v>
      </c>
      <c r="D81" s="56">
        <v>300.15743478260868</v>
      </c>
      <c r="E81" s="56">
        <v>214.07454782608696</v>
      </c>
      <c r="F81" s="56">
        <v>473.4558782608695</v>
      </c>
      <c r="G81" s="56">
        <v>265.04467826086955</v>
      </c>
      <c r="H81" s="56">
        <v>231.0645913043478</v>
      </c>
      <c r="I81" s="56">
        <v>260.51400000000001</v>
      </c>
      <c r="J81" s="56">
        <v>163.10441739130437</v>
      </c>
      <c r="K81" s="56">
        <v>316.01480869565216</v>
      </c>
      <c r="L81" s="56">
        <v>116.6649652173913</v>
      </c>
      <c r="M81" s="54">
        <f t="shared" si="1"/>
        <v>571.86000000000013</v>
      </c>
      <c r="N81" s="57">
        <v>3177</v>
      </c>
      <c r="O81" s="56">
        <v>105</v>
      </c>
      <c r="P81" s="56">
        <v>7</v>
      </c>
      <c r="Q81" s="56">
        <v>430</v>
      </c>
      <c r="R81" s="56">
        <v>333</v>
      </c>
      <c r="S81" s="56">
        <v>250</v>
      </c>
      <c r="T81" s="56">
        <v>250</v>
      </c>
      <c r="U81" s="56">
        <v>58</v>
      </c>
      <c r="V81" s="56">
        <v>553</v>
      </c>
      <c r="W81" s="56">
        <v>1106</v>
      </c>
      <c r="X81" s="56">
        <v>85</v>
      </c>
    </row>
    <row r="82" spans="1:24">
      <c r="A82" s="52">
        <v>46161</v>
      </c>
      <c r="B82" s="53" t="s">
        <v>994</v>
      </c>
      <c r="C82" s="56">
        <v>267.29718260869561</v>
      </c>
      <c r="D82" s="56">
        <v>302.70834782608694</v>
      </c>
      <c r="E82" s="56">
        <v>215.89387826086954</v>
      </c>
      <c r="F82" s="56">
        <v>477.47958260869558</v>
      </c>
      <c r="G82" s="56">
        <v>267.29718260869561</v>
      </c>
      <c r="H82" s="56">
        <v>233.02831304347822</v>
      </c>
      <c r="I82" s="56">
        <v>262.72800000000001</v>
      </c>
      <c r="J82" s="56">
        <v>164.49057391304348</v>
      </c>
      <c r="K82" s="56">
        <v>318.70048695652173</v>
      </c>
      <c r="L82" s="56">
        <v>117.65645217391304</v>
      </c>
      <c r="M82" s="54">
        <f t="shared" si="1"/>
        <v>576.72000000000025</v>
      </c>
      <c r="N82" s="57">
        <v>3204</v>
      </c>
      <c r="O82" s="56">
        <v>105</v>
      </c>
      <c r="P82" s="56">
        <v>7</v>
      </c>
      <c r="Q82" s="56">
        <v>430</v>
      </c>
      <c r="R82" s="56">
        <v>333</v>
      </c>
      <c r="S82" s="56">
        <v>250</v>
      </c>
      <c r="T82" s="56">
        <v>300</v>
      </c>
      <c r="U82" s="56">
        <v>15</v>
      </c>
      <c r="V82" s="56">
        <v>553</v>
      </c>
      <c r="W82" s="56">
        <v>1126</v>
      </c>
      <c r="X82" s="56">
        <v>85</v>
      </c>
    </row>
    <row r="83" spans="1:24">
      <c r="A83" s="52">
        <v>46162</v>
      </c>
      <c r="B83" s="53" t="s">
        <v>994</v>
      </c>
      <c r="C83" s="56">
        <v>267.38060869565214</v>
      </c>
      <c r="D83" s="56">
        <v>302.80282608695649</v>
      </c>
      <c r="E83" s="56">
        <v>215.96126086956522</v>
      </c>
      <c r="F83" s="56">
        <v>477.62860869565213</v>
      </c>
      <c r="G83" s="56">
        <v>267.38060869565214</v>
      </c>
      <c r="H83" s="56">
        <v>233.10104347826083</v>
      </c>
      <c r="I83" s="56">
        <v>262.81</v>
      </c>
      <c r="J83" s="56">
        <v>164.54191304347827</v>
      </c>
      <c r="K83" s="56">
        <v>318.79995652173909</v>
      </c>
      <c r="L83" s="56">
        <v>117.69317391304348</v>
      </c>
      <c r="M83" s="54">
        <f t="shared" si="1"/>
        <v>576.89999999999964</v>
      </c>
      <c r="N83" s="57">
        <v>3205</v>
      </c>
      <c r="O83" s="56">
        <v>105</v>
      </c>
      <c r="P83" s="56">
        <v>7</v>
      </c>
      <c r="Q83" s="56">
        <v>430</v>
      </c>
      <c r="R83" s="56">
        <v>333</v>
      </c>
      <c r="S83" s="56">
        <v>250</v>
      </c>
      <c r="T83" s="56">
        <v>300</v>
      </c>
      <c r="U83" s="56">
        <v>0</v>
      </c>
      <c r="V83" s="56">
        <v>553</v>
      </c>
      <c r="W83" s="56">
        <v>1142</v>
      </c>
      <c r="X83" s="56">
        <v>85</v>
      </c>
    </row>
    <row r="84" spans="1:24">
      <c r="A84" s="52">
        <v>46163</v>
      </c>
      <c r="B84" s="53" t="s">
        <v>994</v>
      </c>
      <c r="C84" s="56">
        <v>270.63422608695652</v>
      </c>
      <c r="D84" s="56">
        <v>306.48747826086958</v>
      </c>
      <c r="E84" s="56">
        <v>218.58918260869567</v>
      </c>
      <c r="F84" s="56">
        <v>483.44062608695646</v>
      </c>
      <c r="G84" s="56">
        <v>270.63422608695652</v>
      </c>
      <c r="H84" s="56">
        <v>235.93753043478259</v>
      </c>
      <c r="I84" s="56">
        <v>266.00799999999998</v>
      </c>
      <c r="J84" s="56">
        <v>166.54413913043479</v>
      </c>
      <c r="K84" s="56">
        <v>322.6792695652174</v>
      </c>
      <c r="L84" s="56">
        <v>119.12532173913044</v>
      </c>
      <c r="M84" s="54">
        <f t="shared" si="1"/>
        <v>583.92000000000007</v>
      </c>
      <c r="N84" s="57">
        <v>3244</v>
      </c>
      <c r="O84" s="56">
        <v>105</v>
      </c>
      <c r="P84" s="56">
        <v>7</v>
      </c>
      <c r="Q84" s="56">
        <v>430</v>
      </c>
      <c r="R84" s="56">
        <v>333</v>
      </c>
      <c r="S84" s="56">
        <v>250</v>
      </c>
      <c r="T84" s="56">
        <v>300</v>
      </c>
      <c r="U84" s="56">
        <v>0</v>
      </c>
      <c r="V84" s="56">
        <v>553</v>
      </c>
      <c r="W84" s="56">
        <v>1181</v>
      </c>
      <c r="X84" s="56">
        <v>85</v>
      </c>
    </row>
    <row r="85" spans="1:24">
      <c r="A85" s="52">
        <v>46164</v>
      </c>
      <c r="B85" s="53" t="s">
        <v>994</v>
      </c>
      <c r="C85" s="56">
        <v>271.38506086956522</v>
      </c>
      <c r="D85" s="56">
        <v>307.33778260869565</v>
      </c>
      <c r="E85" s="56">
        <v>219.19562608695654</v>
      </c>
      <c r="F85" s="56">
        <v>484.78186086956521</v>
      </c>
      <c r="G85" s="56">
        <v>271.38506086956522</v>
      </c>
      <c r="H85" s="56">
        <v>236.59210434782608</v>
      </c>
      <c r="I85" s="56">
        <v>266.74600000000004</v>
      </c>
      <c r="J85" s="56">
        <v>167.00619130434785</v>
      </c>
      <c r="K85" s="56">
        <v>323.57449565217394</v>
      </c>
      <c r="L85" s="56">
        <v>119.45581739130435</v>
      </c>
      <c r="M85" s="54">
        <f t="shared" si="1"/>
        <v>585.54</v>
      </c>
      <c r="N85" s="57">
        <v>3253</v>
      </c>
      <c r="O85" s="56">
        <v>105</v>
      </c>
      <c r="P85" s="56">
        <v>7</v>
      </c>
      <c r="Q85" s="56">
        <v>430</v>
      </c>
      <c r="R85" s="56">
        <v>333</v>
      </c>
      <c r="S85" s="56">
        <v>250</v>
      </c>
      <c r="T85" s="56">
        <v>300</v>
      </c>
      <c r="U85" s="56">
        <v>8</v>
      </c>
      <c r="V85" s="56">
        <v>553</v>
      </c>
      <c r="W85" s="56">
        <v>1182</v>
      </c>
      <c r="X85" s="56">
        <v>85</v>
      </c>
    </row>
    <row r="86" spans="1:24">
      <c r="A86" s="52">
        <v>46165</v>
      </c>
      <c r="B86" s="53" t="s">
        <v>994</v>
      </c>
      <c r="C86" s="56">
        <v>312.76439999999997</v>
      </c>
      <c r="D86" s="56">
        <v>354.19900000000001</v>
      </c>
      <c r="E86" s="56">
        <v>252.6174</v>
      </c>
      <c r="F86" s="56">
        <v>558.69879999999989</v>
      </c>
      <c r="G86" s="56">
        <v>312.76439999999997</v>
      </c>
      <c r="H86" s="56">
        <v>272.66639999999995</v>
      </c>
      <c r="I86" s="56">
        <v>307.41800000000001</v>
      </c>
      <c r="J86" s="56">
        <v>192.47040000000001</v>
      </c>
      <c r="K86" s="56">
        <v>372.91139999999996</v>
      </c>
      <c r="L86" s="56">
        <v>137.66980000000001</v>
      </c>
      <c r="M86" s="54">
        <f t="shared" si="1"/>
        <v>674.81999999999971</v>
      </c>
      <c r="N86" s="57">
        <v>3749</v>
      </c>
      <c r="O86" s="56">
        <v>151</v>
      </c>
      <c r="P86" s="56">
        <v>10</v>
      </c>
      <c r="Q86" s="56">
        <v>645</v>
      </c>
      <c r="R86" s="56">
        <v>431</v>
      </c>
      <c r="S86" s="56">
        <v>350</v>
      </c>
      <c r="T86" s="56">
        <v>300</v>
      </c>
      <c r="U86" s="56">
        <v>79</v>
      </c>
      <c r="V86" s="56">
        <v>553</v>
      </c>
      <c r="W86" s="56">
        <v>1230</v>
      </c>
      <c r="X86" s="56">
        <v>0</v>
      </c>
    </row>
    <row r="87" spans="1:24">
      <c r="A87" s="52">
        <v>46166</v>
      </c>
      <c r="B87" s="53" t="s">
        <v>994</v>
      </c>
      <c r="C87" s="56">
        <v>313.84893913043476</v>
      </c>
      <c r="D87" s="56">
        <v>355.42721739130434</v>
      </c>
      <c r="E87" s="56">
        <v>253.49337391304346</v>
      </c>
      <c r="F87" s="56">
        <v>560.63613913043469</v>
      </c>
      <c r="G87" s="56">
        <v>313.84893913043476</v>
      </c>
      <c r="H87" s="56">
        <v>273.61189565217387</v>
      </c>
      <c r="I87" s="56">
        <v>308.48399999999998</v>
      </c>
      <c r="J87" s="56">
        <v>193.13780869565218</v>
      </c>
      <c r="K87" s="56">
        <v>374.20450434782606</v>
      </c>
      <c r="L87" s="56">
        <v>138.14718260869566</v>
      </c>
      <c r="M87" s="54">
        <f t="shared" si="1"/>
        <v>677.16000000000031</v>
      </c>
      <c r="N87" s="57">
        <v>3762</v>
      </c>
      <c r="O87" s="56">
        <v>151</v>
      </c>
      <c r="P87" s="56">
        <v>10</v>
      </c>
      <c r="Q87" s="56">
        <v>645</v>
      </c>
      <c r="R87" s="56">
        <v>431</v>
      </c>
      <c r="S87" s="56">
        <v>350</v>
      </c>
      <c r="T87" s="56">
        <v>300</v>
      </c>
      <c r="U87" s="56">
        <v>79</v>
      </c>
      <c r="V87" s="56">
        <v>553</v>
      </c>
      <c r="W87" s="56">
        <v>1243</v>
      </c>
      <c r="X87" s="56">
        <v>0</v>
      </c>
    </row>
    <row r="88" spans="1:24">
      <c r="A88" s="52">
        <v>46167</v>
      </c>
      <c r="B88" s="53" t="s">
        <v>994</v>
      </c>
      <c r="C88" s="56">
        <v>278.30942608695653</v>
      </c>
      <c r="D88" s="56">
        <v>315.17947826086959</v>
      </c>
      <c r="E88" s="56">
        <v>224.78838260869566</v>
      </c>
      <c r="F88" s="56">
        <v>497.15102608695651</v>
      </c>
      <c r="G88" s="56">
        <v>278.30942608695653</v>
      </c>
      <c r="H88" s="56">
        <v>242.6287304347826</v>
      </c>
      <c r="I88" s="56">
        <v>273.55200000000002</v>
      </c>
      <c r="J88" s="56">
        <v>171.26733913043481</v>
      </c>
      <c r="K88" s="56">
        <v>331.83046956521741</v>
      </c>
      <c r="L88" s="56">
        <v>122.50372173913044</v>
      </c>
      <c r="M88" s="54">
        <f t="shared" si="1"/>
        <v>600.48</v>
      </c>
      <c r="N88" s="57">
        <v>3336</v>
      </c>
      <c r="O88" s="56">
        <v>105</v>
      </c>
      <c r="P88" s="56">
        <v>7</v>
      </c>
      <c r="Q88" s="56">
        <v>430</v>
      </c>
      <c r="R88" s="56">
        <v>354</v>
      </c>
      <c r="S88" s="56">
        <v>250</v>
      </c>
      <c r="T88" s="56">
        <v>350</v>
      </c>
      <c r="U88" s="56">
        <v>26</v>
      </c>
      <c r="V88" s="56">
        <v>553</v>
      </c>
      <c r="W88" s="56">
        <v>1176</v>
      </c>
      <c r="X88" s="56">
        <v>85</v>
      </c>
    </row>
    <row r="89" spans="1:24">
      <c r="A89" s="52">
        <v>46168</v>
      </c>
      <c r="B89" s="53" t="s">
        <v>994</v>
      </c>
      <c r="C89" s="56">
        <v>274.13812173913044</v>
      </c>
      <c r="D89" s="56">
        <v>310.45556521739132</v>
      </c>
      <c r="E89" s="56">
        <v>221.41925217391304</v>
      </c>
      <c r="F89" s="56">
        <v>489.69972173913038</v>
      </c>
      <c r="G89" s="56">
        <v>274.13812173913044</v>
      </c>
      <c r="H89" s="56">
        <v>238.99220869565215</v>
      </c>
      <c r="I89" s="56">
        <v>269.452</v>
      </c>
      <c r="J89" s="56">
        <v>168.70038260869566</v>
      </c>
      <c r="K89" s="56">
        <v>326.85699130434784</v>
      </c>
      <c r="L89" s="56">
        <v>120.6676347826087</v>
      </c>
      <c r="M89" s="54">
        <f t="shared" si="1"/>
        <v>591.48</v>
      </c>
      <c r="N89" s="57">
        <v>3286</v>
      </c>
      <c r="O89" s="56">
        <v>105</v>
      </c>
      <c r="P89" s="56">
        <v>7</v>
      </c>
      <c r="Q89" s="56">
        <v>430</v>
      </c>
      <c r="R89" s="56">
        <v>343</v>
      </c>
      <c r="S89" s="56">
        <v>250</v>
      </c>
      <c r="T89" s="56">
        <v>350</v>
      </c>
      <c r="U89" s="56">
        <v>0</v>
      </c>
      <c r="V89" s="56">
        <v>553</v>
      </c>
      <c r="W89" s="56">
        <v>1163</v>
      </c>
      <c r="X89" s="56">
        <v>85</v>
      </c>
    </row>
    <row r="90" spans="1:24">
      <c r="A90" s="52">
        <v>46169</v>
      </c>
      <c r="B90" s="53" t="s">
        <v>994</v>
      </c>
      <c r="C90" s="56">
        <v>272.46960000000001</v>
      </c>
      <c r="D90" s="56">
        <v>308.56599999999997</v>
      </c>
      <c r="E90" s="56">
        <v>220.07159999999999</v>
      </c>
      <c r="F90" s="56">
        <v>486.71919999999994</v>
      </c>
      <c r="G90" s="56">
        <v>272.46960000000001</v>
      </c>
      <c r="H90" s="56">
        <v>237.53759999999997</v>
      </c>
      <c r="I90" s="56">
        <v>267.81200000000001</v>
      </c>
      <c r="J90" s="56">
        <v>167.67359999999999</v>
      </c>
      <c r="K90" s="56">
        <v>324.86759999999998</v>
      </c>
      <c r="L90" s="56">
        <v>119.9332</v>
      </c>
      <c r="M90" s="54">
        <f t="shared" si="1"/>
        <v>587.88000000000011</v>
      </c>
      <c r="N90" s="57">
        <v>3266</v>
      </c>
      <c r="O90" s="56">
        <v>105</v>
      </c>
      <c r="P90" s="56">
        <v>7</v>
      </c>
      <c r="Q90" s="56">
        <v>430</v>
      </c>
      <c r="R90" s="56">
        <v>343</v>
      </c>
      <c r="S90" s="56">
        <v>250</v>
      </c>
      <c r="T90" s="56">
        <v>350</v>
      </c>
      <c r="U90" s="56">
        <v>0</v>
      </c>
      <c r="V90" s="56">
        <v>553</v>
      </c>
      <c r="W90" s="56">
        <v>1143</v>
      </c>
      <c r="X90" s="56">
        <v>85</v>
      </c>
    </row>
    <row r="91" spans="1:24">
      <c r="A91" s="52">
        <v>46170</v>
      </c>
      <c r="B91" s="53" t="s">
        <v>994</v>
      </c>
      <c r="C91" s="56">
        <v>275.47293913043478</v>
      </c>
      <c r="D91" s="56">
        <v>311.96721739130436</v>
      </c>
      <c r="E91" s="56">
        <v>222.49737391304348</v>
      </c>
      <c r="F91" s="56">
        <v>492.08413913043472</v>
      </c>
      <c r="G91" s="56">
        <v>275.47293913043478</v>
      </c>
      <c r="H91" s="56">
        <v>240.15589565217388</v>
      </c>
      <c r="I91" s="56">
        <v>270.76400000000001</v>
      </c>
      <c r="J91" s="56">
        <v>169.52180869565217</v>
      </c>
      <c r="K91" s="56">
        <v>328.44850434782609</v>
      </c>
      <c r="L91" s="56">
        <v>121.25518260869565</v>
      </c>
      <c r="M91" s="54">
        <f t="shared" si="1"/>
        <v>594.36000000000013</v>
      </c>
      <c r="N91" s="57">
        <v>3302</v>
      </c>
      <c r="O91" s="56">
        <v>105</v>
      </c>
      <c r="P91" s="56">
        <v>7</v>
      </c>
      <c r="Q91" s="56">
        <v>430</v>
      </c>
      <c r="R91" s="56">
        <v>343</v>
      </c>
      <c r="S91" s="56">
        <v>250</v>
      </c>
      <c r="T91" s="56">
        <v>350</v>
      </c>
      <c r="U91" s="56">
        <v>0</v>
      </c>
      <c r="V91" s="56">
        <v>553</v>
      </c>
      <c r="W91" s="56">
        <v>1179</v>
      </c>
      <c r="X91" s="56">
        <v>85</v>
      </c>
    </row>
    <row r="92" spans="1:24">
      <c r="A92" s="52">
        <v>46171</v>
      </c>
      <c r="B92" s="53" t="s">
        <v>994</v>
      </c>
      <c r="C92" s="56">
        <v>275.97349565217394</v>
      </c>
      <c r="D92" s="56">
        <v>312.53408695652172</v>
      </c>
      <c r="E92" s="56">
        <v>222.90166956521739</v>
      </c>
      <c r="F92" s="56">
        <v>492.97829565217387</v>
      </c>
      <c r="G92" s="56">
        <v>275.97349565217394</v>
      </c>
      <c r="H92" s="56">
        <v>240.59227826086953</v>
      </c>
      <c r="I92" s="56">
        <v>271.25600000000003</v>
      </c>
      <c r="J92" s="56">
        <v>169.82984347826087</v>
      </c>
      <c r="K92" s="56">
        <v>329.04532173913043</v>
      </c>
      <c r="L92" s="56">
        <v>121.47551304347826</v>
      </c>
      <c r="M92" s="54">
        <f t="shared" si="1"/>
        <v>595.44000000000005</v>
      </c>
      <c r="N92" s="57">
        <v>3308</v>
      </c>
      <c r="O92" s="56">
        <v>105</v>
      </c>
      <c r="P92" s="56">
        <v>7</v>
      </c>
      <c r="Q92" s="56">
        <v>430</v>
      </c>
      <c r="R92" s="56">
        <v>343</v>
      </c>
      <c r="S92" s="56">
        <v>250</v>
      </c>
      <c r="T92" s="56">
        <v>350</v>
      </c>
      <c r="U92" s="56">
        <v>0</v>
      </c>
      <c r="V92" s="56">
        <v>553</v>
      </c>
      <c r="W92" s="56">
        <v>1185</v>
      </c>
      <c r="X92" s="56">
        <v>85</v>
      </c>
    </row>
    <row r="93" spans="1:24">
      <c r="A93" s="52">
        <v>46172</v>
      </c>
      <c r="B93" s="53" t="s">
        <v>994</v>
      </c>
      <c r="C93" s="56">
        <v>309.67763478260866</v>
      </c>
      <c r="D93" s="56">
        <v>350.70330434782608</v>
      </c>
      <c r="E93" s="56">
        <v>250.12424347826087</v>
      </c>
      <c r="F93" s="56">
        <v>553.18483478260862</v>
      </c>
      <c r="G93" s="56">
        <v>309.67763478260866</v>
      </c>
      <c r="H93" s="56">
        <v>269.97537391304343</v>
      </c>
      <c r="I93" s="56">
        <v>304.38399999999996</v>
      </c>
      <c r="J93" s="56">
        <v>190.57085217391304</v>
      </c>
      <c r="K93" s="56">
        <v>369.23102608695649</v>
      </c>
      <c r="L93" s="56">
        <v>136.31109565217392</v>
      </c>
      <c r="M93" s="54">
        <f t="shared" si="1"/>
        <v>668.15999999999985</v>
      </c>
      <c r="N93" s="57">
        <v>3712</v>
      </c>
      <c r="O93" s="56">
        <v>151</v>
      </c>
      <c r="P93" s="56">
        <v>10</v>
      </c>
      <c r="Q93" s="56">
        <v>645</v>
      </c>
      <c r="R93" s="56">
        <v>420</v>
      </c>
      <c r="S93" s="56">
        <v>350</v>
      </c>
      <c r="T93" s="56">
        <v>350</v>
      </c>
      <c r="U93" s="56">
        <v>34</v>
      </c>
      <c r="V93" s="56">
        <v>553</v>
      </c>
      <c r="W93" s="56">
        <v>1199</v>
      </c>
      <c r="X93" s="56">
        <v>0</v>
      </c>
    </row>
    <row r="94" spans="1:24">
      <c r="A94" s="52">
        <v>46173</v>
      </c>
      <c r="B94" s="53" t="s">
        <v>994</v>
      </c>
      <c r="C94" s="56">
        <v>309.42735652173911</v>
      </c>
      <c r="D94" s="56">
        <v>350.41986956521737</v>
      </c>
      <c r="E94" s="56">
        <v>249.92209565217388</v>
      </c>
      <c r="F94" s="56">
        <v>552.73775652173902</v>
      </c>
      <c r="G94" s="56">
        <v>309.42735652173911</v>
      </c>
      <c r="H94" s="56">
        <v>269.75718260869559</v>
      </c>
      <c r="I94" s="56">
        <v>304.13799999999998</v>
      </c>
      <c r="J94" s="56">
        <v>190.4168347826087</v>
      </c>
      <c r="K94" s="56">
        <v>368.93261739130429</v>
      </c>
      <c r="L94" s="56">
        <v>136.20093043478261</v>
      </c>
      <c r="M94" s="54">
        <f t="shared" si="1"/>
        <v>667.62000000000035</v>
      </c>
      <c r="N94" s="57">
        <v>3709</v>
      </c>
      <c r="O94" s="56">
        <v>151</v>
      </c>
      <c r="P94" s="56">
        <v>10</v>
      </c>
      <c r="Q94" s="56">
        <v>655</v>
      </c>
      <c r="R94" s="56">
        <v>420</v>
      </c>
      <c r="S94" s="56">
        <v>350</v>
      </c>
      <c r="T94" s="56">
        <v>350</v>
      </c>
      <c r="U94" s="56">
        <v>34</v>
      </c>
      <c r="V94" s="56">
        <v>552</v>
      </c>
      <c r="W94" s="56">
        <v>1187</v>
      </c>
      <c r="X94" s="56">
        <v>0</v>
      </c>
    </row>
    <row r="95" spans="1:24">
      <c r="A95" s="52">
        <v>46174</v>
      </c>
      <c r="B95" s="53" t="s">
        <v>994</v>
      </c>
      <c r="C95" s="56">
        <v>105</v>
      </c>
      <c r="D95" s="56">
        <v>126</v>
      </c>
      <c r="E95" s="56">
        <v>126</v>
      </c>
      <c r="F95" s="56">
        <v>209</v>
      </c>
      <c r="G95" s="56">
        <v>126</v>
      </c>
      <c r="H95" s="56">
        <v>104</v>
      </c>
      <c r="I95" s="56">
        <v>104</v>
      </c>
      <c r="J95" s="56">
        <v>85</v>
      </c>
      <c r="K95" s="56">
        <v>197</v>
      </c>
      <c r="L95" s="56">
        <v>59</v>
      </c>
      <c r="M95" s="54">
        <f t="shared" si="1"/>
        <v>255</v>
      </c>
      <c r="N95" s="57">
        <v>1496</v>
      </c>
      <c r="O95" s="56">
        <v>49</v>
      </c>
      <c r="P95" s="56">
        <v>3</v>
      </c>
      <c r="Q95" s="56">
        <v>177</v>
      </c>
      <c r="R95" s="56">
        <v>287</v>
      </c>
      <c r="S95" s="56">
        <v>120</v>
      </c>
      <c r="T95" s="56">
        <v>105</v>
      </c>
      <c r="U95" s="56">
        <v>157</v>
      </c>
      <c r="V95" s="56">
        <v>230</v>
      </c>
      <c r="W95" s="56">
        <v>341</v>
      </c>
      <c r="X95" s="56">
        <v>27</v>
      </c>
    </row>
    <row r="96" spans="1:24">
      <c r="A96" s="52">
        <v>46175</v>
      </c>
      <c r="B96" s="53" t="s">
        <v>994</v>
      </c>
      <c r="C96" s="56">
        <v>105</v>
      </c>
      <c r="D96" s="56">
        <v>126</v>
      </c>
      <c r="E96" s="56">
        <v>126</v>
      </c>
      <c r="F96" s="56">
        <v>209</v>
      </c>
      <c r="G96" s="56">
        <v>126</v>
      </c>
      <c r="H96" s="56">
        <v>104</v>
      </c>
      <c r="I96" s="56">
        <v>104</v>
      </c>
      <c r="J96" s="56">
        <v>85</v>
      </c>
      <c r="K96" s="56">
        <v>197</v>
      </c>
      <c r="L96" s="56">
        <v>59</v>
      </c>
      <c r="M96" s="54">
        <f t="shared" si="1"/>
        <v>255</v>
      </c>
      <c r="N96" s="57">
        <v>1496</v>
      </c>
      <c r="O96" s="56">
        <v>49</v>
      </c>
      <c r="P96" s="56">
        <v>3</v>
      </c>
      <c r="Q96" s="56">
        <v>177</v>
      </c>
      <c r="R96" s="56">
        <v>287</v>
      </c>
      <c r="S96" s="56">
        <v>120</v>
      </c>
      <c r="T96" s="56">
        <v>105</v>
      </c>
      <c r="U96" s="56">
        <v>157</v>
      </c>
      <c r="V96" s="56">
        <v>230</v>
      </c>
      <c r="W96" s="56">
        <v>341</v>
      </c>
      <c r="X96" s="56">
        <v>27</v>
      </c>
    </row>
    <row r="97" spans="1:24">
      <c r="A97" s="52">
        <v>46176</v>
      </c>
      <c r="B97" s="53" t="s">
        <v>994</v>
      </c>
      <c r="C97" s="56">
        <v>105</v>
      </c>
      <c r="D97" s="56">
        <v>126</v>
      </c>
      <c r="E97" s="56">
        <v>126</v>
      </c>
      <c r="F97" s="56">
        <v>210</v>
      </c>
      <c r="G97" s="56">
        <v>126</v>
      </c>
      <c r="H97" s="56">
        <v>104</v>
      </c>
      <c r="I97" s="56">
        <v>104</v>
      </c>
      <c r="J97" s="56">
        <v>85</v>
      </c>
      <c r="K97" s="56">
        <v>197</v>
      </c>
      <c r="L97" s="56">
        <v>59</v>
      </c>
      <c r="M97" s="54">
        <f t="shared" si="1"/>
        <v>256</v>
      </c>
      <c r="N97" s="57">
        <v>1498</v>
      </c>
      <c r="O97" s="56">
        <v>49</v>
      </c>
      <c r="P97" s="56">
        <v>3</v>
      </c>
      <c r="Q97" s="56">
        <v>177</v>
      </c>
      <c r="R97" s="56">
        <v>287</v>
      </c>
      <c r="S97" s="56">
        <v>121</v>
      </c>
      <c r="T97" s="56">
        <v>105</v>
      </c>
      <c r="U97" s="56">
        <v>157</v>
      </c>
      <c r="V97" s="56">
        <v>230</v>
      </c>
      <c r="W97" s="56">
        <v>341</v>
      </c>
      <c r="X97" s="56">
        <v>28</v>
      </c>
    </row>
    <row r="98" spans="1:24">
      <c r="A98" s="52">
        <v>46177</v>
      </c>
      <c r="B98" s="53" t="s">
        <v>994</v>
      </c>
      <c r="C98" s="56">
        <v>105</v>
      </c>
      <c r="D98" s="56">
        <v>126</v>
      </c>
      <c r="E98" s="56">
        <v>126</v>
      </c>
      <c r="F98" s="56">
        <v>210</v>
      </c>
      <c r="G98" s="56">
        <v>126</v>
      </c>
      <c r="H98" s="56">
        <v>104</v>
      </c>
      <c r="I98" s="56">
        <v>104</v>
      </c>
      <c r="J98" s="56">
        <v>85</v>
      </c>
      <c r="K98" s="56">
        <v>197</v>
      </c>
      <c r="L98" s="56">
        <v>59</v>
      </c>
      <c r="M98" s="54">
        <f t="shared" si="1"/>
        <v>256</v>
      </c>
      <c r="N98" s="57">
        <v>1498</v>
      </c>
      <c r="O98" s="56">
        <v>49</v>
      </c>
      <c r="P98" s="56">
        <v>3</v>
      </c>
      <c r="Q98" s="56">
        <v>177</v>
      </c>
      <c r="R98" s="56">
        <v>287</v>
      </c>
      <c r="S98" s="56">
        <v>121</v>
      </c>
      <c r="T98" s="56">
        <v>105</v>
      </c>
      <c r="U98" s="56">
        <v>157</v>
      </c>
      <c r="V98" s="56">
        <v>230</v>
      </c>
      <c r="W98" s="56">
        <v>341</v>
      </c>
      <c r="X98" s="56">
        <v>28</v>
      </c>
    </row>
    <row r="99" spans="1:24">
      <c r="A99" s="52">
        <v>46178</v>
      </c>
      <c r="B99" s="53" t="s">
        <v>994</v>
      </c>
      <c r="C99" s="56">
        <v>105</v>
      </c>
      <c r="D99" s="56">
        <v>126</v>
      </c>
      <c r="E99" s="56">
        <v>126</v>
      </c>
      <c r="F99" s="56">
        <v>210</v>
      </c>
      <c r="G99" s="56">
        <v>126</v>
      </c>
      <c r="H99" s="56">
        <v>104</v>
      </c>
      <c r="I99" s="56">
        <v>104</v>
      </c>
      <c r="J99" s="56">
        <v>85</v>
      </c>
      <c r="K99" s="56">
        <v>197</v>
      </c>
      <c r="L99" s="56">
        <v>59</v>
      </c>
      <c r="M99" s="54">
        <f t="shared" si="1"/>
        <v>256</v>
      </c>
      <c r="N99" s="57">
        <v>1498</v>
      </c>
      <c r="O99" s="56">
        <v>49</v>
      </c>
      <c r="P99" s="56">
        <v>3</v>
      </c>
      <c r="Q99" s="56">
        <v>177</v>
      </c>
      <c r="R99" s="56">
        <v>287</v>
      </c>
      <c r="S99" s="56">
        <v>121</v>
      </c>
      <c r="T99" s="56">
        <v>105</v>
      </c>
      <c r="U99" s="56">
        <v>157</v>
      </c>
      <c r="V99" s="56">
        <v>230</v>
      </c>
      <c r="W99" s="56">
        <v>341</v>
      </c>
      <c r="X99" s="56">
        <v>28</v>
      </c>
    </row>
    <row r="100" spans="1:24">
      <c r="A100" s="52">
        <v>46179</v>
      </c>
      <c r="B100" s="53" t="s">
        <v>994</v>
      </c>
      <c r="C100" s="56">
        <v>246</v>
      </c>
      <c r="D100" s="56">
        <v>294</v>
      </c>
      <c r="E100" s="56">
        <v>294</v>
      </c>
      <c r="F100" s="56">
        <v>490</v>
      </c>
      <c r="G100" s="56">
        <v>294</v>
      </c>
      <c r="H100" s="56">
        <v>244</v>
      </c>
      <c r="I100" s="56">
        <v>244</v>
      </c>
      <c r="J100" s="56">
        <v>200</v>
      </c>
      <c r="K100" s="56">
        <v>460</v>
      </c>
      <c r="L100" s="56">
        <v>139</v>
      </c>
      <c r="M100" s="54">
        <f t="shared" si="1"/>
        <v>595</v>
      </c>
      <c r="N100" s="57">
        <v>3500</v>
      </c>
      <c r="O100" s="56">
        <v>115</v>
      </c>
      <c r="P100" s="56">
        <v>6</v>
      </c>
      <c r="Q100" s="56">
        <v>414</v>
      </c>
      <c r="R100" s="56">
        <v>671</v>
      </c>
      <c r="S100" s="56">
        <v>282</v>
      </c>
      <c r="T100" s="56">
        <v>246</v>
      </c>
      <c r="U100" s="56">
        <v>367</v>
      </c>
      <c r="V100" s="56">
        <v>537</v>
      </c>
      <c r="W100" s="56">
        <v>797</v>
      </c>
      <c r="X100" s="56">
        <v>65</v>
      </c>
    </row>
    <row r="101" spans="1:24">
      <c r="A101" s="52">
        <v>46180</v>
      </c>
      <c r="B101" s="53" t="s">
        <v>994</v>
      </c>
      <c r="C101" s="56">
        <v>246</v>
      </c>
      <c r="D101" s="56">
        <v>294</v>
      </c>
      <c r="E101" s="56">
        <v>294</v>
      </c>
      <c r="F101" s="56">
        <v>490</v>
      </c>
      <c r="G101" s="56">
        <v>294</v>
      </c>
      <c r="H101" s="56">
        <v>244</v>
      </c>
      <c r="I101" s="56">
        <v>244</v>
      </c>
      <c r="J101" s="56">
        <v>200</v>
      </c>
      <c r="K101" s="56">
        <v>460</v>
      </c>
      <c r="L101" s="56">
        <v>139</v>
      </c>
      <c r="M101" s="54">
        <f t="shared" si="1"/>
        <v>595</v>
      </c>
      <c r="N101" s="57">
        <v>3500</v>
      </c>
      <c r="O101" s="56">
        <v>115</v>
      </c>
      <c r="P101" s="56">
        <v>6</v>
      </c>
      <c r="Q101" s="56">
        <v>414</v>
      </c>
      <c r="R101" s="56">
        <v>671</v>
      </c>
      <c r="S101" s="56">
        <v>282</v>
      </c>
      <c r="T101" s="56">
        <v>246</v>
      </c>
      <c r="U101" s="56">
        <v>367</v>
      </c>
      <c r="V101" s="56">
        <v>537</v>
      </c>
      <c r="W101" s="56">
        <v>797</v>
      </c>
      <c r="X101" s="56">
        <v>65</v>
      </c>
    </row>
    <row r="102" spans="1:24">
      <c r="A102" s="52">
        <v>46181</v>
      </c>
      <c r="B102" s="53" t="s">
        <v>994</v>
      </c>
      <c r="C102" s="56">
        <v>137</v>
      </c>
      <c r="D102" s="56">
        <v>164</v>
      </c>
      <c r="E102" s="56">
        <v>164</v>
      </c>
      <c r="F102" s="56">
        <v>273</v>
      </c>
      <c r="G102" s="56">
        <v>164</v>
      </c>
      <c r="H102" s="56">
        <v>136</v>
      </c>
      <c r="I102" s="56">
        <v>136</v>
      </c>
      <c r="J102" s="56">
        <v>111</v>
      </c>
      <c r="K102" s="56">
        <v>256</v>
      </c>
      <c r="L102" s="56">
        <v>77</v>
      </c>
      <c r="M102" s="54">
        <f t="shared" si="1"/>
        <v>332</v>
      </c>
      <c r="N102" s="57">
        <v>1950</v>
      </c>
      <c r="O102" s="56">
        <v>64</v>
      </c>
      <c r="P102" s="56">
        <v>3</v>
      </c>
      <c r="Q102" s="56">
        <v>231</v>
      </c>
      <c r="R102" s="56">
        <v>374</v>
      </c>
      <c r="S102" s="56">
        <v>157</v>
      </c>
      <c r="T102" s="56">
        <v>137</v>
      </c>
      <c r="U102" s="56">
        <v>205</v>
      </c>
      <c r="V102" s="56">
        <v>299</v>
      </c>
      <c r="W102" s="56">
        <v>444</v>
      </c>
      <c r="X102" s="56">
        <v>36</v>
      </c>
    </row>
    <row r="103" spans="1:24">
      <c r="A103" s="52">
        <v>46182</v>
      </c>
      <c r="B103" s="53" t="s">
        <v>994</v>
      </c>
      <c r="C103" s="56">
        <v>137</v>
      </c>
      <c r="D103" s="56">
        <v>164</v>
      </c>
      <c r="E103" s="56">
        <v>164</v>
      </c>
      <c r="F103" s="56">
        <v>273</v>
      </c>
      <c r="G103" s="56">
        <v>164</v>
      </c>
      <c r="H103" s="56">
        <v>136</v>
      </c>
      <c r="I103" s="56">
        <v>136</v>
      </c>
      <c r="J103" s="56">
        <v>111</v>
      </c>
      <c r="K103" s="56">
        <v>256</v>
      </c>
      <c r="L103" s="56">
        <v>77</v>
      </c>
      <c r="M103" s="54">
        <f t="shared" si="1"/>
        <v>332</v>
      </c>
      <c r="N103" s="57">
        <v>1950</v>
      </c>
      <c r="O103" s="56">
        <v>64</v>
      </c>
      <c r="P103" s="56">
        <v>3</v>
      </c>
      <c r="Q103" s="56">
        <v>231</v>
      </c>
      <c r="R103" s="56">
        <v>374</v>
      </c>
      <c r="S103" s="56">
        <v>157</v>
      </c>
      <c r="T103" s="56">
        <v>137</v>
      </c>
      <c r="U103" s="56">
        <v>205</v>
      </c>
      <c r="V103" s="56">
        <v>299</v>
      </c>
      <c r="W103" s="56">
        <v>444</v>
      </c>
      <c r="X103" s="56">
        <v>36</v>
      </c>
    </row>
    <row r="104" spans="1:24">
      <c r="A104" s="52">
        <v>46183</v>
      </c>
      <c r="B104" s="53" t="s">
        <v>994</v>
      </c>
      <c r="C104" s="56">
        <v>137</v>
      </c>
      <c r="D104" s="56">
        <v>164</v>
      </c>
      <c r="E104" s="56">
        <v>164</v>
      </c>
      <c r="F104" s="56">
        <v>273</v>
      </c>
      <c r="G104" s="56">
        <v>164</v>
      </c>
      <c r="H104" s="56">
        <v>136</v>
      </c>
      <c r="I104" s="56">
        <v>136</v>
      </c>
      <c r="J104" s="56">
        <v>111</v>
      </c>
      <c r="K104" s="56">
        <v>256</v>
      </c>
      <c r="L104" s="56">
        <v>77</v>
      </c>
      <c r="M104" s="54">
        <f t="shared" si="1"/>
        <v>332</v>
      </c>
      <c r="N104" s="57">
        <v>1950</v>
      </c>
      <c r="O104" s="56">
        <v>64</v>
      </c>
      <c r="P104" s="56">
        <v>3</v>
      </c>
      <c r="Q104" s="56">
        <v>231</v>
      </c>
      <c r="R104" s="56">
        <v>374</v>
      </c>
      <c r="S104" s="56">
        <v>157</v>
      </c>
      <c r="T104" s="56">
        <v>137</v>
      </c>
      <c r="U104" s="56">
        <v>205</v>
      </c>
      <c r="V104" s="56">
        <v>299</v>
      </c>
      <c r="W104" s="56">
        <v>444</v>
      </c>
      <c r="X104" s="56">
        <v>36</v>
      </c>
    </row>
    <row r="105" spans="1:24">
      <c r="A105" s="52">
        <v>46184</v>
      </c>
      <c r="B105" s="53" t="s">
        <v>994</v>
      </c>
      <c r="C105" s="56">
        <v>137</v>
      </c>
      <c r="D105" s="56">
        <v>164</v>
      </c>
      <c r="E105" s="56">
        <v>164</v>
      </c>
      <c r="F105" s="56">
        <v>273</v>
      </c>
      <c r="G105" s="56">
        <v>164</v>
      </c>
      <c r="H105" s="56">
        <v>136</v>
      </c>
      <c r="I105" s="56">
        <v>136</v>
      </c>
      <c r="J105" s="56">
        <v>111</v>
      </c>
      <c r="K105" s="56">
        <v>256</v>
      </c>
      <c r="L105" s="56">
        <v>77</v>
      </c>
      <c r="M105" s="54">
        <f t="shared" si="1"/>
        <v>332</v>
      </c>
      <c r="N105" s="57">
        <v>1950</v>
      </c>
      <c r="O105" s="56">
        <v>64</v>
      </c>
      <c r="P105" s="56">
        <v>3</v>
      </c>
      <c r="Q105" s="56">
        <v>231</v>
      </c>
      <c r="R105" s="56">
        <v>374</v>
      </c>
      <c r="S105" s="56">
        <v>157</v>
      </c>
      <c r="T105" s="56">
        <v>137</v>
      </c>
      <c r="U105" s="56">
        <v>205</v>
      </c>
      <c r="V105" s="56">
        <v>299</v>
      </c>
      <c r="W105" s="56">
        <v>444</v>
      </c>
      <c r="X105" s="56">
        <v>36</v>
      </c>
    </row>
    <row r="106" spans="1:24">
      <c r="A106" s="52">
        <v>46185</v>
      </c>
      <c r="B106" s="53" t="s">
        <v>994</v>
      </c>
      <c r="C106" s="56">
        <v>137</v>
      </c>
      <c r="D106" s="56">
        <v>164</v>
      </c>
      <c r="E106" s="56">
        <v>164</v>
      </c>
      <c r="F106" s="56">
        <v>273</v>
      </c>
      <c r="G106" s="56">
        <v>164</v>
      </c>
      <c r="H106" s="56">
        <v>136</v>
      </c>
      <c r="I106" s="56">
        <v>136</v>
      </c>
      <c r="J106" s="56">
        <v>111</v>
      </c>
      <c r="K106" s="56">
        <v>256</v>
      </c>
      <c r="L106" s="56">
        <v>77</v>
      </c>
      <c r="M106" s="54">
        <f t="shared" si="1"/>
        <v>332</v>
      </c>
      <c r="N106" s="57">
        <v>1950</v>
      </c>
      <c r="O106" s="56">
        <v>64</v>
      </c>
      <c r="P106" s="56">
        <v>3</v>
      </c>
      <c r="Q106" s="56">
        <v>231</v>
      </c>
      <c r="R106" s="56">
        <v>374</v>
      </c>
      <c r="S106" s="56">
        <v>157</v>
      </c>
      <c r="T106" s="56">
        <v>137</v>
      </c>
      <c r="U106" s="56">
        <v>205</v>
      </c>
      <c r="V106" s="56">
        <v>299</v>
      </c>
      <c r="W106" s="56">
        <v>444</v>
      </c>
      <c r="X106" s="56">
        <v>36</v>
      </c>
    </row>
    <row r="107" spans="1:24">
      <c r="A107" s="52">
        <v>46186</v>
      </c>
      <c r="B107" s="53" t="s">
        <v>994</v>
      </c>
      <c r="C107" s="56">
        <v>285</v>
      </c>
      <c r="D107" s="56">
        <v>341</v>
      </c>
      <c r="E107" s="56">
        <v>341</v>
      </c>
      <c r="F107" s="56">
        <v>567</v>
      </c>
      <c r="G107" s="56">
        <v>341</v>
      </c>
      <c r="H107" s="56">
        <v>282</v>
      </c>
      <c r="I107" s="56">
        <v>282</v>
      </c>
      <c r="J107" s="56">
        <v>231</v>
      </c>
      <c r="K107" s="56">
        <v>532</v>
      </c>
      <c r="L107" s="56">
        <v>161</v>
      </c>
      <c r="M107" s="54">
        <f t="shared" si="1"/>
        <v>687</v>
      </c>
      <c r="N107" s="57">
        <v>4050</v>
      </c>
      <c r="O107" s="56">
        <v>133</v>
      </c>
      <c r="P107" s="56">
        <v>7</v>
      </c>
      <c r="Q107" s="56">
        <v>479</v>
      </c>
      <c r="R107" s="56">
        <v>776</v>
      </c>
      <c r="S107" s="56">
        <v>327</v>
      </c>
      <c r="T107" s="56">
        <v>285</v>
      </c>
      <c r="U107" s="56">
        <v>425</v>
      </c>
      <c r="V107" s="56">
        <v>621</v>
      </c>
      <c r="W107" s="56">
        <v>922</v>
      </c>
      <c r="X107" s="56">
        <v>75</v>
      </c>
    </row>
    <row r="108" spans="1:24">
      <c r="A108" s="52">
        <v>46187</v>
      </c>
      <c r="B108" s="53" t="s">
        <v>994</v>
      </c>
      <c r="C108" s="56">
        <v>285</v>
      </c>
      <c r="D108" s="56">
        <v>341</v>
      </c>
      <c r="E108" s="56">
        <v>341</v>
      </c>
      <c r="F108" s="56">
        <v>567</v>
      </c>
      <c r="G108" s="56">
        <v>341</v>
      </c>
      <c r="H108" s="56">
        <v>282</v>
      </c>
      <c r="I108" s="56">
        <v>282</v>
      </c>
      <c r="J108" s="56">
        <v>231</v>
      </c>
      <c r="K108" s="56">
        <v>532</v>
      </c>
      <c r="L108" s="56">
        <v>161</v>
      </c>
      <c r="M108" s="54">
        <f t="shared" si="1"/>
        <v>687</v>
      </c>
      <c r="N108" s="57">
        <v>4050</v>
      </c>
      <c r="O108" s="56">
        <v>133</v>
      </c>
      <c r="P108" s="56">
        <v>7</v>
      </c>
      <c r="Q108" s="56">
        <v>479</v>
      </c>
      <c r="R108" s="56">
        <v>776</v>
      </c>
      <c r="S108" s="56">
        <v>327</v>
      </c>
      <c r="T108" s="56">
        <v>285</v>
      </c>
      <c r="U108" s="56">
        <v>425</v>
      </c>
      <c r="V108" s="56">
        <v>621</v>
      </c>
      <c r="W108" s="56">
        <v>922</v>
      </c>
      <c r="X108" s="56">
        <v>75</v>
      </c>
    </row>
    <row r="109" spans="1:24">
      <c r="A109" s="52">
        <v>46188</v>
      </c>
      <c r="B109" s="53" t="s">
        <v>994</v>
      </c>
      <c r="C109" s="56">
        <v>137</v>
      </c>
      <c r="D109" s="56">
        <v>164</v>
      </c>
      <c r="E109" s="56">
        <v>164</v>
      </c>
      <c r="F109" s="56">
        <v>273</v>
      </c>
      <c r="G109" s="56">
        <v>164</v>
      </c>
      <c r="H109" s="56">
        <v>136</v>
      </c>
      <c r="I109" s="56">
        <v>136</v>
      </c>
      <c r="J109" s="56">
        <v>111</v>
      </c>
      <c r="K109" s="56">
        <v>256</v>
      </c>
      <c r="L109" s="56">
        <v>77</v>
      </c>
      <c r="M109" s="54">
        <f t="shared" si="1"/>
        <v>332</v>
      </c>
      <c r="N109" s="57">
        <v>1950</v>
      </c>
      <c r="O109" s="56">
        <v>64</v>
      </c>
      <c r="P109" s="56">
        <v>3</v>
      </c>
      <c r="Q109" s="56">
        <v>231</v>
      </c>
      <c r="R109" s="56">
        <v>374</v>
      </c>
      <c r="S109" s="56">
        <v>157</v>
      </c>
      <c r="T109" s="56">
        <v>137</v>
      </c>
      <c r="U109" s="56">
        <v>205</v>
      </c>
      <c r="V109" s="56">
        <v>299</v>
      </c>
      <c r="W109" s="56">
        <v>444</v>
      </c>
      <c r="X109" s="56">
        <v>36</v>
      </c>
    </row>
    <row r="110" spans="1:24">
      <c r="A110" s="52">
        <v>46189</v>
      </c>
      <c r="B110" s="53" t="s">
        <v>994</v>
      </c>
      <c r="C110" s="56">
        <v>285</v>
      </c>
      <c r="D110" s="56">
        <v>341</v>
      </c>
      <c r="E110" s="56">
        <v>341</v>
      </c>
      <c r="F110" s="56">
        <v>567</v>
      </c>
      <c r="G110" s="56">
        <v>341</v>
      </c>
      <c r="H110" s="56">
        <v>282</v>
      </c>
      <c r="I110" s="56">
        <v>282</v>
      </c>
      <c r="J110" s="56">
        <v>231</v>
      </c>
      <c r="K110" s="56">
        <v>532</v>
      </c>
      <c r="L110" s="56">
        <v>161</v>
      </c>
      <c r="M110" s="54">
        <f t="shared" si="1"/>
        <v>687</v>
      </c>
      <c r="N110" s="57">
        <v>4050</v>
      </c>
      <c r="O110" s="56">
        <v>133</v>
      </c>
      <c r="P110" s="56">
        <v>7</v>
      </c>
      <c r="Q110" s="56">
        <v>479</v>
      </c>
      <c r="R110" s="56">
        <v>776</v>
      </c>
      <c r="S110" s="56">
        <v>327</v>
      </c>
      <c r="T110" s="56">
        <v>285</v>
      </c>
      <c r="U110" s="56">
        <v>425</v>
      </c>
      <c r="V110" s="56">
        <v>621</v>
      </c>
      <c r="W110" s="56">
        <v>922</v>
      </c>
      <c r="X110" s="56">
        <v>75</v>
      </c>
    </row>
    <row r="111" spans="1:24">
      <c r="A111" s="52">
        <v>46190</v>
      </c>
      <c r="B111" s="53" t="s">
        <v>994</v>
      </c>
      <c r="C111" s="56">
        <v>137</v>
      </c>
      <c r="D111" s="56">
        <v>164</v>
      </c>
      <c r="E111" s="56">
        <v>164</v>
      </c>
      <c r="F111" s="56">
        <v>273</v>
      </c>
      <c r="G111" s="56">
        <v>164</v>
      </c>
      <c r="H111" s="56">
        <v>136</v>
      </c>
      <c r="I111" s="56">
        <v>136</v>
      </c>
      <c r="J111" s="56">
        <v>111</v>
      </c>
      <c r="K111" s="56">
        <v>256</v>
      </c>
      <c r="L111" s="56">
        <v>77</v>
      </c>
      <c r="M111" s="54">
        <f t="shared" si="1"/>
        <v>332</v>
      </c>
      <c r="N111" s="57">
        <v>1950</v>
      </c>
      <c r="O111" s="56">
        <v>64</v>
      </c>
      <c r="P111" s="56">
        <v>3</v>
      </c>
      <c r="Q111" s="56">
        <v>231</v>
      </c>
      <c r="R111" s="56">
        <v>374</v>
      </c>
      <c r="S111" s="56">
        <v>157</v>
      </c>
      <c r="T111" s="56">
        <v>137</v>
      </c>
      <c r="U111" s="56">
        <v>205</v>
      </c>
      <c r="V111" s="56">
        <v>299</v>
      </c>
      <c r="W111" s="56">
        <v>444</v>
      </c>
      <c r="X111" s="56">
        <v>36</v>
      </c>
    </row>
    <row r="112" spans="1:24">
      <c r="A112" s="52">
        <v>46191</v>
      </c>
      <c r="B112" s="53" t="s">
        <v>994</v>
      </c>
      <c r="C112" s="56">
        <v>137</v>
      </c>
      <c r="D112" s="56">
        <v>164</v>
      </c>
      <c r="E112" s="56">
        <v>164</v>
      </c>
      <c r="F112" s="56">
        <v>273</v>
      </c>
      <c r="G112" s="56">
        <v>164</v>
      </c>
      <c r="H112" s="56">
        <v>136</v>
      </c>
      <c r="I112" s="56">
        <v>136</v>
      </c>
      <c r="J112" s="56">
        <v>111</v>
      </c>
      <c r="K112" s="56">
        <v>256</v>
      </c>
      <c r="L112" s="56">
        <v>77</v>
      </c>
      <c r="M112" s="54">
        <f t="shared" si="1"/>
        <v>332</v>
      </c>
      <c r="N112" s="57">
        <v>1950</v>
      </c>
      <c r="O112" s="56">
        <v>64</v>
      </c>
      <c r="P112" s="56">
        <v>3</v>
      </c>
      <c r="Q112" s="56">
        <v>231</v>
      </c>
      <c r="R112" s="56">
        <v>374</v>
      </c>
      <c r="S112" s="56">
        <v>157</v>
      </c>
      <c r="T112" s="56">
        <v>137</v>
      </c>
      <c r="U112" s="56">
        <v>205</v>
      </c>
      <c r="V112" s="56">
        <v>299</v>
      </c>
      <c r="W112" s="56">
        <v>444</v>
      </c>
      <c r="X112" s="56">
        <v>36</v>
      </c>
    </row>
    <row r="113" spans="1:24">
      <c r="A113" s="52">
        <v>46192</v>
      </c>
      <c r="B113" s="53" t="s">
        <v>994</v>
      </c>
      <c r="C113" s="56">
        <v>285</v>
      </c>
      <c r="D113" s="56">
        <v>341</v>
      </c>
      <c r="E113" s="56">
        <v>341</v>
      </c>
      <c r="F113" s="56">
        <v>567</v>
      </c>
      <c r="G113" s="56">
        <v>341</v>
      </c>
      <c r="H113" s="56">
        <v>282</v>
      </c>
      <c r="I113" s="56">
        <v>282</v>
      </c>
      <c r="J113" s="56">
        <v>231</v>
      </c>
      <c r="K113" s="56">
        <v>532</v>
      </c>
      <c r="L113" s="56">
        <v>161</v>
      </c>
      <c r="M113" s="54">
        <f t="shared" si="1"/>
        <v>687</v>
      </c>
      <c r="N113" s="57">
        <v>4050</v>
      </c>
      <c r="O113" s="56">
        <v>133</v>
      </c>
      <c r="P113" s="56">
        <v>7</v>
      </c>
      <c r="Q113" s="56">
        <v>479</v>
      </c>
      <c r="R113" s="56">
        <v>776</v>
      </c>
      <c r="S113" s="56">
        <v>327</v>
      </c>
      <c r="T113" s="56">
        <v>285</v>
      </c>
      <c r="U113" s="56">
        <v>425</v>
      </c>
      <c r="V113" s="56">
        <v>621</v>
      </c>
      <c r="W113" s="56">
        <v>922</v>
      </c>
      <c r="X113" s="56">
        <v>75</v>
      </c>
    </row>
    <row r="114" spans="1:24">
      <c r="A114" s="52">
        <v>46193</v>
      </c>
      <c r="B114" s="53" t="s">
        <v>994</v>
      </c>
      <c r="C114" s="56">
        <v>285</v>
      </c>
      <c r="D114" s="56">
        <v>341</v>
      </c>
      <c r="E114" s="56">
        <v>341</v>
      </c>
      <c r="F114" s="56">
        <v>567</v>
      </c>
      <c r="G114" s="56">
        <v>341</v>
      </c>
      <c r="H114" s="56">
        <v>282</v>
      </c>
      <c r="I114" s="56">
        <v>282</v>
      </c>
      <c r="J114" s="56">
        <v>231</v>
      </c>
      <c r="K114" s="56">
        <v>532</v>
      </c>
      <c r="L114" s="56">
        <v>161</v>
      </c>
      <c r="M114" s="54">
        <f t="shared" si="1"/>
        <v>687</v>
      </c>
      <c r="N114" s="57">
        <v>4050</v>
      </c>
      <c r="O114" s="56">
        <v>133</v>
      </c>
      <c r="P114" s="56">
        <v>7</v>
      </c>
      <c r="Q114" s="56">
        <v>479</v>
      </c>
      <c r="R114" s="56">
        <v>776</v>
      </c>
      <c r="S114" s="56">
        <v>327</v>
      </c>
      <c r="T114" s="56">
        <v>285</v>
      </c>
      <c r="U114" s="56">
        <v>425</v>
      </c>
      <c r="V114" s="56">
        <v>621</v>
      </c>
      <c r="W114" s="56">
        <v>922</v>
      </c>
      <c r="X114" s="56">
        <v>75</v>
      </c>
    </row>
    <row r="115" spans="1:24">
      <c r="A115" s="52">
        <v>46194</v>
      </c>
      <c r="B115" s="53" t="s">
        <v>994</v>
      </c>
      <c r="C115" s="56">
        <v>285</v>
      </c>
      <c r="D115" s="56">
        <v>341</v>
      </c>
      <c r="E115" s="56">
        <v>341</v>
      </c>
      <c r="F115" s="56">
        <v>567</v>
      </c>
      <c r="G115" s="56">
        <v>341</v>
      </c>
      <c r="H115" s="56">
        <v>282</v>
      </c>
      <c r="I115" s="56">
        <v>282</v>
      </c>
      <c r="J115" s="56">
        <v>231</v>
      </c>
      <c r="K115" s="56">
        <v>532</v>
      </c>
      <c r="L115" s="56">
        <v>161</v>
      </c>
      <c r="M115" s="54">
        <f t="shared" si="1"/>
        <v>687</v>
      </c>
      <c r="N115" s="57">
        <v>4050</v>
      </c>
      <c r="O115" s="56">
        <v>133</v>
      </c>
      <c r="P115" s="56">
        <v>7</v>
      </c>
      <c r="Q115" s="56">
        <v>479</v>
      </c>
      <c r="R115" s="56">
        <v>776</v>
      </c>
      <c r="S115" s="56">
        <v>327</v>
      </c>
      <c r="T115" s="56">
        <v>285</v>
      </c>
      <c r="U115" s="56">
        <v>425</v>
      </c>
      <c r="V115" s="56">
        <v>621</v>
      </c>
      <c r="W115" s="56">
        <v>922</v>
      </c>
      <c r="X115" s="56">
        <v>75</v>
      </c>
    </row>
    <row r="116" spans="1:24">
      <c r="A116" s="52">
        <v>46195</v>
      </c>
      <c r="B116" s="53" t="s">
        <v>994</v>
      </c>
      <c r="C116" s="56">
        <v>105</v>
      </c>
      <c r="D116" s="56">
        <v>126</v>
      </c>
      <c r="E116" s="56">
        <v>126</v>
      </c>
      <c r="F116" s="56">
        <v>210</v>
      </c>
      <c r="G116" s="56">
        <v>126</v>
      </c>
      <c r="H116" s="56">
        <v>104</v>
      </c>
      <c r="I116" s="56">
        <v>104</v>
      </c>
      <c r="J116" s="56">
        <v>85</v>
      </c>
      <c r="K116" s="56">
        <v>197</v>
      </c>
      <c r="L116" s="56">
        <v>59</v>
      </c>
      <c r="M116" s="54">
        <f t="shared" si="1"/>
        <v>256</v>
      </c>
      <c r="N116" s="57">
        <v>1498</v>
      </c>
      <c r="O116" s="56">
        <v>49</v>
      </c>
      <c r="P116" s="56">
        <v>3</v>
      </c>
      <c r="Q116" s="56">
        <v>177</v>
      </c>
      <c r="R116" s="56">
        <v>287</v>
      </c>
      <c r="S116" s="56">
        <v>121</v>
      </c>
      <c r="T116" s="56">
        <v>105</v>
      </c>
      <c r="U116" s="56">
        <v>157</v>
      </c>
      <c r="V116" s="56">
        <v>230</v>
      </c>
      <c r="W116" s="56">
        <v>341</v>
      </c>
      <c r="X116" s="56">
        <v>28</v>
      </c>
    </row>
    <row r="117" spans="1:24">
      <c r="A117" s="52">
        <v>46196</v>
      </c>
      <c r="B117" s="53" t="s">
        <v>994</v>
      </c>
      <c r="C117" s="56">
        <v>105</v>
      </c>
      <c r="D117" s="56">
        <v>126</v>
      </c>
      <c r="E117" s="56">
        <v>126</v>
      </c>
      <c r="F117" s="56">
        <v>210</v>
      </c>
      <c r="G117" s="56">
        <v>126</v>
      </c>
      <c r="H117" s="56">
        <v>104</v>
      </c>
      <c r="I117" s="56">
        <v>104</v>
      </c>
      <c r="J117" s="56">
        <v>85</v>
      </c>
      <c r="K117" s="56">
        <v>197</v>
      </c>
      <c r="L117" s="56">
        <v>59</v>
      </c>
      <c r="M117" s="54">
        <f t="shared" si="1"/>
        <v>256</v>
      </c>
      <c r="N117" s="57">
        <v>1498</v>
      </c>
      <c r="O117" s="56">
        <v>49</v>
      </c>
      <c r="P117" s="56">
        <v>3</v>
      </c>
      <c r="Q117" s="56">
        <v>177</v>
      </c>
      <c r="R117" s="56">
        <v>287</v>
      </c>
      <c r="S117" s="56">
        <v>121</v>
      </c>
      <c r="T117" s="56">
        <v>105</v>
      </c>
      <c r="U117" s="56">
        <v>157</v>
      </c>
      <c r="V117" s="56">
        <v>230</v>
      </c>
      <c r="W117" s="56">
        <v>341</v>
      </c>
      <c r="X117" s="56">
        <v>28</v>
      </c>
    </row>
    <row r="118" spans="1:24">
      <c r="A118" s="52">
        <v>46197</v>
      </c>
      <c r="B118" s="53" t="s">
        <v>994</v>
      </c>
      <c r="C118" s="56">
        <v>105</v>
      </c>
      <c r="D118" s="56">
        <v>126</v>
      </c>
      <c r="E118" s="56">
        <v>126</v>
      </c>
      <c r="F118" s="56">
        <v>210</v>
      </c>
      <c r="G118" s="56">
        <v>126</v>
      </c>
      <c r="H118" s="56">
        <v>104</v>
      </c>
      <c r="I118" s="56">
        <v>104</v>
      </c>
      <c r="J118" s="56">
        <v>85</v>
      </c>
      <c r="K118" s="56">
        <v>197</v>
      </c>
      <c r="L118" s="56">
        <v>60</v>
      </c>
      <c r="M118" s="54">
        <f t="shared" si="1"/>
        <v>256</v>
      </c>
      <c r="N118" s="57">
        <v>1499</v>
      </c>
      <c r="O118" s="56">
        <v>49</v>
      </c>
      <c r="P118" s="56">
        <v>3</v>
      </c>
      <c r="Q118" s="56">
        <v>177</v>
      </c>
      <c r="R118" s="56">
        <v>287</v>
      </c>
      <c r="S118" s="56">
        <v>121</v>
      </c>
      <c r="T118" s="56">
        <v>105</v>
      </c>
      <c r="U118" s="56">
        <v>157</v>
      </c>
      <c r="V118" s="56">
        <v>231</v>
      </c>
      <c r="W118" s="56">
        <v>341</v>
      </c>
      <c r="X118" s="56">
        <v>28</v>
      </c>
    </row>
    <row r="119" spans="1:24">
      <c r="A119" s="52">
        <v>46198</v>
      </c>
      <c r="B119" s="53" t="s">
        <v>994</v>
      </c>
      <c r="C119" s="56">
        <v>105</v>
      </c>
      <c r="D119" s="56">
        <v>126</v>
      </c>
      <c r="E119" s="56">
        <v>126</v>
      </c>
      <c r="F119" s="56">
        <v>210</v>
      </c>
      <c r="G119" s="56">
        <v>126</v>
      </c>
      <c r="H119" s="56">
        <v>104</v>
      </c>
      <c r="I119" s="56">
        <v>104</v>
      </c>
      <c r="J119" s="56">
        <v>85</v>
      </c>
      <c r="K119" s="56">
        <v>197</v>
      </c>
      <c r="L119" s="56">
        <v>60</v>
      </c>
      <c r="M119" s="54">
        <f t="shared" si="1"/>
        <v>256</v>
      </c>
      <c r="N119" s="57">
        <v>1499</v>
      </c>
      <c r="O119" s="56">
        <v>49</v>
      </c>
      <c r="P119" s="56">
        <v>3</v>
      </c>
      <c r="Q119" s="56">
        <v>177</v>
      </c>
      <c r="R119" s="56">
        <v>287</v>
      </c>
      <c r="S119" s="56">
        <v>121</v>
      </c>
      <c r="T119" s="56">
        <v>105</v>
      </c>
      <c r="U119" s="56">
        <v>157</v>
      </c>
      <c r="V119" s="56">
        <v>231</v>
      </c>
      <c r="W119" s="56">
        <v>341</v>
      </c>
      <c r="X119" s="56">
        <v>28</v>
      </c>
    </row>
    <row r="120" spans="1:24">
      <c r="A120" s="52">
        <v>46199</v>
      </c>
      <c r="B120" s="53" t="s">
        <v>994</v>
      </c>
      <c r="C120" s="56">
        <v>137</v>
      </c>
      <c r="D120" s="56">
        <v>164</v>
      </c>
      <c r="E120" s="56">
        <v>164</v>
      </c>
      <c r="F120" s="56">
        <v>273</v>
      </c>
      <c r="G120" s="56">
        <v>164</v>
      </c>
      <c r="H120" s="56">
        <v>137</v>
      </c>
      <c r="I120" s="56">
        <v>136</v>
      </c>
      <c r="J120" s="56">
        <v>111</v>
      </c>
      <c r="K120" s="56">
        <v>256</v>
      </c>
      <c r="L120" s="56">
        <v>77</v>
      </c>
      <c r="M120" s="54">
        <f t="shared" si="1"/>
        <v>332</v>
      </c>
      <c r="N120" s="57">
        <v>1951</v>
      </c>
      <c r="O120" s="56">
        <v>64</v>
      </c>
      <c r="P120" s="56">
        <v>3</v>
      </c>
      <c r="Q120" s="56">
        <v>231</v>
      </c>
      <c r="R120" s="56">
        <v>374</v>
      </c>
      <c r="S120" s="56">
        <v>157</v>
      </c>
      <c r="T120" s="56">
        <v>137</v>
      </c>
      <c r="U120" s="56">
        <v>205</v>
      </c>
      <c r="V120" s="56">
        <v>300</v>
      </c>
      <c r="W120" s="56">
        <v>444</v>
      </c>
      <c r="X120" s="56">
        <v>36</v>
      </c>
    </row>
    <row r="121" spans="1:24">
      <c r="A121" s="52">
        <v>46200</v>
      </c>
      <c r="B121" s="53" t="s">
        <v>994</v>
      </c>
      <c r="C121" s="56">
        <v>285</v>
      </c>
      <c r="D121" s="56">
        <v>341</v>
      </c>
      <c r="E121" s="56">
        <v>341</v>
      </c>
      <c r="F121" s="56">
        <v>567</v>
      </c>
      <c r="G121" s="56">
        <v>341</v>
      </c>
      <c r="H121" s="56">
        <v>282</v>
      </c>
      <c r="I121" s="56">
        <v>283</v>
      </c>
      <c r="J121" s="56">
        <v>231</v>
      </c>
      <c r="K121" s="56">
        <v>532</v>
      </c>
      <c r="L121" s="56">
        <v>161</v>
      </c>
      <c r="M121" s="54">
        <f t="shared" si="1"/>
        <v>688</v>
      </c>
      <c r="N121" s="57">
        <v>4052</v>
      </c>
      <c r="O121" s="56">
        <v>133</v>
      </c>
      <c r="P121" s="56">
        <v>7</v>
      </c>
      <c r="Q121" s="56">
        <v>479</v>
      </c>
      <c r="R121" s="56">
        <v>776</v>
      </c>
      <c r="S121" s="56">
        <v>327</v>
      </c>
      <c r="T121" s="56">
        <v>286</v>
      </c>
      <c r="U121" s="56">
        <v>425</v>
      </c>
      <c r="V121" s="56">
        <v>622</v>
      </c>
      <c r="W121" s="56">
        <v>922</v>
      </c>
      <c r="X121" s="56">
        <v>75</v>
      </c>
    </row>
    <row r="122" spans="1:24">
      <c r="A122" s="52">
        <v>46201</v>
      </c>
      <c r="B122" s="53" t="s">
        <v>994</v>
      </c>
      <c r="C122" s="56">
        <v>285</v>
      </c>
      <c r="D122" s="56">
        <v>341</v>
      </c>
      <c r="E122" s="56">
        <v>341</v>
      </c>
      <c r="F122" s="56">
        <v>568</v>
      </c>
      <c r="G122" s="56">
        <v>341</v>
      </c>
      <c r="H122" s="56">
        <v>282</v>
      </c>
      <c r="I122" s="56">
        <v>282</v>
      </c>
      <c r="J122" s="56">
        <v>232</v>
      </c>
      <c r="K122" s="56">
        <v>533</v>
      </c>
      <c r="L122" s="56">
        <v>161</v>
      </c>
      <c r="M122" s="54">
        <f t="shared" si="1"/>
        <v>689</v>
      </c>
      <c r="N122" s="57">
        <v>4055</v>
      </c>
      <c r="O122" s="56">
        <v>133</v>
      </c>
      <c r="P122" s="56">
        <v>7</v>
      </c>
      <c r="Q122" s="56">
        <v>480</v>
      </c>
      <c r="R122" s="56">
        <v>777</v>
      </c>
      <c r="S122" s="56">
        <v>327</v>
      </c>
      <c r="T122" s="56">
        <v>286</v>
      </c>
      <c r="U122" s="56">
        <v>426</v>
      </c>
      <c r="V122" s="56">
        <v>622</v>
      </c>
      <c r="W122" s="56">
        <v>922</v>
      </c>
      <c r="X122" s="56">
        <v>75</v>
      </c>
    </row>
    <row r="123" spans="1:24">
      <c r="A123" s="52">
        <v>46202</v>
      </c>
      <c r="B123" s="53" t="s">
        <v>994</v>
      </c>
      <c r="C123" s="56">
        <v>141</v>
      </c>
      <c r="D123" s="56">
        <v>169</v>
      </c>
      <c r="E123" s="56">
        <v>169</v>
      </c>
      <c r="F123" s="56">
        <v>281</v>
      </c>
      <c r="G123" s="56">
        <v>169</v>
      </c>
      <c r="H123" s="56">
        <v>140</v>
      </c>
      <c r="I123" s="56">
        <v>140</v>
      </c>
      <c r="J123" s="56">
        <v>114</v>
      </c>
      <c r="K123" s="56">
        <v>264</v>
      </c>
      <c r="L123" s="56">
        <v>80</v>
      </c>
      <c r="M123" s="54">
        <f t="shared" si="1"/>
        <v>338</v>
      </c>
      <c r="N123" s="57">
        <v>2005</v>
      </c>
      <c r="O123" s="56">
        <v>66</v>
      </c>
      <c r="P123" s="56">
        <v>3</v>
      </c>
      <c r="Q123" s="56">
        <v>238</v>
      </c>
      <c r="R123" s="56">
        <v>384</v>
      </c>
      <c r="S123" s="56">
        <v>161</v>
      </c>
      <c r="T123" s="56">
        <v>142</v>
      </c>
      <c r="U123" s="56">
        <v>211</v>
      </c>
      <c r="V123" s="56">
        <v>308</v>
      </c>
      <c r="W123" s="56">
        <v>455</v>
      </c>
      <c r="X123" s="56">
        <v>37</v>
      </c>
    </row>
    <row r="124" spans="1:24">
      <c r="A124" s="52">
        <v>46203</v>
      </c>
      <c r="B124" s="53" t="s">
        <v>994</v>
      </c>
      <c r="C124" s="56">
        <v>180</v>
      </c>
      <c r="D124" s="56">
        <v>215</v>
      </c>
      <c r="E124" s="56">
        <v>215</v>
      </c>
      <c r="F124" s="56">
        <v>358</v>
      </c>
      <c r="G124" s="56">
        <v>215</v>
      </c>
      <c r="H124" s="56">
        <v>178</v>
      </c>
      <c r="I124" s="56">
        <v>178</v>
      </c>
      <c r="J124" s="56">
        <v>146</v>
      </c>
      <c r="K124" s="56">
        <v>336</v>
      </c>
      <c r="L124" s="56">
        <v>103</v>
      </c>
      <c r="M124" s="54">
        <f t="shared" si="1"/>
        <v>433</v>
      </c>
      <c r="N124" s="57">
        <v>2557</v>
      </c>
      <c r="O124" s="56">
        <v>84</v>
      </c>
      <c r="P124" s="56">
        <v>5</v>
      </c>
      <c r="Q124" s="56">
        <v>303</v>
      </c>
      <c r="R124" s="56">
        <v>490</v>
      </c>
      <c r="S124" s="56">
        <v>206</v>
      </c>
      <c r="T124" s="56">
        <v>180</v>
      </c>
      <c r="U124" s="56">
        <v>269</v>
      </c>
      <c r="V124" s="56">
        <v>392</v>
      </c>
      <c r="W124" s="56">
        <v>581</v>
      </c>
      <c r="X124" s="56">
        <v>47</v>
      </c>
    </row>
    <row r="125" spans="1:24">
      <c r="A125" s="52">
        <v>46204</v>
      </c>
      <c r="B125" s="53" t="s">
        <v>994</v>
      </c>
      <c r="C125" s="56">
        <v>137</v>
      </c>
      <c r="D125" s="56">
        <v>187</v>
      </c>
      <c r="E125" s="56">
        <v>172</v>
      </c>
      <c r="F125" s="56">
        <v>273</v>
      </c>
      <c r="G125" s="56">
        <v>172</v>
      </c>
      <c r="H125" s="56">
        <v>164</v>
      </c>
      <c r="I125" s="56">
        <v>157</v>
      </c>
      <c r="J125" s="56">
        <v>114</v>
      </c>
      <c r="K125" s="56">
        <v>548</v>
      </c>
      <c r="L125" s="56">
        <v>87</v>
      </c>
      <c r="M125" s="54">
        <f t="shared" si="1"/>
        <v>129</v>
      </c>
      <c r="N125" s="57">
        <v>2140</v>
      </c>
      <c r="O125" s="56">
        <v>77</v>
      </c>
      <c r="P125" s="56">
        <v>4</v>
      </c>
      <c r="Q125" s="56">
        <v>295</v>
      </c>
      <c r="R125" s="56">
        <v>300</v>
      </c>
      <c r="S125" s="56">
        <v>116</v>
      </c>
      <c r="T125" s="56">
        <v>116</v>
      </c>
      <c r="U125" s="56">
        <v>70</v>
      </c>
      <c r="V125" s="56">
        <v>500</v>
      </c>
      <c r="W125" s="56">
        <v>629</v>
      </c>
      <c r="X125" s="56">
        <v>33</v>
      </c>
    </row>
    <row r="126" spans="1:24">
      <c r="A126" s="52">
        <v>46205</v>
      </c>
      <c r="B126" s="53" t="s">
        <v>994</v>
      </c>
      <c r="C126" s="56">
        <v>137</v>
      </c>
      <c r="D126" s="56">
        <v>187</v>
      </c>
      <c r="E126" s="56">
        <v>172</v>
      </c>
      <c r="F126" s="56">
        <v>273</v>
      </c>
      <c r="G126" s="56">
        <v>172</v>
      </c>
      <c r="H126" s="56">
        <v>164</v>
      </c>
      <c r="I126" s="56">
        <v>157</v>
      </c>
      <c r="J126" s="56">
        <v>114</v>
      </c>
      <c r="K126" s="56">
        <v>548</v>
      </c>
      <c r="L126" s="56">
        <v>87</v>
      </c>
      <c r="M126" s="54">
        <f t="shared" si="1"/>
        <v>129</v>
      </c>
      <c r="N126" s="57">
        <v>2140</v>
      </c>
      <c r="O126" s="56">
        <v>77</v>
      </c>
      <c r="P126" s="56">
        <v>4</v>
      </c>
      <c r="Q126" s="56">
        <v>295</v>
      </c>
      <c r="R126" s="56">
        <v>300</v>
      </c>
      <c r="S126" s="56">
        <v>116</v>
      </c>
      <c r="T126" s="56">
        <v>116</v>
      </c>
      <c r="U126" s="56">
        <v>70</v>
      </c>
      <c r="V126" s="56">
        <v>500</v>
      </c>
      <c r="W126" s="56">
        <v>629</v>
      </c>
      <c r="X126" s="56">
        <v>33</v>
      </c>
    </row>
    <row r="127" spans="1:24">
      <c r="A127" s="52">
        <v>46206</v>
      </c>
      <c r="B127" s="53" t="s">
        <v>994</v>
      </c>
      <c r="C127" s="56">
        <v>137</v>
      </c>
      <c r="D127" s="56">
        <v>187</v>
      </c>
      <c r="E127" s="56">
        <v>172</v>
      </c>
      <c r="F127" s="56">
        <v>273</v>
      </c>
      <c r="G127" s="56">
        <v>172</v>
      </c>
      <c r="H127" s="56">
        <v>164</v>
      </c>
      <c r="I127" s="56">
        <v>157</v>
      </c>
      <c r="J127" s="56">
        <v>114</v>
      </c>
      <c r="K127" s="56">
        <v>548</v>
      </c>
      <c r="L127" s="56">
        <v>87</v>
      </c>
      <c r="M127" s="54">
        <f t="shared" si="1"/>
        <v>129</v>
      </c>
      <c r="N127" s="57">
        <v>2140</v>
      </c>
      <c r="O127" s="56">
        <v>77</v>
      </c>
      <c r="P127" s="56">
        <v>4</v>
      </c>
      <c r="Q127" s="56">
        <v>295</v>
      </c>
      <c r="R127" s="56">
        <v>300</v>
      </c>
      <c r="S127" s="56">
        <v>116</v>
      </c>
      <c r="T127" s="56">
        <v>116</v>
      </c>
      <c r="U127" s="56">
        <v>70</v>
      </c>
      <c r="V127" s="56">
        <v>500</v>
      </c>
      <c r="W127" s="56">
        <v>629</v>
      </c>
      <c r="X127" s="56">
        <v>33</v>
      </c>
    </row>
    <row r="128" spans="1:24">
      <c r="A128" s="52">
        <v>46207</v>
      </c>
      <c r="B128" s="53" t="s">
        <v>994</v>
      </c>
      <c r="C128" s="56">
        <v>158</v>
      </c>
      <c r="D128" s="56">
        <v>215</v>
      </c>
      <c r="E128" s="56">
        <v>198</v>
      </c>
      <c r="F128" s="56">
        <v>314</v>
      </c>
      <c r="G128" s="56">
        <v>198</v>
      </c>
      <c r="H128" s="56">
        <v>188</v>
      </c>
      <c r="I128" s="56">
        <v>180</v>
      </c>
      <c r="J128" s="56">
        <v>131</v>
      </c>
      <c r="K128" s="56">
        <v>630</v>
      </c>
      <c r="L128" s="56">
        <v>101</v>
      </c>
      <c r="M128" s="54">
        <f t="shared" si="1"/>
        <v>148</v>
      </c>
      <c r="N128" s="57">
        <v>2461</v>
      </c>
      <c r="O128" s="56">
        <v>89</v>
      </c>
      <c r="P128" s="56">
        <v>5</v>
      </c>
      <c r="Q128" s="56">
        <v>339</v>
      </c>
      <c r="R128" s="56">
        <v>345</v>
      </c>
      <c r="S128" s="56">
        <v>134</v>
      </c>
      <c r="T128" s="56">
        <v>133</v>
      </c>
      <c r="U128" s="56">
        <v>80</v>
      </c>
      <c r="V128" s="56">
        <v>575</v>
      </c>
      <c r="W128" s="56">
        <v>723</v>
      </c>
      <c r="X128" s="56">
        <v>38</v>
      </c>
    </row>
    <row r="129" spans="1:24">
      <c r="A129" s="52">
        <v>46208</v>
      </c>
      <c r="B129" s="53" t="s">
        <v>994</v>
      </c>
      <c r="C129" s="56">
        <v>158</v>
      </c>
      <c r="D129" s="56">
        <v>215</v>
      </c>
      <c r="E129" s="56">
        <v>198</v>
      </c>
      <c r="F129" s="56">
        <v>314</v>
      </c>
      <c r="G129" s="56">
        <v>198</v>
      </c>
      <c r="H129" s="56">
        <v>188</v>
      </c>
      <c r="I129" s="56">
        <v>180</v>
      </c>
      <c r="J129" s="56">
        <v>131</v>
      </c>
      <c r="K129" s="56">
        <v>630</v>
      </c>
      <c r="L129" s="56">
        <v>101</v>
      </c>
      <c r="M129" s="54">
        <f t="shared" si="1"/>
        <v>148</v>
      </c>
      <c r="N129" s="57">
        <v>2461</v>
      </c>
      <c r="O129" s="56">
        <v>89</v>
      </c>
      <c r="P129" s="56">
        <v>5</v>
      </c>
      <c r="Q129" s="56">
        <v>339</v>
      </c>
      <c r="R129" s="56">
        <v>345</v>
      </c>
      <c r="S129" s="56">
        <v>134</v>
      </c>
      <c r="T129" s="56">
        <v>133</v>
      </c>
      <c r="U129" s="56">
        <v>80</v>
      </c>
      <c r="V129" s="56">
        <v>575</v>
      </c>
      <c r="W129" s="56">
        <v>723</v>
      </c>
      <c r="X129" s="56">
        <v>38</v>
      </c>
    </row>
    <row r="130" spans="1:24">
      <c r="A130" s="52">
        <v>46209</v>
      </c>
      <c r="B130" s="53" t="s">
        <v>994</v>
      </c>
      <c r="C130" s="56">
        <v>137</v>
      </c>
      <c r="D130" s="56">
        <v>187</v>
      </c>
      <c r="E130" s="56">
        <v>172</v>
      </c>
      <c r="F130" s="56">
        <v>273</v>
      </c>
      <c r="G130" s="56">
        <v>172</v>
      </c>
      <c r="H130" s="56">
        <v>164</v>
      </c>
      <c r="I130" s="56">
        <v>157</v>
      </c>
      <c r="J130" s="56">
        <v>114</v>
      </c>
      <c r="K130" s="56">
        <v>548</v>
      </c>
      <c r="L130" s="56">
        <v>87</v>
      </c>
      <c r="M130" s="54">
        <f t="shared" si="1"/>
        <v>130</v>
      </c>
      <c r="N130" s="57">
        <v>2141</v>
      </c>
      <c r="O130" s="56">
        <v>77</v>
      </c>
      <c r="P130" s="56">
        <v>4</v>
      </c>
      <c r="Q130" s="56">
        <v>295</v>
      </c>
      <c r="R130" s="56">
        <v>300</v>
      </c>
      <c r="S130" s="56">
        <v>116</v>
      </c>
      <c r="T130" s="56">
        <v>116</v>
      </c>
      <c r="U130" s="56">
        <v>70</v>
      </c>
      <c r="V130" s="56">
        <v>501</v>
      </c>
      <c r="W130" s="56">
        <v>629</v>
      </c>
      <c r="X130" s="56">
        <v>33</v>
      </c>
    </row>
    <row r="131" spans="1:24">
      <c r="A131" s="52">
        <v>46210</v>
      </c>
      <c r="B131" s="53" t="s">
        <v>994</v>
      </c>
      <c r="C131" s="56">
        <v>137</v>
      </c>
      <c r="D131" s="56">
        <v>187</v>
      </c>
      <c r="E131" s="56">
        <v>172</v>
      </c>
      <c r="F131" s="56">
        <v>274</v>
      </c>
      <c r="G131" s="56">
        <v>172</v>
      </c>
      <c r="H131" s="56">
        <v>164</v>
      </c>
      <c r="I131" s="56">
        <v>157</v>
      </c>
      <c r="J131" s="56">
        <v>114</v>
      </c>
      <c r="K131" s="56">
        <v>548</v>
      </c>
      <c r="L131" s="56">
        <v>87</v>
      </c>
      <c r="M131" s="54">
        <f t="shared" ref="M131:M194" si="2">N131-SUM(C131:L131)</f>
        <v>130</v>
      </c>
      <c r="N131" s="57">
        <v>2142</v>
      </c>
      <c r="O131" s="56">
        <v>78</v>
      </c>
      <c r="P131" s="56">
        <v>4</v>
      </c>
      <c r="Q131" s="56">
        <v>295</v>
      </c>
      <c r="R131" s="56">
        <v>300</v>
      </c>
      <c r="S131" s="56">
        <v>116</v>
      </c>
      <c r="T131" s="56">
        <v>116</v>
      </c>
      <c r="U131" s="56">
        <v>70</v>
      </c>
      <c r="V131" s="56">
        <v>501</v>
      </c>
      <c r="W131" s="56">
        <v>629</v>
      </c>
      <c r="X131" s="56">
        <v>33</v>
      </c>
    </row>
    <row r="132" spans="1:24">
      <c r="A132" s="52">
        <v>46211</v>
      </c>
      <c r="B132" s="53" t="s">
        <v>994</v>
      </c>
      <c r="C132" s="56">
        <v>137</v>
      </c>
      <c r="D132" s="56">
        <v>187</v>
      </c>
      <c r="E132" s="56">
        <v>172</v>
      </c>
      <c r="F132" s="56">
        <v>274</v>
      </c>
      <c r="G132" s="56">
        <v>172</v>
      </c>
      <c r="H132" s="56">
        <v>164</v>
      </c>
      <c r="I132" s="56">
        <v>157</v>
      </c>
      <c r="J132" s="56">
        <v>114</v>
      </c>
      <c r="K132" s="56">
        <v>548</v>
      </c>
      <c r="L132" s="56">
        <v>87</v>
      </c>
      <c r="M132" s="54">
        <f t="shared" si="2"/>
        <v>130</v>
      </c>
      <c r="N132" s="57">
        <v>2142</v>
      </c>
      <c r="O132" s="56">
        <v>78</v>
      </c>
      <c r="P132" s="56">
        <v>4</v>
      </c>
      <c r="Q132" s="56">
        <v>295</v>
      </c>
      <c r="R132" s="56">
        <v>300</v>
      </c>
      <c r="S132" s="56">
        <v>116</v>
      </c>
      <c r="T132" s="56">
        <v>116</v>
      </c>
      <c r="U132" s="56">
        <v>70</v>
      </c>
      <c r="V132" s="56">
        <v>501</v>
      </c>
      <c r="W132" s="56">
        <v>629</v>
      </c>
      <c r="X132" s="56">
        <v>33</v>
      </c>
    </row>
    <row r="133" spans="1:24">
      <c r="A133" s="52">
        <v>46212</v>
      </c>
      <c r="B133" s="53" t="s">
        <v>994</v>
      </c>
      <c r="C133" s="56">
        <v>138</v>
      </c>
      <c r="D133" s="56">
        <v>188</v>
      </c>
      <c r="E133" s="56">
        <v>172</v>
      </c>
      <c r="F133" s="56">
        <v>274</v>
      </c>
      <c r="G133" s="56">
        <v>172</v>
      </c>
      <c r="H133" s="56">
        <v>164</v>
      </c>
      <c r="I133" s="56">
        <v>157</v>
      </c>
      <c r="J133" s="56">
        <v>114</v>
      </c>
      <c r="K133" s="56">
        <v>549</v>
      </c>
      <c r="L133" s="56">
        <v>88</v>
      </c>
      <c r="M133" s="54">
        <f t="shared" si="2"/>
        <v>127</v>
      </c>
      <c r="N133" s="57">
        <v>2143</v>
      </c>
      <c r="O133" s="56">
        <v>78</v>
      </c>
      <c r="P133" s="56">
        <v>4</v>
      </c>
      <c r="Q133" s="56">
        <v>295</v>
      </c>
      <c r="R133" s="56">
        <v>300</v>
      </c>
      <c r="S133" s="56">
        <v>116</v>
      </c>
      <c r="T133" s="56">
        <v>117</v>
      </c>
      <c r="U133" s="56">
        <v>70</v>
      </c>
      <c r="V133" s="56">
        <v>501</v>
      </c>
      <c r="W133" s="56">
        <v>629</v>
      </c>
      <c r="X133" s="56">
        <v>33</v>
      </c>
    </row>
    <row r="134" spans="1:24">
      <c r="A134" s="52">
        <v>46213</v>
      </c>
      <c r="B134" s="53" t="s">
        <v>994</v>
      </c>
      <c r="C134" s="56">
        <v>138</v>
      </c>
      <c r="D134" s="56">
        <v>188</v>
      </c>
      <c r="E134" s="56">
        <v>172</v>
      </c>
      <c r="F134" s="56">
        <v>274</v>
      </c>
      <c r="G134" s="56">
        <v>172</v>
      </c>
      <c r="H134" s="56">
        <v>164</v>
      </c>
      <c r="I134" s="56">
        <v>157</v>
      </c>
      <c r="J134" s="56">
        <v>114</v>
      </c>
      <c r="K134" s="56">
        <v>549</v>
      </c>
      <c r="L134" s="56">
        <v>88</v>
      </c>
      <c r="M134" s="54">
        <f t="shared" si="2"/>
        <v>127</v>
      </c>
      <c r="N134" s="57">
        <v>2143</v>
      </c>
      <c r="O134" s="56">
        <v>78</v>
      </c>
      <c r="P134" s="56">
        <v>4</v>
      </c>
      <c r="Q134" s="56">
        <v>295</v>
      </c>
      <c r="R134" s="56">
        <v>300</v>
      </c>
      <c r="S134" s="56">
        <v>116</v>
      </c>
      <c r="T134" s="56">
        <v>117</v>
      </c>
      <c r="U134" s="56">
        <v>70</v>
      </c>
      <c r="V134" s="56">
        <v>501</v>
      </c>
      <c r="W134" s="56">
        <v>629</v>
      </c>
      <c r="X134" s="56">
        <v>33</v>
      </c>
    </row>
    <row r="135" spans="1:24">
      <c r="A135" s="52">
        <v>46214</v>
      </c>
      <c r="B135" s="53" t="s">
        <v>994</v>
      </c>
      <c r="C135" s="56">
        <v>158</v>
      </c>
      <c r="D135" s="56">
        <v>216</v>
      </c>
      <c r="E135" s="56">
        <v>198</v>
      </c>
      <c r="F135" s="56">
        <v>315</v>
      </c>
      <c r="G135" s="56">
        <v>198</v>
      </c>
      <c r="H135" s="56">
        <v>189</v>
      </c>
      <c r="I135" s="56">
        <v>181</v>
      </c>
      <c r="J135" s="56">
        <v>131</v>
      </c>
      <c r="K135" s="56">
        <v>631</v>
      </c>
      <c r="L135" s="56">
        <v>101</v>
      </c>
      <c r="M135" s="54">
        <f t="shared" si="2"/>
        <v>147</v>
      </c>
      <c r="N135" s="57">
        <v>2465</v>
      </c>
      <c r="O135" s="56">
        <v>90</v>
      </c>
      <c r="P135" s="56">
        <v>5</v>
      </c>
      <c r="Q135" s="56">
        <v>339</v>
      </c>
      <c r="R135" s="56">
        <v>345</v>
      </c>
      <c r="S135" s="56">
        <v>134</v>
      </c>
      <c r="T135" s="56">
        <v>134</v>
      </c>
      <c r="U135" s="56">
        <v>81</v>
      </c>
      <c r="V135" s="56">
        <v>576</v>
      </c>
      <c r="W135" s="56">
        <v>723</v>
      </c>
      <c r="X135" s="56">
        <v>38</v>
      </c>
    </row>
    <row r="136" spans="1:24">
      <c r="A136" s="52">
        <v>46215</v>
      </c>
      <c r="B136" s="53" t="s">
        <v>994</v>
      </c>
      <c r="C136" s="56">
        <v>158</v>
      </c>
      <c r="D136" s="56">
        <v>216</v>
      </c>
      <c r="E136" s="56">
        <v>198</v>
      </c>
      <c r="F136" s="56">
        <v>315</v>
      </c>
      <c r="G136" s="56">
        <v>198</v>
      </c>
      <c r="H136" s="56">
        <v>189</v>
      </c>
      <c r="I136" s="56">
        <v>181</v>
      </c>
      <c r="J136" s="56">
        <v>131</v>
      </c>
      <c r="K136" s="56">
        <v>631</v>
      </c>
      <c r="L136" s="56">
        <v>101</v>
      </c>
      <c r="M136" s="54">
        <f t="shared" si="2"/>
        <v>148</v>
      </c>
      <c r="N136" s="57">
        <v>2466</v>
      </c>
      <c r="O136" s="56">
        <v>90</v>
      </c>
      <c r="P136" s="56">
        <v>5</v>
      </c>
      <c r="Q136" s="56">
        <v>340</v>
      </c>
      <c r="R136" s="56">
        <v>345</v>
      </c>
      <c r="S136" s="56">
        <v>134</v>
      </c>
      <c r="T136" s="56">
        <v>134</v>
      </c>
      <c r="U136" s="56">
        <v>81</v>
      </c>
      <c r="V136" s="56">
        <v>576</v>
      </c>
      <c r="W136" s="56">
        <v>723</v>
      </c>
      <c r="X136" s="56">
        <v>38</v>
      </c>
    </row>
    <row r="137" spans="1:24">
      <c r="A137" s="52">
        <v>46216</v>
      </c>
      <c r="B137" s="53" t="s">
        <v>994</v>
      </c>
      <c r="C137" s="56">
        <v>138</v>
      </c>
      <c r="D137" s="56">
        <v>188</v>
      </c>
      <c r="E137" s="56">
        <v>172</v>
      </c>
      <c r="F137" s="56">
        <v>274</v>
      </c>
      <c r="G137" s="56">
        <v>172</v>
      </c>
      <c r="H137" s="56">
        <v>164</v>
      </c>
      <c r="I137" s="56">
        <v>157</v>
      </c>
      <c r="J137" s="56">
        <v>114</v>
      </c>
      <c r="K137" s="56">
        <v>549</v>
      </c>
      <c r="L137" s="56">
        <v>88</v>
      </c>
      <c r="M137" s="54">
        <f t="shared" si="2"/>
        <v>129</v>
      </c>
      <c r="N137" s="57">
        <v>2145</v>
      </c>
      <c r="O137" s="56">
        <v>78</v>
      </c>
      <c r="P137" s="56">
        <v>4</v>
      </c>
      <c r="Q137" s="56">
        <v>296</v>
      </c>
      <c r="R137" s="56">
        <v>300</v>
      </c>
      <c r="S137" s="56">
        <v>116</v>
      </c>
      <c r="T137" s="56">
        <v>117</v>
      </c>
      <c r="U137" s="56">
        <v>71</v>
      </c>
      <c r="V137" s="56">
        <v>501</v>
      </c>
      <c r="W137" s="56">
        <v>629</v>
      </c>
      <c r="X137" s="56">
        <v>33</v>
      </c>
    </row>
    <row r="138" spans="1:24">
      <c r="A138" s="52">
        <v>46217</v>
      </c>
      <c r="B138" s="53" t="s">
        <v>994</v>
      </c>
      <c r="C138" s="56">
        <v>138</v>
      </c>
      <c r="D138" s="56">
        <v>188</v>
      </c>
      <c r="E138" s="56">
        <v>172</v>
      </c>
      <c r="F138" s="56">
        <v>274</v>
      </c>
      <c r="G138" s="56">
        <v>172</v>
      </c>
      <c r="H138" s="56">
        <v>164</v>
      </c>
      <c r="I138" s="56">
        <v>157</v>
      </c>
      <c r="J138" s="56">
        <v>114</v>
      </c>
      <c r="K138" s="56">
        <v>549</v>
      </c>
      <c r="L138" s="56">
        <v>88</v>
      </c>
      <c r="M138" s="54">
        <f t="shared" si="2"/>
        <v>129</v>
      </c>
      <c r="N138" s="57">
        <v>2145</v>
      </c>
      <c r="O138" s="56">
        <v>78</v>
      </c>
      <c r="P138" s="56">
        <v>4</v>
      </c>
      <c r="Q138" s="56">
        <v>296</v>
      </c>
      <c r="R138" s="56">
        <v>300</v>
      </c>
      <c r="S138" s="56">
        <v>116</v>
      </c>
      <c r="T138" s="56">
        <v>117</v>
      </c>
      <c r="U138" s="56">
        <v>71</v>
      </c>
      <c r="V138" s="56">
        <v>501</v>
      </c>
      <c r="W138" s="56">
        <v>629</v>
      </c>
      <c r="X138" s="56">
        <v>33</v>
      </c>
    </row>
    <row r="139" spans="1:24">
      <c r="A139" s="52">
        <v>46218</v>
      </c>
      <c r="B139" s="53" t="s">
        <v>994</v>
      </c>
      <c r="C139" s="56">
        <v>138</v>
      </c>
      <c r="D139" s="56">
        <v>188</v>
      </c>
      <c r="E139" s="56">
        <v>172</v>
      </c>
      <c r="F139" s="56">
        <v>274</v>
      </c>
      <c r="G139" s="56">
        <v>172</v>
      </c>
      <c r="H139" s="56">
        <v>164</v>
      </c>
      <c r="I139" s="56">
        <v>157</v>
      </c>
      <c r="J139" s="56">
        <v>114</v>
      </c>
      <c r="K139" s="56">
        <v>549</v>
      </c>
      <c r="L139" s="56">
        <v>88</v>
      </c>
      <c r="M139" s="54">
        <f t="shared" si="2"/>
        <v>129</v>
      </c>
      <c r="N139" s="57">
        <v>2145</v>
      </c>
      <c r="O139" s="56">
        <v>78</v>
      </c>
      <c r="P139" s="56">
        <v>4</v>
      </c>
      <c r="Q139" s="56">
        <v>296</v>
      </c>
      <c r="R139" s="56">
        <v>300</v>
      </c>
      <c r="S139" s="56">
        <v>116</v>
      </c>
      <c r="T139" s="56">
        <v>117</v>
      </c>
      <c r="U139" s="56">
        <v>71</v>
      </c>
      <c r="V139" s="56">
        <v>501</v>
      </c>
      <c r="W139" s="56">
        <v>629</v>
      </c>
      <c r="X139" s="56">
        <v>33</v>
      </c>
    </row>
    <row r="140" spans="1:24">
      <c r="A140" s="52">
        <v>46219</v>
      </c>
      <c r="B140" s="53" t="s">
        <v>994</v>
      </c>
      <c r="C140" s="56">
        <v>138</v>
      </c>
      <c r="D140" s="56">
        <v>188</v>
      </c>
      <c r="E140" s="56">
        <v>172</v>
      </c>
      <c r="F140" s="56">
        <v>274</v>
      </c>
      <c r="G140" s="56">
        <v>172</v>
      </c>
      <c r="H140" s="56">
        <v>164</v>
      </c>
      <c r="I140" s="56">
        <v>157</v>
      </c>
      <c r="J140" s="56">
        <v>114</v>
      </c>
      <c r="K140" s="56">
        <v>549</v>
      </c>
      <c r="L140" s="56">
        <v>88</v>
      </c>
      <c r="M140" s="54">
        <f t="shared" si="2"/>
        <v>129</v>
      </c>
      <c r="N140" s="57">
        <v>2145</v>
      </c>
      <c r="O140" s="56">
        <v>78</v>
      </c>
      <c r="P140" s="56">
        <v>4</v>
      </c>
      <c r="Q140" s="56">
        <v>296</v>
      </c>
      <c r="R140" s="56">
        <v>300</v>
      </c>
      <c r="S140" s="56">
        <v>116</v>
      </c>
      <c r="T140" s="56">
        <v>117</v>
      </c>
      <c r="U140" s="56">
        <v>71</v>
      </c>
      <c r="V140" s="56">
        <v>501</v>
      </c>
      <c r="W140" s="56">
        <v>629</v>
      </c>
      <c r="X140" s="56">
        <v>33</v>
      </c>
    </row>
    <row r="141" spans="1:24">
      <c r="A141" s="52">
        <v>46220</v>
      </c>
      <c r="B141" s="53" t="s">
        <v>994</v>
      </c>
      <c r="C141" s="56">
        <v>138</v>
      </c>
      <c r="D141" s="56">
        <v>188</v>
      </c>
      <c r="E141" s="56">
        <v>172</v>
      </c>
      <c r="F141" s="56">
        <v>274</v>
      </c>
      <c r="G141" s="56">
        <v>172</v>
      </c>
      <c r="H141" s="56">
        <v>164</v>
      </c>
      <c r="I141" s="56">
        <v>157</v>
      </c>
      <c r="J141" s="56">
        <v>114</v>
      </c>
      <c r="K141" s="56">
        <v>549</v>
      </c>
      <c r="L141" s="56">
        <v>89</v>
      </c>
      <c r="M141" s="54">
        <f t="shared" si="2"/>
        <v>128</v>
      </c>
      <c r="N141" s="57">
        <v>2145</v>
      </c>
      <c r="O141" s="56">
        <v>78</v>
      </c>
      <c r="P141" s="56">
        <v>4</v>
      </c>
      <c r="Q141" s="56">
        <v>296</v>
      </c>
      <c r="R141" s="56">
        <v>300</v>
      </c>
      <c r="S141" s="56">
        <v>116</v>
      </c>
      <c r="T141" s="56">
        <v>117</v>
      </c>
      <c r="U141" s="56">
        <v>71</v>
      </c>
      <c r="V141" s="56">
        <v>501</v>
      </c>
      <c r="W141" s="56">
        <v>629</v>
      </c>
      <c r="X141" s="56">
        <v>33</v>
      </c>
    </row>
    <row r="142" spans="1:24">
      <c r="A142" s="52">
        <v>46221</v>
      </c>
      <c r="B142" s="53" t="s">
        <v>994</v>
      </c>
      <c r="C142" s="56">
        <v>158</v>
      </c>
      <c r="D142" s="56">
        <v>216</v>
      </c>
      <c r="E142" s="56">
        <v>198</v>
      </c>
      <c r="F142" s="56">
        <v>315</v>
      </c>
      <c r="G142" s="56">
        <v>198</v>
      </c>
      <c r="H142" s="56">
        <v>189</v>
      </c>
      <c r="I142" s="56">
        <v>181</v>
      </c>
      <c r="J142" s="56">
        <v>131</v>
      </c>
      <c r="K142" s="56">
        <v>631</v>
      </c>
      <c r="L142" s="56">
        <v>101</v>
      </c>
      <c r="M142" s="54">
        <f t="shared" si="2"/>
        <v>148</v>
      </c>
      <c r="N142" s="57">
        <v>2466</v>
      </c>
      <c r="O142" s="56">
        <v>90</v>
      </c>
      <c r="P142" s="56">
        <v>5</v>
      </c>
      <c r="Q142" s="56">
        <v>340</v>
      </c>
      <c r="R142" s="56">
        <v>345</v>
      </c>
      <c r="S142" s="56">
        <v>134</v>
      </c>
      <c r="T142" s="56">
        <v>134</v>
      </c>
      <c r="U142" s="56">
        <v>81</v>
      </c>
      <c r="V142" s="56">
        <v>576</v>
      </c>
      <c r="W142" s="56">
        <v>723</v>
      </c>
      <c r="X142" s="56">
        <v>38</v>
      </c>
    </row>
    <row r="143" spans="1:24">
      <c r="A143" s="52">
        <v>46222</v>
      </c>
      <c r="B143" s="53" t="s">
        <v>994</v>
      </c>
      <c r="C143" s="56">
        <v>158</v>
      </c>
      <c r="D143" s="56">
        <v>216</v>
      </c>
      <c r="E143" s="56">
        <v>198</v>
      </c>
      <c r="F143" s="56">
        <v>315</v>
      </c>
      <c r="G143" s="56">
        <v>198</v>
      </c>
      <c r="H143" s="56">
        <v>189</v>
      </c>
      <c r="I143" s="56">
        <v>181</v>
      </c>
      <c r="J143" s="56">
        <v>131</v>
      </c>
      <c r="K143" s="56">
        <v>631</v>
      </c>
      <c r="L143" s="56">
        <v>101</v>
      </c>
      <c r="M143" s="54">
        <f t="shared" si="2"/>
        <v>148</v>
      </c>
      <c r="N143" s="57">
        <v>2466</v>
      </c>
      <c r="O143" s="56">
        <v>90</v>
      </c>
      <c r="P143" s="56">
        <v>5</v>
      </c>
      <c r="Q143" s="56">
        <v>340</v>
      </c>
      <c r="R143" s="56">
        <v>345</v>
      </c>
      <c r="S143" s="56">
        <v>134</v>
      </c>
      <c r="T143" s="56">
        <v>134</v>
      </c>
      <c r="U143" s="56">
        <v>81</v>
      </c>
      <c r="V143" s="56">
        <v>576</v>
      </c>
      <c r="W143" s="56">
        <v>723</v>
      </c>
      <c r="X143" s="56">
        <v>38</v>
      </c>
    </row>
    <row r="144" spans="1:24">
      <c r="A144" s="52">
        <v>46223</v>
      </c>
      <c r="B144" s="53" t="s">
        <v>994</v>
      </c>
      <c r="C144" s="56">
        <v>138</v>
      </c>
      <c r="D144" s="56">
        <v>188</v>
      </c>
      <c r="E144" s="56">
        <v>172</v>
      </c>
      <c r="F144" s="56">
        <v>274</v>
      </c>
      <c r="G144" s="56">
        <v>172</v>
      </c>
      <c r="H144" s="56">
        <v>164</v>
      </c>
      <c r="I144" s="56">
        <v>157</v>
      </c>
      <c r="J144" s="56">
        <v>114</v>
      </c>
      <c r="K144" s="56">
        <v>549</v>
      </c>
      <c r="L144" s="56">
        <v>89</v>
      </c>
      <c r="M144" s="54">
        <f t="shared" si="2"/>
        <v>128</v>
      </c>
      <c r="N144" s="57">
        <v>2145</v>
      </c>
      <c r="O144" s="56">
        <v>78</v>
      </c>
      <c r="P144" s="56">
        <v>4</v>
      </c>
      <c r="Q144" s="56">
        <v>296</v>
      </c>
      <c r="R144" s="56">
        <v>300</v>
      </c>
      <c r="S144" s="56">
        <v>116</v>
      </c>
      <c r="T144" s="56">
        <v>117</v>
      </c>
      <c r="U144" s="56">
        <v>71</v>
      </c>
      <c r="V144" s="56">
        <v>501</v>
      </c>
      <c r="W144" s="56">
        <v>629</v>
      </c>
      <c r="X144" s="56">
        <v>33</v>
      </c>
    </row>
    <row r="145" spans="1:24">
      <c r="A145" s="52">
        <v>46224</v>
      </c>
      <c r="B145" s="53" t="s">
        <v>994</v>
      </c>
      <c r="C145" s="56">
        <v>138</v>
      </c>
      <c r="D145" s="56">
        <v>188</v>
      </c>
      <c r="E145" s="56">
        <v>172</v>
      </c>
      <c r="F145" s="56">
        <v>274</v>
      </c>
      <c r="G145" s="56">
        <v>172</v>
      </c>
      <c r="H145" s="56">
        <v>164</v>
      </c>
      <c r="I145" s="56">
        <v>157</v>
      </c>
      <c r="J145" s="56">
        <v>114</v>
      </c>
      <c r="K145" s="56">
        <v>549</v>
      </c>
      <c r="L145" s="56">
        <v>89</v>
      </c>
      <c r="M145" s="54">
        <f t="shared" si="2"/>
        <v>128</v>
      </c>
      <c r="N145" s="57">
        <v>2145</v>
      </c>
      <c r="O145" s="56">
        <v>78</v>
      </c>
      <c r="P145" s="56">
        <v>4</v>
      </c>
      <c r="Q145" s="56">
        <v>296</v>
      </c>
      <c r="R145" s="56">
        <v>300</v>
      </c>
      <c r="S145" s="56">
        <v>116</v>
      </c>
      <c r="T145" s="56">
        <v>117</v>
      </c>
      <c r="U145" s="56">
        <v>71</v>
      </c>
      <c r="V145" s="56">
        <v>501</v>
      </c>
      <c r="W145" s="56">
        <v>629</v>
      </c>
      <c r="X145" s="56">
        <v>33</v>
      </c>
    </row>
    <row r="146" spans="1:24">
      <c r="A146" s="52">
        <v>46225</v>
      </c>
      <c r="B146" s="53" t="s">
        <v>994</v>
      </c>
      <c r="C146" s="56">
        <v>138</v>
      </c>
      <c r="D146" s="56">
        <v>188</v>
      </c>
      <c r="E146" s="56">
        <v>172</v>
      </c>
      <c r="F146" s="56">
        <v>274</v>
      </c>
      <c r="G146" s="56">
        <v>172</v>
      </c>
      <c r="H146" s="56">
        <v>164</v>
      </c>
      <c r="I146" s="56">
        <v>157</v>
      </c>
      <c r="J146" s="56">
        <v>114</v>
      </c>
      <c r="K146" s="56">
        <v>549</v>
      </c>
      <c r="L146" s="56">
        <v>89</v>
      </c>
      <c r="M146" s="54">
        <f t="shared" si="2"/>
        <v>128</v>
      </c>
      <c r="N146" s="57">
        <v>2145</v>
      </c>
      <c r="O146" s="56">
        <v>78</v>
      </c>
      <c r="P146" s="56">
        <v>4</v>
      </c>
      <c r="Q146" s="56">
        <v>296</v>
      </c>
      <c r="R146" s="56">
        <v>300</v>
      </c>
      <c r="S146" s="56">
        <v>116</v>
      </c>
      <c r="T146" s="56">
        <v>117</v>
      </c>
      <c r="U146" s="56">
        <v>71</v>
      </c>
      <c r="V146" s="56">
        <v>501</v>
      </c>
      <c r="W146" s="56">
        <v>629</v>
      </c>
      <c r="X146" s="56">
        <v>33</v>
      </c>
    </row>
    <row r="147" spans="1:24">
      <c r="A147" s="52">
        <v>46226</v>
      </c>
      <c r="B147" s="53" t="s">
        <v>994</v>
      </c>
      <c r="C147" s="56">
        <v>138</v>
      </c>
      <c r="D147" s="56">
        <v>188</v>
      </c>
      <c r="E147" s="56">
        <v>172</v>
      </c>
      <c r="F147" s="56">
        <v>274</v>
      </c>
      <c r="G147" s="56">
        <v>172</v>
      </c>
      <c r="H147" s="56">
        <v>164</v>
      </c>
      <c r="I147" s="56">
        <v>157</v>
      </c>
      <c r="J147" s="56">
        <v>114</v>
      </c>
      <c r="K147" s="56">
        <v>549</v>
      </c>
      <c r="L147" s="56">
        <v>89</v>
      </c>
      <c r="M147" s="54">
        <f t="shared" si="2"/>
        <v>128</v>
      </c>
      <c r="N147" s="57">
        <v>2145</v>
      </c>
      <c r="O147" s="56">
        <v>78</v>
      </c>
      <c r="P147" s="56">
        <v>4</v>
      </c>
      <c r="Q147" s="56">
        <v>296</v>
      </c>
      <c r="R147" s="56">
        <v>300</v>
      </c>
      <c r="S147" s="56">
        <v>116</v>
      </c>
      <c r="T147" s="56">
        <v>117</v>
      </c>
      <c r="U147" s="56">
        <v>71</v>
      </c>
      <c r="V147" s="56">
        <v>501</v>
      </c>
      <c r="W147" s="56">
        <v>629</v>
      </c>
      <c r="X147" s="56">
        <v>33</v>
      </c>
    </row>
    <row r="148" spans="1:24">
      <c r="A148" s="52">
        <v>46227</v>
      </c>
      <c r="B148" s="53" t="s">
        <v>994</v>
      </c>
      <c r="C148" s="56">
        <v>138</v>
      </c>
      <c r="D148" s="56">
        <v>188</v>
      </c>
      <c r="E148" s="56">
        <v>173</v>
      </c>
      <c r="F148" s="56">
        <v>274</v>
      </c>
      <c r="G148" s="56">
        <v>173</v>
      </c>
      <c r="H148" s="56">
        <v>164</v>
      </c>
      <c r="I148" s="56">
        <v>157</v>
      </c>
      <c r="J148" s="56">
        <v>114</v>
      </c>
      <c r="K148" s="56">
        <v>550</v>
      </c>
      <c r="L148" s="56">
        <v>89</v>
      </c>
      <c r="M148" s="54">
        <f t="shared" si="2"/>
        <v>126</v>
      </c>
      <c r="N148" s="57">
        <v>2146</v>
      </c>
      <c r="O148" s="56">
        <v>78</v>
      </c>
      <c r="P148" s="56">
        <v>4</v>
      </c>
      <c r="Q148" s="56">
        <v>296</v>
      </c>
      <c r="R148" s="56">
        <v>301</v>
      </c>
      <c r="S148" s="56">
        <v>116</v>
      </c>
      <c r="T148" s="56">
        <v>117</v>
      </c>
      <c r="U148" s="56">
        <v>71</v>
      </c>
      <c r="V148" s="56">
        <v>501</v>
      </c>
      <c r="W148" s="56">
        <v>629</v>
      </c>
      <c r="X148" s="56">
        <v>33</v>
      </c>
    </row>
    <row r="149" spans="1:24">
      <c r="A149" s="52">
        <v>46228</v>
      </c>
      <c r="B149" s="53" t="s">
        <v>994</v>
      </c>
      <c r="C149" s="56">
        <v>158</v>
      </c>
      <c r="D149" s="56">
        <v>216</v>
      </c>
      <c r="E149" s="56">
        <v>198</v>
      </c>
      <c r="F149" s="56">
        <v>315</v>
      </c>
      <c r="G149" s="56">
        <v>198</v>
      </c>
      <c r="H149" s="56">
        <v>189</v>
      </c>
      <c r="I149" s="56">
        <v>181</v>
      </c>
      <c r="J149" s="56">
        <v>131</v>
      </c>
      <c r="K149" s="56">
        <v>632</v>
      </c>
      <c r="L149" s="56">
        <v>101</v>
      </c>
      <c r="M149" s="54">
        <f t="shared" si="2"/>
        <v>150</v>
      </c>
      <c r="N149" s="57">
        <v>2469</v>
      </c>
      <c r="O149" s="56">
        <v>90</v>
      </c>
      <c r="P149" s="56">
        <v>5</v>
      </c>
      <c r="Q149" s="56">
        <v>340</v>
      </c>
      <c r="R149" s="56">
        <v>346</v>
      </c>
      <c r="S149" s="56">
        <v>135</v>
      </c>
      <c r="T149" s="56">
        <v>134</v>
      </c>
      <c r="U149" s="56">
        <v>81</v>
      </c>
      <c r="V149" s="56">
        <v>576</v>
      </c>
      <c r="W149" s="56">
        <v>723</v>
      </c>
      <c r="X149" s="56">
        <v>39</v>
      </c>
    </row>
    <row r="150" spans="1:24">
      <c r="A150" s="52">
        <v>46229</v>
      </c>
      <c r="B150" s="53" t="s">
        <v>994</v>
      </c>
      <c r="C150" s="56">
        <v>158</v>
      </c>
      <c r="D150" s="56">
        <v>216</v>
      </c>
      <c r="E150" s="56">
        <v>198</v>
      </c>
      <c r="F150" s="56">
        <v>315</v>
      </c>
      <c r="G150" s="56">
        <v>198</v>
      </c>
      <c r="H150" s="56">
        <v>189</v>
      </c>
      <c r="I150" s="56">
        <v>181</v>
      </c>
      <c r="J150" s="56">
        <v>131</v>
      </c>
      <c r="K150" s="56">
        <v>632</v>
      </c>
      <c r="L150" s="56">
        <v>101</v>
      </c>
      <c r="M150" s="54">
        <f t="shared" si="2"/>
        <v>150</v>
      </c>
      <c r="N150" s="57">
        <v>2469</v>
      </c>
      <c r="O150" s="56">
        <v>90</v>
      </c>
      <c r="P150" s="56">
        <v>5</v>
      </c>
      <c r="Q150" s="56">
        <v>340</v>
      </c>
      <c r="R150" s="56">
        <v>346</v>
      </c>
      <c r="S150" s="56">
        <v>135</v>
      </c>
      <c r="T150" s="56">
        <v>134</v>
      </c>
      <c r="U150" s="56">
        <v>81</v>
      </c>
      <c r="V150" s="56">
        <v>576</v>
      </c>
      <c r="W150" s="56">
        <v>723</v>
      </c>
      <c r="X150" s="56">
        <v>39</v>
      </c>
    </row>
    <row r="151" spans="1:24">
      <c r="A151" s="52">
        <v>46230</v>
      </c>
      <c r="B151" s="53" t="s">
        <v>994</v>
      </c>
      <c r="C151" s="56">
        <v>138</v>
      </c>
      <c r="D151" s="56">
        <v>188</v>
      </c>
      <c r="E151" s="56">
        <v>173</v>
      </c>
      <c r="F151" s="56">
        <v>274</v>
      </c>
      <c r="G151" s="56">
        <v>173</v>
      </c>
      <c r="H151" s="56">
        <v>164</v>
      </c>
      <c r="I151" s="56">
        <v>157</v>
      </c>
      <c r="J151" s="56">
        <v>114</v>
      </c>
      <c r="K151" s="56">
        <v>550</v>
      </c>
      <c r="L151" s="56">
        <v>89</v>
      </c>
      <c r="M151" s="54">
        <f t="shared" si="2"/>
        <v>128</v>
      </c>
      <c r="N151" s="57">
        <v>2148</v>
      </c>
      <c r="O151" s="56">
        <v>78</v>
      </c>
      <c r="P151" s="56">
        <v>4</v>
      </c>
      <c r="Q151" s="56">
        <v>296</v>
      </c>
      <c r="R151" s="56">
        <v>301</v>
      </c>
      <c r="S151" s="56">
        <v>117</v>
      </c>
      <c r="T151" s="56">
        <v>117</v>
      </c>
      <c r="U151" s="56">
        <v>71</v>
      </c>
      <c r="V151" s="56">
        <v>501</v>
      </c>
      <c r="W151" s="56">
        <v>629</v>
      </c>
      <c r="X151" s="56">
        <v>34</v>
      </c>
    </row>
    <row r="152" spans="1:24">
      <c r="A152" s="52">
        <v>46231</v>
      </c>
      <c r="B152" s="53" t="s">
        <v>994</v>
      </c>
      <c r="C152" s="56">
        <v>138</v>
      </c>
      <c r="D152" s="56">
        <v>188</v>
      </c>
      <c r="E152" s="56">
        <v>173</v>
      </c>
      <c r="F152" s="56">
        <v>274</v>
      </c>
      <c r="G152" s="56">
        <v>173</v>
      </c>
      <c r="H152" s="56">
        <v>164</v>
      </c>
      <c r="I152" s="56">
        <v>157</v>
      </c>
      <c r="J152" s="56">
        <v>114</v>
      </c>
      <c r="K152" s="56">
        <v>550</v>
      </c>
      <c r="L152" s="56">
        <v>89</v>
      </c>
      <c r="M152" s="54">
        <f t="shared" si="2"/>
        <v>128</v>
      </c>
      <c r="N152" s="57">
        <v>2148</v>
      </c>
      <c r="O152" s="56">
        <v>78</v>
      </c>
      <c r="P152" s="56">
        <v>4</v>
      </c>
      <c r="Q152" s="56">
        <v>296</v>
      </c>
      <c r="R152" s="56">
        <v>301</v>
      </c>
      <c r="S152" s="56">
        <v>117</v>
      </c>
      <c r="T152" s="56">
        <v>117</v>
      </c>
      <c r="U152" s="56">
        <v>71</v>
      </c>
      <c r="V152" s="56">
        <v>501</v>
      </c>
      <c r="W152" s="56">
        <v>629</v>
      </c>
      <c r="X152" s="56">
        <v>34</v>
      </c>
    </row>
    <row r="153" spans="1:24">
      <c r="A153" s="52">
        <v>46232</v>
      </c>
      <c r="B153" s="53" t="s">
        <v>994</v>
      </c>
      <c r="C153" s="56">
        <v>138</v>
      </c>
      <c r="D153" s="56">
        <v>188</v>
      </c>
      <c r="E153" s="56">
        <v>173</v>
      </c>
      <c r="F153" s="56">
        <v>274</v>
      </c>
      <c r="G153" s="56">
        <v>173</v>
      </c>
      <c r="H153" s="56">
        <v>164</v>
      </c>
      <c r="I153" s="56">
        <v>157</v>
      </c>
      <c r="J153" s="56">
        <v>114</v>
      </c>
      <c r="K153" s="56">
        <v>550</v>
      </c>
      <c r="L153" s="56">
        <v>89</v>
      </c>
      <c r="M153" s="54">
        <f t="shared" si="2"/>
        <v>129</v>
      </c>
      <c r="N153" s="57">
        <v>2149</v>
      </c>
      <c r="O153" s="56">
        <v>78</v>
      </c>
      <c r="P153" s="56">
        <v>4</v>
      </c>
      <c r="Q153" s="56">
        <v>296</v>
      </c>
      <c r="R153" s="56">
        <v>301</v>
      </c>
      <c r="S153" s="56">
        <v>117</v>
      </c>
      <c r="T153" s="56">
        <v>117</v>
      </c>
      <c r="U153" s="56">
        <v>71</v>
      </c>
      <c r="V153" s="56">
        <v>501</v>
      </c>
      <c r="W153" s="56">
        <v>630</v>
      </c>
      <c r="X153" s="56">
        <v>34</v>
      </c>
    </row>
    <row r="154" spans="1:24">
      <c r="A154" s="52">
        <v>46233</v>
      </c>
      <c r="B154" s="53" t="s">
        <v>994</v>
      </c>
      <c r="C154" s="56">
        <v>138</v>
      </c>
      <c r="D154" s="56">
        <v>188</v>
      </c>
      <c r="E154" s="56">
        <v>173</v>
      </c>
      <c r="F154" s="56">
        <v>274</v>
      </c>
      <c r="G154" s="56">
        <v>173</v>
      </c>
      <c r="H154" s="56">
        <v>164</v>
      </c>
      <c r="I154" s="56">
        <v>157</v>
      </c>
      <c r="J154" s="56">
        <v>114</v>
      </c>
      <c r="K154" s="56">
        <v>550</v>
      </c>
      <c r="L154" s="56">
        <v>89</v>
      </c>
      <c r="M154" s="54">
        <f t="shared" si="2"/>
        <v>129</v>
      </c>
      <c r="N154" s="57">
        <v>2149</v>
      </c>
      <c r="O154" s="56">
        <v>78</v>
      </c>
      <c r="P154" s="56">
        <v>4</v>
      </c>
      <c r="Q154" s="56">
        <v>296</v>
      </c>
      <c r="R154" s="56">
        <v>301</v>
      </c>
      <c r="S154" s="56">
        <v>117</v>
      </c>
      <c r="T154" s="56">
        <v>117</v>
      </c>
      <c r="U154" s="56">
        <v>71</v>
      </c>
      <c r="V154" s="56">
        <v>501</v>
      </c>
      <c r="W154" s="56">
        <v>630</v>
      </c>
      <c r="X154" s="56">
        <v>34</v>
      </c>
    </row>
    <row r="155" spans="1:24">
      <c r="A155" s="52">
        <v>46234</v>
      </c>
      <c r="B155" s="53" t="s">
        <v>994</v>
      </c>
      <c r="C155" s="56">
        <v>138</v>
      </c>
      <c r="D155" s="56">
        <v>188</v>
      </c>
      <c r="E155" s="56">
        <v>173</v>
      </c>
      <c r="F155" s="56">
        <v>274</v>
      </c>
      <c r="G155" s="56">
        <v>173</v>
      </c>
      <c r="H155" s="56">
        <v>164</v>
      </c>
      <c r="I155" s="56">
        <v>157</v>
      </c>
      <c r="J155" s="56">
        <v>114</v>
      </c>
      <c r="K155" s="56">
        <v>550</v>
      </c>
      <c r="L155" s="56">
        <v>89</v>
      </c>
      <c r="M155" s="54">
        <f t="shared" si="2"/>
        <v>129</v>
      </c>
      <c r="N155" s="57">
        <v>2149</v>
      </c>
      <c r="O155" s="56">
        <v>78</v>
      </c>
      <c r="P155" s="56">
        <v>4</v>
      </c>
      <c r="Q155" s="56">
        <v>296</v>
      </c>
      <c r="R155" s="56">
        <v>301</v>
      </c>
      <c r="S155" s="56">
        <v>117</v>
      </c>
      <c r="T155" s="56">
        <v>117</v>
      </c>
      <c r="U155" s="56">
        <v>71</v>
      </c>
      <c r="V155" s="56">
        <v>501</v>
      </c>
      <c r="W155" s="56">
        <v>630</v>
      </c>
      <c r="X155" s="56">
        <v>34</v>
      </c>
    </row>
    <row r="156" spans="1:24">
      <c r="A156" s="52">
        <v>46235</v>
      </c>
      <c r="B156" s="53" t="s">
        <v>994</v>
      </c>
      <c r="C156" s="56">
        <v>147</v>
      </c>
      <c r="D156" s="56">
        <v>207</v>
      </c>
      <c r="E156" s="56">
        <v>221</v>
      </c>
      <c r="F156" s="56">
        <v>311</v>
      </c>
      <c r="G156" s="56">
        <v>210</v>
      </c>
      <c r="H156" s="56">
        <v>137</v>
      </c>
      <c r="I156" s="56">
        <v>153</v>
      </c>
      <c r="J156" s="56">
        <v>150</v>
      </c>
      <c r="K156" s="56">
        <v>427</v>
      </c>
      <c r="L156" s="56">
        <v>108</v>
      </c>
      <c r="M156" s="54">
        <f t="shared" si="2"/>
        <v>205</v>
      </c>
      <c r="N156" s="57">
        <v>2276</v>
      </c>
      <c r="O156" s="56">
        <v>113</v>
      </c>
      <c r="P156" s="56">
        <v>3</v>
      </c>
      <c r="Q156" s="56">
        <v>339</v>
      </c>
      <c r="R156" s="56">
        <v>401</v>
      </c>
      <c r="S156" s="56">
        <v>129</v>
      </c>
      <c r="T156" s="56">
        <v>175</v>
      </c>
      <c r="U156" s="56">
        <v>109</v>
      </c>
      <c r="V156" s="56">
        <v>578</v>
      </c>
      <c r="W156" s="56">
        <v>429</v>
      </c>
      <c r="X156" s="56">
        <v>0</v>
      </c>
    </row>
    <row r="157" spans="1:24">
      <c r="A157" s="52">
        <v>46236</v>
      </c>
      <c r="B157" s="53" t="s">
        <v>994</v>
      </c>
      <c r="C157" s="56">
        <v>148</v>
      </c>
      <c r="D157" s="56">
        <v>208</v>
      </c>
      <c r="E157" s="56">
        <v>221</v>
      </c>
      <c r="F157" s="56">
        <v>312</v>
      </c>
      <c r="G157" s="56">
        <v>211</v>
      </c>
      <c r="H157" s="56">
        <v>137</v>
      </c>
      <c r="I157" s="56">
        <v>154</v>
      </c>
      <c r="J157" s="56">
        <v>151</v>
      </c>
      <c r="K157" s="56">
        <v>428</v>
      </c>
      <c r="L157" s="56">
        <v>108</v>
      </c>
      <c r="M157" s="54">
        <f t="shared" si="2"/>
        <v>204</v>
      </c>
      <c r="N157" s="57">
        <v>2282</v>
      </c>
      <c r="O157" s="56">
        <v>113</v>
      </c>
      <c r="P157" s="56">
        <v>3</v>
      </c>
      <c r="Q157" s="56">
        <v>339</v>
      </c>
      <c r="R157" s="56">
        <v>401</v>
      </c>
      <c r="S157" s="56">
        <v>129</v>
      </c>
      <c r="T157" s="56">
        <v>175</v>
      </c>
      <c r="U157" s="56">
        <v>109</v>
      </c>
      <c r="V157" s="56">
        <v>578</v>
      </c>
      <c r="W157" s="56">
        <v>435</v>
      </c>
      <c r="X157" s="56">
        <v>0</v>
      </c>
    </row>
    <row r="158" spans="1:24">
      <c r="A158" s="52">
        <v>46237</v>
      </c>
      <c r="B158" s="53" t="s">
        <v>994</v>
      </c>
      <c r="C158" s="56">
        <v>131</v>
      </c>
      <c r="D158" s="56">
        <v>184</v>
      </c>
      <c r="E158" s="56">
        <v>196</v>
      </c>
      <c r="F158" s="56">
        <v>276</v>
      </c>
      <c r="G158" s="56">
        <v>187</v>
      </c>
      <c r="H158" s="56">
        <v>122</v>
      </c>
      <c r="I158" s="56">
        <v>136</v>
      </c>
      <c r="J158" s="56">
        <v>134</v>
      </c>
      <c r="K158" s="56">
        <v>379</v>
      </c>
      <c r="L158" s="56">
        <v>96</v>
      </c>
      <c r="M158" s="54">
        <f t="shared" si="2"/>
        <v>183</v>
      </c>
      <c r="N158" s="57">
        <v>2024</v>
      </c>
      <c r="O158" s="56">
        <v>98</v>
      </c>
      <c r="P158" s="56">
        <v>3</v>
      </c>
      <c r="Q158" s="56">
        <v>295</v>
      </c>
      <c r="R158" s="56">
        <v>348</v>
      </c>
      <c r="S158" s="56">
        <v>112</v>
      </c>
      <c r="T158" s="56">
        <v>152</v>
      </c>
      <c r="U158" s="56">
        <v>95</v>
      </c>
      <c r="V158" s="56">
        <v>503</v>
      </c>
      <c r="W158" s="56">
        <v>418</v>
      </c>
      <c r="X158" s="56">
        <v>0</v>
      </c>
    </row>
    <row r="159" spans="1:24">
      <c r="A159" s="52">
        <v>46238</v>
      </c>
      <c r="B159" s="53" t="s">
        <v>994</v>
      </c>
      <c r="C159" s="56">
        <v>132</v>
      </c>
      <c r="D159" s="56">
        <v>185</v>
      </c>
      <c r="E159" s="56">
        <v>197</v>
      </c>
      <c r="F159" s="56">
        <v>278</v>
      </c>
      <c r="G159" s="56">
        <v>188</v>
      </c>
      <c r="H159" s="56">
        <v>122</v>
      </c>
      <c r="I159" s="56">
        <v>137</v>
      </c>
      <c r="J159" s="56">
        <v>134</v>
      </c>
      <c r="K159" s="56">
        <v>381</v>
      </c>
      <c r="L159" s="56">
        <v>97</v>
      </c>
      <c r="M159" s="54">
        <f t="shared" si="2"/>
        <v>184</v>
      </c>
      <c r="N159" s="57">
        <v>2035</v>
      </c>
      <c r="O159" s="56">
        <v>98</v>
      </c>
      <c r="P159" s="56">
        <v>3</v>
      </c>
      <c r="Q159" s="56">
        <v>296</v>
      </c>
      <c r="R159" s="56">
        <v>348</v>
      </c>
      <c r="S159" s="56">
        <v>112</v>
      </c>
      <c r="T159" s="56">
        <v>152</v>
      </c>
      <c r="U159" s="56">
        <v>95</v>
      </c>
      <c r="V159" s="56">
        <v>503</v>
      </c>
      <c r="W159" s="56">
        <v>428</v>
      </c>
      <c r="X159" s="56">
        <v>0</v>
      </c>
    </row>
    <row r="160" spans="1:24">
      <c r="A160" s="52">
        <v>46239</v>
      </c>
      <c r="B160" s="53" t="s">
        <v>994</v>
      </c>
      <c r="C160" s="56">
        <v>132</v>
      </c>
      <c r="D160" s="56">
        <v>186</v>
      </c>
      <c r="E160" s="56">
        <v>198</v>
      </c>
      <c r="F160" s="56">
        <v>279</v>
      </c>
      <c r="G160" s="56">
        <v>189</v>
      </c>
      <c r="H160" s="56">
        <v>123</v>
      </c>
      <c r="I160" s="56">
        <v>137</v>
      </c>
      <c r="J160" s="56">
        <v>135</v>
      </c>
      <c r="K160" s="56">
        <v>383</v>
      </c>
      <c r="L160" s="56">
        <v>97</v>
      </c>
      <c r="M160" s="54">
        <f t="shared" si="2"/>
        <v>182</v>
      </c>
      <c r="N160" s="57">
        <v>2041</v>
      </c>
      <c r="O160" s="56">
        <v>98</v>
      </c>
      <c r="P160" s="56">
        <v>3</v>
      </c>
      <c r="Q160" s="56">
        <v>296</v>
      </c>
      <c r="R160" s="56">
        <v>348</v>
      </c>
      <c r="S160" s="56">
        <v>112</v>
      </c>
      <c r="T160" s="56">
        <v>152</v>
      </c>
      <c r="U160" s="56">
        <v>95</v>
      </c>
      <c r="V160" s="56">
        <v>503</v>
      </c>
      <c r="W160" s="56">
        <v>434</v>
      </c>
      <c r="X160" s="56">
        <v>0</v>
      </c>
    </row>
    <row r="161" spans="1:24">
      <c r="A161" s="52">
        <v>46240</v>
      </c>
      <c r="B161" s="53" t="s">
        <v>994</v>
      </c>
      <c r="C161" s="56">
        <v>132</v>
      </c>
      <c r="D161" s="56">
        <v>185</v>
      </c>
      <c r="E161" s="56">
        <v>197</v>
      </c>
      <c r="F161" s="56">
        <v>278</v>
      </c>
      <c r="G161" s="56">
        <v>188</v>
      </c>
      <c r="H161" s="56">
        <v>122</v>
      </c>
      <c r="I161" s="56">
        <v>137</v>
      </c>
      <c r="J161" s="56">
        <v>134</v>
      </c>
      <c r="K161" s="56">
        <v>381</v>
      </c>
      <c r="L161" s="56">
        <v>97</v>
      </c>
      <c r="M161" s="54">
        <f t="shared" si="2"/>
        <v>184</v>
      </c>
      <c r="N161" s="57">
        <v>2035</v>
      </c>
      <c r="O161" s="56">
        <v>98</v>
      </c>
      <c r="P161" s="56">
        <v>3</v>
      </c>
      <c r="Q161" s="56">
        <v>296</v>
      </c>
      <c r="R161" s="56">
        <v>348</v>
      </c>
      <c r="S161" s="56">
        <v>112</v>
      </c>
      <c r="T161" s="56">
        <v>152</v>
      </c>
      <c r="U161" s="56">
        <v>95</v>
      </c>
      <c r="V161" s="56">
        <v>504</v>
      </c>
      <c r="W161" s="56">
        <v>427</v>
      </c>
      <c r="X161" s="56">
        <v>0</v>
      </c>
    </row>
    <row r="162" spans="1:24">
      <c r="A162" s="52">
        <v>46241</v>
      </c>
      <c r="B162" s="53" t="s">
        <v>994</v>
      </c>
      <c r="C162" s="56">
        <v>132</v>
      </c>
      <c r="D162" s="56">
        <v>186</v>
      </c>
      <c r="E162" s="56">
        <v>199</v>
      </c>
      <c r="F162" s="56">
        <v>280</v>
      </c>
      <c r="G162" s="56">
        <v>189</v>
      </c>
      <c r="H162" s="56">
        <v>123</v>
      </c>
      <c r="I162" s="56">
        <v>138</v>
      </c>
      <c r="J162" s="56">
        <v>135</v>
      </c>
      <c r="K162" s="56">
        <v>384</v>
      </c>
      <c r="L162" s="56">
        <v>97</v>
      </c>
      <c r="M162" s="54">
        <f t="shared" si="2"/>
        <v>184</v>
      </c>
      <c r="N162" s="57">
        <v>2047</v>
      </c>
      <c r="O162" s="56">
        <v>98</v>
      </c>
      <c r="P162" s="56">
        <v>3</v>
      </c>
      <c r="Q162" s="56">
        <v>296</v>
      </c>
      <c r="R162" s="56">
        <v>348</v>
      </c>
      <c r="S162" s="56">
        <v>112</v>
      </c>
      <c r="T162" s="56">
        <v>152</v>
      </c>
      <c r="U162" s="56">
        <v>95</v>
      </c>
      <c r="V162" s="56">
        <v>504</v>
      </c>
      <c r="W162" s="56">
        <v>439</v>
      </c>
      <c r="X162" s="56">
        <v>0</v>
      </c>
    </row>
    <row r="163" spans="1:24">
      <c r="A163" s="52">
        <v>46242</v>
      </c>
      <c r="B163" s="53" t="s">
        <v>994</v>
      </c>
      <c r="C163" s="56">
        <v>151</v>
      </c>
      <c r="D163" s="56">
        <v>213</v>
      </c>
      <c r="E163" s="56">
        <v>227</v>
      </c>
      <c r="F163" s="56">
        <v>320</v>
      </c>
      <c r="G163" s="56">
        <v>216</v>
      </c>
      <c r="H163" s="56">
        <v>140</v>
      </c>
      <c r="I163" s="56">
        <v>157</v>
      </c>
      <c r="J163" s="56">
        <v>154</v>
      </c>
      <c r="K163" s="56">
        <v>438</v>
      </c>
      <c r="L163" s="56">
        <v>111</v>
      </c>
      <c r="M163" s="54">
        <f t="shared" si="2"/>
        <v>212</v>
      </c>
      <c r="N163" s="57">
        <v>2339</v>
      </c>
      <c r="O163" s="56">
        <v>113</v>
      </c>
      <c r="P163" s="56">
        <v>4</v>
      </c>
      <c r="Q163" s="56">
        <v>340</v>
      </c>
      <c r="R163" s="56">
        <v>401</v>
      </c>
      <c r="S163" s="56">
        <v>129</v>
      </c>
      <c r="T163" s="56">
        <v>175</v>
      </c>
      <c r="U163" s="56">
        <v>109</v>
      </c>
      <c r="V163" s="56">
        <v>579</v>
      </c>
      <c r="W163" s="56">
        <v>489</v>
      </c>
      <c r="X163" s="56">
        <v>0</v>
      </c>
    </row>
    <row r="164" spans="1:24">
      <c r="A164" s="52">
        <v>46243</v>
      </c>
      <c r="B164" s="53" t="s">
        <v>994</v>
      </c>
      <c r="C164" s="56">
        <v>151</v>
      </c>
      <c r="D164" s="56">
        <v>213</v>
      </c>
      <c r="E164" s="56">
        <v>227</v>
      </c>
      <c r="F164" s="56">
        <v>319</v>
      </c>
      <c r="G164" s="56">
        <v>216</v>
      </c>
      <c r="H164" s="56">
        <v>140</v>
      </c>
      <c r="I164" s="56">
        <v>157</v>
      </c>
      <c r="J164" s="56">
        <v>154</v>
      </c>
      <c r="K164" s="56">
        <v>438</v>
      </c>
      <c r="L164" s="56">
        <v>111</v>
      </c>
      <c r="M164" s="54">
        <f t="shared" si="2"/>
        <v>212</v>
      </c>
      <c r="N164" s="57">
        <v>2338</v>
      </c>
      <c r="O164" s="56">
        <v>113</v>
      </c>
      <c r="P164" s="56">
        <v>4</v>
      </c>
      <c r="Q164" s="56">
        <v>340</v>
      </c>
      <c r="R164" s="56">
        <v>401</v>
      </c>
      <c r="S164" s="56">
        <v>129</v>
      </c>
      <c r="T164" s="56">
        <v>175</v>
      </c>
      <c r="U164" s="56">
        <v>109</v>
      </c>
      <c r="V164" s="56">
        <v>579</v>
      </c>
      <c r="W164" s="56">
        <v>488</v>
      </c>
      <c r="X164" s="56">
        <v>0</v>
      </c>
    </row>
    <row r="165" spans="1:24">
      <c r="A165" s="52">
        <v>46244</v>
      </c>
      <c r="B165" s="53" t="s">
        <v>994</v>
      </c>
      <c r="C165" s="56">
        <v>139</v>
      </c>
      <c r="D165" s="56">
        <v>196</v>
      </c>
      <c r="E165" s="56">
        <v>209</v>
      </c>
      <c r="F165" s="56">
        <v>294</v>
      </c>
      <c r="G165" s="56">
        <v>199</v>
      </c>
      <c r="H165" s="56">
        <v>129</v>
      </c>
      <c r="I165" s="56">
        <v>145</v>
      </c>
      <c r="J165" s="56">
        <v>142</v>
      </c>
      <c r="K165" s="56">
        <v>404</v>
      </c>
      <c r="L165" s="56">
        <v>102</v>
      </c>
      <c r="M165" s="54">
        <f t="shared" si="2"/>
        <v>195</v>
      </c>
      <c r="N165" s="57">
        <v>2154</v>
      </c>
      <c r="O165" s="56">
        <v>98</v>
      </c>
      <c r="P165" s="56">
        <v>3</v>
      </c>
      <c r="Q165" s="56">
        <v>296</v>
      </c>
      <c r="R165" s="56">
        <v>348</v>
      </c>
      <c r="S165" s="56">
        <v>112</v>
      </c>
      <c r="T165" s="56">
        <v>152</v>
      </c>
      <c r="U165" s="56">
        <v>95</v>
      </c>
      <c r="V165" s="56">
        <v>504</v>
      </c>
      <c r="W165" s="56">
        <v>458</v>
      </c>
      <c r="X165" s="56">
        <v>88</v>
      </c>
    </row>
    <row r="166" spans="1:24">
      <c r="A166" s="52">
        <v>46245</v>
      </c>
      <c r="B166" s="53" t="s">
        <v>994</v>
      </c>
      <c r="C166" s="56">
        <v>139</v>
      </c>
      <c r="D166" s="56">
        <v>196</v>
      </c>
      <c r="E166" s="56">
        <v>208</v>
      </c>
      <c r="F166" s="56">
        <v>293</v>
      </c>
      <c r="G166" s="56">
        <v>198</v>
      </c>
      <c r="H166" s="56">
        <v>129</v>
      </c>
      <c r="I166" s="56">
        <v>145</v>
      </c>
      <c r="J166" s="56">
        <v>142</v>
      </c>
      <c r="K166" s="56">
        <v>402</v>
      </c>
      <c r="L166" s="56">
        <v>102</v>
      </c>
      <c r="M166" s="54">
        <f t="shared" si="2"/>
        <v>193</v>
      </c>
      <c r="N166" s="57">
        <v>2147</v>
      </c>
      <c r="O166" s="56">
        <v>98</v>
      </c>
      <c r="P166" s="56">
        <v>3</v>
      </c>
      <c r="Q166" s="56">
        <v>296</v>
      </c>
      <c r="R166" s="56">
        <v>348</v>
      </c>
      <c r="S166" s="56">
        <v>112</v>
      </c>
      <c r="T166" s="56">
        <v>152</v>
      </c>
      <c r="U166" s="56">
        <v>95</v>
      </c>
      <c r="V166" s="56">
        <v>504</v>
      </c>
      <c r="W166" s="56">
        <v>451</v>
      </c>
      <c r="X166" s="56">
        <v>88</v>
      </c>
    </row>
    <row r="167" spans="1:24">
      <c r="A167" s="52">
        <v>46246</v>
      </c>
      <c r="B167" s="53" t="s">
        <v>994</v>
      </c>
      <c r="C167" s="56">
        <v>139</v>
      </c>
      <c r="D167" s="56">
        <v>196</v>
      </c>
      <c r="E167" s="56">
        <v>209</v>
      </c>
      <c r="F167" s="56">
        <v>295</v>
      </c>
      <c r="G167" s="56">
        <v>199</v>
      </c>
      <c r="H167" s="56">
        <v>129</v>
      </c>
      <c r="I167" s="56">
        <v>145</v>
      </c>
      <c r="J167" s="56">
        <v>142</v>
      </c>
      <c r="K167" s="56">
        <v>404</v>
      </c>
      <c r="L167" s="56">
        <v>102</v>
      </c>
      <c r="M167" s="54">
        <f t="shared" si="2"/>
        <v>196</v>
      </c>
      <c r="N167" s="57">
        <v>2156</v>
      </c>
      <c r="O167" s="56">
        <v>99</v>
      </c>
      <c r="P167" s="56">
        <v>3</v>
      </c>
      <c r="Q167" s="56">
        <v>296</v>
      </c>
      <c r="R167" s="56">
        <v>348</v>
      </c>
      <c r="S167" s="56">
        <v>112</v>
      </c>
      <c r="T167" s="56">
        <v>152</v>
      </c>
      <c r="U167" s="56">
        <v>95</v>
      </c>
      <c r="V167" s="56">
        <v>504</v>
      </c>
      <c r="W167" s="56">
        <v>459</v>
      </c>
      <c r="X167" s="56">
        <v>88</v>
      </c>
    </row>
    <row r="168" spans="1:24">
      <c r="A168" s="52">
        <v>46247</v>
      </c>
      <c r="B168" s="53" t="s">
        <v>994</v>
      </c>
      <c r="C168" s="56">
        <v>138</v>
      </c>
      <c r="D168" s="56">
        <v>195</v>
      </c>
      <c r="E168" s="56">
        <v>208</v>
      </c>
      <c r="F168" s="56">
        <v>292</v>
      </c>
      <c r="G168" s="56">
        <v>198</v>
      </c>
      <c r="H168" s="56">
        <v>129</v>
      </c>
      <c r="I168" s="56">
        <v>144</v>
      </c>
      <c r="J168" s="56">
        <v>141</v>
      </c>
      <c r="K168" s="56">
        <v>401</v>
      </c>
      <c r="L168" s="56">
        <v>102</v>
      </c>
      <c r="M168" s="54">
        <f t="shared" si="2"/>
        <v>192</v>
      </c>
      <c r="N168" s="57">
        <v>2140</v>
      </c>
      <c r="O168" s="56">
        <v>99</v>
      </c>
      <c r="P168" s="56">
        <v>3</v>
      </c>
      <c r="Q168" s="56">
        <v>296</v>
      </c>
      <c r="R168" s="56">
        <v>348</v>
      </c>
      <c r="S168" s="56">
        <v>112</v>
      </c>
      <c r="T168" s="56">
        <v>152</v>
      </c>
      <c r="U168" s="56">
        <v>96</v>
      </c>
      <c r="V168" s="56">
        <v>504</v>
      </c>
      <c r="W168" s="56">
        <v>442</v>
      </c>
      <c r="X168" s="56">
        <v>88</v>
      </c>
    </row>
    <row r="169" spans="1:24">
      <c r="A169" s="52">
        <v>46248</v>
      </c>
      <c r="B169" s="53" t="s">
        <v>994</v>
      </c>
      <c r="C169" s="56">
        <v>134</v>
      </c>
      <c r="D169" s="56">
        <v>189</v>
      </c>
      <c r="E169" s="56">
        <v>202</v>
      </c>
      <c r="F169" s="56">
        <v>284</v>
      </c>
      <c r="G169" s="56">
        <v>192</v>
      </c>
      <c r="H169" s="56">
        <v>125</v>
      </c>
      <c r="I169" s="56">
        <v>140</v>
      </c>
      <c r="J169" s="56">
        <v>137</v>
      </c>
      <c r="K169" s="56">
        <v>390</v>
      </c>
      <c r="L169" s="56">
        <v>99</v>
      </c>
      <c r="M169" s="54">
        <f t="shared" si="2"/>
        <v>187</v>
      </c>
      <c r="N169" s="57">
        <v>2079</v>
      </c>
      <c r="O169" s="56">
        <v>99</v>
      </c>
      <c r="P169" s="56">
        <v>3</v>
      </c>
      <c r="Q169" s="56">
        <v>296</v>
      </c>
      <c r="R169" s="56">
        <v>348</v>
      </c>
      <c r="S169" s="56">
        <v>112</v>
      </c>
      <c r="T169" s="56">
        <v>152</v>
      </c>
      <c r="U169" s="56">
        <v>96</v>
      </c>
      <c r="V169" s="56">
        <v>504</v>
      </c>
      <c r="W169" s="56">
        <v>469</v>
      </c>
      <c r="X169" s="56">
        <v>0</v>
      </c>
    </row>
    <row r="170" spans="1:24">
      <c r="A170" s="52">
        <v>46249</v>
      </c>
      <c r="B170" s="53" t="s">
        <v>994</v>
      </c>
      <c r="C170" s="56">
        <v>154</v>
      </c>
      <c r="D170" s="56">
        <v>217</v>
      </c>
      <c r="E170" s="56">
        <v>231</v>
      </c>
      <c r="F170" s="56">
        <v>325</v>
      </c>
      <c r="G170" s="56">
        <v>220</v>
      </c>
      <c r="H170" s="56">
        <v>143</v>
      </c>
      <c r="I170" s="56">
        <v>160</v>
      </c>
      <c r="J170" s="56">
        <v>157</v>
      </c>
      <c r="K170" s="56">
        <v>446</v>
      </c>
      <c r="L170" s="56">
        <v>113</v>
      </c>
      <c r="M170" s="54">
        <f t="shared" si="2"/>
        <v>216</v>
      </c>
      <c r="N170" s="57">
        <v>2382</v>
      </c>
      <c r="O170" s="56">
        <v>114</v>
      </c>
      <c r="P170" s="56">
        <v>4</v>
      </c>
      <c r="Q170" s="56">
        <v>340</v>
      </c>
      <c r="R170" s="56">
        <v>401</v>
      </c>
      <c r="S170" s="56">
        <v>129</v>
      </c>
      <c r="T170" s="56">
        <v>175</v>
      </c>
      <c r="U170" s="56">
        <v>110</v>
      </c>
      <c r="V170" s="56">
        <v>579</v>
      </c>
      <c r="W170" s="56">
        <v>530</v>
      </c>
      <c r="X170" s="56">
        <v>0</v>
      </c>
    </row>
    <row r="171" spans="1:24">
      <c r="A171" s="52">
        <v>46250</v>
      </c>
      <c r="B171" s="53" t="s">
        <v>994</v>
      </c>
      <c r="C171" s="56">
        <v>161</v>
      </c>
      <c r="D171" s="56">
        <v>226</v>
      </c>
      <c r="E171" s="56">
        <v>241</v>
      </c>
      <c r="F171" s="56">
        <v>339</v>
      </c>
      <c r="G171" s="56">
        <v>229</v>
      </c>
      <c r="H171" s="56">
        <v>149</v>
      </c>
      <c r="I171" s="56">
        <v>167</v>
      </c>
      <c r="J171" s="56">
        <v>164</v>
      </c>
      <c r="K171" s="56">
        <v>465</v>
      </c>
      <c r="L171" s="56">
        <v>118</v>
      </c>
      <c r="M171" s="54">
        <f t="shared" si="2"/>
        <v>224</v>
      </c>
      <c r="N171" s="57">
        <v>2483</v>
      </c>
      <c r="O171" s="56">
        <v>114</v>
      </c>
      <c r="P171" s="56">
        <v>4</v>
      </c>
      <c r="Q171" s="56">
        <v>340</v>
      </c>
      <c r="R171" s="56">
        <v>401</v>
      </c>
      <c r="S171" s="56">
        <v>129</v>
      </c>
      <c r="T171" s="56">
        <v>175</v>
      </c>
      <c r="U171" s="56">
        <v>110</v>
      </c>
      <c r="V171" s="56">
        <v>579</v>
      </c>
      <c r="W171" s="56">
        <v>543</v>
      </c>
      <c r="X171" s="56">
        <v>88</v>
      </c>
    </row>
    <row r="172" spans="1:24">
      <c r="A172" s="52">
        <v>46251</v>
      </c>
      <c r="B172" s="53" t="s">
        <v>994</v>
      </c>
      <c r="C172" s="56">
        <v>142</v>
      </c>
      <c r="D172" s="56">
        <v>199</v>
      </c>
      <c r="E172" s="56">
        <v>212</v>
      </c>
      <c r="F172" s="56">
        <v>300</v>
      </c>
      <c r="G172" s="56">
        <v>202</v>
      </c>
      <c r="H172" s="56">
        <v>132</v>
      </c>
      <c r="I172" s="56">
        <v>147</v>
      </c>
      <c r="J172" s="56">
        <v>145</v>
      </c>
      <c r="K172" s="56">
        <v>410</v>
      </c>
      <c r="L172" s="56">
        <v>104</v>
      </c>
      <c r="M172" s="54">
        <f t="shared" si="2"/>
        <v>197</v>
      </c>
      <c r="N172" s="57">
        <v>2190</v>
      </c>
      <c r="O172" s="56">
        <v>99</v>
      </c>
      <c r="P172" s="56">
        <v>3</v>
      </c>
      <c r="Q172" s="56">
        <v>296</v>
      </c>
      <c r="R172" s="56">
        <v>348</v>
      </c>
      <c r="S172" s="56">
        <v>112</v>
      </c>
      <c r="T172" s="56">
        <v>152</v>
      </c>
      <c r="U172" s="56">
        <v>96</v>
      </c>
      <c r="V172" s="56">
        <v>504</v>
      </c>
      <c r="W172" s="56">
        <v>492</v>
      </c>
      <c r="X172" s="56">
        <v>88</v>
      </c>
    </row>
    <row r="173" spans="1:24">
      <c r="A173" s="52">
        <v>46252</v>
      </c>
      <c r="B173" s="53" t="s">
        <v>994</v>
      </c>
      <c r="C173" s="56">
        <v>141</v>
      </c>
      <c r="D173" s="56">
        <v>198</v>
      </c>
      <c r="E173" s="56">
        <v>211</v>
      </c>
      <c r="F173" s="56">
        <v>297</v>
      </c>
      <c r="G173" s="56">
        <v>201</v>
      </c>
      <c r="H173" s="56">
        <v>130</v>
      </c>
      <c r="I173" s="56">
        <v>146</v>
      </c>
      <c r="J173" s="56">
        <v>143</v>
      </c>
      <c r="K173" s="56">
        <v>407</v>
      </c>
      <c r="L173" s="56">
        <v>103</v>
      </c>
      <c r="M173" s="54">
        <f t="shared" si="2"/>
        <v>196</v>
      </c>
      <c r="N173" s="57">
        <v>2173</v>
      </c>
      <c r="O173" s="56">
        <v>99</v>
      </c>
      <c r="P173" s="56">
        <v>3</v>
      </c>
      <c r="Q173" s="56">
        <v>296</v>
      </c>
      <c r="R173" s="56">
        <v>348</v>
      </c>
      <c r="S173" s="56">
        <v>112</v>
      </c>
      <c r="T173" s="56">
        <v>152</v>
      </c>
      <c r="U173" s="56">
        <v>96</v>
      </c>
      <c r="V173" s="56">
        <v>504</v>
      </c>
      <c r="W173" s="56">
        <v>475</v>
      </c>
      <c r="X173" s="56">
        <v>88</v>
      </c>
    </row>
    <row r="174" spans="1:24">
      <c r="A174" s="52">
        <v>46253</v>
      </c>
      <c r="B174" s="53" t="s">
        <v>994</v>
      </c>
      <c r="C174" s="56">
        <v>140</v>
      </c>
      <c r="D174" s="56">
        <v>197</v>
      </c>
      <c r="E174" s="56">
        <v>210</v>
      </c>
      <c r="F174" s="56">
        <v>296</v>
      </c>
      <c r="G174" s="56">
        <v>200</v>
      </c>
      <c r="H174" s="56">
        <v>130</v>
      </c>
      <c r="I174" s="56">
        <v>146</v>
      </c>
      <c r="J174" s="56">
        <v>143</v>
      </c>
      <c r="K174" s="56">
        <v>406</v>
      </c>
      <c r="L174" s="56">
        <v>103</v>
      </c>
      <c r="M174" s="54">
        <f t="shared" si="2"/>
        <v>194</v>
      </c>
      <c r="N174" s="57">
        <v>2165</v>
      </c>
      <c r="O174" s="56">
        <v>99</v>
      </c>
      <c r="P174" s="56">
        <v>3</v>
      </c>
      <c r="Q174" s="56">
        <v>296</v>
      </c>
      <c r="R174" s="56">
        <v>348</v>
      </c>
      <c r="S174" s="56">
        <v>112</v>
      </c>
      <c r="T174" s="56">
        <v>152</v>
      </c>
      <c r="U174" s="56">
        <v>96</v>
      </c>
      <c r="V174" s="56">
        <v>504</v>
      </c>
      <c r="W174" s="56">
        <v>467</v>
      </c>
      <c r="X174" s="56">
        <v>88</v>
      </c>
    </row>
    <row r="175" spans="1:24">
      <c r="A175" s="52">
        <v>46254</v>
      </c>
      <c r="B175" s="53" t="s">
        <v>994</v>
      </c>
      <c r="C175" s="56">
        <v>143</v>
      </c>
      <c r="D175" s="56">
        <v>201</v>
      </c>
      <c r="E175" s="56">
        <v>214</v>
      </c>
      <c r="F175" s="56">
        <v>301</v>
      </c>
      <c r="G175" s="56">
        <v>204</v>
      </c>
      <c r="H175" s="56">
        <v>132</v>
      </c>
      <c r="I175" s="56">
        <v>148</v>
      </c>
      <c r="J175" s="56">
        <v>146</v>
      </c>
      <c r="K175" s="56">
        <v>413</v>
      </c>
      <c r="L175" s="56">
        <v>105</v>
      </c>
      <c r="M175" s="54">
        <f t="shared" si="2"/>
        <v>198</v>
      </c>
      <c r="N175" s="57">
        <v>2205</v>
      </c>
      <c r="O175" s="56">
        <v>99</v>
      </c>
      <c r="P175" s="56">
        <v>3</v>
      </c>
      <c r="Q175" s="56">
        <v>296</v>
      </c>
      <c r="R175" s="56">
        <v>348</v>
      </c>
      <c r="S175" s="56">
        <v>112</v>
      </c>
      <c r="T175" s="56">
        <v>152</v>
      </c>
      <c r="U175" s="56">
        <v>96</v>
      </c>
      <c r="V175" s="56">
        <v>504</v>
      </c>
      <c r="W175" s="56">
        <v>507</v>
      </c>
      <c r="X175" s="56">
        <v>88</v>
      </c>
    </row>
    <row r="176" spans="1:24">
      <c r="A176" s="52">
        <v>46255</v>
      </c>
      <c r="B176" s="53" t="s">
        <v>994</v>
      </c>
      <c r="C176" s="56">
        <v>140</v>
      </c>
      <c r="D176" s="56">
        <v>198</v>
      </c>
      <c r="E176" s="56">
        <v>210</v>
      </c>
      <c r="F176" s="56">
        <v>296</v>
      </c>
      <c r="G176" s="56">
        <v>200</v>
      </c>
      <c r="H176" s="56">
        <v>130</v>
      </c>
      <c r="I176" s="56">
        <v>146</v>
      </c>
      <c r="J176" s="56">
        <v>143</v>
      </c>
      <c r="K176" s="56">
        <v>406</v>
      </c>
      <c r="L176" s="56">
        <v>103</v>
      </c>
      <c r="M176" s="54">
        <f t="shared" si="2"/>
        <v>197</v>
      </c>
      <c r="N176" s="57">
        <v>2169</v>
      </c>
      <c r="O176" s="56">
        <v>99</v>
      </c>
      <c r="P176" s="56">
        <v>3</v>
      </c>
      <c r="Q176" s="56">
        <v>296</v>
      </c>
      <c r="R176" s="56">
        <v>348</v>
      </c>
      <c r="S176" s="56">
        <v>112</v>
      </c>
      <c r="T176" s="56">
        <v>152</v>
      </c>
      <c r="U176" s="56">
        <v>96</v>
      </c>
      <c r="V176" s="56">
        <v>504</v>
      </c>
      <c r="W176" s="56">
        <v>559</v>
      </c>
      <c r="X176" s="56">
        <v>0</v>
      </c>
    </row>
    <row r="177" spans="1:24">
      <c r="A177" s="52">
        <v>46256</v>
      </c>
      <c r="B177" s="53" t="s">
        <v>994</v>
      </c>
      <c r="C177" s="56">
        <v>157</v>
      </c>
      <c r="D177" s="56">
        <v>221</v>
      </c>
      <c r="E177" s="56">
        <v>236</v>
      </c>
      <c r="F177" s="56">
        <v>332</v>
      </c>
      <c r="G177" s="56">
        <v>224</v>
      </c>
      <c r="H177" s="56">
        <v>146</v>
      </c>
      <c r="I177" s="56">
        <v>163</v>
      </c>
      <c r="J177" s="56">
        <v>160</v>
      </c>
      <c r="K177" s="56">
        <v>455</v>
      </c>
      <c r="L177" s="56">
        <v>115</v>
      </c>
      <c r="M177" s="54">
        <f t="shared" si="2"/>
        <v>219</v>
      </c>
      <c r="N177" s="57">
        <v>2428</v>
      </c>
      <c r="O177" s="56">
        <v>114</v>
      </c>
      <c r="P177" s="56">
        <v>4</v>
      </c>
      <c r="Q177" s="56">
        <v>340</v>
      </c>
      <c r="R177" s="56">
        <v>401</v>
      </c>
      <c r="S177" s="56">
        <v>129</v>
      </c>
      <c r="T177" s="56">
        <v>175</v>
      </c>
      <c r="U177" s="56">
        <v>110</v>
      </c>
      <c r="V177" s="56">
        <v>579</v>
      </c>
      <c r="W177" s="56">
        <v>576</v>
      </c>
      <c r="X177" s="56">
        <v>0</v>
      </c>
    </row>
    <row r="178" spans="1:24">
      <c r="A178" s="52">
        <v>46257</v>
      </c>
      <c r="B178" s="53" t="s">
        <v>994</v>
      </c>
      <c r="C178" s="56">
        <v>167</v>
      </c>
      <c r="D178" s="56">
        <v>235</v>
      </c>
      <c r="E178" s="56">
        <v>250</v>
      </c>
      <c r="F178" s="56">
        <v>353</v>
      </c>
      <c r="G178" s="56">
        <v>240</v>
      </c>
      <c r="H178" s="56">
        <v>155</v>
      </c>
      <c r="I178" s="56">
        <v>174</v>
      </c>
      <c r="J178" s="56">
        <v>170</v>
      </c>
      <c r="K178" s="56">
        <v>484</v>
      </c>
      <c r="L178" s="56">
        <v>123</v>
      </c>
      <c r="M178" s="54">
        <f t="shared" si="2"/>
        <v>231</v>
      </c>
      <c r="N178" s="57">
        <v>2582</v>
      </c>
      <c r="O178" s="56">
        <v>114</v>
      </c>
      <c r="P178" s="56">
        <v>4</v>
      </c>
      <c r="Q178" s="56">
        <v>340</v>
      </c>
      <c r="R178" s="56">
        <v>401</v>
      </c>
      <c r="S178" s="56">
        <v>129</v>
      </c>
      <c r="T178" s="56">
        <v>175</v>
      </c>
      <c r="U178" s="56">
        <v>110</v>
      </c>
      <c r="V178" s="56">
        <v>579</v>
      </c>
      <c r="W178" s="56">
        <v>642</v>
      </c>
      <c r="X178" s="56">
        <v>88</v>
      </c>
    </row>
    <row r="179" spans="1:24">
      <c r="A179" s="52">
        <v>46258</v>
      </c>
      <c r="B179" s="53" t="s">
        <v>994</v>
      </c>
      <c r="C179" s="56">
        <v>152</v>
      </c>
      <c r="D179" s="56">
        <v>215</v>
      </c>
      <c r="E179" s="56">
        <v>229</v>
      </c>
      <c r="F179" s="56">
        <v>322</v>
      </c>
      <c r="G179" s="56">
        <v>218</v>
      </c>
      <c r="H179" s="56">
        <v>142</v>
      </c>
      <c r="I179" s="56">
        <v>159</v>
      </c>
      <c r="J179" s="56">
        <v>156</v>
      </c>
      <c r="K179" s="56">
        <v>442</v>
      </c>
      <c r="L179" s="56">
        <v>112</v>
      </c>
      <c r="M179" s="54">
        <f t="shared" si="2"/>
        <v>211</v>
      </c>
      <c r="N179" s="57">
        <v>2358</v>
      </c>
      <c r="O179" s="56">
        <v>99</v>
      </c>
      <c r="P179" s="56">
        <v>3</v>
      </c>
      <c r="Q179" s="56">
        <v>296</v>
      </c>
      <c r="R179" s="56">
        <v>348</v>
      </c>
      <c r="S179" s="56">
        <v>112</v>
      </c>
      <c r="T179" s="56">
        <v>152</v>
      </c>
      <c r="U179" s="56">
        <v>96</v>
      </c>
      <c r="V179" s="56">
        <v>504</v>
      </c>
      <c r="W179" s="56">
        <v>660</v>
      </c>
      <c r="X179" s="56">
        <v>88</v>
      </c>
    </row>
    <row r="180" spans="1:24">
      <c r="A180" s="52">
        <v>46259</v>
      </c>
      <c r="B180" s="53" t="s">
        <v>994</v>
      </c>
      <c r="C180" s="56">
        <v>153</v>
      </c>
      <c r="D180" s="56">
        <v>215</v>
      </c>
      <c r="E180" s="56">
        <v>230</v>
      </c>
      <c r="F180" s="56">
        <v>323</v>
      </c>
      <c r="G180" s="56">
        <v>220</v>
      </c>
      <c r="H180" s="56">
        <v>142</v>
      </c>
      <c r="I180" s="56">
        <v>159</v>
      </c>
      <c r="J180" s="56">
        <v>156</v>
      </c>
      <c r="K180" s="56">
        <v>443</v>
      </c>
      <c r="L180" s="56">
        <v>112</v>
      </c>
      <c r="M180" s="54">
        <f t="shared" si="2"/>
        <v>213</v>
      </c>
      <c r="N180" s="57">
        <v>2366</v>
      </c>
      <c r="O180" s="56">
        <v>99</v>
      </c>
      <c r="P180" s="56">
        <v>3</v>
      </c>
      <c r="Q180" s="56">
        <v>296</v>
      </c>
      <c r="R180" s="56">
        <v>348</v>
      </c>
      <c r="S180" s="56">
        <v>112</v>
      </c>
      <c r="T180" s="56">
        <v>152</v>
      </c>
      <c r="U180" s="56">
        <v>96</v>
      </c>
      <c r="V180" s="56">
        <v>504</v>
      </c>
      <c r="W180" s="56">
        <v>669</v>
      </c>
      <c r="X180" s="56">
        <v>87</v>
      </c>
    </row>
    <row r="181" spans="1:24">
      <c r="A181" s="52">
        <v>46260</v>
      </c>
      <c r="B181" s="53" t="s">
        <v>994</v>
      </c>
      <c r="C181" s="56">
        <v>143</v>
      </c>
      <c r="D181" s="56">
        <v>202</v>
      </c>
      <c r="E181" s="56">
        <v>215</v>
      </c>
      <c r="F181" s="56">
        <v>302</v>
      </c>
      <c r="G181" s="56">
        <v>204</v>
      </c>
      <c r="H181" s="56">
        <v>133</v>
      </c>
      <c r="I181" s="56">
        <v>150</v>
      </c>
      <c r="J181" s="56">
        <v>146</v>
      </c>
      <c r="K181" s="56">
        <v>415</v>
      </c>
      <c r="L181" s="56">
        <v>105</v>
      </c>
      <c r="M181" s="54">
        <f t="shared" si="2"/>
        <v>197</v>
      </c>
      <c r="N181" s="57">
        <v>2212</v>
      </c>
      <c r="O181" s="56">
        <v>99</v>
      </c>
      <c r="P181" s="56">
        <v>3</v>
      </c>
      <c r="Q181" s="56">
        <v>296</v>
      </c>
      <c r="R181" s="56">
        <v>349</v>
      </c>
      <c r="S181" s="56">
        <v>112</v>
      </c>
      <c r="T181" s="56">
        <v>153</v>
      </c>
      <c r="U181" s="56">
        <v>96</v>
      </c>
      <c r="V181" s="56">
        <v>504</v>
      </c>
      <c r="W181" s="56">
        <v>513</v>
      </c>
      <c r="X181" s="56">
        <v>87</v>
      </c>
    </row>
    <row r="182" spans="1:24">
      <c r="A182" s="52">
        <v>46261</v>
      </c>
      <c r="B182" s="53" t="s">
        <v>994</v>
      </c>
      <c r="C182" s="56">
        <v>144</v>
      </c>
      <c r="D182" s="56">
        <v>202</v>
      </c>
      <c r="E182" s="56">
        <v>215</v>
      </c>
      <c r="F182" s="56">
        <v>303</v>
      </c>
      <c r="G182" s="56">
        <v>205</v>
      </c>
      <c r="H182" s="56">
        <v>133</v>
      </c>
      <c r="I182" s="56">
        <v>149</v>
      </c>
      <c r="J182" s="56">
        <v>146</v>
      </c>
      <c r="K182" s="56">
        <v>416</v>
      </c>
      <c r="L182" s="56">
        <v>105</v>
      </c>
      <c r="M182" s="54">
        <f t="shared" si="2"/>
        <v>201</v>
      </c>
      <c r="N182" s="57">
        <v>2219</v>
      </c>
      <c r="O182" s="56">
        <v>99</v>
      </c>
      <c r="P182" s="56">
        <v>3</v>
      </c>
      <c r="Q182" s="56">
        <v>296</v>
      </c>
      <c r="R182" s="56">
        <v>349</v>
      </c>
      <c r="S182" s="56">
        <v>113</v>
      </c>
      <c r="T182" s="56">
        <v>153</v>
      </c>
      <c r="U182" s="56">
        <v>96</v>
      </c>
      <c r="V182" s="56">
        <v>504</v>
      </c>
      <c r="W182" s="56">
        <v>519</v>
      </c>
      <c r="X182" s="56">
        <v>87</v>
      </c>
    </row>
    <row r="183" spans="1:24">
      <c r="A183" s="52">
        <v>46262</v>
      </c>
      <c r="B183" s="53" t="s">
        <v>994</v>
      </c>
      <c r="C183" s="56">
        <v>135</v>
      </c>
      <c r="D183" s="56">
        <v>191</v>
      </c>
      <c r="E183" s="56">
        <v>203</v>
      </c>
      <c r="F183" s="56">
        <v>286</v>
      </c>
      <c r="G183" s="56">
        <v>193</v>
      </c>
      <c r="H183" s="56">
        <v>126</v>
      </c>
      <c r="I183" s="56">
        <v>141</v>
      </c>
      <c r="J183" s="56">
        <v>138</v>
      </c>
      <c r="K183" s="56">
        <v>392</v>
      </c>
      <c r="L183" s="56">
        <v>100</v>
      </c>
      <c r="M183" s="54">
        <f t="shared" si="2"/>
        <v>188</v>
      </c>
      <c r="N183" s="57">
        <v>2093</v>
      </c>
      <c r="O183" s="56">
        <v>99</v>
      </c>
      <c r="P183" s="56">
        <v>3</v>
      </c>
      <c r="Q183" s="56">
        <v>296</v>
      </c>
      <c r="R183" s="56">
        <v>349</v>
      </c>
      <c r="S183" s="56">
        <v>113</v>
      </c>
      <c r="T183" s="56">
        <v>153</v>
      </c>
      <c r="U183" s="56">
        <v>96</v>
      </c>
      <c r="V183" s="56">
        <v>504</v>
      </c>
      <c r="W183" s="56">
        <v>480</v>
      </c>
      <c r="X183" s="56">
        <v>0</v>
      </c>
    </row>
    <row r="184" spans="1:24">
      <c r="A184" s="52">
        <v>46263</v>
      </c>
      <c r="B184" s="53" t="s">
        <v>994</v>
      </c>
      <c r="C184" s="56">
        <v>152</v>
      </c>
      <c r="D184" s="56">
        <v>215</v>
      </c>
      <c r="E184" s="56">
        <v>230</v>
      </c>
      <c r="F184" s="56">
        <v>322</v>
      </c>
      <c r="G184" s="56">
        <v>218</v>
      </c>
      <c r="H184" s="56">
        <v>142</v>
      </c>
      <c r="I184" s="56">
        <v>159</v>
      </c>
      <c r="J184" s="56">
        <v>156</v>
      </c>
      <c r="K184" s="56">
        <v>442</v>
      </c>
      <c r="L184" s="56">
        <v>112</v>
      </c>
      <c r="M184" s="54">
        <f t="shared" si="2"/>
        <v>209</v>
      </c>
      <c r="N184" s="57">
        <v>2357</v>
      </c>
      <c r="O184" s="56">
        <v>114</v>
      </c>
      <c r="P184" s="56">
        <v>4</v>
      </c>
      <c r="Q184" s="56">
        <v>340</v>
      </c>
      <c r="R184" s="56">
        <v>402</v>
      </c>
      <c r="S184" s="56">
        <v>130</v>
      </c>
      <c r="T184" s="56">
        <v>176</v>
      </c>
      <c r="U184" s="56">
        <v>110</v>
      </c>
      <c r="V184" s="56">
        <v>579</v>
      </c>
      <c r="W184" s="56">
        <v>502</v>
      </c>
      <c r="X184" s="56">
        <v>0</v>
      </c>
    </row>
    <row r="185" spans="1:24">
      <c r="A185" s="52">
        <v>46264</v>
      </c>
      <c r="B185" s="53" t="s">
        <v>994</v>
      </c>
      <c r="C185" s="56">
        <v>154</v>
      </c>
      <c r="D185" s="56">
        <v>217</v>
      </c>
      <c r="E185" s="56">
        <v>232</v>
      </c>
      <c r="F185" s="56">
        <v>326</v>
      </c>
      <c r="G185" s="56">
        <v>220</v>
      </c>
      <c r="H185" s="56">
        <v>143</v>
      </c>
      <c r="I185" s="56">
        <v>160</v>
      </c>
      <c r="J185" s="56">
        <v>157</v>
      </c>
      <c r="K185" s="56">
        <v>447</v>
      </c>
      <c r="L185" s="56">
        <v>113</v>
      </c>
      <c r="M185" s="54">
        <f t="shared" si="2"/>
        <v>214</v>
      </c>
      <c r="N185" s="57">
        <v>2383</v>
      </c>
      <c r="O185" s="56">
        <v>114</v>
      </c>
      <c r="P185" s="56">
        <v>4</v>
      </c>
      <c r="Q185" s="56">
        <v>340</v>
      </c>
      <c r="R185" s="56">
        <v>402</v>
      </c>
      <c r="S185" s="56">
        <v>130</v>
      </c>
      <c r="T185" s="56">
        <v>176</v>
      </c>
      <c r="U185" s="56">
        <v>111</v>
      </c>
      <c r="V185" s="56">
        <v>579</v>
      </c>
      <c r="W185" s="56">
        <v>440</v>
      </c>
      <c r="X185" s="56">
        <v>87</v>
      </c>
    </row>
    <row r="186" spans="1:24">
      <c r="A186" s="52">
        <v>46265</v>
      </c>
      <c r="B186" s="53" t="s">
        <v>994</v>
      </c>
      <c r="C186" s="56">
        <v>135</v>
      </c>
      <c r="D186" s="56">
        <v>191</v>
      </c>
      <c r="E186" s="56">
        <v>203</v>
      </c>
      <c r="F186" s="56">
        <v>286</v>
      </c>
      <c r="G186" s="56">
        <v>193</v>
      </c>
      <c r="H186" s="56">
        <v>126</v>
      </c>
      <c r="I186" s="56">
        <v>141</v>
      </c>
      <c r="J186" s="56">
        <v>138</v>
      </c>
      <c r="K186" s="56">
        <v>392</v>
      </c>
      <c r="L186" s="56">
        <v>100</v>
      </c>
      <c r="M186" s="54">
        <f t="shared" si="2"/>
        <v>187</v>
      </c>
      <c r="N186" s="57">
        <v>2092</v>
      </c>
      <c r="O186" s="56">
        <v>99</v>
      </c>
      <c r="P186" s="56">
        <v>3</v>
      </c>
      <c r="Q186" s="56">
        <v>296</v>
      </c>
      <c r="R186" s="56">
        <v>349</v>
      </c>
      <c r="S186" s="56">
        <v>113</v>
      </c>
      <c r="T186" s="56">
        <v>153</v>
      </c>
      <c r="U186" s="56">
        <v>97</v>
      </c>
      <c r="V186" s="56">
        <v>504</v>
      </c>
      <c r="W186" s="56">
        <v>391</v>
      </c>
      <c r="X186" s="56">
        <v>87</v>
      </c>
    </row>
    <row r="187" spans="1:24">
      <c r="A187" s="52">
        <v>46266</v>
      </c>
      <c r="B187" s="53" t="s">
        <v>994</v>
      </c>
      <c r="C187" s="56"/>
      <c r="D187" s="56"/>
      <c r="E187" s="56"/>
      <c r="F187" s="56"/>
      <c r="G187" s="56"/>
      <c r="H187" s="56"/>
      <c r="I187" s="56"/>
      <c r="J187" s="56"/>
      <c r="K187" s="56"/>
      <c r="L187" s="56"/>
      <c r="M187" s="54">
        <f t="shared" si="2"/>
        <v>0</v>
      </c>
      <c r="N187" s="57"/>
      <c r="O187" s="56"/>
      <c r="P187" s="56"/>
      <c r="Q187" s="56"/>
      <c r="R187" s="56"/>
      <c r="S187" s="56"/>
      <c r="T187" s="56"/>
      <c r="U187" s="56"/>
      <c r="V187" s="56"/>
      <c r="W187" s="56"/>
      <c r="X187" s="56"/>
    </row>
    <row r="188" spans="1:24">
      <c r="A188" s="52">
        <v>46267</v>
      </c>
      <c r="B188" s="53" t="s">
        <v>994</v>
      </c>
      <c r="C188" s="56"/>
      <c r="D188" s="56"/>
      <c r="E188" s="56"/>
      <c r="F188" s="56"/>
      <c r="G188" s="56"/>
      <c r="H188" s="56"/>
      <c r="I188" s="56"/>
      <c r="J188" s="56"/>
      <c r="K188" s="56"/>
      <c r="L188" s="56"/>
      <c r="M188" s="54">
        <f t="shared" si="2"/>
        <v>0</v>
      </c>
      <c r="N188" s="57"/>
      <c r="O188" s="56"/>
      <c r="P188" s="56"/>
      <c r="Q188" s="56"/>
      <c r="R188" s="56"/>
      <c r="S188" s="56"/>
      <c r="T188" s="56"/>
      <c r="U188" s="56"/>
      <c r="V188" s="56"/>
      <c r="W188" s="56"/>
      <c r="X188" s="56"/>
    </row>
    <row r="189" spans="1:24">
      <c r="A189" s="52">
        <v>46268</v>
      </c>
      <c r="B189" s="53" t="s">
        <v>994</v>
      </c>
      <c r="C189" s="56"/>
      <c r="D189" s="56"/>
      <c r="E189" s="56"/>
      <c r="F189" s="56"/>
      <c r="G189" s="56"/>
      <c r="H189" s="56"/>
      <c r="I189" s="56"/>
      <c r="J189" s="56"/>
      <c r="K189" s="56"/>
      <c r="L189" s="56"/>
      <c r="M189" s="54">
        <f t="shared" si="2"/>
        <v>0</v>
      </c>
      <c r="N189" s="57"/>
      <c r="O189" s="56"/>
      <c r="P189" s="56"/>
      <c r="Q189" s="56"/>
      <c r="R189" s="56"/>
      <c r="S189" s="56"/>
      <c r="T189" s="56"/>
      <c r="U189" s="56"/>
      <c r="V189" s="56"/>
      <c r="W189" s="56"/>
      <c r="X189" s="56"/>
    </row>
    <row r="190" spans="1:24">
      <c r="A190" s="52">
        <v>46269</v>
      </c>
      <c r="B190" s="53" t="s">
        <v>994</v>
      </c>
      <c r="C190" s="56"/>
      <c r="D190" s="56"/>
      <c r="E190" s="56"/>
      <c r="F190" s="56"/>
      <c r="G190" s="56"/>
      <c r="H190" s="56"/>
      <c r="I190" s="56"/>
      <c r="J190" s="56"/>
      <c r="K190" s="56"/>
      <c r="L190" s="56"/>
      <c r="M190" s="54">
        <f t="shared" si="2"/>
        <v>0</v>
      </c>
      <c r="N190" s="57"/>
      <c r="O190" s="56"/>
      <c r="P190" s="56"/>
      <c r="Q190" s="56"/>
      <c r="R190" s="56"/>
      <c r="S190" s="56"/>
      <c r="T190" s="56"/>
      <c r="U190" s="56"/>
      <c r="V190" s="56"/>
      <c r="W190" s="56"/>
      <c r="X190" s="56"/>
    </row>
    <row r="191" spans="1:24">
      <c r="A191" s="52">
        <v>46270</v>
      </c>
      <c r="B191" s="53" t="s">
        <v>994</v>
      </c>
      <c r="C191" s="56"/>
      <c r="D191" s="56"/>
      <c r="E191" s="56"/>
      <c r="F191" s="56"/>
      <c r="G191" s="56"/>
      <c r="H191" s="56"/>
      <c r="I191" s="56"/>
      <c r="J191" s="56"/>
      <c r="K191" s="56"/>
      <c r="L191" s="56"/>
      <c r="M191" s="54">
        <f t="shared" si="2"/>
        <v>0</v>
      </c>
      <c r="N191" s="57"/>
      <c r="O191" s="56"/>
      <c r="P191" s="56"/>
      <c r="Q191" s="56"/>
      <c r="R191" s="56"/>
      <c r="S191" s="56"/>
      <c r="T191" s="56"/>
      <c r="U191" s="56"/>
      <c r="V191" s="56"/>
      <c r="W191" s="56"/>
      <c r="X191" s="56"/>
    </row>
    <row r="192" spans="1:24">
      <c r="A192" s="52">
        <v>46271</v>
      </c>
      <c r="B192" s="53" t="s">
        <v>994</v>
      </c>
      <c r="C192" s="56"/>
      <c r="D192" s="56"/>
      <c r="E192" s="56"/>
      <c r="F192" s="56"/>
      <c r="G192" s="56"/>
      <c r="H192" s="56"/>
      <c r="I192" s="56"/>
      <c r="J192" s="56"/>
      <c r="K192" s="56"/>
      <c r="L192" s="56"/>
      <c r="M192" s="54">
        <f t="shared" si="2"/>
        <v>0</v>
      </c>
      <c r="N192" s="57"/>
      <c r="O192" s="56"/>
      <c r="P192" s="56"/>
      <c r="Q192" s="56"/>
      <c r="R192" s="56"/>
      <c r="S192" s="56"/>
      <c r="T192" s="56"/>
      <c r="U192" s="56"/>
      <c r="V192" s="56"/>
      <c r="W192" s="56"/>
      <c r="X192" s="56"/>
    </row>
    <row r="193" spans="1:24">
      <c r="A193" s="52">
        <v>46272</v>
      </c>
      <c r="B193" s="53" t="s">
        <v>994</v>
      </c>
      <c r="C193" s="56"/>
      <c r="D193" s="56"/>
      <c r="E193" s="56"/>
      <c r="F193" s="56"/>
      <c r="G193" s="56"/>
      <c r="H193" s="56"/>
      <c r="I193" s="56"/>
      <c r="J193" s="56"/>
      <c r="K193" s="56"/>
      <c r="L193" s="56"/>
      <c r="M193" s="54">
        <f t="shared" si="2"/>
        <v>0</v>
      </c>
      <c r="N193" s="57"/>
      <c r="O193" s="56"/>
      <c r="P193" s="56"/>
      <c r="Q193" s="56"/>
      <c r="R193" s="56"/>
      <c r="S193" s="56"/>
      <c r="T193" s="56"/>
      <c r="U193" s="56"/>
      <c r="V193" s="56"/>
      <c r="W193" s="56"/>
      <c r="X193" s="56"/>
    </row>
    <row r="194" spans="1:24">
      <c r="A194" s="52">
        <v>46273</v>
      </c>
      <c r="B194" s="53" t="s">
        <v>994</v>
      </c>
      <c r="C194" s="56"/>
      <c r="D194" s="56"/>
      <c r="E194" s="56"/>
      <c r="F194" s="56"/>
      <c r="G194" s="56"/>
      <c r="H194" s="56"/>
      <c r="I194" s="56"/>
      <c r="J194" s="56"/>
      <c r="K194" s="56"/>
      <c r="L194" s="56"/>
      <c r="M194" s="54">
        <f t="shared" si="2"/>
        <v>0</v>
      </c>
      <c r="N194" s="57"/>
      <c r="O194" s="56"/>
      <c r="P194" s="56"/>
      <c r="Q194" s="56"/>
      <c r="R194" s="56"/>
      <c r="S194" s="56"/>
      <c r="T194" s="56"/>
      <c r="U194" s="56"/>
      <c r="V194" s="56"/>
      <c r="W194" s="56"/>
      <c r="X194" s="56"/>
    </row>
    <row r="195" spans="1:24">
      <c r="A195" s="52">
        <v>46274</v>
      </c>
      <c r="B195" s="53" t="s">
        <v>994</v>
      </c>
      <c r="C195" s="56"/>
      <c r="D195" s="56"/>
      <c r="E195" s="56"/>
      <c r="F195" s="56"/>
      <c r="G195" s="56"/>
      <c r="H195" s="56"/>
      <c r="I195" s="56"/>
      <c r="J195" s="56"/>
      <c r="K195" s="56"/>
      <c r="L195" s="56"/>
      <c r="M195" s="54">
        <f t="shared" ref="M195:M258" si="3">N195-SUM(C195:L195)</f>
        <v>0</v>
      </c>
      <c r="N195" s="57"/>
      <c r="O195" s="56"/>
      <c r="P195" s="56"/>
      <c r="Q195" s="56"/>
      <c r="R195" s="56"/>
      <c r="S195" s="56"/>
      <c r="T195" s="56"/>
      <c r="U195" s="56"/>
      <c r="V195" s="56"/>
      <c r="W195" s="56"/>
      <c r="X195" s="56"/>
    </row>
    <row r="196" spans="1:24">
      <c r="A196" s="52">
        <v>46275</v>
      </c>
      <c r="B196" s="53" t="s">
        <v>994</v>
      </c>
      <c r="C196" s="58"/>
      <c r="D196" s="58"/>
      <c r="E196" s="58"/>
      <c r="F196" s="58"/>
      <c r="G196" s="58"/>
      <c r="H196" s="58"/>
      <c r="I196" s="58"/>
      <c r="J196" s="58"/>
      <c r="K196" s="58"/>
      <c r="L196" s="58"/>
      <c r="M196" s="54">
        <f t="shared" si="3"/>
        <v>0</v>
      </c>
      <c r="N196" s="57"/>
      <c r="O196" s="58"/>
      <c r="P196" s="58"/>
      <c r="Q196" s="58"/>
      <c r="R196" s="58"/>
      <c r="S196" s="58"/>
      <c r="T196" s="58"/>
      <c r="U196" s="58"/>
      <c r="V196" s="58"/>
      <c r="W196" s="58"/>
      <c r="X196" s="58"/>
    </row>
    <row r="197" spans="1:24">
      <c r="A197" s="52">
        <v>46276</v>
      </c>
      <c r="B197" s="53" t="s">
        <v>994</v>
      </c>
      <c r="C197" s="58"/>
      <c r="D197" s="58"/>
      <c r="E197" s="58"/>
      <c r="F197" s="58"/>
      <c r="G197" s="58"/>
      <c r="H197" s="58"/>
      <c r="I197" s="58"/>
      <c r="J197" s="58"/>
      <c r="K197" s="58"/>
      <c r="L197" s="58"/>
      <c r="M197" s="54">
        <f t="shared" si="3"/>
        <v>0</v>
      </c>
      <c r="N197" s="57"/>
      <c r="O197" s="58"/>
      <c r="P197" s="58"/>
      <c r="Q197" s="58"/>
      <c r="R197" s="58"/>
      <c r="S197" s="58"/>
      <c r="T197" s="58"/>
      <c r="U197" s="58"/>
      <c r="V197" s="58"/>
      <c r="W197" s="58"/>
      <c r="X197" s="58"/>
    </row>
    <row r="198" spans="1:24">
      <c r="A198" s="52">
        <v>46277</v>
      </c>
      <c r="B198" s="53" t="s">
        <v>994</v>
      </c>
      <c r="C198" s="58"/>
      <c r="D198" s="58"/>
      <c r="E198" s="58"/>
      <c r="F198" s="58"/>
      <c r="G198" s="58"/>
      <c r="H198" s="58"/>
      <c r="I198" s="58"/>
      <c r="J198" s="58"/>
      <c r="K198" s="58"/>
      <c r="L198" s="58"/>
      <c r="M198" s="54">
        <f t="shared" si="3"/>
        <v>0</v>
      </c>
      <c r="N198" s="57"/>
      <c r="O198" s="58"/>
      <c r="P198" s="58"/>
      <c r="Q198" s="58"/>
      <c r="R198" s="58"/>
      <c r="S198" s="58"/>
      <c r="T198" s="58"/>
      <c r="U198" s="58"/>
      <c r="V198" s="58"/>
      <c r="W198" s="58"/>
      <c r="X198" s="58"/>
    </row>
    <row r="199" spans="1:24">
      <c r="A199" s="52">
        <v>46278</v>
      </c>
      <c r="B199" s="53" t="s">
        <v>994</v>
      </c>
      <c r="C199" s="58"/>
      <c r="D199" s="58"/>
      <c r="E199" s="58"/>
      <c r="F199" s="58"/>
      <c r="G199" s="58"/>
      <c r="H199" s="58"/>
      <c r="I199" s="58"/>
      <c r="J199" s="58"/>
      <c r="K199" s="58"/>
      <c r="L199" s="58"/>
      <c r="M199" s="54">
        <f t="shared" si="3"/>
        <v>0</v>
      </c>
      <c r="N199" s="57"/>
      <c r="O199" s="58"/>
      <c r="P199" s="58"/>
      <c r="Q199" s="58"/>
      <c r="R199" s="58"/>
      <c r="S199" s="58"/>
      <c r="T199" s="58"/>
      <c r="U199" s="58"/>
      <c r="V199" s="58"/>
      <c r="W199" s="58"/>
      <c r="X199" s="58"/>
    </row>
    <row r="200" spans="1:24">
      <c r="A200" s="52">
        <v>46279</v>
      </c>
      <c r="B200" s="53" t="s">
        <v>994</v>
      </c>
      <c r="C200" s="58"/>
      <c r="D200" s="58"/>
      <c r="E200" s="58"/>
      <c r="F200" s="58"/>
      <c r="G200" s="58"/>
      <c r="H200" s="58"/>
      <c r="I200" s="58"/>
      <c r="J200" s="58"/>
      <c r="K200" s="58"/>
      <c r="L200" s="58"/>
      <c r="M200" s="54">
        <f t="shared" si="3"/>
        <v>0</v>
      </c>
      <c r="N200" s="57"/>
      <c r="O200" s="58"/>
      <c r="P200" s="58"/>
      <c r="Q200" s="58"/>
      <c r="R200" s="58"/>
      <c r="S200" s="58"/>
      <c r="T200" s="58"/>
      <c r="U200" s="58"/>
      <c r="V200" s="58"/>
      <c r="W200" s="58"/>
      <c r="X200" s="58"/>
    </row>
    <row r="201" spans="1:24">
      <c r="A201" s="52">
        <v>46280</v>
      </c>
      <c r="B201" s="53" t="s">
        <v>994</v>
      </c>
      <c r="C201" s="58"/>
      <c r="D201" s="58"/>
      <c r="E201" s="58"/>
      <c r="F201" s="58"/>
      <c r="G201" s="58"/>
      <c r="H201" s="58"/>
      <c r="I201" s="58"/>
      <c r="J201" s="58"/>
      <c r="K201" s="58"/>
      <c r="L201" s="58"/>
      <c r="M201" s="54">
        <f t="shared" si="3"/>
        <v>0</v>
      </c>
      <c r="N201" s="57"/>
      <c r="O201" s="58"/>
      <c r="P201" s="58"/>
      <c r="Q201" s="58"/>
      <c r="R201" s="58"/>
      <c r="S201" s="58"/>
      <c r="T201" s="58"/>
      <c r="U201" s="58"/>
      <c r="V201" s="58"/>
      <c r="W201" s="58"/>
      <c r="X201" s="58"/>
    </row>
    <row r="202" spans="1:24">
      <c r="A202" s="52">
        <v>46281</v>
      </c>
      <c r="B202" s="53" t="s">
        <v>994</v>
      </c>
      <c r="C202" s="58"/>
      <c r="D202" s="58"/>
      <c r="E202" s="58"/>
      <c r="F202" s="58"/>
      <c r="G202" s="58"/>
      <c r="H202" s="58"/>
      <c r="I202" s="58"/>
      <c r="J202" s="58"/>
      <c r="K202" s="58"/>
      <c r="L202" s="58"/>
      <c r="M202" s="54">
        <f t="shared" si="3"/>
        <v>0</v>
      </c>
      <c r="N202" s="57"/>
      <c r="O202" s="58"/>
      <c r="P202" s="58"/>
      <c r="Q202" s="58"/>
      <c r="R202" s="58"/>
      <c r="S202" s="58"/>
      <c r="T202" s="58"/>
      <c r="U202" s="58"/>
      <c r="V202" s="58"/>
      <c r="W202" s="58"/>
      <c r="X202" s="58"/>
    </row>
    <row r="203" spans="1:24">
      <c r="A203" s="52">
        <v>46282</v>
      </c>
      <c r="B203" s="53" t="s">
        <v>994</v>
      </c>
      <c r="C203" s="58"/>
      <c r="D203" s="58"/>
      <c r="E203" s="58"/>
      <c r="F203" s="58"/>
      <c r="G203" s="58"/>
      <c r="H203" s="58"/>
      <c r="I203" s="58"/>
      <c r="J203" s="58"/>
      <c r="K203" s="58"/>
      <c r="L203" s="58"/>
      <c r="M203" s="54">
        <f t="shared" si="3"/>
        <v>0</v>
      </c>
      <c r="N203" s="57"/>
      <c r="O203" s="58"/>
      <c r="P203" s="58"/>
      <c r="Q203" s="58"/>
      <c r="R203" s="58"/>
      <c r="S203" s="58"/>
      <c r="T203" s="58"/>
      <c r="U203" s="58"/>
      <c r="V203" s="58"/>
      <c r="W203" s="58"/>
      <c r="X203" s="58"/>
    </row>
    <row r="204" spans="1:24">
      <c r="A204" s="52">
        <v>46283</v>
      </c>
      <c r="B204" s="53" t="s">
        <v>994</v>
      </c>
      <c r="C204" s="58"/>
      <c r="D204" s="58"/>
      <c r="E204" s="58"/>
      <c r="F204" s="58"/>
      <c r="G204" s="58"/>
      <c r="H204" s="58"/>
      <c r="I204" s="58"/>
      <c r="J204" s="58"/>
      <c r="K204" s="58"/>
      <c r="L204" s="58"/>
      <c r="M204" s="54">
        <f t="shared" si="3"/>
        <v>0</v>
      </c>
      <c r="N204" s="57"/>
      <c r="O204" s="58"/>
      <c r="P204" s="58"/>
      <c r="Q204" s="58"/>
      <c r="R204" s="58"/>
      <c r="S204" s="58"/>
      <c r="T204" s="58"/>
      <c r="U204" s="58"/>
      <c r="V204" s="58"/>
      <c r="W204" s="58"/>
      <c r="X204" s="58"/>
    </row>
    <row r="205" spans="1:24">
      <c r="A205" s="52">
        <v>46284</v>
      </c>
      <c r="B205" s="53" t="s">
        <v>994</v>
      </c>
      <c r="C205" s="58"/>
      <c r="D205" s="58"/>
      <c r="E205" s="58"/>
      <c r="F205" s="58"/>
      <c r="G205" s="58"/>
      <c r="H205" s="58"/>
      <c r="I205" s="58"/>
      <c r="J205" s="58"/>
      <c r="K205" s="58"/>
      <c r="L205" s="58"/>
      <c r="M205" s="54">
        <f t="shared" si="3"/>
        <v>0</v>
      </c>
      <c r="N205" s="57"/>
      <c r="O205" s="58"/>
      <c r="P205" s="58"/>
      <c r="Q205" s="58"/>
      <c r="R205" s="58"/>
      <c r="S205" s="58"/>
      <c r="T205" s="58"/>
      <c r="U205" s="58"/>
      <c r="V205" s="58"/>
      <c r="W205" s="58"/>
      <c r="X205" s="58"/>
    </row>
    <row r="206" spans="1:24">
      <c r="A206" s="52">
        <v>46285</v>
      </c>
      <c r="B206" s="53" t="s">
        <v>994</v>
      </c>
      <c r="C206" s="58"/>
      <c r="D206" s="58"/>
      <c r="E206" s="58"/>
      <c r="F206" s="58"/>
      <c r="G206" s="58"/>
      <c r="H206" s="58"/>
      <c r="I206" s="58"/>
      <c r="J206" s="58"/>
      <c r="K206" s="58"/>
      <c r="L206" s="58"/>
      <c r="M206" s="54">
        <f t="shared" si="3"/>
        <v>0</v>
      </c>
      <c r="N206" s="57"/>
      <c r="O206" s="58"/>
      <c r="P206" s="58"/>
      <c r="Q206" s="58"/>
      <c r="R206" s="58"/>
      <c r="S206" s="58"/>
      <c r="T206" s="58"/>
      <c r="U206" s="58"/>
      <c r="V206" s="58"/>
      <c r="W206" s="58"/>
      <c r="X206" s="58"/>
    </row>
    <row r="207" spans="1:24">
      <c r="A207" s="52">
        <v>46286</v>
      </c>
      <c r="B207" s="53" t="s">
        <v>994</v>
      </c>
      <c r="C207" s="58"/>
      <c r="D207" s="58"/>
      <c r="E207" s="58"/>
      <c r="F207" s="58"/>
      <c r="G207" s="58"/>
      <c r="H207" s="58"/>
      <c r="I207" s="58"/>
      <c r="J207" s="58"/>
      <c r="K207" s="58"/>
      <c r="L207" s="58"/>
      <c r="M207" s="54">
        <f t="shared" si="3"/>
        <v>0</v>
      </c>
      <c r="N207" s="57"/>
      <c r="O207" s="58"/>
      <c r="P207" s="58"/>
      <c r="Q207" s="58"/>
      <c r="R207" s="58"/>
      <c r="S207" s="58"/>
      <c r="T207" s="58"/>
      <c r="U207" s="58"/>
      <c r="V207" s="58"/>
      <c r="W207" s="58"/>
      <c r="X207" s="58"/>
    </row>
    <row r="208" spans="1:24">
      <c r="A208" s="52">
        <v>46287</v>
      </c>
      <c r="B208" s="53" t="s">
        <v>994</v>
      </c>
      <c r="C208" s="58"/>
      <c r="D208" s="58"/>
      <c r="E208" s="58"/>
      <c r="F208" s="58"/>
      <c r="G208" s="58"/>
      <c r="H208" s="58"/>
      <c r="I208" s="58"/>
      <c r="J208" s="58"/>
      <c r="K208" s="58"/>
      <c r="L208" s="58"/>
      <c r="M208" s="54">
        <f t="shared" si="3"/>
        <v>0</v>
      </c>
      <c r="N208" s="57"/>
      <c r="O208" s="58"/>
      <c r="P208" s="58"/>
      <c r="Q208" s="58"/>
      <c r="R208" s="58"/>
      <c r="S208" s="58"/>
      <c r="T208" s="58"/>
      <c r="U208" s="58"/>
      <c r="V208" s="58"/>
      <c r="W208" s="58"/>
      <c r="X208" s="58"/>
    </row>
    <row r="209" spans="1:24">
      <c r="A209" s="52">
        <v>46288</v>
      </c>
      <c r="B209" s="53" t="s">
        <v>994</v>
      </c>
      <c r="C209" s="58"/>
      <c r="D209" s="58"/>
      <c r="E209" s="58"/>
      <c r="F209" s="58"/>
      <c r="G209" s="58"/>
      <c r="H209" s="58"/>
      <c r="I209" s="58"/>
      <c r="J209" s="58"/>
      <c r="K209" s="58"/>
      <c r="L209" s="58"/>
      <c r="M209" s="54">
        <f t="shared" si="3"/>
        <v>0</v>
      </c>
      <c r="N209" s="57"/>
      <c r="O209" s="58"/>
      <c r="P209" s="58"/>
      <c r="Q209" s="58"/>
      <c r="R209" s="58"/>
      <c r="S209" s="58"/>
      <c r="T209" s="58"/>
      <c r="U209" s="58"/>
      <c r="V209" s="58"/>
      <c r="W209" s="58"/>
      <c r="X209" s="58"/>
    </row>
    <row r="210" spans="1:24">
      <c r="A210" s="52">
        <v>46289</v>
      </c>
      <c r="B210" s="53" t="s">
        <v>994</v>
      </c>
      <c r="C210" s="58"/>
      <c r="D210" s="58"/>
      <c r="E210" s="58"/>
      <c r="F210" s="58"/>
      <c r="G210" s="58"/>
      <c r="H210" s="58"/>
      <c r="I210" s="58"/>
      <c r="J210" s="58"/>
      <c r="K210" s="58"/>
      <c r="L210" s="58"/>
      <c r="M210" s="54">
        <f t="shared" si="3"/>
        <v>0</v>
      </c>
      <c r="N210" s="57"/>
      <c r="O210" s="58"/>
      <c r="P210" s="58"/>
      <c r="Q210" s="58"/>
      <c r="R210" s="58"/>
      <c r="S210" s="58"/>
      <c r="T210" s="58"/>
      <c r="U210" s="58"/>
      <c r="V210" s="58"/>
      <c r="W210" s="58"/>
      <c r="X210" s="58"/>
    </row>
    <row r="211" spans="1:24">
      <c r="A211" s="52">
        <v>46290</v>
      </c>
      <c r="B211" s="53" t="s">
        <v>994</v>
      </c>
      <c r="C211" s="58"/>
      <c r="D211" s="58"/>
      <c r="E211" s="58"/>
      <c r="F211" s="58"/>
      <c r="G211" s="58"/>
      <c r="H211" s="58"/>
      <c r="I211" s="58"/>
      <c r="J211" s="58"/>
      <c r="K211" s="58"/>
      <c r="L211" s="58"/>
      <c r="M211" s="54">
        <f t="shared" si="3"/>
        <v>0</v>
      </c>
      <c r="N211" s="57"/>
      <c r="O211" s="58"/>
      <c r="P211" s="58"/>
      <c r="Q211" s="58"/>
      <c r="R211" s="58"/>
      <c r="S211" s="58"/>
      <c r="T211" s="58"/>
      <c r="U211" s="58"/>
      <c r="V211" s="58"/>
      <c r="W211" s="58"/>
      <c r="X211" s="58"/>
    </row>
    <row r="212" spans="1:24">
      <c r="A212" s="52">
        <v>46291</v>
      </c>
      <c r="B212" s="53" t="s">
        <v>994</v>
      </c>
      <c r="C212" s="58"/>
      <c r="D212" s="58"/>
      <c r="E212" s="58"/>
      <c r="F212" s="58"/>
      <c r="G212" s="58"/>
      <c r="H212" s="58"/>
      <c r="I212" s="58"/>
      <c r="J212" s="58"/>
      <c r="K212" s="58"/>
      <c r="L212" s="58"/>
      <c r="M212" s="54">
        <f t="shared" si="3"/>
        <v>0</v>
      </c>
      <c r="N212" s="57"/>
      <c r="O212" s="58"/>
      <c r="P212" s="58"/>
      <c r="Q212" s="58"/>
      <c r="R212" s="58"/>
      <c r="S212" s="58"/>
      <c r="T212" s="58"/>
      <c r="U212" s="58"/>
      <c r="V212" s="58"/>
      <c r="W212" s="58"/>
      <c r="X212" s="58"/>
    </row>
    <row r="213" spans="1:24">
      <c r="A213" s="52">
        <v>46292</v>
      </c>
      <c r="B213" s="53" t="s">
        <v>994</v>
      </c>
      <c r="C213" s="58"/>
      <c r="D213" s="58"/>
      <c r="E213" s="58"/>
      <c r="F213" s="58"/>
      <c r="G213" s="58"/>
      <c r="H213" s="58"/>
      <c r="I213" s="58"/>
      <c r="J213" s="58"/>
      <c r="K213" s="58"/>
      <c r="L213" s="58"/>
      <c r="M213" s="54">
        <f t="shared" si="3"/>
        <v>0</v>
      </c>
      <c r="N213" s="57"/>
      <c r="O213" s="58"/>
      <c r="P213" s="58"/>
      <c r="Q213" s="58"/>
      <c r="R213" s="58"/>
      <c r="S213" s="58"/>
      <c r="T213" s="58"/>
      <c r="U213" s="58"/>
      <c r="V213" s="58"/>
      <c r="W213" s="58"/>
      <c r="X213" s="58"/>
    </row>
    <row r="214" spans="1:24">
      <c r="A214" s="52">
        <v>46293</v>
      </c>
      <c r="B214" s="53" t="s">
        <v>994</v>
      </c>
      <c r="C214" s="58"/>
      <c r="D214" s="58"/>
      <c r="E214" s="58"/>
      <c r="F214" s="58"/>
      <c r="G214" s="58"/>
      <c r="H214" s="58"/>
      <c r="I214" s="58"/>
      <c r="J214" s="58"/>
      <c r="K214" s="58"/>
      <c r="L214" s="58"/>
      <c r="M214" s="54">
        <f t="shared" si="3"/>
        <v>0</v>
      </c>
      <c r="N214" s="57"/>
      <c r="O214" s="58"/>
      <c r="P214" s="58"/>
      <c r="Q214" s="58"/>
      <c r="R214" s="58"/>
      <c r="S214" s="58"/>
      <c r="T214" s="58"/>
      <c r="U214" s="58"/>
      <c r="V214" s="58"/>
      <c r="W214" s="58"/>
      <c r="X214" s="58"/>
    </row>
    <row r="215" spans="1:24">
      <c r="A215" s="52">
        <v>46294</v>
      </c>
      <c r="B215" s="53" t="s">
        <v>994</v>
      </c>
      <c r="C215" s="58"/>
      <c r="D215" s="58"/>
      <c r="E215" s="58"/>
      <c r="F215" s="58"/>
      <c r="G215" s="58"/>
      <c r="H215" s="58"/>
      <c r="I215" s="58"/>
      <c r="J215" s="58"/>
      <c r="K215" s="58"/>
      <c r="L215" s="58"/>
      <c r="M215" s="54">
        <f t="shared" si="3"/>
        <v>0</v>
      </c>
      <c r="N215" s="57"/>
      <c r="O215" s="58"/>
      <c r="P215" s="58"/>
      <c r="Q215" s="58"/>
      <c r="R215" s="58"/>
      <c r="S215" s="58"/>
      <c r="T215" s="58"/>
      <c r="U215" s="58"/>
      <c r="V215" s="58"/>
      <c r="W215" s="58"/>
      <c r="X215" s="58"/>
    </row>
    <row r="216" spans="1:24">
      <c r="A216" s="52">
        <v>46295</v>
      </c>
      <c r="B216" s="53" t="s">
        <v>994</v>
      </c>
      <c r="C216" s="58"/>
      <c r="D216" s="58"/>
      <c r="E216" s="58"/>
      <c r="F216" s="58"/>
      <c r="G216" s="58"/>
      <c r="H216" s="58"/>
      <c r="I216" s="58"/>
      <c r="J216" s="58"/>
      <c r="K216" s="58"/>
      <c r="L216" s="58"/>
      <c r="M216" s="54">
        <f t="shared" si="3"/>
        <v>0</v>
      </c>
      <c r="N216" s="57"/>
      <c r="O216" s="58"/>
      <c r="P216" s="58"/>
      <c r="Q216" s="58"/>
      <c r="R216" s="58"/>
      <c r="S216" s="58"/>
      <c r="T216" s="58"/>
      <c r="U216" s="58"/>
      <c r="V216" s="58"/>
      <c r="W216" s="58"/>
      <c r="X216" s="58"/>
    </row>
    <row r="217" spans="1:24">
      <c r="A217" s="52">
        <v>46296</v>
      </c>
      <c r="B217" s="53" t="s">
        <v>994</v>
      </c>
      <c r="C217" s="58"/>
      <c r="D217" s="58"/>
      <c r="E217" s="58"/>
      <c r="F217" s="58"/>
      <c r="G217" s="58"/>
      <c r="H217" s="58"/>
      <c r="I217" s="58"/>
      <c r="J217" s="58"/>
      <c r="K217" s="58"/>
      <c r="L217" s="58"/>
      <c r="M217" s="54">
        <f t="shared" si="3"/>
        <v>0</v>
      </c>
      <c r="N217" s="57"/>
      <c r="O217" s="58"/>
      <c r="P217" s="58"/>
      <c r="Q217" s="58"/>
      <c r="R217" s="58"/>
      <c r="S217" s="58"/>
      <c r="T217" s="58"/>
      <c r="U217" s="58"/>
      <c r="V217" s="58"/>
      <c r="W217" s="58"/>
      <c r="X217" s="58"/>
    </row>
    <row r="218" spans="1:24">
      <c r="A218" s="52">
        <v>46297</v>
      </c>
      <c r="B218" s="53" t="s">
        <v>994</v>
      </c>
      <c r="C218" s="58"/>
      <c r="D218" s="58"/>
      <c r="E218" s="58"/>
      <c r="F218" s="58"/>
      <c r="G218" s="58"/>
      <c r="H218" s="58"/>
      <c r="I218" s="58"/>
      <c r="J218" s="58"/>
      <c r="K218" s="58"/>
      <c r="L218" s="58"/>
      <c r="M218" s="54">
        <f t="shared" si="3"/>
        <v>0</v>
      </c>
      <c r="N218" s="57"/>
      <c r="O218" s="58"/>
      <c r="P218" s="58"/>
      <c r="Q218" s="58"/>
      <c r="R218" s="58"/>
      <c r="S218" s="58"/>
      <c r="T218" s="58"/>
      <c r="U218" s="58"/>
      <c r="V218" s="58"/>
      <c r="W218" s="58"/>
      <c r="X218" s="58"/>
    </row>
    <row r="219" spans="1:24">
      <c r="A219" s="52">
        <v>46298</v>
      </c>
      <c r="B219" s="53" t="s">
        <v>994</v>
      </c>
      <c r="C219" s="58"/>
      <c r="D219" s="58"/>
      <c r="E219" s="58"/>
      <c r="F219" s="58"/>
      <c r="G219" s="58"/>
      <c r="H219" s="58"/>
      <c r="I219" s="58"/>
      <c r="J219" s="58"/>
      <c r="K219" s="58"/>
      <c r="L219" s="58"/>
      <c r="M219" s="54">
        <f t="shared" si="3"/>
        <v>0</v>
      </c>
      <c r="N219" s="57"/>
      <c r="O219" s="58"/>
      <c r="P219" s="58"/>
      <c r="Q219" s="58"/>
      <c r="R219" s="58"/>
      <c r="S219" s="58"/>
      <c r="T219" s="58"/>
      <c r="U219" s="58"/>
      <c r="V219" s="58"/>
      <c r="W219" s="58"/>
      <c r="X219" s="58"/>
    </row>
    <row r="220" spans="1:24">
      <c r="A220" s="52">
        <v>46299</v>
      </c>
      <c r="B220" s="53" t="s">
        <v>994</v>
      </c>
      <c r="C220" s="58"/>
      <c r="D220" s="58"/>
      <c r="E220" s="58"/>
      <c r="F220" s="58"/>
      <c r="G220" s="58"/>
      <c r="H220" s="58"/>
      <c r="I220" s="58"/>
      <c r="J220" s="58"/>
      <c r="K220" s="58"/>
      <c r="L220" s="58"/>
      <c r="M220" s="54">
        <f t="shared" si="3"/>
        <v>0</v>
      </c>
      <c r="N220" s="57"/>
      <c r="O220" s="58"/>
      <c r="P220" s="58"/>
      <c r="Q220" s="58"/>
      <c r="R220" s="58"/>
      <c r="S220" s="58"/>
      <c r="T220" s="58"/>
      <c r="U220" s="58"/>
      <c r="V220" s="58"/>
      <c r="W220" s="58"/>
      <c r="X220" s="58"/>
    </row>
    <row r="221" spans="1:24">
      <c r="A221" s="52">
        <v>46300</v>
      </c>
      <c r="B221" s="53" t="s">
        <v>994</v>
      </c>
      <c r="C221" s="58"/>
      <c r="D221" s="58"/>
      <c r="E221" s="58"/>
      <c r="F221" s="58"/>
      <c r="G221" s="58"/>
      <c r="H221" s="58"/>
      <c r="I221" s="58"/>
      <c r="J221" s="58"/>
      <c r="K221" s="58"/>
      <c r="L221" s="58"/>
      <c r="M221" s="54">
        <f t="shared" si="3"/>
        <v>0</v>
      </c>
      <c r="N221" s="57"/>
      <c r="O221" s="58"/>
      <c r="P221" s="58"/>
      <c r="Q221" s="58"/>
      <c r="R221" s="58"/>
      <c r="S221" s="58"/>
      <c r="T221" s="58"/>
      <c r="U221" s="58"/>
      <c r="V221" s="58"/>
      <c r="W221" s="58"/>
      <c r="X221" s="58"/>
    </row>
    <row r="222" spans="1:24">
      <c r="A222" s="52">
        <v>46301</v>
      </c>
      <c r="B222" s="53" t="s">
        <v>994</v>
      </c>
      <c r="C222" s="58"/>
      <c r="D222" s="58"/>
      <c r="E222" s="58"/>
      <c r="F222" s="58"/>
      <c r="G222" s="58"/>
      <c r="H222" s="58"/>
      <c r="I222" s="58"/>
      <c r="J222" s="58"/>
      <c r="K222" s="58"/>
      <c r="L222" s="58"/>
      <c r="M222" s="54">
        <f t="shared" si="3"/>
        <v>0</v>
      </c>
      <c r="N222" s="57"/>
      <c r="O222" s="58"/>
      <c r="P222" s="58"/>
      <c r="Q222" s="58"/>
      <c r="R222" s="58"/>
      <c r="S222" s="58"/>
      <c r="T222" s="58"/>
      <c r="U222" s="58"/>
      <c r="V222" s="58"/>
      <c r="W222" s="58"/>
      <c r="X222" s="58"/>
    </row>
    <row r="223" spans="1:24">
      <c r="A223" s="52">
        <v>46302</v>
      </c>
      <c r="B223" s="53" t="s">
        <v>994</v>
      </c>
      <c r="C223" s="58"/>
      <c r="D223" s="58"/>
      <c r="E223" s="58"/>
      <c r="F223" s="58"/>
      <c r="G223" s="58"/>
      <c r="H223" s="58"/>
      <c r="I223" s="58"/>
      <c r="J223" s="58"/>
      <c r="K223" s="58"/>
      <c r="L223" s="58"/>
      <c r="M223" s="54">
        <f t="shared" si="3"/>
        <v>0</v>
      </c>
      <c r="N223" s="57"/>
      <c r="O223" s="58"/>
      <c r="P223" s="58"/>
      <c r="Q223" s="58"/>
      <c r="R223" s="58"/>
      <c r="S223" s="58"/>
      <c r="T223" s="58"/>
      <c r="U223" s="58"/>
      <c r="V223" s="58"/>
      <c r="W223" s="58"/>
      <c r="X223" s="58"/>
    </row>
    <row r="224" spans="1:24">
      <c r="A224" s="52">
        <v>46303</v>
      </c>
      <c r="B224" s="53" t="s">
        <v>994</v>
      </c>
      <c r="C224" s="58"/>
      <c r="D224" s="58"/>
      <c r="E224" s="58"/>
      <c r="F224" s="58"/>
      <c r="G224" s="58"/>
      <c r="H224" s="58"/>
      <c r="I224" s="58"/>
      <c r="J224" s="58"/>
      <c r="K224" s="58"/>
      <c r="L224" s="58"/>
      <c r="M224" s="54">
        <f t="shared" si="3"/>
        <v>0</v>
      </c>
      <c r="N224" s="57"/>
      <c r="O224" s="58"/>
      <c r="P224" s="58"/>
      <c r="Q224" s="58"/>
      <c r="R224" s="58"/>
      <c r="S224" s="58"/>
      <c r="T224" s="58"/>
      <c r="U224" s="58"/>
      <c r="V224" s="58"/>
      <c r="W224" s="58"/>
      <c r="X224" s="58"/>
    </row>
    <row r="225" spans="1:24">
      <c r="A225" s="52">
        <v>46304</v>
      </c>
      <c r="B225" s="53" t="s">
        <v>994</v>
      </c>
      <c r="C225" s="58"/>
      <c r="D225" s="58"/>
      <c r="E225" s="58"/>
      <c r="F225" s="58"/>
      <c r="G225" s="58"/>
      <c r="H225" s="58"/>
      <c r="I225" s="58"/>
      <c r="J225" s="58"/>
      <c r="K225" s="58"/>
      <c r="L225" s="58"/>
      <c r="M225" s="54">
        <f t="shared" si="3"/>
        <v>0</v>
      </c>
      <c r="N225" s="57"/>
      <c r="O225" s="58"/>
      <c r="P225" s="58"/>
      <c r="Q225" s="58"/>
      <c r="R225" s="58"/>
      <c r="S225" s="58"/>
      <c r="T225" s="58"/>
      <c r="U225" s="58"/>
      <c r="V225" s="58"/>
      <c r="W225" s="58"/>
      <c r="X225" s="58"/>
    </row>
    <row r="226" spans="1:24">
      <c r="A226" s="52">
        <v>46305</v>
      </c>
      <c r="B226" s="53" t="s">
        <v>994</v>
      </c>
      <c r="C226" s="58"/>
      <c r="D226" s="58"/>
      <c r="E226" s="58"/>
      <c r="F226" s="58"/>
      <c r="G226" s="58"/>
      <c r="H226" s="58"/>
      <c r="I226" s="58"/>
      <c r="J226" s="58"/>
      <c r="K226" s="58"/>
      <c r="L226" s="58"/>
      <c r="M226" s="54">
        <f t="shared" si="3"/>
        <v>0</v>
      </c>
      <c r="N226" s="57"/>
      <c r="O226" s="58"/>
      <c r="P226" s="58"/>
      <c r="Q226" s="58"/>
      <c r="R226" s="58"/>
      <c r="S226" s="58"/>
      <c r="T226" s="58"/>
      <c r="U226" s="58"/>
      <c r="V226" s="58"/>
      <c r="W226" s="58"/>
      <c r="X226" s="58"/>
    </row>
    <row r="227" spans="1:24">
      <c r="A227" s="52">
        <v>46306</v>
      </c>
      <c r="B227" s="53" t="s">
        <v>994</v>
      </c>
      <c r="C227" s="58"/>
      <c r="D227" s="58"/>
      <c r="E227" s="58"/>
      <c r="F227" s="58"/>
      <c r="G227" s="58"/>
      <c r="H227" s="58"/>
      <c r="I227" s="58"/>
      <c r="J227" s="58"/>
      <c r="K227" s="58"/>
      <c r="L227" s="58"/>
      <c r="M227" s="54">
        <f t="shared" si="3"/>
        <v>0</v>
      </c>
      <c r="N227" s="57"/>
      <c r="O227" s="58"/>
      <c r="P227" s="58"/>
      <c r="Q227" s="58"/>
      <c r="R227" s="58"/>
      <c r="S227" s="58"/>
      <c r="T227" s="58"/>
      <c r="U227" s="58"/>
      <c r="V227" s="58"/>
      <c r="W227" s="58"/>
      <c r="X227" s="58"/>
    </row>
    <row r="228" spans="1:24">
      <c r="A228" s="52">
        <v>46307</v>
      </c>
      <c r="B228" s="53" t="s">
        <v>994</v>
      </c>
      <c r="C228" s="58"/>
      <c r="D228" s="58"/>
      <c r="E228" s="58"/>
      <c r="F228" s="58"/>
      <c r="G228" s="58"/>
      <c r="H228" s="58"/>
      <c r="I228" s="58"/>
      <c r="J228" s="58"/>
      <c r="K228" s="58"/>
      <c r="L228" s="58"/>
      <c r="M228" s="54">
        <f t="shared" si="3"/>
        <v>0</v>
      </c>
      <c r="N228" s="57"/>
      <c r="O228" s="58"/>
      <c r="P228" s="58"/>
      <c r="Q228" s="58"/>
      <c r="R228" s="58"/>
      <c r="S228" s="58"/>
      <c r="T228" s="58"/>
      <c r="U228" s="58"/>
      <c r="V228" s="58"/>
      <c r="W228" s="58"/>
      <c r="X228" s="58"/>
    </row>
    <row r="229" spans="1:24">
      <c r="A229" s="52">
        <v>46308</v>
      </c>
      <c r="B229" s="53" t="s">
        <v>994</v>
      </c>
      <c r="C229" s="58"/>
      <c r="D229" s="58"/>
      <c r="E229" s="58"/>
      <c r="F229" s="58"/>
      <c r="G229" s="58"/>
      <c r="H229" s="58"/>
      <c r="I229" s="58"/>
      <c r="J229" s="58"/>
      <c r="K229" s="58"/>
      <c r="L229" s="58"/>
      <c r="M229" s="54">
        <f t="shared" si="3"/>
        <v>0</v>
      </c>
      <c r="N229" s="57"/>
      <c r="O229" s="58"/>
      <c r="P229" s="58"/>
      <c r="Q229" s="58"/>
      <c r="R229" s="58"/>
      <c r="S229" s="58"/>
      <c r="T229" s="58"/>
      <c r="U229" s="58"/>
      <c r="V229" s="58"/>
      <c r="W229" s="58"/>
      <c r="X229" s="58"/>
    </row>
    <row r="230" spans="1:24">
      <c r="A230" s="52">
        <v>46309</v>
      </c>
      <c r="B230" s="53" t="s">
        <v>994</v>
      </c>
      <c r="C230" s="58"/>
      <c r="D230" s="58"/>
      <c r="E230" s="58"/>
      <c r="F230" s="58"/>
      <c r="G230" s="58"/>
      <c r="H230" s="58"/>
      <c r="I230" s="58"/>
      <c r="J230" s="58"/>
      <c r="K230" s="58"/>
      <c r="L230" s="58"/>
      <c r="M230" s="54">
        <f t="shared" si="3"/>
        <v>0</v>
      </c>
      <c r="N230" s="57"/>
      <c r="O230" s="58"/>
      <c r="P230" s="58"/>
      <c r="Q230" s="58"/>
      <c r="R230" s="58"/>
      <c r="S230" s="58"/>
      <c r="T230" s="58"/>
      <c r="U230" s="58"/>
      <c r="V230" s="58"/>
      <c r="W230" s="58"/>
      <c r="X230" s="58"/>
    </row>
    <row r="231" spans="1:24">
      <c r="A231" s="52">
        <v>46310</v>
      </c>
      <c r="B231" s="53" t="s">
        <v>994</v>
      </c>
      <c r="C231" s="58"/>
      <c r="D231" s="58"/>
      <c r="E231" s="58"/>
      <c r="F231" s="58"/>
      <c r="G231" s="58"/>
      <c r="H231" s="58"/>
      <c r="I231" s="58"/>
      <c r="J231" s="58"/>
      <c r="K231" s="58"/>
      <c r="L231" s="58"/>
      <c r="M231" s="54">
        <f t="shared" si="3"/>
        <v>0</v>
      </c>
      <c r="N231" s="57"/>
      <c r="O231" s="58"/>
      <c r="P231" s="58"/>
      <c r="Q231" s="58"/>
      <c r="R231" s="58"/>
      <c r="S231" s="58"/>
      <c r="T231" s="58"/>
      <c r="U231" s="58"/>
      <c r="V231" s="58"/>
      <c r="W231" s="58"/>
      <c r="X231" s="58"/>
    </row>
    <row r="232" spans="1:24">
      <c r="A232" s="52">
        <v>46311</v>
      </c>
      <c r="B232" s="53" t="s">
        <v>994</v>
      </c>
      <c r="C232" s="58"/>
      <c r="D232" s="58"/>
      <c r="E232" s="58"/>
      <c r="F232" s="58"/>
      <c r="G232" s="58"/>
      <c r="H232" s="58"/>
      <c r="I232" s="58"/>
      <c r="J232" s="58"/>
      <c r="K232" s="58"/>
      <c r="L232" s="58"/>
      <c r="M232" s="54">
        <f t="shared" si="3"/>
        <v>0</v>
      </c>
      <c r="N232" s="57"/>
      <c r="O232" s="58"/>
      <c r="P232" s="58"/>
      <c r="Q232" s="58"/>
      <c r="R232" s="58"/>
      <c r="S232" s="58"/>
      <c r="T232" s="58"/>
      <c r="U232" s="58"/>
      <c r="V232" s="58"/>
      <c r="W232" s="58"/>
      <c r="X232" s="58"/>
    </row>
    <row r="233" spans="1:24">
      <c r="A233" s="52">
        <v>46312</v>
      </c>
      <c r="B233" s="53" t="s">
        <v>994</v>
      </c>
      <c r="C233" s="58"/>
      <c r="D233" s="58"/>
      <c r="E233" s="58"/>
      <c r="F233" s="58"/>
      <c r="G233" s="58"/>
      <c r="H233" s="58"/>
      <c r="I233" s="58"/>
      <c r="J233" s="58"/>
      <c r="K233" s="58"/>
      <c r="L233" s="58"/>
      <c r="M233" s="54">
        <f t="shared" si="3"/>
        <v>0</v>
      </c>
      <c r="N233" s="57"/>
      <c r="O233" s="58"/>
      <c r="P233" s="58"/>
      <c r="Q233" s="58"/>
      <c r="R233" s="58"/>
      <c r="S233" s="58"/>
      <c r="T233" s="58"/>
      <c r="U233" s="58"/>
      <c r="V233" s="58"/>
      <c r="W233" s="58"/>
      <c r="X233" s="58"/>
    </row>
    <row r="234" spans="1:24">
      <c r="A234" s="52">
        <v>46313</v>
      </c>
      <c r="B234" s="53" t="s">
        <v>994</v>
      </c>
      <c r="C234" s="58"/>
      <c r="D234" s="58"/>
      <c r="E234" s="58"/>
      <c r="F234" s="58"/>
      <c r="G234" s="58"/>
      <c r="H234" s="58"/>
      <c r="I234" s="58"/>
      <c r="J234" s="58"/>
      <c r="K234" s="58"/>
      <c r="L234" s="58"/>
      <c r="M234" s="54">
        <f t="shared" si="3"/>
        <v>0</v>
      </c>
      <c r="N234" s="57"/>
      <c r="O234" s="58"/>
      <c r="P234" s="58"/>
      <c r="Q234" s="58"/>
      <c r="R234" s="58"/>
      <c r="S234" s="58"/>
      <c r="T234" s="58"/>
      <c r="U234" s="58"/>
      <c r="V234" s="58"/>
      <c r="W234" s="58"/>
      <c r="X234" s="58"/>
    </row>
    <row r="235" spans="1:24">
      <c r="A235" s="52">
        <v>46314</v>
      </c>
      <c r="B235" s="53" t="s">
        <v>994</v>
      </c>
      <c r="C235" s="58"/>
      <c r="D235" s="58"/>
      <c r="E235" s="58"/>
      <c r="F235" s="58"/>
      <c r="G235" s="58"/>
      <c r="H235" s="58"/>
      <c r="I235" s="58"/>
      <c r="J235" s="58"/>
      <c r="K235" s="58"/>
      <c r="L235" s="58"/>
      <c r="M235" s="54">
        <f t="shared" si="3"/>
        <v>0</v>
      </c>
      <c r="N235" s="57"/>
      <c r="O235" s="58"/>
      <c r="P235" s="58"/>
      <c r="Q235" s="58"/>
      <c r="R235" s="58"/>
      <c r="S235" s="58"/>
      <c r="T235" s="58"/>
      <c r="U235" s="58"/>
      <c r="V235" s="58"/>
      <c r="W235" s="58"/>
      <c r="X235" s="58"/>
    </row>
    <row r="236" spans="1:24">
      <c r="A236" s="52">
        <v>46315</v>
      </c>
      <c r="B236" s="53" t="s">
        <v>994</v>
      </c>
      <c r="C236" s="58"/>
      <c r="D236" s="58"/>
      <c r="E236" s="58"/>
      <c r="F236" s="58"/>
      <c r="G236" s="58"/>
      <c r="H236" s="58"/>
      <c r="I236" s="58"/>
      <c r="J236" s="58"/>
      <c r="K236" s="58"/>
      <c r="L236" s="58"/>
      <c r="M236" s="54">
        <f t="shared" si="3"/>
        <v>0</v>
      </c>
      <c r="N236" s="57"/>
      <c r="O236" s="58"/>
      <c r="P236" s="58"/>
      <c r="Q236" s="58"/>
      <c r="R236" s="58"/>
      <c r="S236" s="58"/>
      <c r="T236" s="58"/>
      <c r="U236" s="58"/>
      <c r="V236" s="58"/>
      <c r="W236" s="58"/>
      <c r="X236" s="58"/>
    </row>
    <row r="237" spans="1:24">
      <c r="A237" s="52">
        <v>46316</v>
      </c>
      <c r="B237" s="53" t="s">
        <v>994</v>
      </c>
      <c r="C237" s="58"/>
      <c r="D237" s="58"/>
      <c r="E237" s="58"/>
      <c r="F237" s="58"/>
      <c r="G237" s="58"/>
      <c r="H237" s="58"/>
      <c r="I237" s="58"/>
      <c r="J237" s="58"/>
      <c r="K237" s="58"/>
      <c r="L237" s="58"/>
      <c r="M237" s="54">
        <f t="shared" si="3"/>
        <v>0</v>
      </c>
      <c r="N237" s="57"/>
      <c r="O237" s="58"/>
      <c r="P237" s="58"/>
      <c r="Q237" s="58"/>
      <c r="R237" s="58"/>
      <c r="S237" s="58"/>
      <c r="T237" s="58"/>
      <c r="U237" s="58"/>
      <c r="V237" s="58"/>
      <c r="W237" s="58"/>
      <c r="X237" s="58"/>
    </row>
    <row r="238" spans="1:24">
      <c r="A238" s="52">
        <v>46317</v>
      </c>
      <c r="B238" s="53" t="s">
        <v>994</v>
      </c>
      <c r="C238" s="58"/>
      <c r="D238" s="58"/>
      <c r="E238" s="58"/>
      <c r="F238" s="58"/>
      <c r="G238" s="58"/>
      <c r="H238" s="58"/>
      <c r="I238" s="58"/>
      <c r="J238" s="58"/>
      <c r="K238" s="58"/>
      <c r="L238" s="58"/>
      <c r="M238" s="54">
        <f t="shared" si="3"/>
        <v>0</v>
      </c>
      <c r="N238" s="57"/>
      <c r="O238" s="58"/>
      <c r="P238" s="58"/>
      <c r="Q238" s="58"/>
      <c r="R238" s="58"/>
      <c r="S238" s="58"/>
      <c r="T238" s="58"/>
      <c r="U238" s="58"/>
      <c r="V238" s="58"/>
      <c r="W238" s="58"/>
      <c r="X238" s="58"/>
    </row>
    <row r="239" spans="1:24">
      <c r="A239" s="52">
        <v>46318</v>
      </c>
      <c r="B239" s="53" t="s">
        <v>994</v>
      </c>
      <c r="C239" s="58"/>
      <c r="D239" s="58"/>
      <c r="E239" s="58"/>
      <c r="F239" s="58"/>
      <c r="G239" s="58"/>
      <c r="H239" s="58"/>
      <c r="I239" s="58"/>
      <c r="J239" s="58"/>
      <c r="K239" s="58"/>
      <c r="L239" s="58"/>
      <c r="M239" s="54">
        <f t="shared" si="3"/>
        <v>0</v>
      </c>
      <c r="N239" s="57"/>
      <c r="O239" s="58"/>
      <c r="P239" s="58"/>
      <c r="Q239" s="58"/>
      <c r="R239" s="58"/>
      <c r="S239" s="58"/>
      <c r="T239" s="58"/>
      <c r="U239" s="58"/>
      <c r="V239" s="58"/>
      <c r="W239" s="58"/>
      <c r="X239" s="58"/>
    </row>
    <row r="240" spans="1:24">
      <c r="A240" s="52">
        <v>46319</v>
      </c>
      <c r="B240" s="53" t="s">
        <v>994</v>
      </c>
      <c r="C240" s="58"/>
      <c r="D240" s="58"/>
      <c r="E240" s="58"/>
      <c r="F240" s="58"/>
      <c r="G240" s="58"/>
      <c r="H240" s="58"/>
      <c r="I240" s="58"/>
      <c r="J240" s="58"/>
      <c r="K240" s="58"/>
      <c r="L240" s="58"/>
      <c r="M240" s="54">
        <f t="shared" si="3"/>
        <v>0</v>
      </c>
      <c r="N240" s="57"/>
      <c r="O240" s="58"/>
      <c r="P240" s="58"/>
      <c r="Q240" s="58"/>
      <c r="R240" s="58"/>
      <c r="S240" s="58"/>
      <c r="T240" s="58"/>
      <c r="U240" s="58"/>
      <c r="V240" s="58"/>
      <c r="W240" s="58"/>
      <c r="X240" s="58"/>
    </row>
    <row r="241" spans="1:24">
      <c r="A241" s="52">
        <v>46320</v>
      </c>
      <c r="B241" s="53" t="s">
        <v>994</v>
      </c>
      <c r="C241" s="58"/>
      <c r="D241" s="58"/>
      <c r="E241" s="58"/>
      <c r="F241" s="58"/>
      <c r="G241" s="58"/>
      <c r="H241" s="58"/>
      <c r="I241" s="58"/>
      <c r="J241" s="58"/>
      <c r="K241" s="58"/>
      <c r="L241" s="58"/>
      <c r="M241" s="54">
        <f t="shared" si="3"/>
        <v>0</v>
      </c>
      <c r="N241" s="57"/>
      <c r="O241" s="58"/>
      <c r="P241" s="58"/>
      <c r="Q241" s="58"/>
      <c r="R241" s="58"/>
      <c r="S241" s="58"/>
      <c r="T241" s="58"/>
      <c r="U241" s="58"/>
      <c r="V241" s="58"/>
      <c r="W241" s="58"/>
      <c r="X241" s="58"/>
    </row>
    <row r="242" spans="1:24">
      <c r="A242" s="52">
        <v>46321</v>
      </c>
      <c r="B242" s="53" t="s">
        <v>994</v>
      </c>
      <c r="C242" s="58"/>
      <c r="D242" s="58"/>
      <c r="E242" s="58"/>
      <c r="F242" s="58"/>
      <c r="G242" s="58"/>
      <c r="H242" s="58"/>
      <c r="I242" s="58"/>
      <c r="J242" s="58"/>
      <c r="K242" s="58"/>
      <c r="L242" s="58"/>
      <c r="M242" s="54">
        <f t="shared" si="3"/>
        <v>0</v>
      </c>
      <c r="N242" s="57"/>
      <c r="O242" s="58"/>
      <c r="P242" s="58"/>
      <c r="Q242" s="58"/>
      <c r="R242" s="58"/>
      <c r="S242" s="58"/>
      <c r="T242" s="58"/>
      <c r="U242" s="58"/>
      <c r="V242" s="58"/>
      <c r="W242" s="58"/>
      <c r="X242" s="58"/>
    </row>
    <row r="243" spans="1:24">
      <c r="A243" s="52">
        <v>46322</v>
      </c>
      <c r="B243" s="53" t="s">
        <v>994</v>
      </c>
      <c r="C243" s="58"/>
      <c r="D243" s="58"/>
      <c r="E243" s="58"/>
      <c r="F243" s="58"/>
      <c r="G243" s="58"/>
      <c r="H243" s="58"/>
      <c r="I243" s="58"/>
      <c r="J243" s="58"/>
      <c r="K243" s="58"/>
      <c r="L243" s="58"/>
      <c r="M243" s="54">
        <f t="shared" si="3"/>
        <v>0</v>
      </c>
      <c r="N243" s="57"/>
      <c r="O243" s="58"/>
      <c r="P243" s="58"/>
      <c r="Q243" s="58"/>
      <c r="R243" s="58"/>
      <c r="S243" s="58"/>
      <c r="T243" s="58"/>
      <c r="U243" s="58"/>
      <c r="V243" s="58"/>
      <c r="W243" s="58"/>
      <c r="X243" s="58"/>
    </row>
    <row r="244" spans="1:24">
      <c r="A244" s="52">
        <v>46323</v>
      </c>
      <c r="B244" s="53" t="s">
        <v>994</v>
      </c>
      <c r="C244" s="58"/>
      <c r="D244" s="58"/>
      <c r="E244" s="58"/>
      <c r="F244" s="58"/>
      <c r="G244" s="58"/>
      <c r="H244" s="58"/>
      <c r="I244" s="58"/>
      <c r="J244" s="58"/>
      <c r="K244" s="58"/>
      <c r="L244" s="58"/>
      <c r="M244" s="54">
        <f t="shared" si="3"/>
        <v>0</v>
      </c>
      <c r="N244" s="57"/>
      <c r="O244" s="58"/>
      <c r="P244" s="58"/>
      <c r="Q244" s="58"/>
      <c r="R244" s="58"/>
      <c r="S244" s="58"/>
      <c r="T244" s="58"/>
      <c r="U244" s="58"/>
      <c r="V244" s="58"/>
      <c r="W244" s="58"/>
      <c r="X244" s="58"/>
    </row>
    <row r="245" spans="1:24">
      <c r="A245" s="52">
        <v>46324</v>
      </c>
      <c r="B245" s="53" t="s">
        <v>994</v>
      </c>
      <c r="C245" s="58"/>
      <c r="D245" s="58"/>
      <c r="E245" s="58"/>
      <c r="F245" s="58"/>
      <c r="G245" s="58"/>
      <c r="H245" s="58"/>
      <c r="I245" s="58"/>
      <c r="J245" s="58"/>
      <c r="K245" s="58"/>
      <c r="L245" s="58"/>
      <c r="M245" s="54">
        <f t="shared" si="3"/>
        <v>0</v>
      </c>
      <c r="N245" s="57"/>
      <c r="O245" s="58"/>
      <c r="P245" s="58"/>
      <c r="Q245" s="58"/>
      <c r="R245" s="58"/>
      <c r="S245" s="58"/>
      <c r="T245" s="58"/>
      <c r="U245" s="58"/>
      <c r="V245" s="58"/>
      <c r="W245" s="58"/>
      <c r="X245" s="58"/>
    </row>
    <row r="246" spans="1:24">
      <c r="A246" s="52">
        <v>46325</v>
      </c>
      <c r="B246" s="53" t="s">
        <v>994</v>
      </c>
      <c r="C246" s="58"/>
      <c r="D246" s="58"/>
      <c r="E246" s="58"/>
      <c r="F246" s="58"/>
      <c r="G246" s="58"/>
      <c r="H246" s="58"/>
      <c r="I246" s="58"/>
      <c r="J246" s="58"/>
      <c r="K246" s="58"/>
      <c r="L246" s="58"/>
      <c r="M246" s="54">
        <f t="shared" si="3"/>
        <v>0</v>
      </c>
      <c r="N246" s="57"/>
      <c r="O246" s="58"/>
      <c r="P246" s="58"/>
      <c r="Q246" s="58"/>
      <c r="R246" s="58"/>
      <c r="S246" s="58"/>
      <c r="T246" s="58"/>
      <c r="U246" s="58"/>
      <c r="V246" s="58"/>
      <c r="W246" s="58"/>
      <c r="X246" s="58"/>
    </row>
    <row r="247" spans="1:24">
      <c r="A247" s="52">
        <v>46326</v>
      </c>
      <c r="B247" s="53" t="s">
        <v>994</v>
      </c>
      <c r="C247" s="58"/>
      <c r="D247" s="58"/>
      <c r="E247" s="58"/>
      <c r="F247" s="58"/>
      <c r="G247" s="58"/>
      <c r="H247" s="58"/>
      <c r="I247" s="58"/>
      <c r="J247" s="58"/>
      <c r="K247" s="58"/>
      <c r="L247" s="58"/>
      <c r="M247" s="54">
        <f t="shared" si="3"/>
        <v>0</v>
      </c>
      <c r="N247" s="57"/>
      <c r="O247" s="58"/>
      <c r="P247" s="58"/>
      <c r="Q247" s="58"/>
      <c r="R247" s="58"/>
      <c r="S247" s="58"/>
      <c r="T247" s="58"/>
      <c r="U247" s="58"/>
      <c r="V247" s="58"/>
      <c r="W247" s="58"/>
      <c r="X247" s="58"/>
    </row>
    <row r="248" spans="1:24">
      <c r="A248" s="52">
        <v>46327</v>
      </c>
      <c r="B248" s="53" t="s">
        <v>994</v>
      </c>
      <c r="C248" s="58"/>
      <c r="D248" s="58"/>
      <c r="E248" s="58"/>
      <c r="F248" s="58"/>
      <c r="G248" s="58"/>
      <c r="H248" s="58"/>
      <c r="I248" s="58"/>
      <c r="J248" s="58"/>
      <c r="K248" s="58"/>
      <c r="L248" s="58"/>
      <c r="M248" s="54">
        <f t="shared" si="3"/>
        <v>0</v>
      </c>
      <c r="N248" s="57"/>
      <c r="O248" s="58"/>
      <c r="P248" s="58"/>
      <c r="Q248" s="58"/>
      <c r="R248" s="58"/>
      <c r="S248" s="58"/>
      <c r="T248" s="58"/>
      <c r="U248" s="58"/>
      <c r="V248" s="58"/>
      <c r="W248" s="58"/>
      <c r="X248" s="58"/>
    </row>
    <row r="249" spans="1:24">
      <c r="A249" s="52">
        <v>46328</v>
      </c>
      <c r="B249" s="53" t="s">
        <v>994</v>
      </c>
      <c r="C249" s="58"/>
      <c r="D249" s="58"/>
      <c r="E249" s="58"/>
      <c r="F249" s="58"/>
      <c r="G249" s="58"/>
      <c r="H249" s="58"/>
      <c r="I249" s="58"/>
      <c r="J249" s="58"/>
      <c r="K249" s="58"/>
      <c r="L249" s="58"/>
      <c r="M249" s="54">
        <f t="shared" si="3"/>
        <v>0</v>
      </c>
      <c r="N249" s="57"/>
      <c r="O249" s="58"/>
      <c r="P249" s="58"/>
      <c r="Q249" s="58"/>
      <c r="R249" s="58"/>
      <c r="S249" s="58"/>
      <c r="T249" s="58"/>
      <c r="U249" s="58"/>
      <c r="V249" s="58"/>
      <c r="W249" s="58"/>
      <c r="X249" s="58"/>
    </row>
    <row r="250" spans="1:24">
      <c r="A250" s="52">
        <v>46329</v>
      </c>
      <c r="B250" s="53" t="s">
        <v>994</v>
      </c>
      <c r="C250" s="58"/>
      <c r="D250" s="58"/>
      <c r="E250" s="58"/>
      <c r="F250" s="58"/>
      <c r="G250" s="58"/>
      <c r="H250" s="58"/>
      <c r="I250" s="58"/>
      <c r="J250" s="58"/>
      <c r="K250" s="58"/>
      <c r="L250" s="58"/>
      <c r="M250" s="54">
        <f t="shared" si="3"/>
        <v>0</v>
      </c>
      <c r="N250" s="57"/>
      <c r="O250" s="58"/>
      <c r="P250" s="58"/>
      <c r="Q250" s="58"/>
      <c r="R250" s="58"/>
      <c r="S250" s="58"/>
      <c r="T250" s="58"/>
      <c r="U250" s="58"/>
      <c r="V250" s="58"/>
      <c r="W250" s="58"/>
      <c r="X250" s="58"/>
    </row>
    <row r="251" spans="1:24">
      <c r="A251" s="52">
        <v>46330</v>
      </c>
      <c r="B251" s="53" t="s">
        <v>994</v>
      </c>
      <c r="C251" s="58"/>
      <c r="D251" s="58"/>
      <c r="E251" s="58"/>
      <c r="F251" s="58"/>
      <c r="G251" s="58"/>
      <c r="H251" s="58"/>
      <c r="I251" s="58"/>
      <c r="J251" s="58"/>
      <c r="K251" s="58"/>
      <c r="L251" s="58"/>
      <c r="M251" s="54">
        <f t="shared" si="3"/>
        <v>0</v>
      </c>
      <c r="N251" s="57"/>
      <c r="O251" s="58"/>
      <c r="P251" s="58"/>
      <c r="Q251" s="58"/>
      <c r="R251" s="58"/>
      <c r="S251" s="58"/>
      <c r="T251" s="58"/>
      <c r="U251" s="58"/>
      <c r="V251" s="58"/>
      <c r="W251" s="58"/>
      <c r="X251" s="58"/>
    </row>
    <row r="252" spans="1:24">
      <c r="A252" s="52">
        <v>46331</v>
      </c>
      <c r="B252" s="53" t="s">
        <v>994</v>
      </c>
      <c r="C252" s="58"/>
      <c r="D252" s="58"/>
      <c r="E252" s="58"/>
      <c r="F252" s="58"/>
      <c r="G252" s="58"/>
      <c r="H252" s="58"/>
      <c r="I252" s="58"/>
      <c r="J252" s="58"/>
      <c r="K252" s="58"/>
      <c r="L252" s="58"/>
      <c r="M252" s="54">
        <f t="shared" si="3"/>
        <v>0</v>
      </c>
      <c r="N252" s="57"/>
      <c r="O252" s="58"/>
      <c r="P252" s="58"/>
      <c r="Q252" s="58"/>
      <c r="R252" s="58"/>
      <c r="S252" s="58"/>
      <c r="T252" s="58"/>
      <c r="U252" s="58"/>
      <c r="V252" s="58"/>
      <c r="W252" s="58"/>
      <c r="X252" s="58"/>
    </row>
    <row r="253" spans="1:24">
      <c r="A253" s="52">
        <v>46332</v>
      </c>
      <c r="B253" s="53" t="s">
        <v>994</v>
      </c>
      <c r="C253" s="58"/>
      <c r="D253" s="58"/>
      <c r="E253" s="58"/>
      <c r="F253" s="58"/>
      <c r="G253" s="58"/>
      <c r="H253" s="58"/>
      <c r="I253" s="58"/>
      <c r="J253" s="58"/>
      <c r="K253" s="58"/>
      <c r="L253" s="58"/>
      <c r="M253" s="54">
        <f t="shared" si="3"/>
        <v>0</v>
      </c>
      <c r="N253" s="57"/>
      <c r="O253" s="58"/>
      <c r="P253" s="58"/>
      <c r="Q253" s="58"/>
      <c r="R253" s="58"/>
      <c r="S253" s="58"/>
      <c r="T253" s="58"/>
      <c r="U253" s="58"/>
      <c r="V253" s="58"/>
      <c r="W253" s="58"/>
      <c r="X253" s="58"/>
    </row>
    <row r="254" spans="1:24">
      <c r="A254" s="52">
        <v>46333</v>
      </c>
      <c r="B254" s="53" t="s">
        <v>994</v>
      </c>
      <c r="C254" s="58"/>
      <c r="D254" s="58"/>
      <c r="E254" s="58"/>
      <c r="F254" s="58"/>
      <c r="G254" s="58"/>
      <c r="H254" s="58"/>
      <c r="I254" s="58"/>
      <c r="J254" s="58"/>
      <c r="K254" s="58"/>
      <c r="L254" s="58"/>
      <c r="M254" s="54">
        <f t="shared" si="3"/>
        <v>0</v>
      </c>
      <c r="N254" s="57"/>
      <c r="O254" s="58"/>
      <c r="P254" s="58"/>
      <c r="Q254" s="58"/>
      <c r="R254" s="58"/>
      <c r="S254" s="58"/>
      <c r="T254" s="58"/>
      <c r="U254" s="58"/>
      <c r="V254" s="58"/>
      <c r="W254" s="58"/>
      <c r="X254" s="58"/>
    </row>
    <row r="255" spans="1:24">
      <c r="A255" s="52">
        <v>46334</v>
      </c>
      <c r="B255" s="53" t="s">
        <v>994</v>
      </c>
      <c r="C255" s="58"/>
      <c r="D255" s="58"/>
      <c r="E255" s="58"/>
      <c r="F255" s="58"/>
      <c r="G255" s="58"/>
      <c r="H255" s="58"/>
      <c r="I255" s="58"/>
      <c r="J255" s="58"/>
      <c r="K255" s="58"/>
      <c r="L255" s="58"/>
      <c r="M255" s="54">
        <f t="shared" si="3"/>
        <v>0</v>
      </c>
      <c r="N255" s="57"/>
      <c r="O255" s="58"/>
      <c r="P255" s="58"/>
      <c r="Q255" s="58"/>
      <c r="R255" s="58"/>
      <c r="S255" s="58"/>
      <c r="T255" s="58"/>
      <c r="U255" s="58"/>
      <c r="V255" s="58"/>
      <c r="W255" s="58"/>
      <c r="X255" s="58"/>
    </row>
    <row r="256" spans="1:24">
      <c r="A256" s="52">
        <v>46335</v>
      </c>
      <c r="B256" s="53" t="s">
        <v>994</v>
      </c>
      <c r="C256" s="58"/>
      <c r="D256" s="58"/>
      <c r="E256" s="58"/>
      <c r="F256" s="58"/>
      <c r="G256" s="58"/>
      <c r="H256" s="58"/>
      <c r="I256" s="58"/>
      <c r="J256" s="58"/>
      <c r="K256" s="58"/>
      <c r="L256" s="58"/>
      <c r="M256" s="54">
        <f t="shared" si="3"/>
        <v>0</v>
      </c>
      <c r="N256" s="57"/>
      <c r="O256" s="58"/>
      <c r="P256" s="58"/>
      <c r="Q256" s="58"/>
      <c r="R256" s="58"/>
      <c r="S256" s="58"/>
      <c r="T256" s="58"/>
      <c r="U256" s="58"/>
      <c r="V256" s="58"/>
      <c r="W256" s="58"/>
      <c r="X256" s="58"/>
    </row>
    <row r="257" spans="1:24">
      <c r="A257" s="52">
        <v>46336</v>
      </c>
      <c r="B257" s="53" t="s">
        <v>994</v>
      </c>
      <c r="C257" s="58"/>
      <c r="D257" s="58"/>
      <c r="E257" s="58"/>
      <c r="F257" s="58"/>
      <c r="G257" s="58"/>
      <c r="H257" s="58"/>
      <c r="I257" s="58"/>
      <c r="J257" s="58"/>
      <c r="K257" s="58"/>
      <c r="L257" s="58"/>
      <c r="M257" s="54">
        <f t="shared" si="3"/>
        <v>0</v>
      </c>
      <c r="N257" s="57"/>
      <c r="O257" s="58"/>
      <c r="P257" s="58"/>
      <c r="Q257" s="58"/>
      <c r="R257" s="58"/>
      <c r="S257" s="58"/>
      <c r="T257" s="58"/>
      <c r="U257" s="58"/>
      <c r="V257" s="58"/>
      <c r="W257" s="58"/>
      <c r="X257" s="58"/>
    </row>
    <row r="258" spans="1:24">
      <c r="A258" s="52">
        <v>46337</v>
      </c>
      <c r="B258" s="53" t="s">
        <v>994</v>
      </c>
      <c r="C258" s="58"/>
      <c r="D258" s="58"/>
      <c r="E258" s="58"/>
      <c r="F258" s="58"/>
      <c r="G258" s="58"/>
      <c r="H258" s="58"/>
      <c r="I258" s="58"/>
      <c r="J258" s="58"/>
      <c r="K258" s="58"/>
      <c r="L258" s="58"/>
      <c r="M258" s="54">
        <f t="shared" si="3"/>
        <v>0</v>
      </c>
      <c r="N258" s="57"/>
      <c r="O258" s="58"/>
      <c r="P258" s="58"/>
      <c r="Q258" s="58"/>
      <c r="R258" s="58"/>
      <c r="S258" s="58"/>
      <c r="T258" s="58"/>
      <c r="U258" s="58"/>
      <c r="V258" s="58"/>
      <c r="W258" s="58"/>
      <c r="X258" s="58"/>
    </row>
    <row r="259" spans="1:24">
      <c r="A259" s="52">
        <v>46338</v>
      </c>
      <c r="B259" s="53" t="s">
        <v>994</v>
      </c>
      <c r="C259" s="58"/>
      <c r="D259" s="58"/>
      <c r="E259" s="58"/>
      <c r="F259" s="58"/>
      <c r="G259" s="58"/>
      <c r="H259" s="58"/>
      <c r="I259" s="58"/>
      <c r="J259" s="58"/>
      <c r="K259" s="58"/>
      <c r="L259" s="58"/>
      <c r="M259" s="54">
        <f t="shared" ref="M259:M322" si="4">N259-SUM(C259:L259)</f>
        <v>0</v>
      </c>
      <c r="N259" s="57"/>
      <c r="O259" s="58"/>
      <c r="P259" s="58"/>
      <c r="Q259" s="58"/>
      <c r="R259" s="58"/>
      <c r="S259" s="58"/>
      <c r="T259" s="58"/>
      <c r="U259" s="58"/>
      <c r="V259" s="58"/>
      <c r="W259" s="58"/>
      <c r="X259" s="58"/>
    </row>
    <row r="260" spans="1:24">
      <c r="A260" s="52">
        <v>46339</v>
      </c>
      <c r="B260" s="53" t="s">
        <v>994</v>
      </c>
      <c r="C260" s="58"/>
      <c r="D260" s="58"/>
      <c r="E260" s="58"/>
      <c r="F260" s="58"/>
      <c r="G260" s="58"/>
      <c r="H260" s="58"/>
      <c r="I260" s="58"/>
      <c r="J260" s="58"/>
      <c r="K260" s="58"/>
      <c r="L260" s="58"/>
      <c r="M260" s="54">
        <f t="shared" si="4"/>
        <v>0</v>
      </c>
      <c r="N260" s="57"/>
      <c r="O260" s="58"/>
      <c r="P260" s="58"/>
      <c r="Q260" s="58"/>
      <c r="R260" s="58"/>
      <c r="S260" s="58"/>
      <c r="T260" s="58"/>
      <c r="U260" s="58"/>
      <c r="V260" s="58"/>
      <c r="W260" s="58"/>
      <c r="X260" s="58"/>
    </row>
    <row r="261" spans="1:24">
      <c r="A261" s="52">
        <v>46340</v>
      </c>
      <c r="B261" s="53" t="s">
        <v>994</v>
      </c>
      <c r="C261" s="58"/>
      <c r="D261" s="58"/>
      <c r="E261" s="58"/>
      <c r="F261" s="58"/>
      <c r="G261" s="58"/>
      <c r="H261" s="58"/>
      <c r="I261" s="58"/>
      <c r="J261" s="58"/>
      <c r="K261" s="58"/>
      <c r="L261" s="58"/>
      <c r="M261" s="54">
        <f t="shared" si="4"/>
        <v>0</v>
      </c>
      <c r="N261" s="57"/>
      <c r="O261" s="58"/>
      <c r="P261" s="58"/>
      <c r="Q261" s="58"/>
      <c r="R261" s="58"/>
      <c r="S261" s="58"/>
      <c r="T261" s="58"/>
      <c r="U261" s="58"/>
      <c r="V261" s="58"/>
      <c r="W261" s="58"/>
      <c r="X261" s="58"/>
    </row>
    <row r="262" spans="1:24">
      <c r="A262" s="52">
        <v>46341</v>
      </c>
      <c r="B262" s="53" t="s">
        <v>994</v>
      </c>
      <c r="C262" s="58"/>
      <c r="D262" s="58"/>
      <c r="E262" s="58"/>
      <c r="F262" s="58"/>
      <c r="G262" s="58"/>
      <c r="H262" s="58"/>
      <c r="I262" s="58"/>
      <c r="J262" s="58"/>
      <c r="K262" s="58"/>
      <c r="L262" s="58"/>
      <c r="M262" s="54">
        <f t="shared" si="4"/>
        <v>0</v>
      </c>
      <c r="N262" s="57"/>
      <c r="O262" s="58"/>
      <c r="P262" s="58"/>
      <c r="Q262" s="58"/>
      <c r="R262" s="58"/>
      <c r="S262" s="58"/>
      <c r="T262" s="58"/>
      <c r="U262" s="58"/>
      <c r="V262" s="58"/>
      <c r="W262" s="58"/>
      <c r="X262" s="58"/>
    </row>
    <row r="263" spans="1:24">
      <c r="A263" s="52">
        <v>46342</v>
      </c>
      <c r="B263" s="53" t="s">
        <v>994</v>
      </c>
      <c r="C263" s="58"/>
      <c r="D263" s="58"/>
      <c r="E263" s="58"/>
      <c r="F263" s="58"/>
      <c r="G263" s="58"/>
      <c r="H263" s="58"/>
      <c r="I263" s="58"/>
      <c r="J263" s="58"/>
      <c r="K263" s="58"/>
      <c r="L263" s="58"/>
      <c r="M263" s="54">
        <f t="shared" si="4"/>
        <v>0</v>
      </c>
      <c r="N263" s="57"/>
      <c r="O263" s="58"/>
      <c r="P263" s="58"/>
      <c r="Q263" s="58"/>
      <c r="R263" s="58"/>
      <c r="S263" s="58"/>
      <c r="T263" s="58"/>
      <c r="U263" s="58"/>
      <c r="V263" s="58"/>
      <c r="W263" s="58"/>
      <c r="X263" s="58"/>
    </row>
    <row r="264" spans="1:24">
      <c r="A264" s="52">
        <v>46343</v>
      </c>
      <c r="B264" s="53" t="s">
        <v>994</v>
      </c>
      <c r="C264" s="58"/>
      <c r="D264" s="58"/>
      <c r="E264" s="58"/>
      <c r="F264" s="58"/>
      <c r="G264" s="58"/>
      <c r="H264" s="58"/>
      <c r="I264" s="58"/>
      <c r="J264" s="58"/>
      <c r="K264" s="58"/>
      <c r="L264" s="58"/>
      <c r="M264" s="54">
        <f t="shared" si="4"/>
        <v>0</v>
      </c>
      <c r="N264" s="57"/>
      <c r="O264" s="58"/>
      <c r="P264" s="58"/>
      <c r="Q264" s="58"/>
      <c r="R264" s="58"/>
      <c r="S264" s="58"/>
      <c r="T264" s="58"/>
      <c r="U264" s="58"/>
      <c r="V264" s="58"/>
      <c r="W264" s="58"/>
      <c r="X264" s="58"/>
    </row>
    <row r="265" spans="1:24">
      <c r="A265" s="52">
        <v>46344</v>
      </c>
      <c r="B265" s="53" t="s">
        <v>994</v>
      </c>
      <c r="C265" s="58"/>
      <c r="D265" s="58"/>
      <c r="E265" s="58"/>
      <c r="F265" s="58"/>
      <c r="G265" s="58"/>
      <c r="H265" s="58"/>
      <c r="I265" s="58"/>
      <c r="J265" s="58"/>
      <c r="K265" s="58"/>
      <c r="L265" s="58"/>
      <c r="M265" s="54">
        <f t="shared" si="4"/>
        <v>0</v>
      </c>
      <c r="N265" s="57"/>
      <c r="O265" s="58"/>
      <c r="P265" s="58"/>
      <c r="Q265" s="58"/>
      <c r="R265" s="58"/>
      <c r="S265" s="58"/>
      <c r="T265" s="58"/>
      <c r="U265" s="58"/>
      <c r="V265" s="58"/>
      <c r="W265" s="58"/>
      <c r="X265" s="58"/>
    </row>
    <row r="266" spans="1:24">
      <c r="A266" s="52">
        <v>46345</v>
      </c>
      <c r="B266" s="53" t="s">
        <v>994</v>
      </c>
      <c r="C266" s="58"/>
      <c r="D266" s="58"/>
      <c r="E266" s="58"/>
      <c r="F266" s="58"/>
      <c r="G266" s="58"/>
      <c r="H266" s="58"/>
      <c r="I266" s="58"/>
      <c r="J266" s="58"/>
      <c r="K266" s="58"/>
      <c r="L266" s="58"/>
      <c r="M266" s="54">
        <f t="shared" si="4"/>
        <v>0</v>
      </c>
      <c r="N266" s="57"/>
      <c r="O266" s="58"/>
      <c r="P266" s="58"/>
      <c r="Q266" s="58"/>
      <c r="R266" s="58"/>
      <c r="S266" s="58"/>
      <c r="T266" s="58"/>
      <c r="U266" s="58"/>
      <c r="V266" s="58"/>
      <c r="W266" s="58"/>
      <c r="X266" s="58"/>
    </row>
    <row r="267" spans="1:24">
      <c r="A267" s="52">
        <v>46346</v>
      </c>
      <c r="B267" s="53" t="s">
        <v>994</v>
      </c>
      <c r="C267" s="58"/>
      <c r="D267" s="58"/>
      <c r="E267" s="58"/>
      <c r="F267" s="58"/>
      <c r="G267" s="58"/>
      <c r="H267" s="58"/>
      <c r="I267" s="58"/>
      <c r="J267" s="58"/>
      <c r="K267" s="58"/>
      <c r="L267" s="58"/>
      <c r="M267" s="54">
        <f t="shared" si="4"/>
        <v>0</v>
      </c>
      <c r="N267" s="57"/>
      <c r="O267" s="58"/>
      <c r="P267" s="58"/>
      <c r="Q267" s="58"/>
      <c r="R267" s="58"/>
      <c r="S267" s="58"/>
      <c r="T267" s="58"/>
      <c r="U267" s="58"/>
      <c r="V267" s="58"/>
      <c r="W267" s="58"/>
      <c r="X267" s="58"/>
    </row>
    <row r="268" spans="1:24">
      <c r="A268" s="52">
        <v>46347</v>
      </c>
      <c r="B268" s="53" t="s">
        <v>994</v>
      </c>
      <c r="C268" s="58"/>
      <c r="D268" s="58"/>
      <c r="E268" s="58"/>
      <c r="F268" s="58"/>
      <c r="G268" s="58"/>
      <c r="H268" s="58"/>
      <c r="I268" s="58"/>
      <c r="J268" s="58"/>
      <c r="K268" s="58"/>
      <c r="L268" s="58"/>
      <c r="M268" s="54">
        <f t="shared" si="4"/>
        <v>0</v>
      </c>
      <c r="N268" s="57"/>
      <c r="O268" s="58"/>
      <c r="P268" s="58"/>
      <c r="Q268" s="58"/>
      <c r="R268" s="58"/>
      <c r="S268" s="58"/>
      <c r="T268" s="58"/>
      <c r="U268" s="58"/>
      <c r="V268" s="58"/>
      <c r="W268" s="58"/>
      <c r="X268" s="58"/>
    </row>
    <row r="269" spans="1:24">
      <c r="A269" s="52">
        <v>46348</v>
      </c>
      <c r="B269" s="53" t="s">
        <v>994</v>
      </c>
      <c r="C269" s="58"/>
      <c r="D269" s="58"/>
      <c r="E269" s="58"/>
      <c r="F269" s="58"/>
      <c r="G269" s="58"/>
      <c r="H269" s="58"/>
      <c r="I269" s="58"/>
      <c r="J269" s="58"/>
      <c r="K269" s="58"/>
      <c r="L269" s="58"/>
      <c r="M269" s="54">
        <f t="shared" si="4"/>
        <v>0</v>
      </c>
      <c r="N269" s="57"/>
      <c r="O269" s="58"/>
      <c r="P269" s="58"/>
      <c r="Q269" s="58"/>
      <c r="R269" s="58"/>
      <c r="S269" s="58"/>
      <c r="T269" s="58"/>
      <c r="U269" s="58"/>
      <c r="V269" s="58"/>
      <c r="W269" s="58"/>
      <c r="X269" s="58"/>
    </row>
    <row r="270" spans="1:24">
      <c r="A270" s="52">
        <v>46349</v>
      </c>
      <c r="B270" s="53" t="s">
        <v>994</v>
      </c>
      <c r="C270" s="58"/>
      <c r="D270" s="58"/>
      <c r="E270" s="58"/>
      <c r="F270" s="58"/>
      <c r="G270" s="58"/>
      <c r="H270" s="58"/>
      <c r="I270" s="58"/>
      <c r="J270" s="58"/>
      <c r="K270" s="58"/>
      <c r="L270" s="58"/>
      <c r="M270" s="54">
        <f t="shared" si="4"/>
        <v>0</v>
      </c>
      <c r="N270" s="57"/>
      <c r="O270" s="58"/>
      <c r="P270" s="58"/>
      <c r="Q270" s="58"/>
      <c r="R270" s="58"/>
      <c r="S270" s="58"/>
      <c r="T270" s="58"/>
      <c r="U270" s="58"/>
      <c r="V270" s="58"/>
      <c r="W270" s="58"/>
      <c r="X270" s="58"/>
    </row>
    <row r="271" spans="1:24">
      <c r="A271" s="52">
        <v>46350</v>
      </c>
      <c r="B271" s="53" t="s">
        <v>994</v>
      </c>
      <c r="C271" s="58"/>
      <c r="D271" s="58"/>
      <c r="E271" s="58"/>
      <c r="F271" s="58"/>
      <c r="G271" s="58"/>
      <c r="H271" s="58"/>
      <c r="I271" s="58"/>
      <c r="J271" s="58"/>
      <c r="K271" s="58"/>
      <c r="L271" s="58"/>
      <c r="M271" s="54">
        <f t="shared" si="4"/>
        <v>0</v>
      </c>
      <c r="N271" s="57"/>
      <c r="O271" s="58"/>
      <c r="P271" s="58"/>
      <c r="Q271" s="58"/>
      <c r="R271" s="58"/>
      <c r="S271" s="58"/>
      <c r="T271" s="58"/>
      <c r="U271" s="58"/>
      <c r="V271" s="58"/>
      <c r="W271" s="58"/>
      <c r="X271" s="58"/>
    </row>
    <row r="272" spans="1:24">
      <c r="A272" s="52">
        <v>46351</v>
      </c>
      <c r="B272" s="53" t="s">
        <v>994</v>
      </c>
      <c r="C272" s="58"/>
      <c r="D272" s="58"/>
      <c r="E272" s="58"/>
      <c r="F272" s="58"/>
      <c r="G272" s="58"/>
      <c r="H272" s="58"/>
      <c r="I272" s="58"/>
      <c r="J272" s="58"/>
      <c r="K272" s="58"/>
      <c r="L272" s="58"/>
      <c r="M272" s="54">
        <f t="shared" si="4"/>
        <v>0</v>
      </c>
      <c r="N272" s="57"/>
      <c r="O272" s="58"/>
      <c r="P272" s="58"/>
      <c r="Q272" s="58"/>
      <c r="R272" s="58"/>
      <c r="S272" s="58"/>
      <c r="T272" s="58"/>
      <c r="U272" s="58"/>
      <c r="V272" s="58"/>
      <c r="W272" s="58"/>
      <c r="X272" s="58"/>
    </row>
    <row r="273" spans="1:24">
      <c r="A273" s="52">
        <v>46352</v>
      </c>
      <c r="B273" s="53" t="s">
        <v>994</v>
      </c>
      <c r="C273" s="58"/>
      <c r="D273" s="58"/>
      <c r="E273" s="58"/>
      <c r="F273" s="58"/>
      <c r="G273" s="58"/>
      <c r="H273" s="58"/>
      <c r="I273" s="58"/>
      <c r="J273" s="58"/>
      <c r="K273" s="58"/>
      <c r="L273" s="58"/>
      <c r="M273" s="54">
        <f t="shared" si="4"/>
        <v>0</v>
      </c>
      <c r="N273" s="57"/>
      <c r="O273" s="58"/>
      <c r="P273" s="58"/>
      <c r="Q273" s="58"/>
      <c r="R273" s="58"/>
      <c r="S273" s="58"/>
      <c r="T273" s="58"/>
      <c r="U273" s="58"/>
      <c r="V273" s="58"/>
      <c r="W273" s="58"/>
      <c r="X273" s="58"/>
    </row>
    <row r="274" spans="1:24">
      <c r="A274" s="52">
        <v>46353</v>
      </c>
      <c r="B274" s="53" t="s">
        <v>994</v>
      </c>
      <c r="C274" s="58"/>
      <c r="D274" s="58"/>
      <c r="E274" s="58"/>
      <c r="F274" s="58"/>
      <c r="G274" s="58"/>
      <c r="H274" s="58"/>
      <c r="I274" s="58"/>
      <c r="J274" s="58"/>
      <c r="K274" s="58"/>
      <c r="L274" s="58"/>
      <c r="M274" s="54">
        <f t="shared" si="4"/>
        <v>0</v>
      </c>
      <c r="N274" s="57"/>
      <c r="O274" s="58"/>
      <c r="P274" s="58"/>
      <c r="Q274" s="58"/>
      <c r="R274" s="58"/>
      <c r="S274" s="58"/>
      <c r="T274" s="58"/>
      <c r="U274" s="58"/>
      <c r="V274" s="58"/>
      <c r="W274" s="58"/>
      <c r="X274" s="58"/>
    </row>
    <row r="275" spans="1:24">
      <c r="A275" s="52">
        <v>46354</v>
      </c>
      <c r="B275" s="53" t="s">
        <v>994</v>
      </c>
      <c r="C275" s="58"/>
      <c r="D275" s="58"/>
      <c r="E275" s="58"/>
      <c r="F275" s="58"/>
      <c r="G275" s="58"/>
      <c r="H275" s="58"/>
      <c r="I275" s="58"/>
      <c r="J275" s="58"/>
      <c r="K275" s="58"/>
      <c r="L275" s="58"/>
      <c r="M275" s="54">
        <f t="shared" si="4"/>
        <v>0</v>
      </c>
      <c r="N275" s="57"/>
      <c r="O275" s="58"/>
      <c r="P275" s="58"/>
      <c r="Q275" s="58"/>
      <c r="R275" s="58"/>
      <c r="S275" s="58"/>
      <c r="T275" s="58"/>
      <c r="U275" s="58"/>
      <c r="V275" s="58"/>
      <c r="W275" s="58"/>
      <c r="X275" s="58"/>
    </row>
    <row r="276" spans="1:24">
      <c r="A276" s="52">
        <v>46355</v>
      </c>
      <c r="B276" s="53" t="s">
        <v>994</v>
      </c>
      <c r="C276" s="58"/>
      <c r="D276" s="58"/>
      <c r="E276" s="58"/>
      <c r="F276" s="58"/>
      <c r="G276" s="58"/>
      <c r="H276" s="58"/>
      <c r="I276" s="58"/>
      <c r="J276" s="58"/>
      <c r="K276" s="58"/>
      <c r="L276" s="58"/>
      <c r="M276" s="54">
        <f t="shared" si="4"/>
        <v>0</v>
      </c>
      <c r="N276" s="57"/>
      <c r="O276" s="58"/>
      <c r="P276" s="58"/>
      <c r="Q276" s="58"/>
      <c r="R276" s="58"/>
      <c r="S276" s="58"/>
      <c r="T276" s="58"/>
      <c r="U276" s="58"/>
      <c r="V276" s="58"/>
      <c r="W276" s="58"/>
      <c r="X276" s="58"/>
    </row>
    <row r="277" spans="1:24">
      <c r="A277" s="52">
        <v>46356</v>
      </c>
      <c r="B277" s="53" t="s">
        <v>994</v>
      </c>
      <c r="C277" s="58"/>
      <c r="D277" s="58"/>
      <c r="E277" s="58"/>
      <c r="F277" s="58"/>
      <c r="G277" s="58"/>
      <c r="H277" s="58"/>
      <c r="I277" s="58"/>
      <c r="J277" s="58"/>
      <c r="K277" s="58"/>
      <c r="L277" s="58"/>
      <c r="M277" s="54">
        <f t="shared" si="4"/>
        <v>0</v>
      </c>
      <c r="N277" s="57"/>
      <c r="O277" s="58"/>
      <c r="P277" s="58"/>
      <c r="Q277" s="58"/>
      <c r="R277" s="58"/>
      <c r="S277" s="58"/>
      <c r="T277" s="58"/>
      <c r="U277" s="58"/>
      <c r="V277" s="58"/>
      <c r="W277" s="58"/>
      <c r="X277" s="58"/>
    </row>
    <row r="278" spans="1:24">
      <c r="A278" s="52">
        <v>46357</v>
      </c>
      <c r="B278" s="53" t="s">
        <v>994</v>
      </c>
      <c r="C278" s="58"/>
      <c r="D278" s="58"/>
      <c r="E278" s="58"/>
      <c r="F278" s="58"/>
      <c r="G278" s="58"/>
      <c r="H278" s="58"/>
      <c r="I278" s="58"/>
      <c r="J278" s="58"/>
      <c r="K278" s="58"/>
      <c r="L278" s="58"/>
      <c r="M278" s="54">
        <f t="shared" si="4"/>
        <v>0</v>
      </c>
      <c r="N278" s="57"/>
      <c r="O278" s="58"/>
      <c r="P278" s="58"/>
      <c r="Q278" s="58"/>
      <c r="R278" s="58"/>
      <c r="S278" s="58"/>
      <c r="T278" s="58"/>
      <c r="U278" s="58"/>
      <c r="V278" s="58"/>
      <c r="W278" s="58"/>
      <c r="X278" s="58"/>
    </row>
    <row r="279" spans="1:24">
      <c r="A279" s="52">
        <v>46358</v>
      </c>
      <c r="B279" s="53" t="s">
        <v>994</v>
      </c>
      <c r="C279" s="58"/>
      <c r="D279" s="58"/>
      <c r="E279" s="58"/>
      <c r="F279" s="58"/>
      <c r="G279" s="58"/>
      <c r="H279" s="58"/>
      <c r="I279" s="58"/>
      <c r="J279" s="58"/>
      <c r="K279" s="58"/>
      <c r="L279" s="58"/>
      <c r="M279" s="54">
        <f t="shared" si="4"/>
        <v>0</v>
      </c>
      <c r="N279" s="57"/>
      <c r="O279" s="58"/>
      <c r="P279" s="58"/>
      <c r="Q279" s="58"/>
      <c r="R279" s="58"/>
      <c r="S279" s="58"/>
      <c r="T279" s="58"/>
      <c r="U279" s="58"/>
      <c r="V279" s="58"/>
      <c r="W279" s="58"/>
      <c r="X279" s="58"/>
    </row>
    <row r="280" spans="1:24">
      <c r="A280" s="52">
        <v>46359</v>
      </c>
      <c r="B280" s="53" t="s">
        <v>994</v>
      </c>
      <c r="C280" s="58"/>
      <c r="D280" s="58"/>
      <c r="E280" s="58"/>
      <c r="F280" s="58"/>
      <c r="G280" s="58"/>
      <c r="H280" s="58"/>
      <c r="I280" s="58"/>
      <c r="J280" s="58"/>
      <c r="K280" s="58"/>
      <c r="L280" s="58"/>
      <c r="M280" s="54">
        <f t="shared" si="4"/>
        <v>0</v>
      </c>
      <c r="N280" s="57"/>
      <c r="O280" s="58"/>
      <c r="P280" s="58"/>
      <c r="Q280" s="58"/>
      <c r="R280" s="58"/>
      <c r="S280" s="58"/>
      <c r="T280" s="58"/>
      <c r="U280" s="58"/>
      <c r="V280" s="58"/>
      <c r="W280" s="58"/>
      <c r="X280" s="58"/>
    </row>
    <row r="281" spans="1:24">
      <c r="A281" s="52">
        <v>46360</v>
      </c>
      <c r="B281" s="53" t="s">
        <v>994</v>
      </c>
      <c r="C281" s="58"/>
      <c r="D281" s="58"/>
      <c r="E281" s="58"/>
      <c r="F281" s="58"/>
      <c r="G281" s="58"/>
      <c r="H281" s="58"/>
      <c r="I281" s="58"/>
      <c r="J281" s="58"/>
      <c r="K281" s="58"/>
      <c r="L281" s="58"/>
      <c r="M281" s="54">
        <f t="shared" si="4"/>
        <v>0</v>
      </c>
      <c r="N281" s="57"/>
      <c r="O281" s="58"/>
      <c r="P281" s="58"/>
      <c r="Q281" s="58"/>
      <c r="R281" s="58"/>
      <c r="S281" s="58"/>
      <c r="T281" s="58"/>
      <c r="U281" s="58"/>
      <c r="V281" s="58"/>
      <c r="W281" s="58"/>
      <c r="X281" s="58"/>
    </row>
    <row r="282" spans="1:24">
      <c r="A282" s="52">
        <v>46361</v>
      </c>
      <c r="B282" s="53" t="s">
        <v>994</v>
      </c>
      <c r="C282" s="58"/>
      <c r="D282" s="58"/>
      <c r="E282" s="58"/>
      <c r="F282" s="58"/>
      <c r="G282" s="58"/>
      <c r="H282" s="58"/>
      <c r="I282" s="58"/>
      <c r="J282" s="58"/>
      <c r="K282" s="58"/>
      <c r="L282" s="58"/>
      <c r="M282" s="54">
        <f t="shared" si="4"/>
        <v>0</v>
      </c>
      <c r="N282" s="57"/>
      <c r="O282" s="58"/>
      <c r="P282" s="58"/>
      <c r="Q282" s="58"/>
      <c r="R282" s="58"/>
      <c r="S282" s="58"/>
      <c r="T282" s="58"/>
      <c r="U282" s="58"/>
      <c r="V282" s="58"/>
      <c r="W282" s="58"/>
      <c r="X282" s="58"/>
    </row>
    <row r="283" spans="1:24">
      <c r="A283" s="52">
        <v>46362</v>
      </c>
      <c r="B283" s="53" t="s">
        <v>994</v>
      </c>
      <c r="C283" s="58"/>
      <c r="D283" s="58"/>
      <c r="E283" s="58"/>
      <c r="F283" s="58"/>
      <c r="G283" s="58"/>
      <c r="H283" s="58"/>
      <c r="I283" s="58"/>
      <c r="J283" s="58"/>
      <c r="K283" s="58"/>
      <c r="L283" s="58"/>
      <c r="M283" s="54">
        <f t="shared" si="4"/>
        <v>0</v>
      </c>
      <c r="N283" s="57"/>
      <c r="O283" s="58"/>
      <c r="P283" s="58"/>
      <c r="Q283" s="58"/>
      <c r="R283" s="58"/>
      <c r="S283" s="58"/>
      <c r="T283" s="58"/>
      <c r="U283" s="58"/>
      <c r="V283" s="58"/>
      <c r="W283" s="58"/>
      <c r="X283" s="58"/>
    </row>
    <row r="284" spans="1:24">
      <c r="A284" s="52">
        <v>46363</v>
      </c>
      <c r="B284" s="53" t="s">
        <v>994</v>
      </c>
      <c r="C284" s="58"/>
      <c r="D284" s="58"/>
      <c r="E284" s="58"/>
      <c r="F284" s="58"/>
      <c r="G284" s="58"/>
      <c r="H284" s="58"/>
      <c r="I284" s="58"/>
      <c r="J284" s="58"/>
      <c r="K284" s="58"/>
      <c r="L284" s="58"/>
      <c r="M284" s="54">
        <f t="shared" si="4"/>
        <v>0</v>
      </c>
      <c r="N284" s="57"/>
      <c r="O284" s="58"/>
      <c r="P284" s="58"/>
      <c r="Q284" s="58"/>
      <c r="R284" s="58"/>
      <c r="S284" s="58"/>
      <c r="T284" s="58"/>
      <c r="U284" s="58"/>
      <c r="V284" s="58"/>
      <c r="W284" s="58"/>
      <c r="X284" s="58"/>
    </row>
    <row r="285" spans="1:24">
      <c r="A285" s="52">
        <v>46364</v>
      </c>
      <c r="B285" s="53" t="s">
        <v>994</v>
      </c>
      <c r="C285" s="58"/>
      <c r="D285" s="58"/>
      <c r="E285" s="58"/>
      <c r="F285" s="58"/>
      <c r="G285" s="58"/>
      <c r="H285" s="58"/>
      <c r="I285" s="58"/>
      <c r="J285" s="58"/>
      <c r="K285" s="58"/>
      <c r="L285" s="58"/>
      <c r="M285" s="54">
        <f t="shared" si="4"/>
        <v>0</v>
      </c>
      <c r="N285" s="57"/>
      <c r="O285" s="58"/>
      <c r="P285" s="58"/>
      <c r="Q285" s="58"/>
      <c r="R285" s="58"/>
      <c r="S285" s="58"/>
      <c r="T285" s="58"/>
      <c r="U285" s="58"/>
      <c r="V285" s="58"/>
      <c r="W285" s="58"/>
      <c r="X285" s="58"/>
    </row>
    <row r="286" spans="1:24">
      <c r="A286" s="52">
        <v>46365</v>
      </c>
      <c r="B286" s="53" t="s">
        <v>994</v>
      </c>
      <c r="C286" s="58"/>
      <c r="D286" s="58"/>
      <c r="E286" s="58"/>
      <c r="F286" s="58"/>
      <c r="G286" s="58"/>
      <c r="H286" s="58"/>
      <c r="I286" s="58"/>
      <c r="J286" s="58"/>
      <c r="K286" s="58"/>
      <c r="L286" s="58"/>
      <c r="M286" s="54">
        <f t="shared" si="4"/>
        <v>0</v>
      </c>
      <c r="N286" s="57"/>
      <c r="O286" s="58"/>
      <c r="P286" s="58"/>
      <c r="Q286" s="58"/>
      <c r="R286" s="58"/>
      <c r="S286" s="58"/>
      <c r="T286" s="58"/>
      <c r="U286" s="58"/>
      <c r="V286" s="58"/>
      <c r="W286" s="58"/>
      <c r="X286" s="58"/>
    </row>
    <row r="287" spans="1:24">
      <c r="A287" s="52">
        <v>46366</v>
      </c>
      <c r="B287" s="53" t="s">
        <v>994</v>
      </c>
      <c r="C287" s="58"/>
      <c r="D287" s="58"/>
      <c r="E287" s="58"/>
      <c r="F287" s="58"/>
      <c r="G287" s="58"/>
      <c r="H287" s="58"/>
      <c r="I287" s="58"/>
      <c r="J287" s="58"/>
      <c r="K287" s="58"/>
      <c r="L287" s="58"/>
      <c r="M287" s="54">
        <f t="shared" si="4"/>
        <v>0</v>
      </c>
      <c r="N287" s="57"/>
      <c r="O287" s="58"/>
      <c r="P287" s="58"/>
      <c r="Q287" s="58"/>
      <c r="R287" s="58"/>
      <c r="S287" s="58"/>
      <c r="T287" s="58"/>
      <c r="U287" s="58"/>
      <c r="V287" s="58"/>
      <c r="W287" s="58"/>
      <c r="X287" s="58"/>
    </row>
    <row r="288" spans="1:24">
      <c r="A288" s="52">
        <v>46367</v>
      </c>
      <c r="B288" s="53" t="s">
        <v>994</v>
      </c>
      <c r="C288" s="58"/>
      <c r="D288" s="58"/>
      <c r="E288" s="58"/>
      <c r="F288" s="58"/>
      <c r="G288" s="58"/>
      <c r="H288" s="58"/>
      <c r="I288" s="58"/>
      <c r="J288" s="58"/>
      <c r="K288" s="58"/>
      <c r="L288" s="58"/>
      <c r="M288" s="54">
        <f t="shared" si="4"/>
        <v>0</v>
      </c>
      <c r="N288" s="57"/>
      <c r="O288" s="58"/>
      <c r="P288" s="58"/>
      <c r="Q288" s="58"/>
      <c r="R288" s="58"/>
      <c r="S288" s="58"/>
      <c r="T288" s="58"/>
      <c r="U288" s="58"/>
      <c r="V288" s="58"/>
      <c r="W288" s="58"/>
      <c r="X288" s="58"/>
    </row>
    <row r="289" spans="1:24">
      <c r="A289" s="52">
        <v>46368</v>
      </c>
      <c r="B289" s="53" t="s">
        <v>994</v>
      </c>
      <c r="C289" s="58"/>
      <c r="D289" s="58"/>
      <c r="E289" s="58"/>
      <c r="F289" s="58"/>
      <c r="G289" s="58"/>
      <c r="H289" s="58"/>
      <c r="I289" s="58"/>
      <c r="J289" s="58"/>
      <c r="K289" s="58"/>
      <c r="L289" s="58"/>
      <c r="M289" s="54">
        <f t="shared" si="4"/>
        <v>0</v>
      </c>
      <c r="N289" s="57"/>
      <c r="O289" s="58"/>
      <c r="P289" s="58"/>
      <c r="Q289" s="58"/>
      <c r="R289" s="58"/>
      <c r="S289" s="58"/>
      <c r="T289" s="58"/>
      <c r="U289" s="58"/>
      <c r="V289" s="58"/>
      <c r="W289" s="58"/>
      <c r="X289" s="58"/>
    </row>
    <row r="290" spans="1:24">
      <c r="A290" s="52">
        <v>46369</v>
      </c>
      <c r="B290" s="53" t="s">
        <v>994</v>
      </c>
      <c r="C290" s="58"/>
      <c r="D290" s="58"/>
      <c r="E290" s="58"/>
      <c r="F290" s="58"/>
      <c r="G290" s="58"/>
      <c r="H290" s="58"/>
      <c r="I290" s="58"/>
      <c r="J290" s="58"/>
      <c r="K290" s="58"/>
      <c r="L290" s="58"/>
      <c r="M290" s="54">
        <f t="shared" si="4"/>
        <v>0</v>
      </c>
      <c r="N290" s="57"/>
      <c r="O290" s="58"/>
      <c r="P290" s="58"/>
      <c r="Q290" s="58"/>
      <c r="R290" s="58"/>
      <c r="S290" s="58"/>
      <c r="T290" s="58"/>
      <c r="U290" s="58"/>
      <c r="V290" s="58"/>
      <c r="W290" s="58"/>
      <c r="X290" s="58"/>
    </row>
    <row r="291" spans="1:24">
      <c r="A291" s="52">
        <v>46370</v>
      </c>
      <c r="B291" s="53" t="s">
        <v>994</v>
      </c>
      <c r="C291" s="58"/>
      <c r="D291" s="58"/>
      <c r="E291" s="58"/>
      <c r="F291" s="58"/>
      <c r="G291" s="58"/>
      <c r="H291" s="58"/>
      <c r="I291" s="58"/>
      <c r="J291" s="58"/>
      <c r="K291" s="58"/>
      <c r="L291" s="58"/>
      <c r="M291" s="54">
        <f t="shared" si="4"/>
        <v>0</v>
      </c>
      <c r="N291" s="57"/>
      <c r="O291" s="58"/>
      <c r="P291" s="58"/>
      <c r="Q291" s="58"/>
      <c r="R291" s="58"/>
      <c r="S291" s="58"/>
      <c r="T291" s="58"/>
      <c r="U291" s="58"/>
      <c r="V291" s="58"/>
      <c r="W291" s="58"/>
      <c r="X291" s="58"/>
    </row>
    <row r="292" spans="1:24">
      <c r="A292" s="52">
        <v>46371</v>
      </c>
      <c r="B292" s="53" t="s">
        <v>994</v>
      </c>
      <c r="C292" s="58"/>
      <c r="D292" s="58"/>
      <c r="E292" s="58"/>
      <c r="F292" s="58"/>
      <c r="G292" s="58"/>
      <c r="H292" s="58"/>
      <c r="I292" s="58"/>
      <c r="J292" s="58"/>
      <c r="K292" s="58"/>
      <c r="L292" s="58"/>
      <c r="M292" s="54">
        <f t="shared" si="4"/>
        <v>0</v>
      </c>
      <c r="N292" s="57"/>
      <c r="O292" s="58"/>
      <c r="P292" s="58"/>
      <c r="Q292" s="58"/>
      <c r="R292" s="58"/>
      <c r="S292" s="58"/>
      <c r="T292" s="58"/>
      <c r="U292" s="58"/>
      <c r="V292" s="58"/>
      <c r="W292" s="58"/>
      <c r="X292" s="58"/>
    </row>
    <row r="293" spans="1:24">
      <c r="A293" s="52">
        <v>46372</v>
      </c>
      <c r="B293" s="53" t="s">
        <v>994</v>
      </c>
      <c r="C293" s="58"/>
      <c r="D293" s="58"/>
      <c r="E293" s="58"/>
      <c r="F293" s="58"/>
      <c r="G293" s="58"/>
      <c r="H293" s="58"/>
      <c r="I293" s="58"/>
      <c r="J293" s="58"/>
      <c r="K293" s="58"/>
      <c r="L293" s="58"/>
      <c r="M293" s="54">
        <f t="shared" si="4"/>
        <v>0</v>
      </c>
      <c r="N293" s="57"/>
      <c r="O293" s="58"/>
      <c r="P293" s="58"/>
      <c r="Q293" s="58"/>
      <c r="R293" s="58"/>
      <c r="S293" s="58"/>
      <c r="T293" s="58"/>
      <c r="U293" s="58"/>
      <c r="V293" s="58"/>
      <c r="W293" s="58"/>
      <c r="X293" s="58"/>
    </row>
    <row r="294" spans="1:24">
      <c r="A294" s="52">
        <v>46373</v>
      </c>
      <c r="B294" s="53" t="s">
        <v>994</v>
      </c>
      <c r="C294" s="58"/>
      <c r="D294" s="58"/>
      <c r="E294" s="58"/>
      <c r="F294" s="58"/>
      <c r="G294" s="58"/>
      <c r="H294" s="58"/>
      <c r="I294" s="58"/>
      <c r="J294" s="58"/>
      <c r="K294" s="58"/>
      <c r="L294" s="58"/>
      <c r="M294" s="54">
        <f t="shared" si="4"/>
        <v>0</v>
      </c>
      <c r="N294" s="57"/>
      <c r="O294" s="58"/>
      <c r="P294" s="58"/>
      <c r="Q294" s="58"/>
      <c r="R294" s="58"/>
      <c r="S294" s="58"/>
      <c r="T294" s="58"/>
      <c r="U294" s="58"/>
      <c r="V294" s="58"/>
      <c r="W294" s="58"/>
      <c r="X294" s="58"/>
    </row>
    <row r="295" spans="1:24">
      <c r="A295" s="52">
        <v>46374</v>
      </c>
      <c r="B295" s="53" t="s">
        <v>994</v>
      </c>
      <c r="C295" s="58"/>
      <c r="D295" s="58"/>
      <c r="E295" s="58"/>
      <c r="F295" s="58"/>
      <c r="G295" s="58"/>
      <c r="H295" s="58"/>
      <c r="I295" s="58"/>
      <c r="J295" s="58"/>
      <c r="K295" s="58"/>
      <c r="L295" s="58"/>
      <c r="M295" s="54">
        <f t="shared" si="4"/>
        <v>0</v>
      </c>
      <c r="N295" s="57"/>
      <c r="O295" s="58"/>
      <c r="P295" s="58"/>
      <c r="Q295" s="58"/>
      <c r="R295" s="58"/>
      <c r="S295" s="58"/>
      <c r="T295" s="58"/>
      <c r="U295" s="58"/>
      <c r="V295" s="58"/>
      <c r="W295" s="58"/>
      <c r="X295" s="58"/>
    </row>
    <row r="296" spans="1:24">
      <c r="A296" s="52">
        <v>46375</v>
      </c>
      <c r="B296" s="53" t="s">
        <v>994</v>
      </c>
      <c r="C296" s="58"/>
      <c r="D296" s="58"/>
      <c r="E296" s="58"/>
      <c r="F296" s="58"/>
      <c r="G296" s="58"/>
      <c r="H296" s="58"/>
      <c r="I296" s="58"/>
      <c r="J296" s="58"/>
      <c r="K296" s="58"/>
      <c r="L296" s="58"/>
      <c r="M296" s="54">
        <f t="shared" si="4"/>
        <v>0</v>
      </c>
      <c r="N296" s="57"/>
      <c r="O296" s="58"/>
      <c r="P296" s="58"/>
      <c r="Q296" s="58"/>
      <c r="R296" s="58"/>
      <c r="S296" s="58"/>
      <c r="T296" s="58"/>
      <c r="U296" s="58"/>
      <c r="V296" s="58"/>
      <c r="W296" s="58"/>
      <c r="X296" s="58"/>
    </row>
    <row r="297" spans="1:24">
      <c r="A297" s="52">
        <v>46376</v>
      </c>
      <c r="B297" s="53" t="s">
        <v>994</v>
      </c>
      <c r="C297" s="58"/>
      <c r="D297" s="58"/>
      <c r="E297" s="58"/>
      <c r="F297" s="58"/>
      <c r="G297" s="58"/>
      <c r="H297" s="58"/>
      <c r="I297" s="58"/>
      <c r="J297" s="58"/>
      <c r="K297" s="58"/>
      <c r="L297" s="58"/>
      <c r="M297" s="54">
        <f t="shared" si="4"/>
        <v>0</v>
      </c>
      <c r="N297" s="57"/>
      <c r="O297" s="58"/>
      <c r="P297" s="58"/>
      <c r="Q297" s="58"/>
      <c r="R297" s="58"/>
      <c r="S297" s="58"/>
      <c r="T297" s="58"/>
      <c r="U297" s="58"/>
      <c r="V297" s="58"/>
      <c r="W297" s="58"/>
      <c r="X297" s="58"/>
    </row>
    <row r="298" spans="1:24">
      <c r="A298" s="52">
        <v>46377</v>
      </c>
      <c r="B298" s="53" t="s">
        <v>994</v>
      </c>
      <c r="C298" s="58"/>
      <c r="D298" s="58"/>
      <c r="E298" s="58"/>
      <c r="F298" s="58"/>
      <c r="G298" s="58"/>
      <c r="H298" s="58"/>
      <c r="I298" s="58"/>
      <c r="J298" s="58"/>
      <c r="K298" s="58"/>
      <c r="L298" s="58"/>
      <c r="M298" s="54">
        <f t="shared" si="4"/>
        <v>0</v>
      </c>
      <c r="N298" s="57"/>
      <c r="O298" s="58"/>
      <c r="P298" s="58"/>
      <c r="Q298" s="58"/>
      <c r="R298" s="58"/>
      <c r="S298" s="58"/>
      <c r="T298" s="58"/>
      <c r="U298" s="58"/>
      <c r="V298" s="58"/>
      <c r="W298" s="58"/>
      <c r="X298" s="58"/>
    </row>
    <row r="299" spans="1:24">
      <c r="A299" s="52">
        <v>46378</v>
      </c>
      <c r="B299" s="53" t="s">
        <v>994</v>
      </c>
      <c r="C299" s="58"/>
      <c r="D299" s="58"/>
      <c r="E299" s="58"/>
      <c r="F299" s="58"/>
      <c r="G299" s="58"/>
      <c r="H299" s="58"/>
      <c r="I299" s="58"/>
      <c r="J299" s="58"/>
      <c r="K299" s="58"/>
      <c r="L299" s="58"/>
      <c r="M299" s="54">
        <f t="shared" si="4"/>
        <v>0</v>
      </c>
      <c r="N299" s="57"/>
      <c r="O299" s="58"/>
      <c r="P299" s="58"/>
      <c r="Q299" s="58"/>
      <c r="R299" s="58"/>
      <c r="S299" s="58"/>
      <c r="T299" s="58"/>
      <c r="U299" s="58"/>
      <c r="V299" s="58"/>
      <c r="W299" s="58"/>
      <c r="X299" s="58"/>
    </row>
    <row r="300" spans="1:24">
      <c r="A300" s="52">
        <v>46379</v>
      </c>
      <c r="B300" s="53" t="s">
        <v>994</v>
      </c>
      <c r="C300" s="58"/>
      <c r="D300" s="58"/>
      <c r="E300" s="58"/>
      <c r="F300" s="58"/>
      <c r="G300" s="58"/>
      <c r="H300" s="58"/>
      <c r="I300" s="58"/>
      <c r="J300" s="58"/>
      <c r="K300" s="58"/>
      <c r="L300" s="58"/>
      <c r="M300" s="54">
        <f t="shared" si="4"/>
        <v>0</v>
      </c>
      <c r="N300" s="57"/>
      <c r="O300" s="58"/>
      <c r="P300" s="58"/>
      <c r="Q300" s="58"/>
      <c r="R300" s="58"/>
      <c r="S300" s="58"/>
      <c r="T300" s="58"/>
      <c r="U300" s="58"/>
      <c r="V300" s="58"/>
      <c r="W300" s="58"/>
      <c r="X300" s="58"/>
    </row>
    <row r="301" spans="1:24">
      <c r="A301" s="52">
        <v>46380</v>
      </c>
      <c r="B301" s="53" t="s">
        <v>994</v>
      </c>
      <c r="C301" s="58"/>
      <c r="D301" s="58"/>
      <c r="E301" s="58"/>
      <c r="F301" s="58"/>
      <c r="G301" s="58"/>
      <c r="H301" s="58"/>
      <c r="I301" s="58"/>
      <c r="J301" s="58"/>
      <c r="K301" s="58"/>
      <c r="L301" s="58"/>
      <c r="M301" s="54">
        <f t="shared" si="4"/>
        <v>0</v>
      </c>
      <c r="N301" s="57"/>
      <c r="O301" s="58"/>
      <c r="P301" s="58"/>
      <c r="Q301" s="58"/>
      <c r="R301" s="58"/>
      <c r="S301" s="58"/>
      <c r="T301" s="58"/>
      <c r="U301" s="58"/>
      <c r="V301" s="58"/>
      <c r="W301" s="58"/>
      <c r="X301" s="58"/>
    </row>
    <row r="302" spans="1:24">
      <c r="A302" s="52">
        <v>46381</v>
      </c>
      <c r="B302" s="53" t="s">
        <v>994</v>
      </c>
      <c r="C302" s="58"/>
      <c r="D302" s="58"/>
      <c r="E302" s="58"/>
      <c r="F302" s="58"/>
      <c r="G302" s="58"/>
      <c r="H302" s="58"/>
      <c r="I302" s="58"/>
      <c r="J302" s="58"/>
      <c r="K302" s="58"/>
      <c r="L302" s="58"/>
      <c r="M302" s="54">
        <f t="shared" si="4"/>
        <v>0</v>
      </c>
      <c r="N302" s="57"/>
      <c r="O302" s="58"/>
      <c r="P302" s="58"/>
      <c r="Q302" s="58"/>
      <c r="R302" s="58"/>
      <c r="S302" s="58"/>
      <c r="T302" s="58"/>
      <c r="U302" s="58"/>
      <c r="V302" s="58"/>
      <c r="W302" s="58"/>
      <c r="X302" s="58"/>
    </row>
    <row r="303" spans="1:24">
      <c r="A303" s="52">
        <v>46382</v>
      </c>
      <c r="B303" s="53" t="s">
        <v>994</v>
      </c>
      <c r="C303" s="58"/>
      <c r="D303" s="58"/>
      <c r="E303" s="58"/>
      <c r="F303" s="58"/>
      <c r="G303" s="58"/>
      <c r="H303" s="58"/>
      <c r="I303" s="58"/>
      <c r="J303" s="58"/>
      <c r="K303" s="58"/>
      <c r="L303" s="58"/>
      <c r="M303" s="54">
        <f t="shared" si="4"/>
        <v>0</v>
      </c>
      <c r="N303" s="57"/>
      <c r="O303" s="58"/>
      <c r="P303" s="58"/>
      <c r="Q303" s="58"/>
      <c r="R303" s="58"/>
      <c r="S303" s="58"/>
      <c r="T303" s="58"/>
      <c r="U303" s="58"/>
      <c r="V303" s="58"/>
      <c r="W303" s="58"/>
      <c r="X303" s="58"/>
    </row>
    <row r="304" spans="1:24">
      <c r="A304" s="52">
        <v>46383</v>
      </c>
      <c r="B304" s="53" t="s">
        <v>994</v>
      </c>
      <c r="C304" s="58"/>
      <c r="D304" s="58"/>
      <c r="E304" s="58"/>
      <c r="F304" s="58"/>
      <c r="G304" s="58"/>
      <c r="H304" s="58"/>
      <c r="I304" s="58"/>
      <c r="J304" s="58"/>
      <c r="K304" s="58"/>
      <c r="L304" s="58"/>
      <c r="M304" s="54">
        <f t="shared" si="4"/>
        <v>0</v>
      </c>
      <c r="N304" s="57"/>
      <c r="O304" s="58"/>
      <c r="P304" s="58"/>
      <c r="Q304" s="58"/>
      <c r="R304" s="58"/>
      <c r="S304" s="58"/>
      <c r="T304" s="58"/>
      <c r="U304" s="58"/>
      <c r="V304" s="58"/>
      <c r="W304" s="58"/>
      <c r="X304" s="58"/>
    </row>
    <row r="305" spans="1:24">
      <c r="A305" s="52">
        <v>46384</v>
      </c>
      <c r="B305" s="53" t="s">
        <v>994</v>
      </c>
      <c r="C305" s="58"/>
      <c r="D305" s="58"/>
      <c r="E305" s="58"/>
      <c r="F305" s="58"/>
      <c r="G305" s="58"/>
      <c r="H305" s="58"/>
      <c r="I305" s="58"/>
      <c r="J305" s="58"/>
      <c r="K305" s="58"/>
      <c r="L305" s="58"/>
      <c r="M305" s="54">
        <f t="shared" si="4"/>
        <v>0</v>
      </c>
      <c r="N305" s="57"/>
      <c r="O305" s="58"/>
      <c r="P305" s="58"/>
      <c r="Q305" s="58"/>
      <c r="R305" s="58"/>
      <c r="S305" s="58"/>
      <c r="T305" s="58"/>
      <c r="U305" s="58"/>
      <c r="V305" s="58"/>
      <c r="W305" s="58"/>
      <c r="X305" s="58"/>
    </row>
    <row r="306" spans="1:24">
      <c r="A306" s="52">
        <v>46385</v>
      </c>
      <c r="B306" s="53" t="s">
        <v>994</v>
      </c>
      <c r="C306" s="58"/>
      <c r="D306" s="58"/>
      <c r="E306" s="58"/>
      <c r="F306" s="58"/>
      <c r="G306" s="58"/>
      <c r="H306" s="58"/>
      <c r="I306" s="58"/>
      <c r="J306" s="58"/>
      <c r="K306" s="58"/>
      <c r="L306" s="58"/>
      <c r="M306" s="54">
        <f t="shared" si="4"/>
        <v>0</v>
      </c>
      <c r="N306" s="57"/>
      <c r="O306" s="58"/>
      <c r="P306" s="58"/>
      <c r="Q306" s="58"/>
      <c r="R306" s="58"/>
      <c r="S306" s="58"/>
      <c r="T306" s="58"/>
      <c r="U306" s="58"/>
      <c r="V306" s="58"/>
      <c r="W306" s="58"/>
      <c r="X306" s="58"/>
    </row>
    <row r="307" spans="1:24">
      <c r="A307" s="52">
        <v>46386</v>
      </c>
      <c r="B307" s="53" t="s">
        <v>994</v>
      </c>
      <c r="C307" s="58"/>
      <c r="D307" s="58"/>
      <c r="E307" s="58"/>
      <c r="F307" s="58"/>
      <c r="G307" s="58"/>
      <c r="H307" s="58"/>
      <c r="I307" s="58"/>
      <c r="J307" s="58"/>
      <c r="K307" s="58"/>
      <c r="L307" s="58"/>
      <c r="M307" s="54">
        <f t="shared" si="4"/>
        <v>0</v>
      </c>
      <c r="N307" s="57"/>
      <c r="O307" s="58"/>
      <c r="P307" s="58"/>
      <c r="Q307" s="58"/>
      <c r="R307" s="58"/>
      <c r="S307" s="58"/>
      <c r="T307" s="58"/>
      <c r="U307" s="58"/>
      <c r="V307" s="58"/>
      <c r="W307" s="58"/>
      <c r="X307" s="58"/>
    </row>
    <row r="308" spans="1:24">
      <c r="A308" s="52">
        <v>46387</v>
      </c>
      <c r="B308" s="53" t="s">
        <v>994</v>
      </c>
      <c r="C308" s="58"/>
      <c r="D308" s="58"/>
      <c r="E308" s="58"/>
      <c r="F308" s="58"/>
      <c r="G308" s="58"/>
      <c r="H308" s="58"/>
      <c r="I308" s="58"/>
      <c r="J308" s="58"/>
      <c r="K308" s="58"/>
      <c r="L308" s="58"/>
      <c r="M308" s="54">
        <f t="shared" si="4"/>
        <v>0</v>
      </c>
      <c r="N308" s="57"/>
      <c r="O308" s="58"/>
      <c r="P308" s="58"/>
      <c r="Q308" s="58"/>
      <c r="R308" s="58"/>
      <c r="S308" s="58"/>
      <c r="T308" s="58"/>
      <c r="U308" s="58"/>
      <c r="V308" s="58"/>
      <c r="W308" s="58"/>
      <c r="X308" s="58"/>
    </row>
    <row r="309" spans="1:24">
      <c r="A309" s="52">
        <v>46082</v>
      </c>
      <c r="B309" s="53" t="s">
        <v>995</v>
      </c>
      <c r="C309" s="54">
        <v>111</v>
      </c>
      <c r="D309" s="54">
        <v>142</v>
      </c>
      <c r="E309" s="54">
        <v>126</v>
      </c>
      <c r="F309" s="54">
        <v>253</v>
      </c>
      <c r="G309" s="54">
        <v>174</v>
      </c>
      <c r="H309" s="54">
        <v>190</v>
      </c>
      <c r="I309" s="54">
        <v>142</v>
      </c>
      <c r="J309" s="54">
        <v>126</v>
      </c>
      <c r="K309" s="54">
        <v>205</v>
      </c>
      <c r="L309" s="54">
        <v>142</v>
      </c>
      <c r="M309" s="54">
        <f t="shared" si="4"/>
        <v>596</v>
      </c>
      <c r="N309" s="55">
        <v>2207</v>
      </c>
      <c r="O309" s="54">
        <v>81</v>
      </c>
      <c r="P309" s="54">
        <v>1</v>
      </c>
      <c r="Q309" s="54">
        <v>333</v>
      </c>
      <c r="R309" s="54">
        <v>500</v>
      </c>
      <c r="S309" s="54">
        <v>350</v>
      </c>
      <c r="T309" s="54">
        <v>350</v>
      </c>
      <c r="U309" s="54">
        <v>0</v>
      </c>
      <c r="V309" s="54">
        <v>220</v>
      </c>
      <c r="W309" s="54">
        <v>372</v>
      </c>
      <c r="X309" s="54">
        <v>0</v>
      </c>
    </row>
    <row r="310" spans="1:24">
      <c r="A310" s="52">
        <v>46083</v>
      </c>
      <c r="B310" s="53" t="s">
        <v>995</v>
      </c>
      <c r="C310" s="54">
        <v>109</v>
      </c>
      <c r="D310" s="54">
        <v>140</v>
      </c>
      <c r="E310" s="54">
        <v>124</v>
      </c>
      <c r="F310" s="54">
        <v>249</v>
      </c>
      <c r="G310" s="54">
        <v>171</v>
      </c>
      <c r="H310" s="54">
        <v>187</v>
      </c>
      <c r="I310" s="54">
        <v>140</v>
      </c>
      <c r="J310" s="54">
        <v>124</v>
      </c>
      <c r="K310" s="54">
        <v>202</v>
      </c>
      <c r="L310" s="54">
        <v>140</v>
      </c>
      <c r="M310" s="54">
        <f t="shared" si="4"/>
        <v>588</v>
      </c>
      <c r="N310" s="55">
        <v>2174</v>
      </c>
      <c r="O310" s="54">
        <v>81</v>
      </c>
      <c r="P310" s="54">
        <v>1</v>
      </c>
      <c r="Q310" s="54">
        <v>262</v>
      </c>
      <c r="R310" s="54">
        <v>500</v>
      </c>
      <c r="S310" s="54">
        <v>250</v>
      </c>
      <c r="T310" s="54">
        <v>350</v>
      </c>
      <c r="U310" s="54">
        <v>0</v>
      </c>
      <c r="V310" s="54">
        <v>220</v>
      </c>
      <c r="W310" s="54">
        <v>443</v>
      </c>
      <c r="X310" s="54">
        <v>67</v>
      </c>
    </row>
    <row r="311" spans="1:24">
      <c r="A311" s="52">
        <v>46084</v>
      </c>
      <c r="B311" s="53" t="s">
        <v>995</v>
      </c>
      <c r="C311" s="54">
        <v>110</v>
      </c>
      <c r="D311" s="54">
        <v>141</v>
      </c>
      <c r="E311" s="54">
        <v>126</v>
      </c>
      <c r="F311" s="54">
        <v>251</v>
      </c>
      <c r="G311" s="54">
        <v>173</v>
      </c>
      <c r="H311" s="54">
        <v>188</v>
      </c>
      <c r="I311" s="54">
        <v>141</v>
      </c>
      <c r="J311" s="54">
        <v>126</v>
      </c>
      <c r="K311" s="54">
        <v>204</v>
      </c>
      <c r="L311" s="54">
        <v>141</v>
      </c>
      <c r="M311" s="54">
        <f t="shared" si="4"/>
        <v>593</v>
      </c>
      <c r="N311" s="55">
        <v>2194</v>
      </c>
      <c r="O311" s="54">
        <v>81</v>
      </c>
      <c r="P311" s="54">
        <v>1</v>
      </c>
      <c r="Q311" s="54">
        <v>262</v>
      </c>
      <c r="R311" s="54">
        <v>500</v>
      </c>
      <c r="S311" s="54">
        <v>250</v>
      </c>
      <c r="T311" s="54">
        <v>350</v>
      </c>
      <c r="U311" s="54">
        <v>0</v>
      </c>
      <c r="V311" s="54">
        <v>220</v>
      </c>
      <c r="W311" s="54">
        <v>463</v>
      </c>
      <c r="X311" s="54">
        <v>67</v>
      </c>
    </row>
    <row r="312" spans="1:24">
      <c r="A312" s="52">
        <v>46085</v>
      </c>
      <c r="B312" s="53" t="s">
        <v>995</v>
      </c>
      <c r="C312" s="54">
        <v>109</v>
      </c>
      <c r="D312" s="54">
        <v>141</v>
      </c>
      <c r="E312" s="54">
        <v>125</v>
      </c>
      <c r="F312" s="54">
        <v>250</v>
      </c>
      <c r="G312" s="54">
        <v>172</v>
      </c>
      <c r="H312" s="54">
        <v>188</v>
      </c>
      <c r="I312" s="54">
        <v>141</v>
      </c>
      <c r="J312" s="54">
        <v>125</v>
      </c>
      <c r="K312" s="54">
        <v>203</v>
      </c>
      <c r="L312" s="54">
        <v>141</v>
      </c>
      <c r="M312" s="54">
        <f t="shared" si="4"/>
        <v>590</v>
      </c>
      <c r="N312" s="55">
        <v>2185</v>
      </c>
      <c r="O312" s="54">
        <v>81</v>
      </c>
      <c r="P312" s="54">
        <v>1</v>
      </c>
      <c r="Q312" s="54">
        <v>262</v>
      </c>
      <c r="R312" s="54">
        <v>500</v>
      </c>
      <c r="S312" s="54">
        <v>250</v>
      </c>
      <c r="T312" s="54">
        <v>350</v>
      </c>
      <c r="U312" s="54">
        <v>0</v>
      </c>
      <c r="V312" s="54">
        <v>220</v>
      </c>
      <c r="W312" s="54">
        <v>454</v>
      </c>
      <c r="X312" s="54">
        <v>67</v>
      </c>
    </row>
    <row r="313" spans="1:24">
      <c r="A313" s="52">
        <v>46086</v>
      </c>
      <c r="B313" s="53" t="s">
        <v>995</v>
      </c>
      <c r="C313" s="54">
        <v>112</v>
      </c>
      <c r="D313" s="54">
        <v>144</v>
      </c>
      <c r="E313" s="54">
        <v>128</v>
      </c>
      <c r="F313" s="54">
        <v>256</v>
      </c>
      <c r="G313" s="54">
        <v>176</v>
      </c>
      <c r="H313" s="54">
        <v>192</v>
      </c>
      <c r="I313" s="54">
        <v>144</v>
      </c>
      <c r="J313" s="54">
        <v>128</v>
      </c>
      <c r="K313" s="54">
        <v>208</v>
      </c>
      <c r="L313" s="54">
        <v>144</v>
      </c>
      <c r="M313" s="54">
        <f t="shared" si="4"/>
        <v>603</v>
      </c>
      <c r="N313" s="55">
        <v>2235</v>
      </c>
      <c r="O313" s="54">
        <v>81</v>
      </c>
      <c r="P313" s="54">
        <v>1</v>
      </c>
      <c r="Q313" s="54">
        <v>262</v>
      </c>
      <c r="R313" s="54">
        <v>500</v>
      </c>
      <c r="S313" s="54">
        <v>250</v>
      </c>
      <c r="T313" s="54">
        <v>350</v>
      </c>
      <c r="U313" s="54">
        <v>0</v>
      </c>
      <c r="V313" s="54">
        <v>220</v>
      </c>
      <c r="W313" s="54">
        <v>504</v>
      </c>
      <c r="X313" s="54">
        <v>67</v>
      </c>
    </row>
    <row r="314" spans="1:24">
      <c r="A314" s="52">
        <v>46087</v>
      </c>
      <c r="B314" s="53" t="s">
        <v>995</v>
      </c>
      <c r="C314" s="54">
        <v>128</v>
      </c>
      <c r="D314" s="54">
        <v>164</v>
      </c>
      <c r="E314" s="54">
        <v>146</v>
      </c>
      <c r="F314" s="54">
        <v>292</v>
      </c>
      <c r="G314" s="54">
        <v>201</v>
      </c>
      <c r="H314" s="54">
        <v>219</v>
      </c>
      <c r="I314" s="54">
        <v>164</v>
      </c>
      <c r="J314" s="54">
        <v>146</v>
      </c>
      <c r="K314" s="54">
        <v>237</v>
      </c>
      <c r="L314" s="54">
        <v>164</v>
      </c>
      <c r="M314" s="54">
        <f t="shared" si="4"/>
        <v>691</v>
      </c>
      <c r="N314" s="55">
        <v>2552</v>
      </c>
      <c r="O314" s="54">
        <v>81</v>
      </c>
      <c r="P314" s="54">
        <v>1</v>
      </c>
      <c r="Q314" s="54">
        <v>262</v>
      </c>
      <c r="R314" s="54">
        <v>500</v>
      </c>
      <c r="S314" s="54">
        <v>250</v>
      </c>
      <c r="T314" s="54">
        <v>350</v>
      </c>
      <c r="U314" s="54">
        <v>330</v>
      </c>
      <c r="V314" s="54">
        <v>220</v>
      </c>
      <c r="W314" s="54">
        <v>491</v>
      </c>
      <c r="X314" s="54">
        <v>67</v>
      </c>
    </row>
    <row r="315" spans="1:24">
      <c r="A315" s="52">
        <v>46088</v>
      </c>
      <c r="B315" s="53" t="s">
        <v>995</v>
      </c>
      <c r="C315" s="54">
        <v>138</v>
      </c>
      <c r="D315" s="54">
        <v>177</v>
      </c>
      <c r="E315" s="54">
        <v>158</v>
      </c>
      <c r="F315" s="54">
        <v>315</v>
      </c>
      <c r="G315" s="54">
        <v>217</v>
      </c>
      <c r="H315" s="54">
        <v>237</v>
      </c>
      <c r="I315" s="54">
        <v>177</v>
      </c>
      <c r="J315" s="54">
        <v>158</v>
      </c>
      <c r="K315" s="54">
        <v>256</v>
      </c>
      <c r="L315" s="54">
        <v>177</v>
      </c>
      <c r="M315" s="54">
        <f t="shared" si="4"/>
        <v>745</v>
      </c>
      <c r="N315" s="55">
        <v>2755</v>
      </c>
      <c r="O315" s="54">
        <v>81</v>
      </c>
      <c r="P315" s="54">
        <v>1</v>
      </c>
      <c r="Q315" s="54">
        <v>340</v>
      </c>
      <c r="R315" s="54">
        <v>500</v>
      </c>
      <c r="S315" s="54">
        <v>350</v>
      </c>
      <c r="T315" s="54">
        <v>400</v>
      </c>
      <c r="U315" s="54">
        <v>330</v>
      </c>
      <c r="V315" s="54">
        <v>220</v>
      </c>
      <c r="W315" s="54">
        <v>533</v>
      </c>
      <c r="X315" s="54">
        <v>0</v>
      </c>
    </row>
    <row r="316" spans="1:24">
      <c r="A316" s="52">
        <v>46089</v>
      </c>
      <c r="B316" s="53" t="s">
        <v>995</v>
      </c>
      <c r="C316" s="54">
        <v>155</v>
      </c>
      <c r="D316" s="54">
        <v>199</v>
      </c>
      <c r="E316" s="54">
        <v>177</v>
      </c>
      <c r="F316" s="54">
        <v>354</v>
      </c>
      <c r="G316" s="54">
        <v>244</v>
      </c>
      <c r="H316" s="54">
        <v>266</v>
      </c>
      <c r="I316" s="54">
        <v>199</v>
      </c>
      <c r="J316" s="54">
        <v>177</v>
      </c>
      <c r="K316" s="54">
        <v>288</v>
      </c>
      <c r="L316" s="54">
        <v>199</v>
      </c>
      <c r="M316" s="54">
        <f t="shared" si="4"/>
        <v>837</v>
      </c>
      <c r="N316" s="55">
        <v>3095</v>
      </c>
      <c r="O316" s="54">
        <v>81</v>
      </c>
      <c r="P316" s="54">
        <v>1</v>
      </c>
      <c r="Q316" s="54">
        <v>340</v>
      </c>
      <c r="R316" s="54">
        <v>816</v>
      </c>
      <c r="S316" s="54">
        <v>350</v>
      </c>
      <c r="T316" s="54">
        <v>400</v>
      </c>
      <c r="U316" s="54">
        <v>330</v>
      </c>
      <c r="V316" s="54">
        <v>220</v>
      </c>
      <c r="W316" s="54">
        <v>557</v>
      </c>
      <c r="X316" s="54">
        <v>0</v>
      </c>
    </row>
    <row r="317" spans="1:24">
      <c r="A317" s="52">
        <v>46090</v>
      </c>
      <c r="B317" s="53" t="s">
        <v>995</v>
      </c>
      <c r="C317" s="54">
        <v>199</v>
      </c>
      <c r="D317" s="54">
        <v>256</v>
      </c>
      <c r="E317" s="54">
        <v>227</v>
      </c>
      <c r="F317" s="54">
        <v>455</v>
      </c>
      <c r="G317" s="54">
        <v>313</v>
      </c>
      <c r="H317" s="54">
        <v>341</v>
      </c>
      <c r="I317" s="54">
        <v>256</v>
      </c>
      <c r="J317" s="54">
        <v>227</v>
      </c>
      <c r="K317" s="54">
        <v>369</v>
      </c>
      <c r="L317" s="54">
        <v>256</v>
      </c>
      <c r="M317" s="54">
        <f t="shared" si="4"/>
        <v>1072</v>
      </c>
      <c r="N317" s="55">
        <v>3971</v>
      </c>
      <c r="O317" s="54">
        <v>81</v>
      </c>
      <c r="P317" s="54">
        <v>1</v>
      </c>
      <c r="Q317" s="54">
        <v>262</v>
      </c>
      <c r="R317" s="54">
        <v>1849</v>
      </c>
      <c r="S317" s="54">
        <v>250</v>
      </c>
      <c r="T317" s="54">
        <v>350</v>
      </c>
      <c r="U317" s="54">
        <v>330</v>
      </c>
      <c r="V317" s="54">
        <v>220</v>
      </c>
      <c r="W317" s="54">
        <v>561</v>
      </c>
      <c r="X317" s="54">
        <v>67</v>
      </c>
    </row>
    <row r="318" spans="1:24">
      <c r="A318" s="52">
        <v>46091</v>
      </c>
      <c r="B318" s="53" t="s">
        <v>995</v>
      </c>
      <c r="C318" s="54">
        <v>147</v>
      </c>
      <c r="D318" s="54">
        <v>189</v>
      </c>
      <c r="E318" s="54">
        <v>168</v>
      </c>
      <c r="F318" s="54">
        <v>336</v>
      </c>
      <c r="G318" s="54">
        <v>231</v>
      </c>
      <c r="H318" s="54">
        <v>252</v>
      </c>
      <c r="I318" s="54">
        <v>189</v>
      </c>
      <c r="J318" s="54">
        <v>168</v>
      </c>
      <c r="K318" s="54">
        <v>273</v>
      </c>
      <c r="L318" s="54">
        <v>189</v>
      </c>
      <c r="M318" s="54">
        <f t="shared" si="4"/>
        <v>791</v>
      </c>
      <c r="N318" s="55">
        <v>2933</v>
      </c>
      <c r="O318" s="54">
        <v>81</v>
      </c>
      <c r="P318" s="54">
        <v>1</v>
      </c>
      <c r="Q318" s="54">
        <v>262</v>
      </c>
      <c r="R318" s="54">
        <v>1000</v>
      </c>
      <c r="S318" s="54">
        <v>250</v>
      </c>
      <c r="T318" s="54">
        <v>500</v>
      </c>
      <c r="U318" s="54">
        <v>0</v>
      </c>
      <c r="V318" s="54">
        <v>220</v>
      </c>
      <c r="W318" s="54">
        <v>552</v>
      </c>
      <c r="X318" s="54">
        <v>67</v>
      </c>
    </row>
    <row r="319" spans="1:24">
      <c r="A319" s="52">
        <v>46092</v>
      </c>
      <c r="B319" s="53" t="s">
        <v>995</v>
      </c>
      <c r="C319" s="54">
        <v>178</v>
      </c>
      <c r="D319" s="54">
        <v>229</v>
      </c>
      <c r="E319" s="54">
        <v>203</v>
      </c>
      <c r="F319" s="54">
        <v>406</v>
      </c>
      <c r="G319" s="54">
        <v>279</v>
      </c>
      <c r="H319" s="54">
        <v>305</v>
      </c>
      <c r="I319" s="54">
        <v>229</v>
      </c>
      <c r="J319" s="54">
        <v>203</v>
      </c>
      <c r="K319" s="54">
        <v>330</v>
      </c>
      <c r="L319" s="54">
        <v>229</v>
      </c>
      <c r="M319" s="54">
        <f t="shared" si="4"/>
        <v>958</v>
      </c>
      <c r="N319" s="55">
        <v>3549</v>
      </c>
      <c r="O319" s="54">
        <v>81</v>
      </c>
      <c r="P319" s="54">
        <v>1</v>
      </c>
      <c r="Q319" s="54">
        <v>288</v>
      </c>
      <c r="R319" s="54">
        <v>1000</v>
      </c>
      <c r="S319" s="54">
        <v>250</v>
      </c>
      <c r="T319" s="54">
        <v>500</v>
      </c>
      <c r="U319" s="54">
        <v>633</v>
      </c>
      <c r="V319" s="54">
        <v>220</v>
      </c>
      <c r="W319" s="54">
        <v>509</v>
      </c>
      <c r="X319" s="54">
        <v>67</v>
      </c>
    </row>
    <row r="320" spans="1:24">
      <c r="A320" s="52">
        <v>46093</v>
      </c>
      <c r="B320" s="53" t="s">
        <v>995</v>
      </c>
      <c r="C320" s="54">
        <v>177</v>
      </c>
      <c r="D320" s="54">
        <v>227</v>
      </c>
      <c r="E320" s="54">
        <v>202</v>
      </c>
      <c r="F320" s="54">
        <v>404</v>
      </c>
      <c r="G320" s="54">
        <v>278</v>
      </c>
      <c r="H320" s="54">
        <v>303</v>
      </c>
      <c r="I320" s="54">
        <v>227</v>
      </c>
      <c r="J320" s="54">
        <v>202</v>
      </c>
      <c r="K320" s="54">
        <v>328</v>
      </c>
      <c r="L320" s="54">
        <v>227</v>
      </c>
      <c r="M320" s="54">
        <f t="shared" si="4"/>
        <v>955</v>
      </c>
      <c r="N320" s="55">
        <v>3530</v>
      </c>
      <c r="O320" s="54">
        <v>81</v>
      </c>
      <c r="P320" s="54">
        <v>1</v>
      </c>
      <c r="Q320" s="54">
        <v>288</v>
      </c>
      <c r="R320" s="54">
        <v>1000</v>
      </c>
      <c r="S320" s="54">
        <v>250</v>
      </c>
      <c r="T320" s="54">
        <v>500</v>
      </c>
      <c r="U320" s="54">
        <v>633</v>
      </c>
      <c r="V320" s="54">
        <v>220</v>
      </c>
      <c r="W320" s="54">
        <v>491</v>
      </c>
      <c r="X320" s="54">
        <v>66</v>
      </c>
    </row>
    <row r="321" spans="1:24">
      <c r="A321" s="52">
        <v>46094</v>
      </c>
      <c r="B321" s="53" t="s">
        <v>995</v>
      </c>
      <c r="C321" s="54">
        <v>180</v>
      </c>
      <c r="D321" s="54">
        <v>232</v>
      </c>
      <c r="E321" s="54">
        <v>206</v>
      </c>
      <c r="F321" s="54">
        <v>412</v>
      </c>
      <c r="G321" s="54">
        <v>283</v>
      </c>
      <c r="H321" s="54">
        <v>309</v>
      </c>
      <c r="I321" s="54">
        <v>232</v>
      </c>
      <c r="J321" s="54">
        <v>206</v>
      </c>
      <c r="K321" s="54">
        <v>335</v>
      </c>
      <c r="L321" s="54">
        <v>232</v>
      </c>
      <c r="M321" s="54">
        <f t="shared" si="4"/>
        <v>970</v>
      </c>
      <c r="N321" s="55">
        <v>3597</v>
      </c>
      <c r="O321" s="54">
        <v>81</v>
      </c>
      <c r="P321" s="54">
        <v>1</v>
      </c>
      <c r="Q321" s="54">
        <v>288</v>
      </c>
      <c r="R321" s="54">
        <v>1000</v>
      </c>
      <c r="S321" s="54">
        <v>250</v>
      </c>
      <c r="T321" s="54">
        <v>500</v>
      </c>
      <c r="U321" s="54">
        <v>633</v>
      </c>
      <c r="V321" s="54">
        <v>220</v>
      </c>
      <c r="W321" s="54">
        <v>558</v>
      </c>
      <c r="X321" s="54">
        <v>66</v>
      </c>
    </row>
    <row r="322" spans="1:24">
      <c r="A322" s="52">
        <v>46095</v>
      </c>
      <c r="B322" s="53" t="s">
        <v>995</v>
      </c>
      <c r="C322" s="54">
        <v>188</v>
      </c>
      <c r="D322" s="54">
        <v>241</v>
      </c>
      <c r="E322" s="54">
        <v>214</v>
      </c>
      <c r="F322" s="54">
        <v>429</v>
      </c>
      <c r="G322" s="54">
        <v>295</v>
      </c>
      <c r="H322" s="54">
        <v>322</v>
      </c>
      <c r="I322" s="54">
        <v>241</v>
      </c>
      <c r="J322" s="54">
        <v>214</v>
      </c>
      <c r="K322" s="54">
        <v>349</v>
      </c>
      <c r="L322" s="54">
        <v>241</v>
      </c>
      <c r="M322" s="54">
        <f t="shared" si="4"/>
        <v>1012</v>
      </c>
      <c r="N322" s="55">
        <v>3746</v>
      </c>
      <c r="O322" s="54">
        <v>82</v>
      </c>
      <c r="P322" s="54">
        <v>2</v>
      </c>
      <c r="Q322" s="54">
        <v>374</v>
      </c>
      <c r="R322" s="54">
        <v>1000</v>
      </c>
      <c r="S322" s="54">
        <v>350</v>
      </c>
      <c r="T322" s="54">
        <v>500</v>
      </c>
      <c r="U322" s="54">
        <v>633</v>
      </c>
      <c r="V322" s="54">
        <v>220</v>
      </c>
      <c r="W322" s="54">
        <v>585</v>
      </c>
      <c r="X322" s="54">
        <v>0</v>
      </c>
    </row>
    <row r="323" spans="1:24">
      <c r="A323" s="52">
        <v>46096</v>
      </c>
      <c r="B323" s="53" t="s">
        <v>995</v>
      </c>
      <c r="C323" s="54">
        <v>202</v>
      </c>
      <c r="D323" s="54">
        <v>259</v>
      </c>
      <c r="E323" s="54">
        <v>230</v>
      </c>
      <c r="F323" s="54">
        <v>461</v>
      </c>
      <c r="G323" s="54">
        <v>317</v>
      </c>
      <c r="H323" s="54">
        <v>346</v>
      </c>
      <c r="I323" s="54">
        <v>259</v>
      </c>
      <c r="J323" s="54">
        <v>230</v>
      </c>
      <c r="K323" s="54">
        <v>374</v>
      </c>
      <c r="L323" s="54">
        <v>259</v>
      </c>
      <c r="M323" s="54">
        <f t="shared" ref="M323:M386" si="5">N323-SUM(C323:L323)</f>
        <v>1088</v>
      </c>
      <c r="N323" s="55">
        <v>4025</v>
      </c>
      <c r="O323" s="54">
        <v>82</v>
      </c>
      <c r="P323" s="54">
        <v>2</v>
      </c>
      <c r="Q323" s="54">
        <v>374</v>
      </c>
      <c r="R323" s="54">
        <v>1000</v>
      </c>
      <c r="S323" s="54">
        <v>350</v>
      </c>
      <c r="T323" s="54">
        <v>700</v>
      </c>
      <c r="U323" s="54">
        <v>633</v>
      </c>
      <c r="V323" s="54">
        <v>220</v>
      </c>
      <c r="W323" s="54">
        <v>664</v>
      </c>
      <c r="X323" s="54">
        <v>0</v>
      </c>
    </row>
    <row r="324" spans="1:24">
      <c r="A324" s="52">
        <v>46097</v>
      </c>
      <c r="B324" s="53" t="s">
        <v>995</v>
      </c>
      <c r="C324" s="54">
        <v>197</v>
      </c>
      <c r="D324" s="54">
        <v>253</v>
      </c>
      <c r="E324" s="54">
        <v>225</v>
      </c>
      <c r="F324" s="54">
        <v>450</v>
      </c>
      <c r="G324" s="54">
        <v>309</v>
      </c>
      <c r="H324" s="54">
        <v>337</v>
      </c>
      <c r="I324" s="54">
        <v>253</v>
      </c>
      <c r="J324" s="54">
        <v>225</v>
      </c>
      <c r="K324" s="54">
        <v>366</v>
      </c>
      <c r="L324" s="54">
        <v>253</v>
      </c>
      <c r="M324" s="54">
        <f t="shared" si="5"/>
        <v>1061</v>
      </c>
      <c r="N324" s="55">
        <v>3929</v>
      </c>
      <c r="O324" s="54">
        <v>82</v>
      </c>
      <c r="P324" s="54">
        <v>2</v>
      </c>
      <c r="Q324" s="54">
        <v>288</v>
      </c>
      <c r="R324" s="54">
        <v>1000</v>
      </c>
      <c r="S324" s="54">
        <v>250</v>
      </c>
      <c r="T324" s="54">
        <v>700</v>
      </c>
      <c r="U324" s="54">
        <v>633</v>
      </c>
      <c r="V324" s="54">
        <v>220</v>
      </c>
      <c r="W324" s="54">
        <v>688</v>
      </c>
      <c r="X324" s="54">
        <v>66</v>
      </c>
    </row>
    <row r="325" spans="1:24">
      <c r="A325" s="52">
        <v>46098</v>
      </c>
      <c r="B325" s="53" t="s">
        <v>995</v>
      </c>
      <c r="C325" s="54">
        <v>162</v>
      </c>
      <c r="D325" s="54">
        <v>209</v>
      </c>
      <c r="E325" s="54">
        <v>186</v>
      </c>
      <c r="F325" s="54">
        <v>371</v>
      </c>
      <c r="G325" s="54">
        <v>255</v>
      </c>
      <c r="H325" s="54">
        <v>279</v>
      </c>
      <c r="I325" s="54">
        <v>209</v>
      </c>
      <c r="J325" s="54">
        <v>186</v>
      </c>
      <c r="K325" s="54">
        <v>302</v>
      </c>
      <c r="L325" s="54">
        <v>209</v>
      </c>
      <c r="M325" s="54">
        <f t="shared" si="5"/>
        <v>875</v>
      </c>
      <c r="N325" s="55">
        <v>3243</v>
      </c>
      <c r="O325" s="54">
        <v>82</v>
      </c>
      <c r="P325" s="54">
        <v>2</v>
      </c>
      <c r="Q325" s="54">
        <v>288</v>
      </c>
      <c r="R325" s="54">
        <v>1000</v>
      </c>
      <c r="S325" s="54">
        <v>250</v>
      </c>
      <c r="T325" s="54">
        <v>700</v>
      </c>
      <c r="U325" s="54">
        <v>0</v>
      </c>
      <c r="V325" s="54">
        <v>220</v>
      </c>
      <c r="W325" s="54">
        <v>635</v>
      </c>
      <c r="X325" s="54">
        <v>66</v>
      </c>
    </row>
    <row r="326" spans="1:24">
      <c r="A326" s="52">
        <v>46099</v>
      </c>
      <c r="B326" s="53" t="s">
        <v>995</v>
      </c>
      <c r="C326" s="54">
        <v>162</v>
      </c>
      <c r="D326" s="54">
        <v>209</v>
      </c>
      <c r="E326" s="54">
        <v>186</v>
      </c>
      <c r="F326" s="54">
        <v>371</v>
      </c>
      <c r="G326" s="54">
        <v>255</v>
      </c>
      <c r="H326" s="54">
        <v>278</v>
      </c>
      <c r="I326" s="54">
        <v>209</v>
      </c>
      <c r="J326" s="54">
        <v>186</v>
      </c>
      <c r="K326" s="54">
        <v>302</v>
      </c>
      <c r="L326" s="54">
        <v>209</v>
      </c>
      <c r="M326" s="54">
        <f t="shared" si="5"/>
        <v>875</v>
      </c>
      <c r="N326" s="55">
        <v>3242</v>
      </c>
      <c r="O326" s="54">
        <v>82</v>
      </c>
      <c r="P326" s="54">
        <v>2</v>
      </c>
      <c r="Q326" s="54">
        <v>288</v>
      </c>
      <c r="R326" s="54">
        <v>1000</v>
      </c>
      <c r="S326" s="54">
        <v>250</v>
      </c>
      <c r="T326" s="54">
        <v>700</v>
      </c>
      <c r="U326" s="54">
        <v>0</v>
      </c>
      <c r="V326" s="54">
        <v>220</v>
      </c>
      <c r="W326" s="54">
        <v>634</v>
      </c>
      <c r="X326" s="54">
        <v>66</v>
      </c>
    </row>
    <row r="327" spans="1:24">
      <c r="A327" s="52">
        <v>46100</v>
      </c>
      <c r="B327" s="53" t="s">
        <v>995</v>
      </c>
      <c r="C327" s="54">
        <v>164</v>
      </c>
      <c r="D327" s="54">
        <v>211</v>
      </c>
      <c r="E327" s="54">
        <v>188</v>
      </c>
      <c r="F327" s="54">
        <v>375</v>
      </c>
      <c r="G327" s="54">
        <v>258</v>
      </c>
      <c r="H327" s="54">
        <v>281</v>
      </c>
      <c r="I327" s="54">
        <v>211</v>
      </c>
      <c r="J327" s="54">
        <v>188</v>
      </c>
      <c r="K327" s="54">
        <v>305</v>
      </c>
      <c r="L327" s="54">
        <v>211</v>
      </c>
      <c r="M327" s="54">
        <f t="shared" si="5"/>
        <v>883</v>
      </c>
      <c r="N327" s="55">
        <v>3275</v>
      </c>
      <c r="O327" s="54">
        <v>82</v>
      </c>
      <c r="P327" s="54">
        <v>2</v>
      </c>
      <c r="Q327" s="54">
        <v>288</v>
      </c>
      <c r="R327" s="54">
        <v>1000</v>
      </c>
      <c r="S327" s="54">
        <v>250</v>
      </c>
      <c r="T327" s="54">
        <v>700</v>
      </c>
      <c r="U327" s="54">
        <v>0</v>
      </c>
      <c r="V327" s="54">
        <v>220</v>
      </c>
      <c r="W327" s="54">
        <v>667</v>
      </c>
      <c r="X327" s="54">
        <v>66</v>
      </c>
    </row>
    <row r="328" spans="1:24">
      <c r="A328" s="52">
        <v>46101</v>
      </c>
      <c r="B328" s="53" t="s">
        <v>995</v>
      </c>
      <c r="C328" s="54">
        <v>137</v>
      </c>
      <c r="D328" s="54">
        <v>177</v>
      </c>
      <c r="E328" s="54">
        <v>157</v>
      </c>
      <c r="F328" s="54">
        <v>314</v>
      </c>
      <c r="G328" s="54">
        <v>216</v>
      </c>
      <c r="H328" s="54">
        <v>236</v>
      </c>
      <c r="I328" s="54">
        <v>177</v>
      </c>
      <c r="J328" s="54">
        <v>157</v>
      </c>
      <c r="K328" s="54">
        <v>255</v>
      </c>
      <c r="L328" s="54">
        <v>177</v>
      </c>
      <c r="M328" s="54">
        <f t="shared" si="5"/>
        <v>740</v>
      </c>
      <c r="N328" s="55">
        <v>2743</v>
      </c>
      <c r="O328" s="54">
        <v>82</v>
      </c>
      <c r="P328" s="54">
        <v>2</v>
      </c>
      <c r="Q328" s="54">
        <v>288</v>
      </c>
      <c r="R328" s="54">
        <v>1000</v>
      </c>
      <c r="S328" s="54">
        <v>250</v>
      </c>
      <c r="T328" s="54">
        <v>200</v>
      </c>
      <c r="U328" s="54">
        <v>0</v>
      </c>
      <c r="V328" s="54">
        <v>220</v>
      </c>
      <c r="W328" s="54">
        <v>635</v>
      </c>
      <c r="X328" s="54">
        <v>66</v>
      </c>
    </row>
    <row r="329" spans="1:24">
      <c r="A329" s="52">
        <v>46102</v>
      </c>
      <c r="B329" s="53" t="s">
        <v>995</v>
      </c>
      <c r="C329" s="54">
        <v>150</v>
      </c>
      <c r="D329" s="54">
        <v>193</v>
      </c>
      <c r="E329" s="54">
        <v>172</v>
      </c>
      <c r="F329" s="54">
        <v>344</v>
      </c>
      <c r="G329" s="54">
        <v>236</v>
      </c>
      <c r="H329" s="54">
        <v>258</v>
      </c>
      <c r="I329" s="54">
        <v>193</v>
      </c>
      <c r="J329" s="54">
        <v>172</v>
      </c>
      <c r="K329" s="54">
        <v>279</v>
      </c>
      <c r="L329" s="54">
        <v>193</v>
      </c>
      <c r="M329" s="54">
        <f t="shared" si="5"/>
        <v>812</v>
      </c>
      <c r="N329" s="55">
        <v>3002</v>
      </c>
      <c r="O329" s="54">
        <v>82</v>
      </c>
      <c r="P329" s="54">
        <v>2</v>
      </c>
      <c r="Q329" s="54">
        <v>408</v>
      </c>
      <c r="R329" s="54">
        <v>1000</v>
      </c>
      <c r="S329" s="54">
        <v>350</v>
      </c>
      <c r="T329" s="54">
        <v>300</v>
      </c>
      <c r="U329" s="54">
        <v>0</v>
      </c>
      <c r="V329" s="54">
        <v>220</v>
      </c>
      <c r="W329" s="54">
        <v>640</v>
      </c>
      <c r="X329" s="54">
        <v>0</v>
      </c>
    </row>
    <row r="330" spans="1:24">
      <c r="A330" s="52">
        <v>46103</v>
      </c>
      <c r="B330" s="53" t="s">
        <v>995</v>
      </c>
      <c r="C330" s="54">
        <v>163</v>
      </c>
      <c r="D330" s="54">
        <v>209</v>
      </c>
      <c r="E330" s="54">
        <v>186</v>
      </c>
      <c r="F330" s="54">
        <v>372</v>
      </c>
      <c r="G330" s="54">
        <v>256</v>
      </c>
      <c r="H330" s="54">
        <v>279</v>
      </c>
      <c r="I330" s="54">
        <v>209</v>
      </c>
      <c r="J330" s="54">
        <v>186</v>
      </c>
      <c r="K330" s="54">
        <v>303</v>
      </c>
      <c r="L330" s="54">
        <v>209</v>
      </c>
      <c r="M330" s="54">
        <f t="shared" si="5"/>
        <v>880</v>
      </c>
      <c r="N330" s="55">
        <v>3252</v>
      </c>
      <c r="O330" s="54">
        <v>82</v>
      </c>
      <c r="P330" s="54">
        <v>2</v>
      </c>
      <c r="Q330" s="54">
        <v>408</v>
      </c>
      <c r="R330" s="54">
        <v>1000</v>
      </c>
      <c r="S330" s="54">
        <v>350</v>
      </c>
      <c r="T330" s="54">
        <v>500</v>
      </c>
      <c r="U330" s="54">
        <v>0</v>
      </c>
      <c r="V330" s="54">
        <v>220</v>
      </c>
      <c r="W330" s="54">
        <v>690</v>
      </c>
      <c r="X330" s="54">
        <v>0</v>
      </c>
    </row>
    <row r="331" spans="1:24">
      <c r="A331" s="52">
        <v>46104</v>
      </c>
      <c r="B331" s="53" t="s">
        <v>995</v>
      </c>
      <c r="C331" s="54">
        <v>158</v>
      </c>
      <c r="D331" s="54">
        <v>203</v>
      </c>
      <c r="E331" s="54">
        <v>180</v>
      </c>
      <c r="F331" s="54">
        <v>360</v>
      </c>
      <c r="G331" s="54">
        <v>248</v>
      </c>
      <c r="H331" s="54">
        <v>270</v>
      </c>
      <c r="I331" s="54">
        <v>203</v>
      </c>
      <c r="J331" s="54">
        <v>180</v>
      </c>
      <c r="K331" s="54">
        <v>293</v>
      </c>
      <c r="L331" s="54">
        <v>203</v>
      </c>
      <c r="M331" s="54">
        <f t="shared" si="5"/>
        <v>848</v>
      </c>
      <c r="N331" s="55">
        <v>3146</v>
      </c>
      <c r="O331" s="54">
        <v>82</v>
      </c>
      <c r="P331" s="54">
        <v>2</v>
      </c>
      <c r="Q331" s="54">
        <v>314</v>
      </c>
      <c r="R331" s="54">
        <v>1000</v>
      </c>
      <c r="S331" s="54">
        <v>250</v>
      </c>
      <c r="T331" s="54">
        <v>500</v>
      </c>
      <c r="U331" s="54">
        <v>0</v>
      </c>
      <c r="V331" s="54">
        <v>220</v>
      </c>
      <c r="W331" s="54">
        <v>712</v>
      </c>
      <c r="X331" s="54">
        <v>66</v>
      </c>
    </row>
    <row r="332" spans="1:24">
      <c r="A332" s="52">
        <v>46105</v>
      </c>
      <c r="B332" s="53" t="s">
        <v>995</v>
      </c>
      <c r="C332" s="54">
        <v>154</v>
      </c>
      <c r="D332" s="54">
        <v>199</v>
      </c>
      <c r="E332" s="54">
        <v>177</v>
      </c>
      <c r="F332" s="54">
        <v>353</v>
      </c>
      <c r="G332" s="54">
        <v>243</v>
      </c>
      <c r="H332" s="54">
        <v>265</v>
      </c>
      <c r="I332" s="54">
        <v>199</v>
      </c>
      <c r="J332" s="54">
        <v>177</v>
      </c>
      <c r="K332" s="54">
        <v>287</v>
      </c>
      <c r="L332" s="54">
        <v>199</v>
      </c>
      <c r="M332" s="54">
        <f t="shared" si="5"/>
        <v>830</v>
      </c>
      <c r="N332" s="55">
        <v>3083</v>
      </c>
      <c r="O332" s="54">
        <v>82</v>
      </c>
      <c r="P332" s="54">
        <v>2</v>
      </c>
      <c r="Q332" s="54">
        <v>314</v>
      </c>
      <c r="R332" s="54">
        <v>1000</v>
      </c>
      <c r="S332" s="54">
        <v>250</v>
      </c>
      <c r="T332" s="54">
        <v>500</v>
      </c>
      <c r="U332" s="54">
        <v>0</v>
      </c>
      <c r="V332" s="54">
        <v>220</v>
      </c>
      <c r="W332" s="54">
        <v>649</v>
      </c>
      <c r="X332" s="54">
        <v>66</v>
      </c>
    </row>
    <row r="333" spans="1:24">
      <c r="A333" s="52">
        <v>46106</v>
      </c>
      <c r="B333" s="53" t="s">
        <v>995</v>
      </c>
      <c r="C333" s="54">
        <v>145</v>
      </c>
      <c r="D333" s="54">
        <v>187</v>
      </c>
      <c r="E333" s="54">
        <v>166</v>
      </c>
      <c r="F333" s="54">
        <v>332</v>
      </c>
      <c r="G333" s="54">
        <v>228</v>
      </c>
      <c r="H333" s="54">
        <v>249</v>
      </c>
      <c r="I333" s="54">
        <v>187</v>
      </c>
      <c r="J333" s="54">
        <v>166</v>
      </c>
      <c r="K333" s="54">
        <v>270</v>
      </c>
      <c r="L333" s="54">
        <v>187</v>
      </c>
      <c r="M333" s="54">
        <f t="shared" si="5"/>
        <v>782</v>
      </c>
      <c r="N333" s="55">
        <v>2899</v>
      </c>
      <c r="O333" s="54">
        <v>82</v>
      </c>
      <c r="P333" s="54">
        <v>2</v>
      </c>
      <c r="Q333" s="54">
        <v>314</v>
      </c>
      <c r="R333" s="54">
        <v>816</v>
      </c>
      <c r="S333" s="54">
        <v>250</v>
      </c>
      <c r="T333" s="54">
        <v>500</v>
      </c>
      <c r="U333" s="54">
        <v>0</v>
      </c>
      <c r="V333" s="54">
        <v>220</v>
      </c>
      <c r="W333" s="54">
        <v>649</v>
      </c>
      <c r="X333" s="54">
        <v>66</v>
      </c>
    </row>
    <row r="334" spans="1:24">
      <c r="A334" s="52">
        <v>46107</v>
      </c>
      <c r="B334" s="53" t="s">
        <v>995</v>
      </c>
      <c r="C334" s="54">
        <v>179</v>
      </c>
      <c r="D334" s="54">
        <v>230</v>
      </c>
      <c r="E334" s="54">
        <v>205</v>
      </c>
      <c r="F334" s="54">
        <v>409</v>
      </c>
      <c r="G334" s="54">
        <v>281</v>
      </c>
      <c r="H334" s="54">
        <v>307</v>
      </c>
      <c r="I334" s="54">
        <v>230</v>
      </c>
      <c r="J334" s="54">
        <v>205</v>
      </c>
      <c r="K334" s="54">
        <v>332</v>
      </c>
      <c r="L334" s="54">
        <v>230</v>
      </c>
      <c r="M334" s="54">
        <f t="shared" si="5"/>
        <v>964</v>
      </c>
      <c r="N334" s="55">
        <v>3572</v>
      </c>
      <c r="O334" s="54">
        <v>82</v>
      </c>
      <c r="P334" s="54">
        <v>2</v>
      </c>
      <c r="Q334" s="54">
        <v>314</v>
      </c>
      <c r="R334" s="54">
        <v>816</v>
      </c>
      <c r="S334" s="54">
        <v>250</v>
      </c>
      <c r="T334" s="54">
        <v>500</v>
      </c>
      <c r="U334" s="54">
        <v>673</v>
      </c>
      <c r="V334" s="54">
        <v>220</v>
      </c>
      <c r="W334" s="54">
        <v>649</v>
      </c>
      <c r="X334" s="54">
        <v>66</v>
      </c>
    </row>
    <row r="335" spans="1:24">
      <c r="A335" s="52">
        <v>46108</v>
      </c>
      <c r="B335" s="53" t="s">
        <v>995</v>
      </c>
      <c r="C335" s="54">
        <v>184</v>
      </c>
      <c r="D335" s="54">
        <v>237</v>
      </c>
      <c r="E335" s="54">
        <v>211</v>
      </c>
      <c r="F335" s="54">
        <v>421</v>
      </c>
      <c r="G335" s="54">
        <v>290</v>
      </c>
      <c r="H335" s="54">
        <v>316</v>
      </c>
      <c r="I335" s="54">
        <v>237</v>
      </c>
      <c r="J335" s="54">
        <v>211</v>
      </c>
      <c r="K335" s="54">
        <v>342</v>
      </c>
      <c r="L335" s="54">
        <v>237</v>
      </c>
      <c r="M335" s="54">
        <f t="shared" si="5"/>
        <v>994</v>
      </c>
      <c r="N335" s="55">
        <v>3680</v>
      </c>
      <c r="O335" s="54">
        <v>82</v>
      </c>
      <c r="P335" s="54">
        <v>2</v>
      </c>
      <c r="Q335" s="54">
        <v>314</v>
      </c>
      <c r="R335" s="54">
        <v>500</v>
      </c>
      <c r="S335" s="54">
        <v>250</v>
      </c>
      <c r="T335" s="54">
        <v>600</v>
      </c>
      <c r="U335" s="54">
        <v>989</v>
      </c>
      <c r="V335" s="54">
        <v>220</v>
      </c>
      <c r="W335" s="54">
        <v>657</v>
      </c>
      <c r="X335" s="54">
        <v>66</v>
      </c>
    </row>
    <row r="336" spans="1:24">
      <c r="A336" s="52">
        <v>46109</v>
      </c>
      <c r="B336" s="53" t="s">
        <v>995</v>
      </c>
      <c r="C336" s="54">
        <v>199</v>
      </c>
      <c r="D336" s="54">
        <v>256</v>
      </c>
      <c r="E336" s="54">
        <v>227</v>
      </c>
      <c r="F336" s="54">
        <v>455</v>
      </c>
      <c r="G336" s="54">
        <v>313</v>
      </c>
      <c r="H336" s="54">
        <v>341</v>
      </c>
      <c r="I336" s="54">
        <v>256</v>
      </c>
      <c r="J336" s="54">
        <v>227</v>
      </c>
      <c r="K336" s="54">
        <v>370</v>
      </c>
      <c r="L336" s="54">
        <v>256</v>
      </c>
      <c r="M336" s="54">
        <f t="shared" si="5"/>
        <v>1073</v>
      </c>
      <c r="N336" s="55">
        <v>3973</v>
      </c>
      <c r="O336" s="54">
        <v>82</v>
      </c>
      <c r="P336" s="54">
        <v>2</v>
      </c>
      <c r="Q336" s="54">
        <v>408</v>
      </c>
      <c r="R336" s="54">
        <v>500</v>
      </c>
      <c r="S336" s="54">
        <v>370</v>
      </c>
      <c r="T336" s="54">
        <v>700</v>
      </c>
      <c r="U336" s="54">
        <v>989</v>
      </c>
      <c r="V336" s="54">
        <v>220</v>
      </c>
      <c r="W336" s="54">
        <v>702</v>
      </c>
      <c r="X336" s="54">
        <v>0</v>
      </c>
    </row>
    <row r="337" spans="1:24">
      <c r="A337" s="52">
        <v>46110</v>
      </c>
      <c r="B337" s="53" t="s">
        <v>995</v>
      </c>
      <c r="C337" s="54">
        <v>200</v>
      </c>
      <c r="D337" s="54">
        <v>257</v>
      </c>
      <c r="E337" s="54">
        <v>229</v>
      </c>
      <c r="F337" s="54">
        <v>458</v>
      </c>
      <c r="G337" s="54">
        <v>315</v>
      </c>
      <c r="H337" s="54">
        <v>343</v>
      </c>
      <c r="I337" s="54">
        <v>257</v>
      </c>
      <c r="J337" s="54">
        <v>229</v>
      </c>
      <c r="K337" s="54">
        <v>372</v>
      </c>
      <c r="L337" s="54">
        <v>257</v>
      </c>
      <c r="M337" s="54">
        <f t="shared" si="5"/>
        <v>1080</v>
      </c>
      <c r="N337" s="55">
        <v>3997</v>
      </c>
      <c r="O337" s="54">
        <v>82</v>
      </c>
      <c r="P337" s="54">
        <v>2</v>
      </c>
      <c r="Q337" s="54">
        <v>408</v>
      </c>
      <c r="R337" s="54">
        <v>500</v>
      </c>
      <c r="S337" s="54">
        <v>373</v>
      </c>
      <c r="T337" s="54">
        <v>700</v>
      </c>
      <c r="U337" s="54">
        <v>988</v>
      </c>
      <c r="V337" s="54">
        <v>220</v>
      </c>
      <c r="W337" s="54">
        <v>724</v>
      </c>
      <c r="X337" s="54">
        <v>0</v>
      </c>
    </row>
    <row r="338" spans="1:24">
      <c r="A338" s="52">
        <v>46111</v>
      </c>
      <c r="B338" s="53" t="s">
        <v>995</v>
      </c>
      <c r="C338" s="54">
        <v>141</v>
      </c>
      <c r="D338" s="54">
        <v>182</v>
      </c>
      <c r="E338" s="54">
        <v>162</v>
      </c>
      <c r="F338" s="54">
        <v>323</v>
      </c>
      <c r="G338" s="54">
        <v>222</v>
      </c>
      <c r="H338" s="54">
        <v>242</v>
      </c>
      <c r="I338" s="54">
        <v>182</v>
      </c>
      <c r="J338" s="54">
        <v>162</v>
      </c>
      <c r="K338" s="54">
        <v>263</v>
      </c>
      <c r="L338" s="54">
        <v>182</v>
      </c>
      <c r="M338" s="54">
        <f t="shared" si="5"/>
        <v>761</v>
      </c>
      <c r="N338" s="55">
        <v>2822</v>
      </c>
      <c r="O338" s="54">
        <v>82</v>
      </c>
      <c r="P338" s="54">
        <v>2</v>
      </c>
      <c r="Q338" s="54">
        <v>314</v>
      </c>
      <c r="R338" s="54">
        <v>500</v>
      </c>
      <c r="S338" s="54">
        <v>282</v>
      </c>
      <c r="T338" s="54">
        <v>700</v>
      </c>
      <c r="U338" s="54">
        <v>0</v>
      </c>
      <c r="V338" s="54">
        <v>220</v>
      </c>
      <c r="W338" s="54">
        <v>656</v>
      </c>
      <c r="X338" s="54">
        <v>66</v>
      </c>
    </row>
    <row r="339" spans="1:24">
      <c r="A339" s="52">
        <v>46112</v>
      </c>
      <c r="B339" s="53" t="s">
        <v>995</v>
      </c>
      <c r="C339" s="54">
        <v>135</v>
      </c>
      <c r="D339" s="54">
        <v>173</v>
      </c>
      <c r="E339" s="54">
        <v>154</v>
      </c>
      <c r="F339" s="54">
        <v>308</v>
      </c>
      <c r="G339" s="54">
        <v>212</v>
      </c>
      <c r="H339" s="54">
        <v>231</v>
      </c>
      <c r="I339" s="54">
        <v>173</v>
      </c>
      <c r="J339" s="54">
        <v>154</v>
      </c>
      <c r="K339" s="54">
        <v>250</v>
      </c>
      <c r="L339" s="54">
        <v>173</v>
      </c>
      <c r="M339" s="54">
        <f t="shared" si="5"/>
        <v>728</v>
      </c>
      <c r="N339" s="55">
        <v>2691</v>
      </c>
      <c r="O339" s="54">
        <v>82</v>
      </c>
      <c r="P339" s="54">
        <v>2</v>
      </c>
      <c r="Q339" s="54">
        <v>314</v>
      </c>
      <c r="R339" s="54">
        <v>500</v>
      </c>
      <c r="S339" s="54">
        <v>282</v>
      </c>
      <c r="T339" s="54">
        <v>618</v>
      </c>
      <c r="U339" s="54">
        <v>0</v>
      </c>
      <c r="V339" s="54">
        <v>210</v>
      </c>
      <c r="W339" s="54">
        <v>617</v>
      </c>
      <c r="X339" s="54">
        <v>66</v>
      </c>
    </row>
    <row r="340" spans="1:24">
      <c r="A340" s="52">
        <v>46113</v>
      </c>
      <c r="B340" s="53" t="s">
        <v>995</v>
      </c>
      <c r="C340" s="54">
        <v>145.9308540921397</v>
      </c>
      <c r="D340" s="54">
        <v>188.00621904770591</v>
      </c>
      <c r="E340" s="54">
        <v>194.1983532099182</v>
      </c>
      <c r="F340" s="54">
        <v>409.0908519769128</v>
      </c>
      <c r="G340" s="54">
        <v>247.11340992465864</v>
      </c>
      <c r="H340" s="54">
        <v>274.90403438313598</v>
      </c>
      <c r="I340" s="54">
        <v>190.05015569543261</v>
      </c>
      <c r="J340" s="54">
        <v>235.79682842247567</v>
      </c>
      <c r="K340" s="54">
        <v>372.01634749424539</v>
      </c>
      <c r="L340" s="54">
        <v>206.64294575337507</v>
      </c>
      <c r="M340" s="54">
        <f t="shared" si="5"/>
        <v>911.25</v>
      </c>
      <c r="N340" s="55">
        <v>3375</v>
      </c>
      <c r="O340" s="54">
        <v>135</v>
      </c>
      <c r="P340" s="54">
        <v>0</v>
      </c>
      <c r="Q340" s="54">
        <v>481</v>
      </c>
      <c r="R340" s="54">
        <v>520</v>
      </c>
      <c r="S340" s="54">
        <v>288</v>
      </c>
      <c r="T340" s="54">
        <v>692</v>
      </c>
      <c r="U340" s="54">
        <v>84</v>
      </c>
      <c r="V340" s="54">
        <v>300</v>
      </c>
      <c r="W340" s="54">
        <v>801</v>
      </c>
      <c r="X340" s="54">
        <v>74</v>
      </c>
    </row>
    <row r="341" spans="1:24">
      <c r="A341" s="52">
        <v>46114</v>
      </c>
      <c r="B341" s="53" t="s">
        <v>995</v>
      </c>
      <c r="C341" s="54">
        <v>146.3200030363854</v>
      </c>
      <c r="D341" s="54">
        <v>188.50756896516646</v>
      </c>
      <c r="E341" s="54">
        <v>194.71621548514466</v>
      </c>
      <c r="F341" s="54">
        <v>410.18176091551794</v>
      </c>
      <c r="G341" s="54">
        <v>247.77237901779108</v>
      </c>
      <c r="H341" s="54">
        <v>275.63711180815767</v>
      </c>
      <c r="I341" s="54">
        <v>190.55695611062043</v>
      </c>
      <c r="J341" s="54">
        <v>236.42561996493563</v>
      </c>
      <c r="K341" s="54">
        <v>373.00839108756344</v>
      </c>
      <c r="L341" s="54">
        <v>207.19399360871742</v>
      </c>
      <c r="M341" s="54">
        <f t="shared" si="5"/>
        <v>913.68000000000029</v>
      </c>
      <c r="N341" s="55">
        <v>3384</v>
      </c>
      <c r="O341" s="54">
        <v>135</v>
      </c>
      <c r="P341" s="54">
        <v>0</v>
      </c>
      <c r="Q341" s="54">
        <v>486</v>
      </c>
      <c r="R341" s="54">
        <v>520</v>
      </c>
      <c r="S341" s="54">
        <v>288</v>
      </c>
      <c r="T341" s="54">
        <v>693</v>
      </c>
      <c r="U341" s="54">
        <v>84</v>
      </c>
      <c r="V341" s="54">
        <v>306</v>
      </c>
      <c r="W341" s="54">
        <v>798</v>
      </c>
      <c r="X341" s="54">
        <v>74</v>
      </c>
    </row>
    <row r="342" spans="1:24">
      <c r="A342" s="52">
        <v>46115</v>
      </c>
      <c r="B342" s="53" t="s">
        <v>995</v>
      </c>
      <c r="C342" s="54">
        <v>146.19028672163685</v>
      </c>
      <c r="D342" s="54">
        <v>188.34045232601295</v>
      </c>
      <c r="E342" s="54">
        <v>194.54359472673585</v>
      </c>
      <c r="F342" s="54">
        <v>409.81812460264956</v>
      </c>
      <c r="G342" s="54">
        <v>247.55272265341361</v>
      </c>
      <c r="H342" s="54">
        <v>275.39275266648377</v>
      </c>
      <c r="I342" s="54">
        <v>190.38802263889116</v>
      </c>
      <c r="J342" s="54">
        <v>236.21602278411564</v>
      </c>
      <c r="K342" s="54">
        <v>372.67770988979072</v>
      </c>
      <c r="L342" s="54">
        <v>207.01031099026997</v>
      </c>
      <c r="M342" s="54">
        <f t="shared" si="5"/>
        <v>912.86999999999989</v>
      </c>
      <c r="N342" s="55">
        <v>3381</v>
      </c>
      <c r="O342" s="54">
        <v>135</v>
      </c>
      <c r="P342" s="54">
        <v>0</v>
      </c>
      <c r="Q342" s="54">
        <v>486</v>
      </c>
      <c r="R342" s="54">
        <v>520</v>
      </c>
      <c r="S342" s="54">
        <v>288</v>
      </c>
      <c r="T342" s="54">
        <v>693</v>
      </c>
      <c r="U342" s="54">
        <v>84</v>
      </c>
      <c r="V342" s="54">
        <v>306</v>
      </c>
      <c r="W342" s="54">
        <v>795</v>
      </c>
      <c r="X342" s="54">
        <v>74</v>
      </c>
    </row>
    <row r="343" spans="1:24">
      <c r="A343" s="52">
        <v>46116</v>
      </c>
      <c r="B343" s="53" t="s">
        <v>995</v>
      </c>
      <c r="C343" s="54">
        <v>156.95674084576802</v>
      </c>
      <c r="D343" s="54">
        <v>202.2111333757548</v>
      </c>
      <c r="E343" s="54">
        <v>208.87111767466757</v>
      </c>
      <c r="F343" s="54">
        <v>439.999938570724</v>
      </c>
      <c r="G343" s="54">
        <v>265.78420089674398</v>
      </c>
      <c r="H343" s="54">
        <v>295.67456142541738</v>
      </c>
      <c r="I343" s="54">
        <v>204.40950079242086</v>
      </c>
      <c r="J343" s="54">
        <v>253.61258879217385</v>
      </c>
      <c r="K343" s="54">
        <v>400.12424930492176</v>
      </c>
      <c r="L343" s="54">
        <v>222.25596832140789</v>
      </c>
      <c r="M343" s="54">
        <f t="shared" si="5"/>
        <v>980.09999999999945</v>
      </c>
      <c r="N343" s="55">
        <v>3630</v>
      </c>
      <c r="O343" s="54">
        <v>156</v>
      </c>
      <c r="P343" s="54">
        <v>2</v>
      </c>
      <c r="Q343" s="54">
        <v>558</v>
      </c>
      <c r="R343" s="54">
        <v>520</v>
      </c>
      <c r="S343" s="54">
        <v>331</v>
      </c>
      <c r="T343" s="54">
        <v>797</v>
      </c>
      <c r="U343" s="54">
        <v>97</v>
      </c>
      <c r="V343" s="54">
        <v>351</v>
      </c>
      <c r="W343" s="54">
        <v>818</v>
      </c>
      <c r="X343" s="54">
        <v>0</v>
      </c>
    </row>
    <row r="344" spans="1:24">
      <c r="A344" s="52">
        <v>46117</v>
      </c>
      <c r="B344" s="53" t="s">
        <v>995</v>
      </c>
      <c r="C344" s="54">
        <v>156.87026330260232</v>
      </c>
      <c r="D344" s="54">
        <v>202.09972228298579</v>
      </c>
      <c r="E344" s="54">
        <v>208.7560371690617</v>
      </c>
      <c r="F344" s="54">
        <v>439.75751436214506</v>
      </c>
      <c r="G344" s="54">
        <v>265.63776332049235</v>
      </c>
      <c r="H344" s="54">
        <v>295.5116553309681</v>
      </c>
      <c r="I344" s="54">
        <v>204.29687847793468</v>
      </c>
      <c r="J344" s="54">
        <v>253.47285733829386</v>
      </c>
      <c r="K344" s="54">
        <v>399.90379517307326</v>
      </c>
      <c r="L344" s="54">
        <v>222.13351324244292</v>
      </c>
      <c r="M344" s="54">
        <f t="shared" si="5"/>
        <v>979.5600000000004</v>
      </c>
      <c r="N344" s="55">
        <v>3628</v>
      </c>
      <c r="O344" s="54">
        <v>156</v>
      </c>
      <c r="P344" s="54">
        <v>2</v>
      </c>
      <c r="Q344" s="54">
        <v>558</v>
      </c>
      <c r="R344" s="54">
        <v>520</v>
      </c>
      <c r="S344" s="54">
        <v>331</v>
      </c>
      <c r="T344" s="54">
        <v>797</v>
      </c>
      <c r="U344" s="54">
        <v>97</v>
      </c>
      <c r="V344" s="54">
        <v>351</v>
      </c>
      <c r="W344" s="54">
        <v>816</v>
      </c>
      <c r="X344" s="54">
        <v>0</v>
      </c>
    </row>
    <row r="345" spans="1:24">
      <c r="A345" s="52">
        <v>46118</v>
      </c>
      <c r="B345" s="53" t="s">
        <v>995</v>
      </c>
      <c r="C345" s="54">
        <v>155.22718998245378</v>
      </c>
      <c r="D345" s="54">
        <v>199.98291152037456</v>
      </c>
      <c r="E345" s="54">
        <v>206.56950756255</v>
      </c>
      <c r="F345" s="54">
        <v>435.15145439914573</v>
      </c>
      <c r="G345" s="54">
        <v>262.85544937171096</v>
      </c>
      <c r="H345" s="54">
        <v>292.41643953643205</v>
      </c>
      <c r="I345" s="54">
        <v>202.15705450269718</v>
      </c>
      <c r="J345" s="54">
        <v>250.8179597145741</v>
      </c>
      <c r="K345" s="54">
        <v>395.71516666795287</v>
      </c>
      <c r="L345" s="54">
        <v>219.80686674210858</v>
      </c>
      <c r="M345" s="54">
        <f t="shared" si="5"/>
        <v>969.30000000000018</v>
      </c>
      <c r="N345" s="55">
        <v>3590</v>
      </c>
      <c r="O345" s="54">
        <v>156</v>
      </c>
      <c r="P345" s="54">
        <v>2</v>
      </c>
      <c r="Q345" s="54">
        <v>558</v>
      </c>
      <c r="R345" s="54">
        <v>520</v>
      </c>
      <c r="S345" s="54">
        <v>331</v>
      </c>
      <c r="T345" s="54">
        <v>797</v>
      </c>
      <c r="U345" s="54">
        <v>97</v>
      </c>
      <c r="V345" s="54">
        <v>351</v>
      </c>
      <c r="W345" s="54">
        <v>778</v>
      </c>
      <c r="X345" s="54">
        <v>0</v>
      </c>
    </row>
    <row r="346" spans="1:24">
      <c r="A346" s="52">
        <v>46119</v>
      </c>
      <c r="B346" s="53" t="s">
        <v>995</v>
      </c>
      <c r="C346" s="54">
        <v>144.63369094465401</v>
      </c>
      <c r="D346" s="54">
        <v>186.33505265617075</v>
      </c>
      <c r="E346" s="54">
        <v>192.47214562583002</v>
      </c>
      <c r="F346" s="54">
        <v>405.45448884822912</v>
      </c>
      <c r="G346" s="54">
        <v>244.9168462808839</v>
      </c>
      <c r="H346" s="54">
        <v>272.46044296639701</v>
      </c>
      <c r="I346" s="54">
        <v>188.36082097813986</v>
      </c>
      <c r="J346" s="54">
        <v>233.70085661427589</v>
      </c>
      <c r="K346" s="54">
        <v>368.70953551651877</v>
      </c>
      <c r="L346" s="54">
        <v>204.80611956890064</v>
      </c>
      <c r="M346" s="54">
        <f t="shared" si="5"/>
        <v>903.15000000000009</v>
      </c>
      <c r="N346" s="55">
        <v>3345</v>
      </c>
      <c r="O346" s="54">
        <v>135</v>
      </c>
      <c r="P346" s="54">
        <v>1</v>
      </c>
      <c r="Q346" s="54">
        <v>486</v>
      </c>
      <c r="R346" s="54">
        <v>520</v>
      </c>
      <c r="S346" s="54">
        <v>288</v>
      </c>
      <c r="T346" s="54">
        <v>693</v>
      </c>
      <c r="U346" s="54">
        <v>84</v>
      </c>
      <c r="V346" s="54">
        <v>306</v>
      </c>
      <c r="W346" s="54">
        <v>758</v>
      </c>
      <c r="X346" s="54">
        <v>74</v>
      </c>
    </row>
    <row r="347" spans="1:24">
      <c r="A347" s="52">
        <v>46120</v>
      </c>
      <c r="B347" s="53" t="s">
        <v>995</v>
      </c>
      <c r="C347" s="54">
        <v>116.44201187263175</v>
      </c>
      <c r="D347" s="54">
        <v>150.01503641347318</v>
      </c>
      <c r="E347" s="54">
        <v>154.95590079831396</v>
      </c>
      <c r="F347" s="54">
        <v>326.42419685150401</v>
      </c>
      <c r="G347" s="54">
        <v>197.17819642284613</v>
      </c>
      <c r="H347" s="54">
        <v>219.35305617593633</v>
      </c>
      <c r="I347" s="54">
        <v>151.64594645564443</v>
      </c>
      <c r="J347" s="54">
        <v>188.14840264940059</v>
      </c>
      <c r="K347" s="54">
        <v>296.84148853392674</v>
      </c>
      <c r="L347" s="54">
        <v>164.88576382632269</v>
      </c>
      <c r="M347" s="54">
        <f t="shared" si="5"/>
        <v>727.1099999999999</v>
      </c>
      <c r="N347" s="55">
        <v>2693</v>
      </c>
      <c r="O347" s="54">
        <v>135</v>
      </c>
      <c r="P347" s="54">
        <v>1</v>
      </c>
      <c r="Q347" s="54">
        <v>486</v>
      </c>
      <c r="R347" s="54">
        <v>520</v>
      </c>
      <c r="S347" s="54">
        <v>288</v>
      </c>
      <c r="T347" s="54">
        <v>100</v>
      </c>
      <c r="U347" s="54">
        <v>84</v>
      </c>
      <c r="V347" s="54">
        <v>306</v>
      </c>
      <c r="W347" s="54">
        <v>699</v>
      </c>
      <c r="X347" s="54">
        <v>74</v>
      </c>
    </row>
    <row r="348" spans="1:24">
      <c r="A348" s="52">
        <v>46121</v>
      </c>
      <c r="B348" s="53" t="s">
        <v>995</v>
      </c>
      <c r="C348" s="54">
        <v>143.55272165508259</v>
      </c>
      <c r="D348" s="54">
        <v>184.94241399655809</v>
      </c>
      <c r="E348" s="54">
        <v>191.03363930575657</v>
      </c>
      <c r="F348" s="54">
        <v>402.4241862409927</v>
      </c>
      <c r="G348" s="54">
        <v>243.08637657773829</v>
      </c>
      <c r="H348" s="54">
        <v>270.42411678578117</v>
      </c>
      <c r="I348" s="54">
        <v>186.95304204706258</v>
      </c>
      <c r="J348" s="54">
        <v>231.95421344077607</v>
      </c>
      <c r="K348" s="54">
        <v>365.95385886841325</v>
      </c>
      <c r="L348" s="54">
        <v>203.2754310818386</v>
      </c>
      <c r="M348" s="54">
        <f t="shared" si="5"/>
        <v>896.40000000000009</v>
      </c>
      <c r="N348" s="55">
        <v>3320</v>
      </c>
      <c r="O348" s="54">
        <v>135</v>
      </c>
      <c r="P348" s="54">
        <v>1</v>
      </c>
      <c r="Q348" s="54">
        <v>486</v>
      </c>
      <c r="R348" s="54">
        <v>520</v>
      </c>
      <c r="S348" s="54">
        <v>288</v>
      </c>
      <c r="T348" s="54">
        <v>693</v>
      </c>
      <c r="U348" s="54">
        <v>84</v>
      </c>
      <c r="V348" s="54">
        <v>306</v>
      </c>
      <c r="W348" s="54">
        <v>733</v>
      </c>
      <c r="X348" s="54">
        <v>74</v>
      </c>
    </row>
    <row r="349" spans="1:24">
      <c r="A349" s="52">
        <v>46122</v>
      </c>
      <c r="B349" s="53" t="s">
        <v>995</v>
      </c>
      <c r="C349" s="54">
        <v>143.89863182774545</v>
      </c>
      <c r="D349" s="54">
        <v>185.38805836763416</v>
      </c>
      <c r="E349" s="54">
        <v>191.49396132818006</v>
      </c>
      <c r="F349" s="54">
        <v>403.39388307530839</v>
      </c>
      <c r="G349" s="54">
        <v>243.67212688274489</v>
      </c>
      <c r="H349" s="54">
        <v>271.07574116357824</v>
      </c>
      <c r="I349" s="54">
        <v>187.40353130500733</v>
      </c>
      <c r="J349" s="54">
        <v>232.51313925629603</v>
      </c>
      <c r="K349" s="54">
        <v>366.83567539580702</v>
      </c>
      <c r="L349" s="54">
        <v>203.76525139769845</v>
      </c>
      <c r="M349" s="54">
        <f t="shared" si="5"/>
        <v>898.56</v>
      </c>
      <c r="N349" s="55">
        <v>3328</v>
      </c>
      <c r="O349" s="54">
        <v>135</v>
      </c>
      <c r="P349" s="54">
        <v>1</v>
      </c>
      <c r="Q349" s="54">
        <v>486</v>
      </c>
      <c r="R349" s="54">
        <v>520</v>
      </c>
      <c r="S349" s="54">
        <v>288</v>
      </c>
      <c r="T349" s="54">
        <v>693</v>
      </c>
      <c r="U349" s="54">
        <v>84</v>
      </c>
      <c r="V349" s="54">
        <v>306</v>
      </c>
      <c r="W349" s="54">
        <v>741</v>
      </c>
      <c r="X349" s="54">
        <v>74</v>
      </c>
    </row>
    <row r="350" spans="1:24">
      <c r="A350" s="52">
        <v>46123</v>
      </c>
      <c r="B350" s="53" t="s">
        <v>995</v>
      </c>
      <c r="C350" s="54">
        <v>158.29714276483656</v>
      </c>
      <c r="D350" s="54">
        <v>203.93800531367444</v>
      </c>
      <c r="E350" s="54">
        <v>210.65486551155865</v>
      </c>
      <c r="F350" s="54">
        <v>443.75751380369707</v>
      </c>
      <c r="G350" s="54">
        <v>268.05398332864451</v>
      </c>
      <c r="H350" s="54">
        <v>298.19960588938096</v>
      </c>
      <c r="I350" s="54">
        <v>206.15514666695665</v>
      </c>
      <c r="J350" s="54">
        <v>255.77842632731358</v>
      </c>
      <c r="K350" s="54">
        <v>403.54128834857255</v>
      </c>
      <c r="L350" s="54">
        <v>224.15402204536477</v>
      </c>
      <c r="M350" s="54">
        <f t="shared" si="5"/>
        <v>988.47000000000025</v>
      </c>
      <c r="N350" s="55">
        <v>3661</v>
      </c>
      <c r="O350" s="54">
        <v>156</v>
      </c>
      <c r="P350" s="54">
        <v>2</v>
      </c>
      <c r="Q350" s="54">
        <v>558</v>
      </c>
      <c r="R350" s="54">
        <v>600</v>
      </c>
      <c r="S350" s="54">
        <v>331</v>
      </c>
      <c r="T350" s="54">
        <v>797</v>
      </c>
      <c r="U350" s="54">
        <v>97</v>
      </c>
      <c r="V350" s="54">
        <v>351</v>
      </c>
      <c r="W350" s="54">
        <v>769</v>
      </c>
      <c r="X350" s="54">
        <v>0</v>
      </c>
    </row>
    <row r="351" spans="1:24">
      <c r="A351" s="52">
        <v>46124</v>
      </c>
      <c r="B351" s="53" t="s">
        <v>995</v>
      </c>
      <c r="C351" s="54">
        <v>158.772769252248</v>
      </c>
      <c r="D351" s="54">
        <v>204.55076632390401</v>
      </c>
      <c r="E351" s="54">
        <v>211.28780829239099</v>
      </c>
      <c r="F351" s="54">
        <v>445.09084695088109</v>
      </c>
      <c r="G351" s="54">
        <v>268.85938999802863</v>
      </c>
      <c r="H351" s="54">
        <v>299.09558940885194</v>
      </c>
      <c r="I351" s="54">
        <v>206.77456939663068</v>
      </c>
      <c r="J351" s="54">
        <v>256.54694932365351</v>
      </c>
      <c r="K351" s="54">
        <v>404.75378607373898</v>
      </c>
      <c r="L351" s="54">
        <v>224.82752497967209</v>
      </c>
      <c r="M351" s="54">
        <f t="shared" si="5"/>
        <v>991.44000000000051</v>
      </c>
      <c r="N351" s="55">
        <v>3672</v>
      </c>
      <c r="O351" s="54">
        <v>156</v>
      </c>
      <c r="P351" s="54">
        <v>2</v>
      </c>
      <c r="Q351" s="54">
        <v>558</v>
      </c>
      <c r="R351" s="54">
        <v>600</v>
      </c>
      <c r="S351" s="54">
        <v>331</v>
      </c>
      <c r="T351" s="54">
        <v>797</v>
      </c>
      <c r="U351" s="54">
        <v>97</v>
      </c>
      <c r="V351" s="54">
        <v>351</v>
      </c>
      <c r="W351" s="54">
        <v>780</v>
      </c>
      <c r="X351" s="54">
        <v>0</v>
      </c>
    </row>
    <row r="352" spans="1:24">
      <c r="A352" s="52">
        <v>46125</v>
      </c>
      <c r="B352" s="53" t="s">
        <v>995</v>
      </c>
      <c r="C352" s="54">
        <v>147.57392741228821</v>
      </c>
      <c r="D352" s="54">
        <v>190.12302981031709</v>
      </c>
      <c r="E352" s="54">
        <v>196.38488281642984</v>
      </c>
      <c r="F352" s="54">
        <v>413.69691193991207</v>
      </c>
      <c r="G352" s="54">
        <v>249.89572387343998</v>
      </c>
      <c r="H352" s="54">
        <v>277.99925017767202</v>
      </c>
      <c r="I352" s="54">
        <v>192.18997967067006</v>
      </c>
      <c r="J352" s="54">
        <v>238.45172604619538</v>
      </c>
      <c r="K352" s="54">
        <v>376.20497599936579</v>
      </c>
      <c r="L352" s="54">
        <v>208.96959225370938</v>
      </c>
      <c r="M352" s="54">
        <f t="shared" si="5"/>
        <v>921.51000000000022</v>
      </c>
      <c r="N352" s="55">
        <v>3413</v>
      </c>
      <c r="O352" s="54">
        <v>135</v>
      </c>
      <c r="P352" s="54">
        <v>1</v>
      </c>
      <c r="Q352" s="54">
        <v>486</v>
      </c>
      <c r="R352" s="54">
        <v>600</v>
      </c>
      <c r="S352" s="54">
        <v>288</v>
      </c>
      <c r="T352" s="54">
        <v>693</v>
      </c>
      <c r="U352" s="54">
        <v>84</v>
      </c>
      <c r="V352" s="54">
        <v>306</v>
      </c>
      <c r="W352" s="54">
        <v>746</v>
      </c>
      <c r="X352" s="54">
        <v>74</v>
      </c>
    </row>
    <row r="353" spans="1:24">
      <c r="A353" s="52">
        <v>46126</v>
      </c>
      <c r="B353" s="53" t="s">
        <v>995</v>
      </c>
      <c r="C353" s="54">
        <v>148.26574775761392</v>
      </c>
      <c r="D353" s="54">
        <v>191.01431855246921</v>
      </c>
      <c r="E353" s="54">
        <v>197.30552686127689</v>
      </c>
      <c r="F353" s="54">
        <v>415.63630560854341</v>
      </c>
      <c r="G353" s="54">
        <v>251.0672244834532</v>
      </c>
      <c r="H353" s="54">
        <v>279.30249893326618</v>
      </c>
      <c r="I353" s="54">
        <v>193.09095818655953</v>
      </c>
      <c r="J353" s="54">
        <v>239.56957767723529</v>
      </c>
      <c r="K353" s="54">
        <v>377.96860905415332</v>
      </c>
      <c r="L353" s="54">
        <v>209.9492328854291</v>
      </c>
      <c r="M353" s="54">
        <f t="shared" si="5"/>
        <v>925.82999999999993</v>
      </c>
      <c r="N353" s="55">
        <v>3429</v>
      </c>
      <c r="O353" s="54">
        <v>135</v>
      </c>
      <c r="P353" s="54">
        <v>1</v>
      </c>
      <c r="Q353" s="54">
        <v>486</v>
      </c>
      <c r="R353" s="54">
        <v>600</v>
      </c>
      <c r="S353" s="54">
        <v>288</v>
      </c>
      <c r="T353" s="54">
        <v>693</v>
      </c>
      <c r="U353" s="54">
        <v>84</v>
      </c>
      <c r="V353" s="54">
        <v>306</v>
      </c>
      <c r="W353" s="54">
        <v>762</v>
      </c>
      <c r="X353" s="54">
        <v>74</v>
      </c>
    </row>
    <row r="354" spans="1:24">
      <c r="A354" s="52">
        <v>46127</v>
      </c>
      <c r="B354" s="53" t="s">
        <v>995</v>
      </c>
      <c r="C354" s="54">
        <v>148.43870284394538</v>
      </c>
      <c r="D354" s="54">
        <v>191.23714073800724</v>
      </c>
      <c r="E354" s="54">
        <v>197.53568787248864</v>
      </c>
      <c r="F354" s="54">
        <v>416.12115402570123</v>
      </c>
      <c r="G354" s="54">
        <v>251.36009963595652</v>
      </c>
      <c r="H354" s="54">
        <v>279.62831112216469</v>
      </c>
      <c r="I354" s="54">
        <v>193.31620281553191</v>
      </c>
      <c r="J354" s="54">
        <v>239.84904058499527</v>
      </c>
      <c r="K354" s="54">
        <v>378.40951731785026</v>
      </c>
      <c r="L354" s="54">
        <v>210.19414304335902</v>
      </c>
      <c r="M354" s="54">
        <f t="shared" si="5"/>
        <v>926.90999999999985</v>
      </c>
      <c r="N354" s="55">
        <v>3433</v>
      </c>
      <c r="O354" s="54">
        <v>135</v>
      </c>
      <c r="P354" s="54">
        <v>1</v>
      </c>
      <c r="Q354" s="54">
        <v>486</v>
      </c>
      <c r="R354" s="54">
        <v>600</v>
      </c>
      <c r="S354" s="54">
        <v>288</v>
      </c>
      <c r="T354" s="54">
        <v>693</v>
      </c>
      <c r="U354" s="54">
        <v>84</v>
      </c>
      <c r="V354" s="54">
        <v>306</v>
      </c>
      <c r="W354" s="54">
        <v>766</v>
      </c>
      <c r="X354" s="54">
        <v>74</v>
      </c>
    </row>
    <row r="355" spans="1:24">
      <c r="A355" s="52">
        <v>46128</v>
      </c>
      <c r="B355" s="53" t="s">
        <v>995</v>
      </c>
      <c r="C355" s="54">
        <v>148.3089865291968</v>
      </c>
      <c r="D355" s="54">
        <v>191.07002409885371</v>
      </c>
      <c r="E355" s="54">
        <v>197.36306711407983</v>
      </c>
      <c r="F355" s="54">
        <v>415.75751771283285</v>
      </c>
      <c r="G355" s="54">
        <v>251.14044327157902</v>
      </c>
      <c r="H355" s="54">
        <v>279.38395198049079</v>
      </c>
      <c r="I355" s="54">
        <v>193.14726934380263</v>
      </c>
      <c r="J355" s="54">
        <v>239.6394434041753</v>
      </c>
      <c r="K355" s="54">
        <v>378.07883612007754</v>
      </c>
      <c r="L355" s="54">
        <v>210.01046042491157</v>
      </c>
      <c r="M355" s="54">
        <f t="shared" si="5"/>
        <v>926.09999999999945</v>
      </c>
      <c r="N355" s="55">
        <v>3430</v>
      </c>
      <c r="O355" s="54">
        <v>135</v>
      </c>
      <c r="P355" s="54">
        <v>1</v>
      </c>
      <c r="Q355" s="54">
        <v>486</v>
      </c>
      <c r="R355" s="54">
        <v>600</v>
      </c>
      <c r="S355" s="54">
        <v>288</v>
      </c>
      <c r="T355" s="54">
        <v>693</v>
      </c>
      <c r="U355" s="54">
        <v>84</v>
      </c>
      <c r="V355" s="54">
        <v>306</v>
      </c>
      <c r="W355" s="54">
        <v>763</v>
      </c>
      <c r="X355" s="54">
        <v>74</v>
      </c>
    </row>
    <row r="356" spans="1:24">
      <c r="A356" s="52">
        <v>46129</v>
      </c>
      <c r="B356" s="53" t="s">
        <v>995</v>
      </c>
      <c r="C356" s="54">
        <v>149.34671704718534</v>
      </c>
      <c r="D356" s="54">
        <v>192.40695721208183</v>
      </c>
      <c r="E356" s="54">
        <v>198.74403318135035</v>
      </c>
      <c r="F356" s="54">
        <v>418.66660821577983</v>
      </c>
      <c r="G356" s="54">
        <v>252.89769418659881</v>
      </c>
      <c r="H356" s="54">
        <v>281.33882511388197</v>
      </c>
      <c r="I356" s="54">
        <v>194.49873711763681</v>
      </c>
      <c r="J356" s="54">
        <v>241.31622085073511</v>
      </c>
      <c r="K356" s="54">
        <v>380.72428570225884</v>
      </c>
      <c r="L356" s="54">
        <v>211.47992137249113</v>
      </c>
      <c r="M356" s="54">
        <f t="shared" si="5"/>
        <v>932.57999999999993</v>
      </c>
      <c r="N356" s="55">
        <v>3454</v>
      </c>
      <c r="O356" s="54">
        <v>135</v>
      </c>
      <c r="P356" s="54">
        <v>1</v>
      </c>
      <c r="Q356" s="54">
        <v>486</v>
      </c>
      <c r="R356" s="54">
        <v>600</v>
      </c>
      <c r="S356" s="54">
        <v>288</v>
      </c>
      <c r="T356" s="54">
        <v>693</v>
      </c>
      <c r="U356" s="54">
        <v>84</v>
      </c>
      <c r="V356" s="54">
        <v>306</v>
      </c>
      <c r="W356" s="54">
        <v>787</v>
      </c>
      <c r="X356" s="54">
        <v>74</v>
      </c>
    </row>
    <row r="357" spans="1:24">
      <c r="A357" s="52">
        <v>46130</v>
      </c>
      <c r="B357" s="53" t="s">
        <v>995</v>
      </c>
      <c r="C357" s="54">
        <v>161.06442414613937</v>
      </c>
      <c r="D357" s="54">
        <v>207.50316028228281</v>
      </c>
      <c r="E357" s="54">
        <v>214.33744169094675</v>
      </c>
      <c r="F357" s="54">
        <v>451.51508847822225</v>
      </c>
      <c r="G357" s="54">
        <v>272.73998576869735</v>
      </c>
      <c r="H357" s="54">
        <v>303.41260091175747</v>
      </c>
      <c r="I357" s="54">
        <v>209.75906073051451</v>
      </c>
      <c r="J357" s="54">
        <v>260.24983285147317</v>
      </c>
      <c r="K357" s="54">
        <v>410.59582056772268</v>
      </c>
      <c r="L357" s="54">
        <v>228.07258457224361</v>
      </c>
      <c r="M357" s="54">
        <f t="shared" si="5"/>
        <v>1005.7500000000005</v>
      </c>
      <c r="N357" s="55">
        <v>3725</v>
      </c>
      <c r="O357" s="54">
        <v>156</v>
      </c>
      <c r="P357" s="54">
        <v>2</v>
      </c>
      <c r="Q357" s="54">
        <v>558</v>
      </c>
      <c r="R357" s="54">
        <v>600</v>
      </c>
      <c r="S357" s="54">
        <v>331</v>
      </c>
      <c r="T357" s="54">
        <v>797</v>
      </c>
      <c r="U357" s="54">
        <v>97</v>
      </c>
      <c r="V357" s="54">
        <v>351</v>
      </c>
      <c r="W357" s="54">
        <v>833</v>
      </c>
      <c r="X357" s="54">
        <v>0</v>
      </c>
    </row>
    <row r="358" spans="1:24">
      <c r="A358" s="52">
        <v>46131</v>
      </c>
      <c r="B358" s="53" t="s">
        <v>995</v>
      </c>
      <c r="C358" s="54">
        <v>161.3238567756365</v>
      </c>
      <c r="D358" s="54">
        <v>207.83739356058985</v>
      </c>
      <c r="E358" s="54">
        <v>214.6826832077644</v>
      </c>
      <c r="F358" s="54">
        <v>452.24236110395901</v>
      </c>
      <c r="G358" s="54">
        <v>273.17929849745229</v>
      </c>
      <c r="H358" s="54">
        <v>303.90131919510532</v>
      </c>
      <c r="I358" s="54">
        <v>210.09692767397306</v>
      </c>
      <c r="J358" s="54">
        <v>260.66902721311311</v>
      </c>
      <c r="K358" s="54">
        <v>411.25718296326806</v>
      </c>
      <c r="L358" s="54">
        <v>228.43994980913851</v>
      </c>
      <c r="M358" s="54">
        <f t="shared" si="5"/>
        <v>1007.3700000000003</v>
      </c>
      <c r="N358" s="55">
        <v>3731</v>
      </c>
      <c r="O358" s="54">
        <v>156</v>
      </c>
      <c r="P358" s="54">
        <v>2</v>
      </c>
      <c r="Q358" s="54">
        <v>558</v>
      </c>
      <c r="R358" s="54">
        <v>600</v>
      </c>
      <c r="S358" s="54">
        <v>331</v>
      </c>
      <c r="T358" s="54">
        <v>797</v>
      </c>
      <c r="U358" s="54">
        <v>97</v>
      </c>
      <c r="V358" s="54">
        <v>351</v>
      </c>
      <c r="W358" s="54">
        <v>839</v>
      </c>
      <c r="X358" s="54">
        <v>0</v>
      </c>
    </row>
    <row r="359" spans="1:24">
      <c r="A359" s="52">
        <v>46132</v>
      </c>
      <c r="B359" s="53" t="s">
        <v>995</v>
      </c>
      <c r="C359" s="54">
        <v>151.37893931157959</v>
      </c>
      <c r="D359" s="54">
        <v>195.02511789215359</v>
      </c>
      <c r="E359" s="54">
        <v>201.44842506308848</v>
      </c>
      <c r="F359" s="54">
        <v>424.36357711738424</v>
      </c>
      <c r="G359" s="54">
        <v>256.33897722851259</v>
      </c>
      <c r="H359" s="54">
        <v>285.1671183334397</v>
      </c>
      <c r="I359" s="54">
        <v>197.14536150806208</v>
      </c>
      <c r="J359" s="54">
        <v>244.59991001691478</v>
      </c>
      <c r="K359" s="54">
        <v>385.90495780069722</v>
      </c>
      <c r="L359" s="54">
        <v>214.35761572816776</v>
      </c>
      <c r="M359" s="54">
        <f t="shared" si="5"/>
        <v>945.27</v>
      </c>
      <c r="N359" s="55">
        <v>3501</v>
      </c>
      <c r="O359" s="54">
        <v>135</v>
      </c>
      <c r="P359" s="54">
        <v>1</v>
      </c>
      <c r="Q359" s="54">
        <v>486</v>
      </c>
      <c r="R359" s="54">
        <v>600</v>
      </c>
      <c r="S359" s="54">
        <v>288</v>
      </c>
      <c r="T359" s="54">
        <v>693</v>
      </c>
      <c r="U359" s="54">
        <v>84</v>
      </c>
      <c r="V359" s="54">
        <v>306</v>
      </c>
      <c r="W359" s="54">
        <v>834</v>
      </c>
      <c r="X359" s="54">
        <v>74</v>
      </c>
    </row>
    <row r="360" spans="1:24">
      <c r="A360" s="52">
        <v>46133</v>
      </c>
      <c r="B360" s="53" t="s">
        <v>995</v>
      </c>
      <c r="C360" s="54">
        <v>156.09196541411089</v>
      </c>
      <c r="D360" s="54">
        <v>201.09702244806468</v>
      </c>
      <c r="E360" s="54">
        <v>207.72031261860877</v>
      </c>
      <c r="F360" s="54">
        <v>437.57569648493484</v>
      </c>
      <c r="G360" s="54">
        <v>264.31982513422747</v>
      </c>
      <c r="H360" s="54">
        <v>294.04550048092466</v>
      </c>
      <c r="I360" s="54">
        <v>203.283277647559</v>
      </c>
      <c r="J360" s="54">
        <v>252.21527425337396</v>
      </c>
      <c r="K360" s="54">
        <v>397.91970798643729</v>
      </c>
      <c r="L360" s="54">
        <v>221.03141753175822</v>
      </c>
      <c r="M360" s="54">
        <f t="shared" si="5"/>
        <v>974.70000000000027</v>
      </c>
      <c r="N360" s="55">
        <v>3610</v>
      </c>
      <c r="O360" s="54">
        <v>135</v>
      </c>
      <c r="P360" s="54">
        <v>2</v>
      </c>
      <c r="Q360" s="54">
        <v>486</v>
      </c>
      <c r="R360" s="54">
        <v>683</v>
      </c>
      <c r="S360" s="54">
        <v>288</v>
      </c>
      <c r="T360" s="54">
        <v>693</v>
      </c>
      <c r="U360" s="54">
        <v>84</v>
      </c>
      <c r="V360" s="54">
        <v>306</v>
      </c>
      <c r="W360" s="54">
        <v>859</v>
      </c>
      <c r="X360" s="54">
        <v>74</v>
      </c>
    </row>
    <row r="361" spans="1:24">
      <c r="A361" s="52">
        <v>46134</v>
      </c>
      <c r="B361" s="53" t="s">
        <v>995</v>
      </c>
      <c r="C361" s="54">
        <v>157.95123259217374</v>
      </c>
      <c r="D361" s="54">
        <v>203.49236094259842</v>
      </c>
      <c r="E361" s="54">
        <v>210.19454348913516</v>
      </c>
      <c r="F361" s="54">
        <v>442.78781696938148</v>
      </c>
      <c r="G361" s="54">
        <v>267.46823302363794</v>
      </c>
      <c r="H361" s="54">
        <v>297.54798151158394</v>
      </c>
      <c r="I361" s="54">
        <v>205.70465740901196</v>
      </c>
      <c r="J361" s="54">
        <v>255.21950051179368</v>
      </c>
      <c r="K361" s="54">
        <v>402.65947182117878</v>
      </c>
      <c r="L361" s="54">
        <v>223.66420172950495</v>
      </c>
      <c r="M361" s="54">
        <f t="shared" si="5"/>
        <v>986.31</v>
      </c>
      <c r="N361" s="55">
        <v>3653</v>
      </c>
      <c r="O361" s="54">
        <v>135</v>
      </c>
      <c r="P361" s="54">
        <v>2</v>
      </c>
      <c r="Q361" s="54">
        <v>486</v>
      </c>
      <c r="R361" s="54">
        <v>683</v>
      </c>
      <c r="S361" s="54">
        <v>288</v>
      </c>
      <c r="T361" s="54">
        <v>693</v>
      </c>
      <c r="U361" s="54">
        <v>84</v>
      </c>
      <c r="V361" s="54">
        <v>306</v>
      </c>
      <c r="W361" s="54">
        <v>902</v>
      </c>
      <c r="X361" s="54">
        <v>74</v>
      </c>
    </row>
    <row r="362" spans="1:24">
      <c r="A362" s="52">
        <v>46135</v>
      </c>
      <c r="B362" s="53" t="s">
        <v>995</v>
      </c>
      <c r="C362" s="54">
        <v>158.64305293749942</v>
      </c>
      <c r="D362" s="54">
        <v>204.38364968475051</v>
      </c>
      <c r="E362" s="54">
        <v>211.11518753398218</v>
      </c>
      <c r="F362" s="54">
        <v>444.72721063801276</v>
      </c>
      <c r="G362" s="54">
        <v>268.63973363365113</v>
      </c>
      <c r="H362" s="54">
        <v>298.85123026717804</v>
      </c>
      <c r="I362" s="54">
        <v>206.60563592490141</v>
      </c>
      <c r="J362" s="54">
        <v>256.33735214283354</v>
      </c>
      <c r="K362" s="54">
        <v>404.42310487596632</v>
      </c>
      <c r="L362" s="54">
        <v>224.64384236122464</v>
      </c>
      <c r="M362" s="54">
        <f t="shared" si="5"/>
        <v>990.63000000000011</v>
      </c>
      <c r="N362" s="55">
        <v>3669</v>
      </c>
      <c r="O362" s="54">
        <v>135</v>
      </c>
      <c r="P362" s="54">
        <v>2</v>
      </c>
      <c r="Q362" s="54">
        <v>486</v>
      </c>
      <c r="R362" s="54">
        <v>683</v>
      </c>
      <c r="S362" s="54">
        <v>288</v>
      </c>
      <c r="T362" s="54">
        <v>693</v>
      </c>
      <c r="U362" s="54">
        <v>84</v>
      </c>
      <c r="V362" s="54">
        <v>306</v>
      </c>
      <c r="W362" s="54">
        <v>918</v>
      </c>
      <c r="X362" s="54">
        <v>74</v>
      </c>
    </row>
    <row r="363" spans="1:24">
      <c r="A363" s="52">
        <v>46136</v>
      </c>
      <c r="B363" s="53" t="s">
        <v>995</v>
      </c>
      <c r="C363" s="54">
        <v>159.29163451124225</v>
      </c>
      <c r="D363" s="54">
        <v>205.21923288051806</v>
      </c>
      <c r="E363" s="54">
        <v>211.97829132602624</v>
      </c>
      <c r="F363" s="54">
        <v>446.54539220235455</v>
      </c>
      <c r="G363" s="54">
        <v>269.73801545553846</v>
      </c>
      <c r="H363" s="54">
        <v>300.07302597554752</v>
      </c>
      <c r="I363" s="54">
        <v>207.45030328354775</v>
      </c>
      <c r="J363" s="54">
        <v>257.38533804693344</v>
      </c>
      <c r="K363" s="54">
        <v>406.07651086482963</v>
      </c>
      <c r="L363" s="54">
        <v>225.56225545346186</v>
      </c>
      <c r="M363" s="54">
        <f t="shared" si="5"/>
        <v>994.67999999999984</v>
      </c>
      <c r="N363" s="55">
        <v>3684</v>
      </c>
      <c r="O363" s="54">
        <v>135</v>
      </c>
      <c r="P363" s="54">
        <v>2</v>
      </c>
      <c r="Q363" s="54">
        <v>486</v>
      </c>
      <c r="R363" s="54">
        <v>683</v>
      </c>
      <c r="S363" s="54">
        <v>288</v>
      </c>
      <c r="T363" s="54">
        <v>693</v>
      </c>
      <c r="U363" s="54">
        <v>84</v>
      </c>
      <c r="V363" s="54">
        <v>306</v>
      </c>
      <c r="W363" s="54">
        <v>933</v>
      </c>
      <c r="X363" s="54">
        <v>74</v>
      </c>
    </row>
    <row r="364" spans="1:24">
      <c r="A364" s="52">
        <v>46137</v>
      </c>
      <c r="B364" s="53" t="s">
        <v>995</v>
      </c>
      <c r="C364" s="54">
        <v>174.1657719357448</v>
      </c>
      <c r="D364" s="54">
        <v>224.38194083678798</v>
      </c>
      <c r="E364" s="54">
        <v>231.77213829023719</v>
      </c>
      <c r="F364" s="54">
        <v>488.24235607792735</v>
      </c>
      <c r="G364" s="54">
        <v>294.92527857082223</v>
      </c>
      <c r="H364" s="54">
        <v>328.09287422082127</v>
      </c>
      <c r="I364" s="54">
        <v>226.82134137517113</v>
      </c>
      <c r="J364" s="54">
        <v>281.41914811429098</v>
      </c>
      <c r="K364" s="54">
        <v>443.99462154276165</v>
      </c>
      <c r="L364" s="54">
        <v>246.62452903543553</v>
      </c>
      <c r="M364" s="54">
        <f t="shared" si="5"/>
        <v>1087.56</v>
      </c>
      <c r="N364" s="55">
        <v>4028</v>
      </c>
      <c r="O364" s="54">
        <v>156</v>
      </c>
      <c r="P364" s="54">
        <v>2</v>
      </c>
      <c r="Q364" s="54">
        <v>558</v>
      </c>
      <c r="R364" s="54">
        <v>683</v>
      </c>
      <c r="S364" s="54">
        <v>331</v>
      </c>
      <c r="T364" s="54">
        <v>797</v>
      </c>
      <c r="U364" s="54">
        <v>97</v>
      </c>
      <c r="V364" s="54">
        <v>351</v>
      </c>
      <c r="W364" s="54">
        <v>1053</v>
      </c>
      <c r="X364" s="54">
        <v>0</v>
      </c>
    </row>
    <row r="365" spans="1:24">
      <c r="A365" s="52">
        <v>46138</v>
      </c>
      <c r="B365" s="53" t="s">
        <v>995</v>
      </c>
      <c r="C365" s="54">
        <v>166.81518076665927</v>
      </c>
      <c r="D365" s="54">
        <v>214.91199795142205</v>
      </c>
      <c r="E365" s="54">
        <v>221.99029531373762</v>
      </c>
      <c r="F365" s="54">
        <v>467.63629834871989</v>
      </c>
      <c r="G365" s="54">
        <v>282.47808458943206</v>
      </c>
      <c r="H365" s="54">
        <v>314.24585619263371</v>
      </c>
      <c r="I365" s="54">
        <v>217.24844464384563</v>
      </c>
      <c r="J365" s="54">
        <v>269.54197453449223</v>
      </c>
      <c r="K365" s="54">
        <v>425.25602033564411</v>
      </c>
      <c r="L365" s="54">
        <v>236.21584732341367</v>
      </c>
      <c r="M365" s="54">
        <f t="shared" si="5"/>
        <v>1041.6599999999999</v>
      </c>
      <c r="N365" s="55">
        <v>3858</v>
      </c>
      <c r="O365" s="54">
        <v>156</v>
      </c>
      <c r="P365" s="54">
        <v>2</v>
      </c>
      <c r="Q365" s="54">
        <v>558</v>
      </c>
      <c r="R365" s="54">
        <v>683</v>
      </c>
      <c r="S365" s="54">
        <v>331</v>
      </c>
      <c r="T365" s="54">
        <v>797</v>
      </c>
      <c r="U365" s="54">
        <v>97</v>
      </c>
      <c r="V365" s="54">
        <v>351</v>
      </c>
      <c r="W365" s="54">
        <v>883</v>
      </c>
      <c r="X365" s="54">
        <v>0</v>
      </c>
    </row>
    <row r="366" spans="1:24">
      <c r="A366" s="52">
        <v>46139</v>
      </c>
      <c r="B366" s="53" t="s">
        <v>995</v>
      </c>
      <c r="C366" s="54">
        <v>169.97161109220775</v>
      </c>
      <c r="D366" s="54">
        <v>218.97850283749094</v>
      </c>
      <c r="E366" s="54">
        <v>226.19073376835212</v>
      </c>
      <c r="F366" s="54">
        <v>476.48478196185016</v>
      </c>
      <c r="G366" s="54">
        <v>287.82305612261723</v>
      </c>
      <c r="H366" s="54">
        <v>320.1919286400319</v>
      </c>
      <c r="I366" s="54">
        <v>221.35915912259128</v>
      </c>
      <c r="J366" s="54">
        <v>274.64217260111167</v>
      </c>
      <c r="K366" s="54">
        <v>433.30259614811223</v>
      </c>
      <c r="L366" s="54">
        <v>240.6854577056348</v>
      </c>
      <c r="M366" s="54">
        <f t="shared" si="5"/>
        <v>1061.3700000000003</v>
      </c>
      <c r="N366" s="55">
        <v>3931</v>
      </c>
      <c r="O366" s="54">
        <v>135</v>
      </c>
      <c r="P366" s="54">
        <v>2</v>
      </c>
      <c r="Q366" s="54">
        <v>486</v>
      </c>
      <c r="R366" s="54">
        <v>683</v>
      </c>
      <c r="S366" s="54">
        <v>288</v>
      </c>
      <c r="T366" s="54">
        <v>993</v>
      </c>
      <c r="U366" s="54">
        <v>84</v>
      </c>
      <c r="V366" s="54">
        <v>306</v>
      </c>
      <c r="W366" s="54">
        <v>880</v>
      </c>
      <c r="X366" s="54">
        <v>74</v>
      </c>
    </row>
    <row r="367" spans="1:24">
      <c r="A367" s="52">
        <v>46140</v>
      </c>
      <c r="B367" s="53" t="s">
        <v>995</v>
      </c>
      <c r="C367" s="54">
        <v>170.53371512278488</v>
      </c>
      <c r="D367" s="54">
        <v>219.70267494048949</v>
      </c>
      <c r="E367" s="54">
        <v>226.93875705479033</v>
      </c>
      <c r="F367" s="54">
        <v>478.06053931761306</v>
      </c>
      <c r="G367" s="54">
        <v>288.77490036825293</v>
      </c>
      <c r="H367" s="54">
        <v>321.2508182539521</v>
      </c>
      <c r="I367" s="54">
        <v>222.09120416675145</v>
      </c>
      <c r="J367" s="54">
        <v>275.55042705133155</v>
      </c>
      <c r="K367" s="54">
        <v>434.73554800512704</v>
      </c>
      <c r="L367" s="54">
        <v>241.48141571890704</v>
      </c>
      <c r="M367" s="54">
        <f t="shared" si="5"/>
        <v>1064.8800000000001</v>
      </c>
      <c r="N367" s="55">
        <v>3944</v>
      </c>
      <c r="O367" s="54">
        <v>135</v>
      </c>
      <c r="P367" s="54">
        <v>2</v>
      </c>
      <c r="Q367" s="54">
        <v>486</v>
      </c>
      <c r="R367" s="54">
        <v>683</v>
      </c>
      <c r="S367" s="54">
        <v>288</v>
      </c>
      <c r="T367" s="54">
        <v>986</v>
      </c>
      <c r="U367" s="54">
        <v>84</v>
      </c>
      <c r="V367" s="54">
        <v>306</v>
      </c>
      <c r="W367" s="54">
        <v>900</v>
      </c>
      <c r="X367" s="54">
        <v>74</v>
      </c>
    </row>
    <row r="368" spans="1:24">
      <c r="A368" s="52">
        <v>46141</v>
      </c>
      <c r="B368" s="53" t="s">
        <v>995</v>
      </c>
      <c r="C368" s="54">
        <v>157.73503873425943</v>
      </c>
      <c r="D368" s="54">
        <v>203.21383321067589</v>
      </c>
      <c r="E368" s="54">
        <v>209.90684222512047</v>
      </c>
      <c r="F368" s="54">
        <v>442.18175644793416</v>
      </c>
      <c r="G368" s="54">
        <v>267.10213908300881</v>
      </c>
      <c r="H368" s="54">
        <v>297.14071627546076</v>
      </c>
      <c r="I368" s="54">
        <v>205.42310162279648</v>
      </c>
      <c r="J368" s="54">
        <v>254.8701718770937</v>
      </c>
      <c r="K368" s="54">
        <v>402.10833649155768</v>
      </c>
      <c r="L368" s="54">
        <v>223.35806403209253</v>
      </c>
      <c r="M368" s="54">
        <f t="shared" si="5"/>
        <v>984.96</v>
      </c>
      <c r="N368" s="55">
        <v>3648</v>
      </c>
      <c r="O368" s="54">
        <v>135</v>
      </c>
      <c r="P368" s="54">
        <v>2</v>
      </c>
      <c r="Q368" s="54">
        <v>486</v>
      </c>
      <c r="R368" s="54">
        <v>683</v>
      </c>
      <c r="S368" s="54">
        <v>288</v>
      </c>
      <c r="T368" s="54">
        <v>693</v>
      </c>
      <c r="U368" s="54">
        <v>84</v>
      </c>
      <c r="V368" s="54">
        <v>306</v>
      </c>
      <c r="W368" s="54">
        <v>897</v>
      </c>
      <c r="X368" s="54">
        <v>74</v>
      </c>
    </row>
    <row r="369" spans="1:24">
      <c r="A369" s="52">
        <v>46142</v>
      </c>
      <c r="B369" s="53" t="s">
        <v>995</v>
      </c>
      <c r="C369" s="54">
        <v>160.02669362815081</v>
      </c>
      <c r="D369" s="54">
        <v>206.16622716905468</v>
      </c>
      <c r="E369" s="54">
        <v>212.95647562367623</v>
      </c>
      <c r="F369" s="54">
        <v>448.60599797527533</v>
      </c>
      <c r="G369" s="54">
        <v>270.98273485367753</v>
      </c>
      <c r="H369" s="54">
        <v>301.45772777836629</v>
      </c>
      <c r="I369" s="54">
        <v>208.40759295668033</v>
      </c>
      <c r="J369" s="54">
        <v>258.5730554049133</v>
      </c>
      <c r="K369" s="54">
        <v>407.95037098554138</v>
      </c>
      <c r="L369" s="54">
        <v>226.60312362466405</v>
      </c>
      <c r="M369" s="54">
        <f t="shared" si="5"/>
        <v>999.27000000000044</v>
      </c>
      <c r="N369" s="55">
        <v>3701</v>
      </c>
      <c r="O369" s="54">
        <v>143</v>
      </c>
      <c r="P369" s="54">
        <v>2</v>
      </c>
      <c r="Q369" s="54">
        <v>486</v>
      </c>
      <c r="R369" s="54">
        <v>685</v>
      </c>
      <c r="S369" s="54">
        <v>295</v>
      </c>
      <c r="T369" s="54">
        <v>693</v>
      </c>
      <c r="U369" s="54">
        <v>89</v>
      </c>
      <c r="V369" s="54">
        <v>306</v>
      </c>
      <c r="W369" s="54">
        <v>919</v>
      </c>
      <c r="X369" s="54">
        <v>83</v>
      </c>
    </row>
    <row r="370" spans="1:24">
      <c r="A370" s="52">
        <v>46143</v>
      </c>
      <c r="B370" s="53" t="s">
        <v>995</v>
      </c>
      <c r="C370" s="54">
        <v>273.21812999999997</v>
      </c>
      <c r="D370" s="54">
        <v>347.09255999999993</v>
      </c>
      <c r="E370" s="54">
        <v>325.98558000000003</v>
      </c>
      <c r="F370" s="54">
        <v>816.13655999999992</v>
      </c>
      <c r="G370" s="54">
        <v>566.37062999999989</v>
      </c>
      <c r="H370" s="54">
        <v>590.99543999999992</v>
      </c>
      <c r="I370" s="54">
        <v>344.74733999999995</v>
      </c>
      <c r="J370" s="54">
        <v>425.65742999999998</v>
      </c>
      <c r="K370" s="54">
        <v>593.34065999999996</v>
      </c>
      <c r="L370" s="54">
        <v>406.89566999999994</v>
      </c>
      <c r="M370" s="54">
        <f t="shared" si="5"/>
        <v>763.5600000000004</v>
      </c>
      <c r="N370" s="55">
        <v>5454</v>
      </c>
      <c r="O370" s="59">
        <v>306</v>
      </c>
      <c r="P370" s="59">
        <v>2</v>
      </c>
      <c r="Q370" s="59">
        <v>796</v>
      </c>
      <c r="R370" s="59">
        <v>769</v>
      </c>
      <c r="S370" s="59">
        <v>550</v>
      </c>
      <c r="T370" s="59">
        <v>600</v>
      </c>
      <c r="U370" s="59">
        <v>688</v>
      </c>
      <c r="V370" s="59">
        <v>644</v>
      </c>
      <c r="W370" s="59">
        <v>1099</v>
      </c>
      <c r="X370" s="59">
        <v>0</v>
      </c>
    </row>
    <row r="371" spans="1:24">
      <c r="A371" s="52">
        <v>46144</v>
      </c>
      <c r="B371" s="53" t="s">
        <v>995</v>
      </c>
      <c r="C371" s="54">
        <v>268.35891499999997</v>
      </c>
      <c r="D371" s="54">
        <v>340.91947999999996</v>
      </c>
      <c r="E371" s="54">
        <v>320.18788999999998</v>
      </c>
      <c r="F371" s="54">
        <v>801.62147999999991</v>
      </c>
      <c r="G371" s="54">
        <v>556.29766499999994</v>
      </c>
      <c r="H371" s="54">
        <v>580.48451999999997</v>
      </c>
      <c r="I371" s="54">
        <v>338.61596999999995</v>
      </c>
      <c r="J371" s="54">
        <v>418.08706499999994</v>
      </c>
      <c r="K371" s="54">
        <v>582.78802999999994</v>
      </c>
      <c r="L371" s="54">
        <v>399.65898499999992</v>
      </c>
      <c r="M371" s="54">
        <f t="shared" si="5"/>
        <v>749.98000000000047</v>
      </c>
      <c r="N371" s="55">
        <v>5357</v>
      </c>
      <c r="O371" s="59">
        <v>306</v>
      </c>
      <c r="P371" s="59">
        <v>2</v>
      </c>
      <c r="Q371" s="59">
        <v>796</v>
      </c>
      <c r="R371" s="59">
        <v>769</v>
      </c>
      <c r="S371" s="59">
        <v>500</v>
      </c>
      <c r="T371" s="59">
        <v>600</v>
      </c>
      <c r="U371" s="59">
        <v>687</v>
      </c>
      <c r="V371" s="59">
        <v>644</v>
      </c>
      <c r="W371" s="59">
        <v>1053</v>
      </c>
      <c r="X371" s="59">
        <v>0</v>
      </c>
    </row>
    <row r="372" spans="1:24">
      <c r="A372" s="52">
        <v>46145</v>
      </c>
      <c r="B372" s="53" t="s">
        <v>995</v>
      </c>
      <c r="C372" s="54">
        <v>268.85986500000001</v>
      </c>
      <c r="D372" s="54">
        <v>341.55588</v>
      </c>
      <c r="E372" s="54">
        <v>320.78559000000001</v>
      </c>
      <c r="F372" s="54">
        <v>803.1178799999999</v>
      </c>
      <c r="G372" s="54">
        <v>557.33611499999995</v>
      </c>
      <c r="H372" s="54">
        <v>581.56812000000002</v>
      </c>
      <c r="I372" s="54">
        <v>339.24806999999998</v>
      </c>
      <c r="J372" s="54">
        <v>418.86751499999997</v>
      </c>
      <c r="K372" s="54">
        <v>583.87593000000004</v>
      </c>
      <c r="L372" s="54">
        <v>400.40503499999994</v>
      </c>
      <c r="M372" s="54">
        <f t="shared" si="5"/>
        <v>751.38000000000011</v>
      </c>
      <c r="N372" s="55">
        <v>5367</v>
      </c>
      <c r="O372" s="59">
        <v>306</v>
      </c>
      <c r="P372" s="59">
        <v>2</v>
      </c>
      <c r="Q372" s="59">
        <v>796</v>
      </c>
      <c r="R372" s="59">
        <v>769</v>
      </c>
      <c r="S372" s="59">
        <v>500</v>
      </c>
      <c r="T372" s="59">
        <v>600</v>
      </c>
      <c r="U372" s="59">
        <v>680</v>
      </c>
      <c r="V372" s="59">
        <v>644</v>
      </c>
      <c r="W372" s="59">
        <v>1070</v>
      </c>
      <c r="X372" s="59">
        <v>0</v>
      </c>
    </row>
    <row r="373" spans="1:24">
      <c r="A373" s="52">
        <v>46146</v>
      </c>
      <c r="B373" s="53" t="s">
        <v>995</v>
      </c>
      <c r="C373" s="54">
        <v>262.24732500000005</v>
      </c>
      <c r="D373" s="54">
        <v>333.15539999999999</v>
      </c>
      <c r="E373" s="54">
        <v>312.89595000000003</v>
      </c>
      <c r="F373" s="54">
        <v>783.36540000000002</v>
      </c>
      <c r="G373" s="54">
        <v>543.62857500000007</v>
      </c>
      <c r="H373" s="54">
        <v>567.26460000000009</v>
      </c>
      <c r="I373" s="54">
        <v>330.90435000000002</v>
      </c>
      <c r="J373" s="54">
        <v>408.56557500000002</v>
      </c>
      <c r="K373" s="54">
        <v>569.51565000000005</v>
      </c>
      <c r="L373" s="54">
        <v>390.55717500000003</v>
      </c>
      <c r="M373" s="54">
        <f t="shared" si="5"/>
        <v>732.89999999999964</v>
      </c>
      <c r="N373" s="55">
        <v>5235</v>
      </c>
      <c r="O373" s="59">
        <v>306</v>
      </c>
      <c r="P373" s="59">
        <v>2</v>
      </c>
      <c r="Q373" s="59">
        <v>796</v>
      </c>
      <c r="R373" s="59">
        <v>769</v>
      </c>
      <c r="S373" s="59">
        <v>500</v>
      </c>
      <c r="T373" s="59">
        <v>600</v>
      </c>
      <c r="U373" s="59">
        <v>572</v>
      </c>
      <c r="V373" s="59">
        <v>644</v>
      </c>
      <c r="W373" s="59">
        <v>1046</v>
      </c>
      <c r="X373" s="59">
        <v>0</v>
      </c>
    </row>
    <row r="374" spans="1:24">
      <c r="A374" s="52">
        <v>46147</v>
      </c>
      <c r="B374" s="53" t="s">
        <v>995</v>
      </c>
      <c r="C374" s="54">
        <v>247.51939500000003</v>
      </c>
      <c r="D374" s="54">
        <v>314.44524000000001</v>
      </c>
      <c r="E374" s="54">
        <v>295.32357000000002</v>
      </c>
      <c r="F374" s="54">
        <v>739.37123999999994</v>
      </c>
      <c r="G374" s="54">
        <v>513.09814500000005</v>
      </c>
      <c r="H374" s="54">
        <v>535.40676000000008</v>
      </c>
      <c r="I374" s="54">
        <v>312.32060999999999</v>
      </c>
      <c r="J374" s="54">
        <v>385.62034499999999</v>
      </c>
      <c r="K374" s="54">
        <v>537.53138999999999</v>
      </c>
      <c r="L374" s="54">
        <v>368.62330500000002</v>
      </c>
      <c r="M374" s="54">
        <f t="shared" si="5"/>
        <v>691.74000000000069</v>
      </c>
      <c r="N374" s="55">
        <v>4941</v>
      </c>
      <c r="O374" s="59">
        <v>306</v>
      </c>
      <c r="P374" s="59">
        <v>2</v>
      </c>
      <c r="Q374" s="59">
        <v>796</v>
      </c>
      <c r="R374" s="59">
        <v>769</v>
      </c>
      <c r="S374" s="59">
        <v>500</v>
      </c>
      <c r="T374" s="59">
        <v>600</v>
      </c>
      <c r="U374" s="59">
        <v>348</v>
      </c>
      <c r="V374" s="59">
        <v>644</v>
      </c>
      <c r="W374" s="59">
        <v>976</v>
      </c>
      <c r="X374" s="59">
        <v>0</v>
      </c>
    </row>
    <row r="375" spans="1:24">
      <c r="A375" s="52">
        <v>46148</v>
      </c>
      <c r="B375" s="53" t="s">
        <v>995</v>
      </c>
      <c r="C375" s="54">
        <v>204.33750500000002</v>
      </c>
      <c r="D375" s="54">
        <v>259.58756</v>
      </c>
      <c r="E375" s="54">
        <v>243.80183000000002</v>
      </c>
      <c r="F375" s="54">
        <v>610.38155999999992</v>
      </c>
      <c r="G375" s="54">
        <v>423.583755</v>
      </c>
      <c r="H375" s="54">
        <v>442.00044000000003</v>
      </c>
      <c r="I375" s="54">
        <v>257.83359000000002</v>
      </c>
      <c r="J375" s="54">
        <v>318.34555499999999</v>
      </c>
      <c r="K375" s="54">
        <v>443.75441000000001</v>
      </c>
      <c r="L375" s="54">
        <v>304.31379499999997</v>
      </c>
      <c r="M375" s="54">
        <f t="shared" si="5"/>
        <v>571.05999999999995</v>
      </c>
      <c r="N375" s="55">
        <v>4079</v>
      </c>
      <c r="O375" s="59">
        <v>156</v>
      </c>
      <c r="P375" s="59">
        <v>1</v>
      </c>
      <c r="Q375" s="59">
        <v>530</v>
      </c>
      <c r="R375" s="59">
        <v>769</v>
      </c>
      <c r="S375" s="59">
        <v>350</v>
      </c>
      <c r="T375" s="59">
        <v>600</v>
      </c>
      <c r="U375" s="59">
        <v>21</v>
      </c>
      <c r="V375" s="59">
        <v>644</v>
      </c>
      <c r="W375" s="59">
        <v>924</v>
      </c>
      <c r="X375" s="59">
        <v>84</v>
      </c>
    </row>
    <row r="376" spans="1:24">
      <c r="A376" s="52">
        <v>46149</v>
      </c>
      <c r="B376" s="53" t="s">
        <v>995</v>
      </c>
      <c r="C376" s="54">
        <v>204.48779000000002</v>
      </c>
      <c r="D376" s="54">
        <v>259.77848</v>
      </c>
      <c r="E376" s="54">
        <v>243.98114000000001</v>
      </c>
      <c r="F376" s="54">
        <v>610.83047999999997</v>
      </c>
      <c r="G376" s="54">
        <v>423.89528999999999</v>
      </c>
      <c r="H376" s="54">
        <v>442.32551999999998</v>
      </c>
      <c r="I376" s="54">
        <v>258.02321999999998</v>
      </c>
      <c r="J376" s="54">
        <v>318.57968999999997</v>
      </c>
      <c r="K376" s="54">
        <v>444.08078</v>
      </c>
      <c r="L376" s="54">
        <v>304.53760999999997</v>
      </c>
      <c r="M376" s="54">
        <f t="shared" si="5"/>
        <v>571.48</v>
      </c>
      <c r="N376" s="55">
        <v>4082</v>
      </c>
      <c r="O376" s="59">
        <v>156</v>
      </c>
      <c r="P376" s="59">
        <v>1</v>
      </c>
      <c r="Q376" s="59">
        <v>530</v>
      </c>
      <c r="R376" s="59">
        <v>769</v>
      </c>
      <c r="S376" s="59">
        <v>350</v>
      </c>
      <c r="T376" s="59">
        <v>650</v>
      </c>
      <c r="U376" s="59">
        <v>0</v>
      </c>
      <c r="V376" s="59">
        <v>644</v>
      </c>
      <c r="W376" s="59">
        <v>898</v>
      </c>
      <c r="X376" s="59">
        <v>84</v>
      </c>
    </row>
    <row r="377" spans="1:24">
      <c r="A377" s="52">
        <v>46150</v>
      </c>
      <c r="B377" s="53" t="s">
        <v>995</v>
      </c>
      <c r="C377" s="54">
        <v>206.641875</v>
      </c>
      <c r="D377" s="54">
        <v>262.51499999999999</v>
      </c>
      <c r="E377" s="54">
        <v>246.55125000000001</v>
      </c>
      <c r="F377" s="54">
        <v>617.26499999999999</v>
      </c>
      <c r="G377" s="54">
        <v>428.36062499999997</v>
      </c>
      <c r="H377" s="54">
        <v>446.98500000000001</v>
      </c>
      <c r="I377" s="54">
        <v>260.74124999999998</v>
      </c>
      <c r="J377" s="54">
        <v>321.93562500000002</v>
      </c>
      <c r="K377" s="54">
        <v>448.75875000000002</v>
      </c>
      <c r="L377" s="54">
        <v>307.74562499999996</v>
      </c>
      <c r="M377" s="54">
        <f t="shared" si="5"/>
        <v>577.5</v>
      </c>
      <c r="N377" s="55">
        <v>4125</v>
      </c>
      <c r="O377" s="59">
        <v>156</v>
      </c>
      <c r="P377" s="59">
        <v>1</v>
      </c>
      <c r="Q377" s="59">
        <v>530</v>
      </c>
      <c r="R377" s="59">
        <v>769</v>
      </c>
      <c r="S377" s="59">
        <v>412</v>
      </c>
      <c r="T377" s="59">
        <v>650</v>
      </c>
      <c r="U377" s="59">
        <v>0</v>
      </c>
      <c r="V377" s="59">
        <v>644</v>
      </c>
      <c r="W377" s="59">
        <v>879</v>
      </c>
      <c r="X377" s="59">
        <v>84</v>
      </c>
    </row>
    <row r="378" spans="1:24">
      <c r="A378" s="52">
        <v>46151</v>
      </c>
      <c r="B378" s="53" t="s">
        <v>995</v>
      </c>
      <c r="C378" s="54">
        <v>212.80356</v>
      </c>
      <c r="D378" s="54">
        <v>270.34271999999999</v>
      </c>
      <c r="E378" s="54">
        <v>253.90296000000001</v>
      </c>
      <c r="F378" s="54">
        <v>635.67071999999996</v>
      </c>
      <c r="G378" s="54">
        <v>441.13355999999993</v>
      </c>
      <c r="H378" s="54">
        <v>460.31327999999996</v>
      </c>
      <c r="I378" s="54">
        <v>268.51607999999999</v>
      </c>
      <c r="J378" s="54">
        <v>331.53515999999996</v>
      </c>
      <c r="K378" s="54">
        <v>462.13991999999996</v>
      </c>
      <c r="L378" s="54">
        <v>316.92203999999998</v>
      </c>
      <c r="M378" s="54">
        <f t="shared" si="5"/>
        <v>594.72000000000025</v>
      </c>
      <c r="N378" s="55">
        <v>4248</v>
      </c>
      <c r="O378" s="59">
        <v>156</v>
      </c>
      <c r="P378" s="59">
        <v>1</v>
      </c>
      <c r="Q378" s="59">
        <v>530</v>
      </c>
      <c r="R378" s="59">
        <v>769</v>
      </c>
      <c r="S378" s="59">
        <v>456</v>
      </c>
      <c r="T378" s="59">
        <v>650</v>
      </c>
      <c r="U378" s="59">
        <v>22</v>
      </c>
      <c r="V378" s="59">
        <v>644</v>
      </c>
      <c r="W378" s="59">
        <v>936</v>
      </c>
      <c r="X378" s="59">
        <v>84</v>
      </c>
    </row>
    <row r="379" spans="1:24">
      <c r="A379" s="52">
        <v>46152</v>
      </c>
      <c r="B379" s="53" t="s">
        <v>995</v>
      </c>
      <c r="C379" s="54">
        <v>225.47759500000001</v>
      </c>
      <c r="D379" s="54">
        <v>286.44364000000002</v>
      </c>
      <c r="E379" s="54">
        <v>269.02477000000005</v>
      </c>
      <c r="F379" s="54">
        <v>673.52963999999997</v>
      </c>
      <c r="G379" s="54">
        <v>467.40634499999999</v>
      </c>
      <c r="H379" s="54">
        <v>487.72836000000001</v>
      </c>
      <c r="I379" s="54">
        <v>284.50821000000002</v>
      </c>
      <c r="J379" s="54">
        <v>351.28054500000002</v>
      </c>
      <c r="K379" s="54">
        <v>489.66379000000001</v>
      </c>
      <c r="L379" s="54">
        <v>335.79710499999999</v>
      </c>
      <c r="M379" s="54">
        <f t="shared" si="5"/>
        <v>630.13999999999987</v>
      </c>
      <c r="N379" s="55">
        <v>4501</v>
      </c>
      <c r="O379" s="59">
        <v>225</v>
      </c>
      <c r="P379" s="59">
        <v>1</v>
      </c>
      <c r="Q379" s="59">
        <v>796</v>
      </c>
      <c r="R379" s="59">
        <v>769</v>
      </c>
      <c r="S379" s="59">
        <v>456</v>
      </c>
      <c r="T379" s="59">
        <v>650</v>
      </c>
      <c r="U379" s="59">
        <v>22</v>
      </c>
      <c r="V379" s="59">
        <v>644</v>
      </c>
      <c r="W379" s="59">
        <v>938</v>
      </c>
      <c r="X379" s="59">
        <v>0</v>
      </c>
    </row>
    <row r="380" spans="1:24">
      <c r="A380" s="52">
        <v>46153</v>
      </c>
      <c r="B380" s="53" t="s">
        <v>995</v>
      </c>
      <c r="C380" s="54">
        <v>212.55308500000001</v>
      </c>
      <c r="D380" s="54">
        <v>270.02452</v>
      </c>
      <c r="E380" s="54">
        <v>253.60411000000002</v>
      </c>
      <c r="F380" s="54">
        <v>634.92251999999996</v>
      </c>
      <c r="G380" s="54">
        <v>440.61433499999998</v>
      </c>
      <c r="H380" s="54">
        <v>459.77148</v>
      </c>
      <c r="I380" s="54">
        <v>268.20002999999997</v>
      </c>
      <c r="J380" s="54">
        <v>331.14493499999998</v>
      </c>
      <c r="K380" s="54">
        <v>461.59597000000002</v>
      </c>
      <c r="L380" s="54">
        <v>316.549015</v>
      </c>
      <c r="M380" s="54">
        <f t="shared" si="5"/>
        <v>594.02000000000044</v>
      </c>
      <c r="N380" s="55">
        <v>4243</v>
      </c>
      <c r="O380" s="59">
        <v>155</v>
      </c>
      <c r="P380" s="59">
        <v>1</v>
      </c>
      <c r="Q380" s="59">
        <v>530</v>
      </c>
      <c r="R380" s="59">
        <v>769</v>
      </c>
      <c r="S380" s="59">
        <v>456</v>
      </c>
      <c r="T380" s="59">
        <v>650</v>
      </c>
      <c r="U380" s="59">
        <v>15</v>
      </c>
      <c r="V380" s="59">
        <v>644</v>
      </c>
      <c r="W380" s="59">
        <v>939</v>
      </c>
      <c r="X380" s="59">
        <v>84</v>
      </c>
    </row>
    <row r="381" spans="1:24">
      <c r="A381" s="52">
        <v>46154</v>
      </c>
      <c r="B381" s="53" t="s">
        <v>995</v>
      </c>
      <c r="C381" s="54">
        <v>209.74776500000002</v>
      </c>
      <c r="D381" s="54">
        <v>266.46068000000002</v>
      </c>
      <c r="E381" s="54">
        <v>250.25699000000003</v>
      </c>
      <c r="F381" s="54">
        <v>626.54268000000002</v>
      </c>
      <c r="G381" s="54">
        <v>434.799015</v>
      </c>
      <c r="H381" s="54">
        <v>453.70332000000002</v>
      </c>
      <c r="I381" s="54">
        <v>264.66027000000003</v>
      </c>
      <c r="J381" s="54">
        <v>326.77441500000003</v>
      </c>
      <c r="K381" s="54">
        <v>455.50373000000002</v>
      </c>
      <c r="L381" s="54">
        <v>312.37113499999998</v>
      </c>
      <c r="M381" s="54">
        <f t="shared" si="5"/>
        <v>586.18000000000029</v>
      </c>
      <c r="N381" s="55">
        <v>4187</v>
      </c>
      <c r="O381" s="59">
        <v>155</v>
      </c>
      <c r="P381" s="59">
        <v>1</v>
      </c>
      <c r="Q381" s="59">
        <v>530</v>
      </c>
      <c r="R381" s="59">
        <v>769</v>
      </c>
      <c r="S381" s="59">
        <v>456</v>
      </c>
      <c r="T381" s="59">
        <v>650</v>
      </c>
      <c r="U381" s="59">
        <v>0</v>
      </c>
      <c r="V381" s="59">
        <v>644</v>
      </c>
      <c r="W381" s="59">
        <v>898</v>
      </c>
      <c r="X381" s="59">
        <v>84</v>
      </c>
    </row>
    <row r="382" spans="1:24">
      <c r="A382" s="52">
        <v>46155</v>
      </c>
      <c r="B382" s="53" t="s">
        <v>995</v>
      </c>
      <c r="C382" s="54">
        <v>214.85745500000002</v>
      </c>
      <c r="D382" s="54">
        <v>272.95195999999999</v>
      </c>
      <c r="E382" s="54">
        <v>256.35353000000003</v>
      </c>
      <c r="F382" s="54">
        <v>641.80595999999991</v>
      </c>
      <c r="G382" s="54">
        <v>445.39120499999996</v>
      </c>
      <c r="H382" s="54">
        <v>464.75603999999998</v>
      </c>
      <c r="I382" s="54">
        <v>271.10768999999999</v>
      </c>
      <c r="J382" s="54">
        <v>334.735005</v>
      </c>
      <c r="K382" s="54">
        <v>466.60030999999998</v>
      </c>
      <c r="L382" s="54">
        <v>319.98084499999999</v>
      </c>
      <c r="M382" s="54">
        <f t="shared" si="5"/>
        <v>600.46000000000049</v>
      </c>
      <c r="N382" s="55">
        <v>4289</v>
      </c>
      <c r="O382" s="59">
        <v>155</v>
      </c>
      <c r="P382" s="59">
        <v>1</v>
      </c>
      <c r="Q382" s="59">
        <v>530</v>
      </c>
      <c r="R382" s="59">
        <v>769</v>
      </c>
      <c r="S382" s="59">
        <v>456</v>
      </c>
      <c r="T382" s="59">
        <v>750</v>
      </c>
      <c r="U382" s="59">
        <v>0</v>
      </c>
      <c r="V382" s="59">
        <v>644</v>
      </c>
      <c r="W382" s="59">
        <v>900</v>
      </c>
      <c r="X382" s="59">
        <v>84</v>
      </c>
    </row>
    <row r="383" spans="1:24">
      <c r="A383" s="52">
        <v>46156</v>
      </c>
      <c r="B383" s="53" t="s">
        <v>995</v>
      </c>
      <c r="C383" s="54">
        <v>217.71287000000001</v>
      </c>
      <c r="D383" s="54">
        <v>276.57943999999998</v>
      </c>
      <c r="E383" s="54">
        <v>259.76042000000001</v>
      </c>
      <c r="F383" s="54">
        <v>650.33543999999995</v>
      </c>
      <c r="G383" s="54">
        <v>451.31036999999998</v>
      </c>
      <c r="H383" s="54">
        <v>470.93256000000002</v>
      </c>
      <c r="I383" s="54">
        <v>274.71065999999996</v>
      </c>
      <c r="J383" s="54">
        <v>339.18356999999997</v>
      </c>
      <c r="K383" s="54">
        <v>472.80133999999998</v>
      </c>
      <c r="L383" s="54">
        <v>324.23332999999997</v>
      </c>
      <c r="M383" s="54">
        <f t="shared" si="5"/>
        <v>608.4399999999996</v>
      </c>
      <c r="N383" s="55">
        <v>4346</v>
      </c>
      <c r="O383" s="59">
        <v>155</v>
      </c>
      <c r="P383" s="59">
        <v>1</v>
      </c>
      <c r="Q383" s="59">
        <v>530</v>
      </c>
      <c r="R383" s="59">
        <v>769</v>
      </c>
      <c r="S383" s="59">
        <v>456</v>
      </c>
      <c r="T383" s="59">
        <v>750</v>
      </c>
      <c r="U383" s="59">
        <v>29</v>
      </c>
      <c r="V383" s="59">
        <v>644</v>
      </c>
      <c r="W383" s="59">
        <v>929</v>
      </c>
      <c r="X383" s="59">
        <v>83</v>
      </c>
    </row>
    <row r="384" spans="1:24">
      <c r="A384" s="52">
        <v>46157</v>
      </c>
      <c r="B384" s="53" t="s">
        <v>995</v>
      </c>
      <c r="C384" s="54">
        <v>219.21572000000003</v>
      </c>
      <c r="D384" s="54">
        <v>278.48863999999998</v>
      </c>
      <c r="E384" s="54">
        <v>261.55352000000005</v>
      </c>
      <c r="F384" s="54">
        <v>654.82463999999993</v>
      </c>
      <c r="G384" s="54">
        <v>454.42572000000001</v>
      </c>
      <c r="H384" s="54">
        <v>474.18335999999999</v>
      </c>
      <c r="I384" s="54">
        <v>276.60696000000002</v>
      </c>
      <c r="J384" s="54">
        <v>341.52492000000001</v>
      </c>
      <c r="K384" s="54">
        <v>476.06504000000001</v>
      </c>
      <c r="L384" s="54">
        <v>326.47147999999999</v>
      </c>
      <c r="M384" s="54">
        <f t="shared" si="5"/>
        <v>612.63999999999987</v>
      </c>
      <c r="N384" s="55">
        <v>4376</v>
      </c>
      <c r="O384" s="59">
        <v>155</v>
      </c>
      <c r="P384" s="59">
        <v>1</v>
      </c>
      <c r="Q384" s="59">
        <v>530</v>
      </c>
      <c r="R384" s="59">
        <v>769</v>
      </c>
      <c r="S384" s="59">
        <v>456</v>
      </c>
      <c r="T384" s="59">
        <v>750</v>
      </c>
      <c r="U384" s="59">
        <v>38</v>
      </c>
      <c r="V384" s="59">
        <v>644</v>
      </c>
      <c r="W384" s="59">
        <v>950</v>
      </c>
      <c r="X384" s="59">
        <v>83</v>
      </c>
    </row>
    <row r="385" spans="1:24">
      <c r="A385" s="52">
        <v>46158</v>
      </c>
      <c r="B385" s="53" t="s">
        <v>995</v>
      </c>
      <c r="C385" s="54">
        <v>238.25182000000001</v>
      </c>
      <c r="D385" s="54">
        <v>302.67183999999997</v>
      </c>
      <c r="E385" s="54">
        <v>284.26612</v>
      </c>
      <c r="F385" s="54">
        <v>711.68783999999994</v>
      </c>
      <c r="G385" s="54">
        <v>493.88681999999994</v>
      </c>
      <c r="H385" s="54">
        <v>515.36015999999995</v>
      </c>
      <c r="I385" s="54">
        <v>300.62675999999999</v>
      </c>
      <c r="J385" s="54">
        <v>371.18201999999997</v>
      </c>
      <c r="K385" s="54">
        <v>517.40523999999994</v>
      </c>
      <c r="L385" s="54">
        <v>354.82137999999998</v>
      </c>
      <c r="M385" s="54">
        <f t="shared" si="5"/>
        <v>665.8400000000006</v>
      </c>
      <c r="N385" s="55">
        <v>4756</v>
      </c>
      <c r="O385" s="59">
        <v>225</v>
      </c>
      <c r="P385" s="59">
        <v>1</v>
      </c>
      <c r="Q385" s="59">
        <v>796</v>
      </c>
      <c r="R385" s="59">
        <v>769</v>
      </c>
      <c r="S385" s="59">
        <v>456</v>
      </c>
      <c r="T385" s="59">
        <v>750</v>
      </c>
      <c r="U385" s="59">
        <v>58</v>
      </c>
      <c r="V385" s="59">
        <v>644</v>
      </c>
      <c r="W385" s="59">
        <v>1057</v>
      </c>
      <c r="X385" s="59">
        <v>0</v>
      </c>
    </row>
    <row r="386" spans="1:24">
      <c r="A386" s="52">
        <v>46159</v>
      </c>
      <c r="B386" s="53" t="s">
        <v>995</v>
      </c>
      <c r="C386" s="54">
        <v>241.65828000000002</v>
      </c>
      <c r="D386" s="54">
        <v>306.99936000000002</v>
      </c>
      <c r="E386" s="54">
        <v>288.33048000000002</v>
      </c>
      <c r="F386" s="54">
        <v>721.86336000000006</v>
      </c>
      <c r="G386" s="54">
        <v>500.94828000000001</v>
      </c>
      <c r="H386" s="54">
        <v>522.72864000000004</v>
      </c>
      <c r="I386" s="54">
        <v>304.92504000000002</v>
      </c>
      <c r="J386" s="54">
        <v>376.48908</v>
      </c>
      <c r="K386" s="54">
        <v>524.8029600000001</v>
      </c>
      <c r="L386" s="54">
        <v>359.89452</v>
      </c>
      <c r="M386" s="54">
        <f t="shared" si="5"/>
        <v>675.35999999999967</v>
      </c>
      <c r="N386" s="55">
        <v>4824</v>
      </c>
      <c r="O386" s="59">
        <v>225</v>
      </c>
      <c r="P386" s="59">
        <v>1</v>
      </c>
      <c r="Q386" s="59">
        <v>796</v>
      </c>
      <c r="R386" s="59">
        <v>769</v>
      </c>
      <c r="S386" s="59">
        <v>456</v>
      </c>
      <c r="T386" s="59">
        <v>750</v>
      </c>
      <c r="U386" s="59">
        <v>58</v>
      </c>
      <c r="V386" s="59">
        <v>644</v>
      </c>
      <c r="W386" s="59">
        <v>1125</v>
      </c>
      <c r="X386" s="59">
        <v>0</v>
      </c>
    </row>
    <row r="387" spans="1:24">
      <c r="A387" s="52">
        <v>46160</v>
      </c>
      <c r="B387" s="53" t="s">
        <v>995</v>
      </c>
      <c r="C387" s="54">
        <v>226.67987500000001</v>
      </c>
      <c r="D387" s="54">
        <v>287.971</v>
      </c>
      <c r="E387" s="54">
        <v>270.45925</v>
      </c>
      <c r="F387" s="54">
        <v>677.12099999999998</v>
      </c>
      <c r="G387" s="54">
        <v>469.89862499999998</v>
      </c>
      <c r="H387" s="54">
        <v>490.32900000000001</v>
      </c>
      <c r="I387" s="54">
        <v>286.02524999999997</v>
      </c>
      <c r="J387" s="54">
        <v>353.15362499999998</v>
      </c>
      <c r="K387" s="54">
        <v>492.27474999999998</v>
      </c>
      <c r="L387" s="54">
        <v>337.587625</v>
      </c>
      <c r="M387" s="54">
        <f t="shared" ref="M387:M450" si="6">N387-SUM(C387:L387)</f>
        <v>633.49999999999955</v>
      </c>
      <c r="N387" s="55">
        <v>4525</v>
      </c>
      <c r="O387" s="59">
        <v>155</v>
      </c>
      <c r="P387" s="59">
        <v>1</v>
      </c>
      <c r="Q387" s="59">
        <v>530</v>
      </c>
      <c r="R387" s="59">
        <v>769</v>
      </c>
      <c r="S387" s="59">
        <v>456</v>
      </c>
      <c r="T387" s="59">
        <v>750</v>
      </c>
      <c r="U387" s="59">
        <v>35</v>
      </c>
      <c r="V387" s="59">
        <v>644</v>
      </c>
      <c r="W387" s="59">
        <v>1102</v>
      </c>
      <c r="X387" s="59">
        <v>83</v>
      </c>
    </row>
    <row r="388" spans="1:24">
      <c r="A388" s="52">
        <v>46161</v>
      </c>
      <c r="B388" s="53" t="s">
        <v>995</v>
      </c>
      <c r="C388" s="54">
        <v>231.38880500000002</v>
      </c>
      <c r="D388" s="54">
        <v>293.95315999999997</v>
      </c>
      <c r="E388" s="54">
        <v>276.07763000000006</v>
      </c>
      <c r="F388" s="54">
        <v>691.18715999999995</v>
      </c>
      <c r="G388" s="54">
        <v>479.660055</v>
      </c>
      <c r="H388" s="54">
        <v>500.51484000000005</v>
      </c>
      <c r="I388" s="54">
        <v>291.96699000000001</v>
      </c>
      <c r="J388" s="54">
        <v>360.48985499999998</v>
      </c>
      <c r="K388" s="54">
        <v>502.50101000000001</v>
      </c>
      <c r="L388" s="54">
        <v>344.60049499999997</v>
      </c>
      <c r="M388" s="54">
        <f t="shared" si="6"/>
        <v>646.66000000000031</v>
      </c>
      <c r="N388" s="55">
        <v>4619</v>
      </c>
      <c r="O388" s="59">
        <v>155</v>
      </c>
      <c r="P388" s="59">
        <v>1</v>
      </c>
      <c r="Q388" s="59">
        <v>530</v>
      </c>
      <c r="R388" s="59">
        <v>769</v>
      </c>
      <c r="S388" s="59">
        <v>456</v>
      </c>
      <c r="T388" s="59">
        <v>850</v>
      </c>
      <c r="U388" s="59">
        <v>9</v>
      </c>
      <c r="V388" s="59">
        <v>644</v>
      </c>
      <c r="W388" s="59">
        <v>1122</v>
      </c>
      <c r="X388" s="59">
        <v>83</v>
      </c>
    </row>
    <row r="389" spans="1:24">
      <c r="A389" s="52">
        <v>46162</v>
      </c>
      <c r="B389" s="53" t="s">
        <v>995</v>
      </c>
      <c r="C389" s="54">
        <v>231.68937500000001</v>
      </c>
      <c r="D389" s="54">
        <v>294.33499999999998</v>
      </c>
      <c r="E389" s="54">
        <v>276.43625000000003</v>
      </c>
      <c r="F389" s="54">
        <v>692.08499999999992</v>
      </c>
      <c r="G389" s="54">
        <v>480.28312499999998</v>
      </c>
      <c r="H389" s="54">
        <v>501.16500000000002</v>
      </c>
      <c r="I389" s="54">
        <v>292.34625</v>
      </c>
      <c r="J389" s="54">
        <v>360.958125</v>
      </c>
      <c r="K389" s="54">
        <v>503.15375</v>
      </c>
      <c r="L389" s="54">
        <v>345.04812499999997</v>
      </c>
      <c r="M389" s="54">
        <f t="shared" si="6"/>
        <v>647.50000000000045</v>
      </c>
      <c r="N389" s="55">
        <v>4625</v>
      </c>
      <c r="O389" s="59">
        <v>155</v>
      </c>
      <c r="P389" s="59">
        <v>1</v>
      </c>
      <c r="Q389" s="59">
        <v>530</v>
      </c>
      <c r="R389" s="59">
        <v>769</v>
      </c>
      <c r="S389" s="59">
        <v>456</v>
      </c>
      <c r="T389" s="59">
        <v>850</v>
      </c>
      <c r="U389" s="59">
        <v>0</v>
      </c>
      <c r="V389" s="59">
        <v>644</v>
      </c>
      <c r="W389" s="59">
        <v>1137</v>
      </c>
      <c r="X389" s="59">
        <v>83</v>
      </c>
    </row>
    <row r="390" spans="1:24">
      <c r="A390" s="52">
        <v>46163</v>
      </c>
      <c r="B390" s="53" t="s">
        <v>995</v>
      </c>
      <c r="C390" s="54">
        <v>233.64308</v>
      </c>
      <c r="D390" s="54">
        <v>296.81695999999999</v>
      </c>
      <c r="E390" s="54">
        <v>278.76728000000003</v>
      </c>
      <c r="F390" s="54">
        <v>697.92095999999992</v>
      </c>
      <c r="G390" s="54">
        <v>484.33308</v>
      </c>
      <c r="H390" s="54">
        <v>505.39103999999998</v>
      </c>
      <c r="I390" s="54">
        <v>294.81144</v>
      </c>
      <c r="J390" s="54">
        <v>364.00187999999997</v>
      </c>
      <c r="K390" s="54">
        <v>507.39656000000002</v>
      </c>
      <c r="L390" s="54">
        <v>347.95771999999999</v>
      </c>
      <c r="M390" s="54">
        <f t="shared" si="6"/>
        <v>652.96000000000049</v>
      </c>
      <c r="N390" s="55">
        <v>4664</v>
      </c>
      <c r="O390" s="59">
        <v>155</v>
      </c>
      <c r="P390" s="59">
        <v>1</v>
      </c>
      <c r="Q390" s="59">
        <v>530</v>
      </c>
      <c r="R390" s="59">
        <v>769</v>
      </c>
      <c r="S390" s="59">
        <v>456</v>
      </c>
      <c r="T390" s="59">
        <v>850</v>
      </c>
      <c r="U390" s="59">
        <v>0</v>
      </c>
      <c r="V390" s="59">
        <v>644</v>
      </c>
      <c r="W390" s="59">
        <v>1176</v>
      </c>
      <c r="X390" s="59">
        <v>83</v>
      </c>
    </row>
    <row r="391" spans="1:24">
      <c r="A391" s="52">
        <v>46164</v>
      </c>
      <c r="B391" s="53" t="s">
        <v>995</v>
      </c>
      <c r="C391" s="54">
        <v>233.94364999999999</v>
      </c>
      <c r="D391" s="54">
        <v>297.19879999999995</v>
      </c>
      <c r="E391" s="54">
        <v>279.1259</v>
      </c>
      <c r="F391" s="54">
        <v>698.8187999999999</v>
      </c>
      <c r="G391" s="54">
        <v>484.95614999999998</v>
      </c>
      <c r="H391" s="54">
        <v>506.0412</v>
      </c>
      <c r="I391" s="54">
        <v>295.19069999999999</v>
      </c>
      <c r="J391" s="54">
        <v>364.47014999999999</v>
      </c>
      <c r="K391" s="54">
        <v>508.04929999999996</v>
      </c>
      <c r="L391" s="54">
        <v>348.40534999999994</v>
      </c>
      <c r="M391" s="54">
        <f t="shared" si="6"/>
        <v>653.79999999999973</v>
      </c>
      <c r="N391" s="55">
        <v>4670</v>
      </c>
      <c r="O391" s="59">
        <v>155</v>
      </c>
      <c r="P391" s="59">
        <v>1</v>
      </c>
      <c r="Q391" s="59">
        <v>530</v>
      </c>
      <c r="R391" s="59">
        <v>769</v>
      </c>
      <c r="S391" s="59">
        <v>456</v>
      </c>
      <c r="T391" s="59">
        <v>850</v>
      </c>
      <c r="U391" s="59">
        <v>5</v>
      </c>
      <c r="V391" s="59">
        <v>644</v>
      </c>
      <c r="W391" s="59">
        <v>1177</v>
      </c>
      <c r="X391" s="59">
        <v>83</v>
      </c>
    </row>
    <row r="392" spans="1:24">
      <c r="A392" s="52">
        <v>46165</v>
      </c>
      <c r="B392" s="53" t="s">
        <v>995</v>
      </c>
      <c r="C392" s="54">
        <v>251.07614000000001</v>
      </c>
      <c r="D392" s="54">
        <v>318.96367999999995</v>
      </c>
      <c r="E392" s="54">
        <v>299.56724000000003</v>
      </c>
      <c r="F392" s="54">
        <v>749.99567999999988</v>
      </c>
      <c r="G392" s="54">
        <v>520.47113999999999</v>
      </c>
      <c r="H392" s="54">
        <v>543.10032000000001</v>
      </c>
      <c r="I392" s="54">
        <v>316.80851999999999</v>
      </c>
      <c r="J392" s="54">
        <v>391.16153999999995</v>
      </c>
      <c r="K392" s="54">
        <v>545.25547999999992</v>
      </c>
      <c r="L392" s="54">
        <v>373.92025999999993</v>
      </c>
      <c r="M392" s="54">
        <f t="shared" si="6"/>
        <v>701.68000000000029</v>
      </c>
      <c r="N392" s="55">
        <v>5012</v>
      </c>
      <c r="O392" s="59">
        <v>225</v>
      </c>
      <c r="P392" s="59">
        <v>1</v>
      </c>
      <c r="Q392" s="59">
        <v>796</v>
      </c>
      <c r="R392" s="59">
        <v>769</v>
      </c>
      <c r="S392" s="59">
        <v>456</v>
      </c>
      <c r="T392" s="59">
        <v>850</v>
      </c>
      <c r="U392" s="59">
        <v>46</v>
      </c>
      <c r="V392" s="59">
        <v>644</v>
      </c>
      <c r="W392" s="59">
        <v>1225</v>
      </c>
      <c r="X392" s="59">
        <v>0</v>
      </c>
    </row>
    <row r="393" spans="1:24">
      <c r="A393" s="52">
        <v>46166</v>
      </c>
      <c r="B393" s="53" t="s">
        <v>995</v>
      </c>
      <c r="C393" s="54">
        <v>251.67728000000002</v>
      </c>
      <c r="D393" s="54">
        <v>319.72736000000003</v>
      </c>
      <c r="E393" s="54">
        <v>300.28448000000003</v>
      </c>
      <c r="F393" s="54">
        <v>751.79136000000005</v>
      </c>
      <c r="G393" s="54">
        <v>521.71728000000007</v>
      </c>
      <c r="H393" s="54">
        <v>544.40064000000007</v>
      </c>
      <c r="I393" s="54">
        <v>317.56704000000002</v>
      </c>
      <c r="J393" s="54">
        <v>392.09808000000004</v>
      </c>
      <c r="K393" s="54">
        <v>546.56096000000002</v>
      </c>
      <c r="L393" s="54">
        <v>374.81551999999999</v>
      </c>
      <c r="M393" s="54">
        <f t="shared" si="6"/>
        <v>703.35999999999967</v>
      </c>
      <c r="N393" s="55">
        <v>5024</v>
      </c>
      <c r="O393" s="59">
        <v>225</v>
      </c>
      <c r="P393" s="59">
        <v>1</v>
      </c>
      <c r="Q393" s="59">
        <v>796</v>
      </c>
      <c r="R393" s="59">
        <v>769</v>
      </c>
      <c r="S393" s="59">
        <v>456</v>
      </c>
      <c r="T393" s="59">
        <v>850</v>
      </c>
      <c r="U393" s="59">
        <v>46</v>
      </c>
      <c r="V393" s="59">
        <v>644</v>
      </c>
      <c r="W393" s="59">
        <v>1237</v>
      </c>
      <c r="X393" s="59">
        <v>0</v>
      </c>
    </row>
    <row r="394" spans="1:24">
      <c r="A394" s="52">
        <v>46167</v>
      </c>
      <c r="B394" s="53" t="s">
        <v>995</v>
      </c>
      <c r="C394" s="54">
        <v>254.18203000000003</v>
      </c>
      <c r="D394" s="54">
        <v>322.90935999999999</v>
      </c>
      <c r="E394" s="54">
        <v>303.27298000000008</v>
      </c>
      <c r="F394" s="54">
        <v>759.27336000000003</v>
      </c>
      <c r="G394" s="54">
        <v>526.90953000000002</v>
      </c>
      <c r="H394" s="54">
        <v>549.81864000000007</v>
      </c>
      <c r="I394" s="54">
        <v>320.72754000000003</v>
      </c>
      <c r="J394" s="54">
        <v>396.00033000000002</v>
      </c>
      <c r="K394" s="54">
        <v>552.00046000000009</v>
      </c>
      <c r="L394" s="54">
        <v>378.54577</v>
      </c>
      <c r="M394" s="54">
        <f t="shared" si="6"/>
        <v>710.35999999999967</v>
      </c>
      <c r="N394" s="55">
        <v>5074</v>
      </c>
      <c r="O394" s="59">
        <v>155</v>
      </c>
      <c r="P394" s="59">
        <v>1</v>
      </c>
      <c r="Q394" s="59">
        <v>530</v>
      </c>
      <c r="R394" s="59">
        <v>769</v>
      </c>
      <c r="S394" s="59">
        <v>456</v>
      </c>
      <c r="T394" s="59">
        <v>1250</v>
      </c>
      <c r="U394" s="59">
        <v>15</v>
      </c>
      <c r="V394" s="59">
        <v>644</v>
      </c>
      <c r="W394" s="59">
        <v>1171</v>
      </c>
      <c r="X394" s="59">
        <v>83</v>
      </c>
    </row>
    <row r="395" spans="1:24">
      <c r="A395" s="52">
        <v>46168</v>
      </c>
      <c r="B395" s="53" t="s">
        <v>995</v>
      </c>
      <c r="C395" s="54">
        <v>252.729275</v>
      </c>
      <c r="D395" s="54">
        <v>321.06379999999996</v>
      </c>
      <c r="E395" s="54">
        <v>301.53964999999999</v>
      </c>
      <c r="F395" s="54">
        <v>754.93379999999991</v>
      </c>
      <c r="G395" s="54">
        <v>523.89802499999996</v>
      </c>
      <c r="H395" s="54">
        <v>546.67619999999999</v>
      </c>
      <c r="I395" s="54">
        <v>318.89444999999995</v>
      </c>
      <c r="J395" s="54">
        <v>393.73702499999996</v>
      </c>
      <c r="K395" s="54">
        <v>548.84555</v>
      </c>
      <c r="L395" s="54">
        <v>376.38222499999995</v>
      </c>
      <c r="M395" s="54">
        <f t="shared" si="6"/>
        <v>706.30000000000018</v>
      </c>
      <c r="N395" s="55">
        <v>5045</v>
      </c>
      <c r="O395" s="59">
        <v>155</v>
      </c>
      <c r="P395" s="59">
        <v>0</v>
      </c>
      <c r="Q395" s="59">
        <v>530</v>
      </c>
      <c r="R395" s="59">
        <v>769</v>
      </c>
      <c r="S395" s="59">
        <v>456</v>
      </c>
      <c r="T395" s="59">
        <v>1250</v>
      </c>
      <c r="U395" s="59">
        <v>0</v>
      </c>
      <c r="V395" s="59">
        <v>644</v>
      </c>
      <c r="W395" s="59">
        <v>1158</v>
      </c>
      <c r="X395" s="59">
        <v>83</v>
      </c>
    </row>
    <row r="396" spans="1:24">
      <c r="A396" s="52">
        <v>46169</v>
      </c>
      <c r="B396" s="53" t="s">
        <v>995</v>
      </c>
      <c r="C396" s="54">
        <v>251.77746999999999</v>
      </c>
      <c r="D396" s="54">
        <v>319.85463999999996</v>
      </c>
      <c r="E396" s="54">
        <v>300.40402</v>
      </c>
      <c r="F396" s="54">
        <v>752.09063999999989</v>
      </c>
      <c r="G396" s="54">
        <v>521.92496999999992</v>
      </c>
      <c r="H396" s="54">
        <v>544.61735999999996</v>
      </c>
      <c r="I396" s="54">
        <v>317.69345999999996</v>
      </c>
      <c r="J396" s="54">
        <v>392.25416999999993</v>
      </c>
      <c r="K396" s="54">
        <v>546.77854000000002</v>
      </c>
      <c r="L396" s="54">
        <v>374.96472999999992</v>
      </c>
      <c r="M396" s="54">
        <f t="shared" si="6"/>
        <v>703.64000000000033</v>
      </c>
      <c r="N396" s="55">
        <v>5026</v>
      </c>
      <c r="O396" s="59">
        <v>155</v>
      </c>
      <c r="P396" s="59">
        <v>0</v>
      </c>
      <c r="Q396" s="59">
        <v>530</v>
      </c>
      <c r="R396" s="59">
        <v>769</v>
      </c>
      <c r="S396" s="59">
        <v>456</v>
      </c>
      <c r="T396" s="59">
        <v>1250</v>
      </c>
      <c r="U396" s="59">
        <v>0</v>
      </c>
      <c r="V396" s="59">
        <v>644</v>
      </c>
      <c r="W396" s="59">
        <v>1139</v>
      </c>
      <c r="X396" s="59">
        <v>83</v>
      </c>
    </row>
    <row r="397" spans="1:24">
      <c r="A397" s="52">
        <v>46170</v>
      </c>
      <c r="B397" s="53" t="s">
        <v>995</v>
      </c>
      <c r="C397" s="54">
        <v>253.53079500000001</v>
      </c>
      <c r="D397" s="54">
        <v>322.08204000000001</v>
      </c>
      <c r="E397" s="54">
        <v>302.49597000000006</v>
      </c>
      <c r="F397" s="54">
        <v>757.32803999999999</v>
      </c>
      <c r="G397" s="54">
        <v>525.55954499999996</v>
      </c>
      <c r="H397" s="54">
        <v>548.40995999999996</v>
      </c>
      <c r="I397" s="54">
        <v>319.90580999999997</v>
      </c>
      <c r="J397" s="54">
        <v>394.98574500000001</v>
      </c>
      <c r="K397" s="54">
        <v>550.58618999999999</v>
      </c>
      <c r="L397" s="54">
        <v>377.57590499999998</v>
      </c>
      <c r="M397" s="54">
        <f t="shared" si="6"/>
        <v>708.54</v>
      </c>
      <c r="N397" s="55">
        <v>5061</v>
      </c>
      <c r="O397" s="59">
        <v>155</v>
      </c>
      <c r="P397" s="59">
        <v>0</v>
      </c>
      <c r="Q397" s="59">
        <v>530</v>
      </c>
      <c r="R397" s="59">
        <v>769</v>
      </c>
      <c r="S397" s="59">
        <v>456</v>
      </c>
      <c r="T397" s="59">
        <v>1250</v>
      </c>
      <c r="U397" s="59">
        <v>0</v>
      </c>
      <c r="V397" s="59">
        <v>644</v>
      </c>
      <c r="W397" s="59">
        <v>1174</v>
      </c>
      <c r="X397" s="59">
        <v>83</v>
      </c>
    </row>
    <row r="398" spans="1:24">
      <c r="A398" s="52">
        <v>46171</v>
      </c>
      <c r="B398" s="53" t="s">
        <v>995</v>
      </c>
      <c r="C398" s="54">
        <v>253.83136500000001</v>
      </c>
      <c r="D398" s="54">
        <v>322.46387999999996</v>
      </c>
      <c r="E398" s="54">
        <v>302.85459000000003</v>
      </c>
      <c r="F398" s="54">
        <v>758.22587999999996</v>
      </c>
      <c r="G398" s="54">
        <v>526.18261499999994</v>
      </c>
      <c r="H398" s="54">
        <v>549.06011999999998</v>
      </c>
      <c r="I398" s="54">
        <v>320.28506999999996</v>
      </c>
      <c r="J398" s="54">
        <v>395.45401499999997</v>
      </c>
      <c r="K398" s="54">
        <v>551.23892999999998</v>
      </c>
      <c r="L398" s="54">
        <v>378.02353499999998</v>
      </c>
      <c r="M398" s="54">
        <f t="shared" si="6"/>
        <v>709.38000000000011</v>
      </c>
      <c r="N398" s="55">
        <v>5067</v>
      </c>
      <c r="O398" s="59">
        <v>155</v>
      </c>
      <c r="P398" s="59">
        <v>0</v>
      </c>
      <c r="Q398" s="59">
        <v>530</v>
      </c>
      <c r="R398" s="59">
        <v>769</v>
      </c>
      <c r="S398" s="59">
        <v>456</v>
      </c>
      <c r="T398" s="59">
        <v>1250</v>
      </c>
      <c r="U398" s="59">
        <v>0</v>
      </c>
      <c r="V398" s="59">
        <v>644</v>
      </c>
      <c r="W398" s="59">
        <v>1180</v>
      </c>
      <c r="X398" s="59">
        <v>83</v>
      </c>
    </row>
    <row r="399" spans="1:24">
      <c r="A399" s="52">
        <v>46172</v>
      </c>
      <c r="B399" s="53" t="s">
        <v>995</v>
      </c>
      <c r="C399" s="54">
        <v>268.25872500000003</v>
      </c>
      <c r="D399" s="54">
        <v>340.79219999999998</v>
      </c>
      <c r="E399" s="54">
        <v>320.06835000000007</v>
      </c>
      <c r="F399" s="54">
        <v>801.32219999999995</v>
      </c>
      <c r="G399" s="54">
        <v>556.08997499999998</v>
      </c>
      <c r="H399" s="54">
        <v>580.26780000000008</v>
      </c>
      <c r="I399" s="54">
        <v>338.48955000000001</v>
      </c>
      <c r="J399" s="54">
        <v>417.93097499999999</v>
      </c>
      <c r="K399" s="54">
        <v>582.57045000000005</v>
      </c>
      <c r="L399" s="54">
        <v>399.50977499999999</v>
      </c>
      <c r="M399" s="54">
        <f t="shared" si="6"/>
        <v>749.69999999999891</v>
      </c>
      <c r="N399" s="55">
        <v>5355</v>
      </c>
      <c r="O399" s="59">
        <v>225</v>
      </c>
      <c r="P399" s="59">
        <v>1</v>
      </c>
      <c r="Q399" s="59">
        <v>796</v>
      </c>
      <c r="R399" s="59">
        <v>769</v>
      </c>
      <c r="S399" s="59">
        <v>456</v>
      </c>
      <c r="T399" s="59">
        <v>1250</v>
      </c>
      <c r="U399" s="59">
        <v>20</v>
      </c>
      <c r="V399" s="59">
        <v>643</v>
      </c>
      <c r="W399" s="59">
        <v>1195</v>
      </c>
      <c r="X399" s="59">
        <v>0</v>
      </c>
    </row>
    <row r="400" spans="1:24">
      <c r="A400" s="52">
        <v>46173</v>
      </c>
      <c r="B400" s="53" t="s">
        <v>995</v>
      </c>
      <c r="C400" s="54">
        <v>299.11724499999997</v>
      </c>
      <c r="D400" s="54">
        <v>379.99443999999994</v>
      </c>
      <c r="E400" s="54">
        <v>356.88666999999998</v>
      </c>
      <c r="F400" s="54">
        <v>893.5004399999998</v>
      </c>
      <c r="G400" s="54">
        <v>620.05849499999988</v>
      </c>
      <c r="H400" s="54">
        <v>647.01755999999989</v>
      </c>
      <c r="I400" s="54">
        <v>377.42690999999996</v>
      </c>
      <c r="J400" s="54">
        <v>466.00669499999992</v>
      </c>
      <c r="K400" s="54">
        <v>649.58508999999992</v>
      </c>
      <c r="L400" s="54">
        <v>445.46645499999994</v>
      </c>
      <c r="M400" s="54">
        <f t="shared" si="6"/>
        <v>835.94000000000142</v>
      </c>
      <c r="N400" s="55">
        <v>5971</v>
      </c>
      <c r="O400" s="59">
        <v>225</v>
      </c>
      <c r="P400" s="59">
        <v>1</v>
      </c>
      <c r="Q400" s="59">
        <v>801</v>
      </c>
      <c r="R400" s="59">
        <v>780</v>
      </c>
      <c r="S400" s="59">
        <v>456</v>
      </c>
      <c r="T400" s="59">
        <v>1863</v>
      </c>
      <c r="U400" s="59">
        <v>20</v>
      </c>
      <c r="V400" s="59">
        <v>643</v>
      </c>
      <c r="W400" s="59">
        <v>1182</v>
      </c>
      <c r="X400" s="59">
        <v>0</v>
      </c>
    </row>
    <row r="401" spans="1:24">
      <c r="A401" s="52">
        <v>46174</v>
      </c>
      <c r="B401" s="53" t="s">
        <v>995</v>
      </c>
      <c r="C401" s="54">
        <v>209</v>
      </c>
      <c r="D401" s="54">
        <v>272</v>
      </c>
      <c r="E401" s="54">
        <v>252</v>
      </c>
      <c r="F401" s="54">
        <v>627</v>
      </c>
      <c r="G401" s="54">
        <v>433</v>
      </c>
      <c r="H401" s="54">
        <v>458</v>
      </c>
      <c r="I401" s="54">
        <v>272</v>
      </c>
      <c r="J401" s="54">
        <v>325</v>
      </c>
      <c r="K401" s="54">
        <v>461</v>
      </c>
      <c r="L401" s="54">
        <v>314</v>
      </c>
      <c r="M401" s="54">
        <f t="shared" si="6"/>
        <v>688</v>
      </c>
      <c r="N401" s="55">
        <v>4311</v>
      </c>
      <c r="O401" s="54">
        <v>80</v>
      </c>
      <c r="P401" s="54">
        <v>0</v>
      </c>
      <c r="Q401" s="54">
        <v>359</v>
      </c>
      <c r="R401" s="54">
        <v>1076</v>
      </c>
      <c r="S401" s="54">
        <v>228</v>
      </c>
      <c r="T401" s="54">
        <v>591</v>
      </c>
      <c r="U401" s="54">
        <v>668</v>
      </c>
      <c r="V401" s="54">
        <v>395</v>
      </c>
      <c r="W401" s="54">
        <v>867</v>
      </c>
      <c r="X401" s="54">
        <v>47</v>
      </c>
    </row>
    <row r="402" spans="1:24">
      <c r="A402" s="52">
        <v>46175</v>
      </c>
      <c r="B402" s="53" t="s">
        <v>995</v>
      </c>
      <c r="C402" s="54">
        <v>210</v>
      </c>
      <c r="D402" s="54">
        <v>273</v>
      </c>
      <c r="E402" s="54">
        <v>253</v>
      </c>
      <c r="F402" s="54">
        <v>630</v>
      </c>
      <c r="G402" s="54">
        <v>435</v>
      </c>
      <c r="H402" s="54">
        <v>460</v>
      </c>
      <c r="I402" s="54">
        <v>273</v>
      </c>
      <c r="J402" s="54">
        <v>327</v>
      </c>
      <c r="K402" s="54">
        <v>463</v>
      </c>
      <c r="L402" s="54">
        <v>315</v>
      </c>
      <c r="M402" s="54">
        <f t="shared" si="6"/>
        <v>694</v>
      </c>
      <c r="N402" s="55">
        <v>4333</v>
      </c>
      <c r="O402" s="54">
        <v>79</v>
      </c>
      <c r="P402" s="54">
        <v>0</v>
      </c>
      <c r="Q402" s="54">
        <v>360</v>
      </c>
      <c r="R402" s="54">
        <v>1083</v>
      </c>
      <c r="S402" s="54">
        <v>237</v>
      </c>
      <c r="T402" s="54">
        <v>596</v>
      </c>
      <c r="U402" s="54">
        <v>665</v>
      </c>
      <c r="V402" s="54">
        <v>396</v>
      </c>
      <c r="W402" s="54">
        <v>871</v>
      </c>
      <c r="X402" s="54">
        <v>46</v>
      </c>
    </row>
    <row r="403" spans="1:24">
      <c r="A403" s="52">
        <v>46176</v>
      </c>
      <c r="B403" s="53" t="s">
        <v>995</v>
      </c>
      <c r="C403" s="54">
        <v>210</v>
      </c>
      <c r="D403" s="54">
        <v>273</v>
      </c>
      <c r="E403" s="54">
        <v>253</v>
      </c>
      <c r="F403" s="54">
        <v>630</v>
      </c>
      <c r="G403" s="54">
        <v>435</v>
      </c>
      <c r="H403" s="54">
        <v>460</v>
      </c>
      <c r="I403" s="54">
        <v>273</v>
      </c>
      <c r="J403" s="54">
        <v>327</v>
      </c>
      <c r="K403" s="54">
        <v>463</v>
      </c>
      <c r="L403" s="54">
        <v>315</v>
      </c>
      <c r="M403" s="54">
        <f t="shared" si="6"/>
        <v>694</v>
      </c>
      <c r="N403" s="55">
        <v>4333</v>
      </c>
      <c r="O403" s="54">
        <v>79</v>
      </c>
      <c r="P403" s="54">
        <v>0</v>
      </c>
      <c r="Q403" s="54">
        <v>360</v>
      </c>
      <c r="R403" s="54">
        <v>1083</v>
      </c>
      <c r="S403" s="54">
        <v>237</v>
      </c>
      <c r="T403" s="54">
        <v>596</v>
      </c>
      <c r="U403" s="54">
        <v>665</v>
      </c>
      <c r="V403" s="54">
        <v>396</v>
      </c>
      <c r="W403" s="54">
        <v>871</v>
      </c>
      <c r="X403" s="54">
        <v>46</v>
      </c>
    </row>
    <row r="404" spans="1:24">
      <c r="A404" s="52">
        <v>46177</v>
      </c>
      <c r="B404" s="53" t="s">
        <v>995</v>
      </c>
      <c r="C404" s="54">
        <v>210</v>
      </c>
      <c r="D404" s="54">
        <v>273</v>
      </c>
      <c r="E404" s="54">
        <v>253</v>
      </c>
      <c r="F404" s="54">
        <v>630</v>
      </c>
      <c r="G404" s="54">
        <v>435</v>
      </c>
      <c r="H404" s="54">
        <v>460</v>
      </c>
      <c r="I404" s="54">
        <v>273</v>
      </c>
      <c r="J404" s="54">
        <v>327</v>
      </c>
      <c r="K404" s="54">
        <v>463</v>
      </c>
      <c r="L404" s="54">
        <v>315</v>
      </c>
      <c r="M404" s="54">
        <f t="shared" si="6"/>
        <v>694</v>
      </c>
      <c r="N404" s="55">
        <v>4333</v>
      </c>
      <c r="O404" s="54">
        <v>79</v>
      </c>
      <c r="P404" s="54">
        <v>0</v>
      </c>
      <c r="Q404" s="54">
        <v>360</v>
      </c>
      <c r="R404" s="54">
        <v>1083</v>
      </c>
      <c r="S404" s="54">
        <v>237</v>
      </c>
      <c r="T404" s="54">
        <v>596</v>
      </c>
      <c r="U404" s="54">
        <v>665</v>
      </c>
      <c r="V404" s="54">
        <v>396</v>
      </c>
      <c r="W404" s="54">
        <v>871</v>
      </c>
      <c r="X404" s="54">
        <v>46</v>
      </c>
    </row>
    <row r="405" spans="1:24">
      <c r="A405" s="52">
        <v>46178</v>
      </c>
      <c r="B405" s="53" t="s">
        <v>995</v>
      </c>
      <c r="C405" s="54">
        <v>210</v>
      </c>
      <c r="D405" s="54">
        <v>273</v>
      </c>
      <c r="E405" s="54">
        <v>253</v>
      </c>
      <c r="F405" s="54">
        <v>630</v>
      </c>
      <c r="G405" s="54">
        <v>435</v>
      </c>
      <c r="H405" s="54">
        <v>460</v>
      </c>
      <c r="I405" s="54">
        <v>273</v>
      </c>
      <c r="J405" s="54">
        <v>327</v>
      </c>
      <c r="K405" s="54">
        <v>463</v>
      </c>
      <c r="L405" s="54">
        <v>315</v>
      </c>
      <c r="M405" s="54">
        <f t="shared" si="6"/>
        <v>694</v>
      </c>
      <c r="N405" s="55">
        <v>4333</v>
      </c>
      <c r="O405" s="54">
        <v>79</v>
      </c>
      <c r="P405" s="54">
        <v>0</v>
      </c>
      <c r="Q405" s="54">
        <v>360</v>
      </c>
      <c r="R405" s="54">
        <v>1083</v>
      </c>
      <c r="S405" s="54">
        <v>237</v>
      </c>
      <c r="T405" s="54">
        <v>596</v>
      </c>
      <c r="U405" s="54">
        <v>665</v>
      </c>
      <c r="V405" s="54">
        <v>396</v>
      </c>
      <c r="W405" s="54">
        <v>871</v>
      </c>
      <c r="X405" s="54">
        <v>46</v>
      </c>
    </row>
    <row r="406" spans="1:24">
      <c r="A406" s="52">
        <v>46179</v>
      </c>
      <c r="B406" s="53" t="s">
        <v>995</v>
      </c>
      <c r="C406" s="54">
        <v>269</v>
      </c>
      <c r="D406" s="54">
        <v>350</v>
      </c>
      <c r="E406" s="54">
        <v>325</v>
      </c>
      <c r="F406" s="54">
        <v>808</v>
      </c>
      <c r="G406" s="54">
        <v>558</v>
      </c>
      <c r="H406" s="54">
        <v>590</v>
      </c>
      <c r="I406" s="54">
        <v>350</v>
      </c>
      <c r="J406" s="54">
        <v>419</v>
      </c>
      <c r="K406" s="54">
        <v>594</v>
      </c>
      <c r="L406" s="54">
        <v>404</v>
      </c>
      <c r="M406" s="54">
        <f t="shared" si="6"/>
        <v>890</v>
      </c>
      <c r="N406" s="55">
        <v>5557</v>
      </c>
      <c r="O406" s="54">
        <v>102</v>
      </c>
      <c r="P406" s="54">
        <v>1</v>
      </c>
      <c r="Q406" s="54">
        <v>462</v>
      </c>
      <c r="R406" s="54">
        <v>1388</v>
      </c>
      <c r="S406" s="54">
        <v>303</v>
      </c>
      <c r="T406" s="54">
        <v>764</v>
      </c>
      <c r="U406" s="54">
        <v>853</v>
      </c>
      <c r="V406" s="54">
        <v>508</v>
      </c>
      <c r="W406" s="54">
        <v>1117</v>
      </c>
      <c r="X406" s="54">
        <v>59</v>
      </c>
    </row>
    <row r="407" spans="1:24">
      <c r="A407" s="52">
        <v>46180</v>
      </c>
      <c r="B407" s="53" t="s">
        <v>995</v>
      </c>
      <c r="C407" s="54">
        <v>356</v>
      </c>
      <c r="D407" s="54">
        <v>462</v>
      </c>
      <c r="E407" s="54">
        <v>428</v>
      </c>
      <c r="F407" s="54">
        <v>1067</v>
      </c>
      <c r="G407" s="54">
        <v>737</v>
      </c>
      <c r="H407" s="54">
        <v>779</v>
      </c>
      <c r="I407" s="54">
        <v>462</v>
      </c>
      <c r="J407" s="54">
        <v>553</v>
      </c>
      <c r="K407" s="54">
        <v>784</v>
      </c>
      <c r="L407" s="54">
        <v>534</v>
      </c>
      <c r="M407" s="54">
        <f t="shared" si="6"/>
        <v>1173</v>
      </c>
      <c r="N407" s="55">
        <v>7335</v>
      </c>
      <c r="O407" s="54">
        <v>134</v>
      </c>
      <c r="P407" s="54">
        <v>1</v>
      </c>
      <c r="Q407" s="54">
        <v>610</v>
      </c>
      <c r="R407" s="54">
        <v>1832</v>
      </c>
      <c r="S407" s="54">
        <v>401</v>
      </c>
      <c r="T407" s="54">
        <v>1008</v>
      </c>
      <c r="U407" s="54">
        <v>1126</v>
      </c>
      <c r="V407" s="54">
        <v>671</v>
      </c>
      <c r="W407" s="54">
        <v>1474</v>
      </c>
      <c r="X407" s="54">
        <v>78</v>
      </c>
    </row>
    <row r="408" spans="1:24">
      <c r="A408" s="52">
        <v>46181</v>
      </c>
      <c r="B408" s="53" t="s">
        <v>995</v>
      </c>
      <c r="C408" s="54">
        <v>198</v>
      </c>
      <c r="D408" s="54">
        <v>257</v>
      </c>
      <c r="E408" s="54">
        <v>238</v>
      </c>
      <c r="F408" s="54">
        <v>593</v>
      </c>
      <c r="G408" s="54">
        <v>409</v>
      </c>
      <c r="H408" s="54">
        <v>433</v>
      </c>
      <c r="I408" s="54">
        <v>257</v>
      </c>
      <c r="J408" s="54">
        <v>307</v>
      </c>
      <c r="K408" s="54">
        <v>436</v>
      </c>
      <c r="L408" s="54">
        <v>296</v>
      </c>
      <c r="M408" s="54">
        <f t="shared" si="6"/>
        <v>652</v>
      </c>
      <c r="N408" s="55">
        <v>4076</v>
      </c>
      <c r="O408" s="54">
        <v>75</v>
      </c>
      <c r="P408" s="54">
        <v>1</v>
      </c>
      <c r="Q408" s="54">
        <v>339</v>
      </c>
      <c r="R408" s="54">
        <v>1018</v>
      </c>
      <c r="S408" s="54">
        <v>223</v>
      </c>
      <c r="T408" s="54">
        <v>560</v>
      </c>
      <c r="U408" s="54">
        <v>625</v>
      </c>
      <c r="V408" s="54">
        <v>373</v>
      </c>
      <c r="W408" s="54">
        <v>819</v>
      </c>
      <c r="X408" s="54">
        <v>43</v>
      </c>
    </row>
    <row r="409" spans="1:24">
      <c r="A409" s="52">
        <v>46182</v>
      </c>
      <c r="B409" s="53" t="s">
        <v>995</v>
      </c>
      <c r="C409" s="54">
        <v>198</v>
      </c>
      <c r="D409" s="54">
        <v>257</v>
      </c>
      <c r="E409" s="54">
        <v>238</v>
      </c>
      <c r="F409" s="54">
        <v>593</v>
      </c>
      <c r="G409" s="54">
        <v>409</v>
      </c>
      <c r="H409" s="54">
        <v>433</v>
      </c>
      <c r="I409" s="54">
        <v>257</v>
      </c>
      <c r="J409" s="54">
        <v>307</v>
      </c>
      <c r="K409" s="54">
        <v>436</v>
      </c>
      <c r="L409" s="54">
        <v>296</v>
      </c>
      <c r="M409" s="54">
        <f t="shared" si="6"/>
        <v>652</v>
      </c>
      <c r="N409" s="55">
        <v>4076</v>
      </c>
      <c r="O409" s="54">
        <v>75</v>
      </c>
      <c r="P409" s="54">
        <v>1</v>
      </c>
      <c r="Q409" s="54">
        <v>339</v>
      </c>
      <c r="R409" s="54">
        <v>1018</v>
      </c>
      <c r="S409" s="54">
        <v>223</v>
      </c>
      <c r="T409" s="54">
        <v>560</v>
      </c>
      <c r="U409" s="54">
        <v>625</v>
      </c>
      <c r="V409" s="54">
        <v>373</v>
      </c>
      <c r="W409" s="54">
        <v>819</v>
      </c>
      <c r="X409" s="54">
        <v>43</v>
      </c>
    </row>
    <row r="410" spans="1:24">
      <c r="A410" s="52">
        <v>46183</v>
      </c>
      <c r="B410" s="53" t="s">
        <v>995</v>
      </c>
      <c r="C410" s="54">
        <v>198</v>
      </c>
      <c r="D410" s="54">
        <v>257</v>
      </c>
      <c r="E410" s="54">
        <v>238</v>
      </c>
      <c r="F410" s="54">
        <v>593</v>
      </c>
      <c r="G410" s="54">
        <v>409</v>
      </c>
      <c r="H410" s="54">
        <v>433</v>
      </c>
      <c r="I410" s="54">
        <v>257</v>
      </c>
      <c r="J410" s="54">
        <v>307</v>
      </c>
      <c r="K410" s="54">
        <v>436</v>
      </c>
      <c r="L410" s="54">
        <v>296</v>
      </c>
      <c r="M410" s="54">
        <f t="shared" si="6"/>
        <v>652</v>
      </c>
      <c r="N410" s="55">
        <v>4076</v>
      </c>
      <c r="O410" s="54">
        <v>75</v>
      </c>
      <c r="P410" s="54">
        <v>1</v>
      </c>
      <c r="Q410" s="54">
        <v>339</v>
      </c>
      <c r="R410" s="54">
        <v>1018</v>
      </c>
      <c r="S410" s="54">
        <v>223</v>
      </c>
      <c r="T410" s="54">
        <v>560</v>
      </c>
      <c r="U410" s="54">
        <v>625</v>
      </c>
      <c r="V410" s="54">
        <v>373</v>
      </c>
      <c r="W410" s="54">
        <v>819</v>
      </c>
      <c r="X410" s="54">
        <v>43</v>
      </c>
    </row>
    <row r="411" spans="1:24">
      <c r="A411" s="52">
        <v>46184</v>
      </c>
      <c r="B411" s="53" t="s">
        <v>995</v>
      </c>
      <c r="C411" s="54">
        <v>198</v>
      </c>
      <c r="D411" s="54">
        <v>257</v>
      </c>
      <c r="E411" s="54">
        <v>238</v>
      </c>
      <c r="F411" s="54">
        <v>593</v>
      </c>
      <c r="G411" s="54">
        <v>409</v>
      </c>
      <c r="H411" s="54">
        <v>433</v>
      </c>
      <c r="I411" s="54">
        <v>257</v>
      </c>
      <c r="J411" s="54">
        <v>307</v>
      </c>
      <c r="K411" s="54">
        <v>436</v>
      </c>
      <c r="L411" s="54">
        <v>296</v>
      </c>
      <c r="M411" s="54">
        <f t="shared" si="6"/>
        <v>652</v>
      </c>
      <c r="N411" s="55">
        <v>4076</v>
      </c>
      <c r="O411" s="54">
        <v>75</v>
      </c>
      <c r="P411" s="54">
        <v>1</v>
      </c>
      <c r="Q411" s="54">
        <v>339</v>
      </c>
      <c r="R411" s="54">
        <v>1018</v>
      </c>
      <c r="S411" s="54">
        <v>223</v>
      </c>
      <c r="T411" s="54">
        <v>560</v>
      </c>
      <c r="U411" s="54">
        <v>625</v>
      </c>
      <c r="V411" s="54">
        <v>373</v>
      </c>
      <c r="W411" s="54">
        <v>819</v>
      </c>
      <c r="X411" s="54">
        <v>43</v>
      </c>
    </row>
    <row r="412" spans="1:24">
      <c r="A412" s="52">
        <v>46185</v>
      </c>
      <c r="B412" s="53" t="s">
        <v>995</v>
      </c>
      <c r="C412" s="54">
        <v>198</v>
      </c>
      <c r="D412" s="54">
        <v>257</v>
      </c>
      <c r="E412" s="54">
        <v>238</v>
      </c>
      <c r="F412" s="54">
        <v>593</v>
      </c>
      <c r="G412" s="54">
        <v>409</v>
      </c>
      <c r="H412" s="54">
        <v>433</v>
      </c>
      <c r="I412" s="54">
        <v>257</v>
      </c>
      <c r="J412" s="54">
        <v>307</v>
      </c>
      <c r="K412" s="54">
        <v>436</v>
      </c>
      <c r="L412" s="54">
        <v>296</v>
      </c>
      <c r="M412" s="54">
        <f t="shared" si="6"/>
        <v>652</v>
      </c>
      <c r="N412" s="55">
        <v>4076</v>
      </c>
      <c r="O412" s="54">
        <v>75</v>
      </c>
      <c r="P412" s="54">
        <v>1</v>
      </c>
      <c r="Q412" s="54">
        <v>339</v>
      </c>
      <c r="R412" s="54">
        <v>1018</v>
      </c>
      <c r="S412" s="54">
        <v>223</v>
      </c>
      <c r="T412" s="54">
        <v>560</v>
      </c>
      <c r="U412" s="54">
        <v>625</v>
      </c>
      <c r="V412" s="54">
        <v>373</v>
      </c>
      <c r="W412" s="54">
        <v>819</v>
      </c>
      <c r="X412" s="54">
        <v>43</v>
      </c>
    </row>
    <row r="413" spans="1:24">
      <c r="A413" s="52">
        <v>46186</v>
      </c>
      <c r="B413" s="53" t="s">
        <v>995</v>
      </c>
      <c r="C413" s="54">
        <v>361</v>
      </c>
      <c r="D413" s="54">
        <v>469</v>
      </c>
      <c r="E413" s="54">
        <v>435</v>
      </c>
      <c r="F413" s="54">
        <v>1083</v>
      </c>
      <c r="G413" s="54">
        <v>748</v>
      </c>
      <c r="H413" s="54">
        <v>790</v>
      </c>
      <c r="I413" s="54">
        <v>469</v>
      </c>
      <c r="J413" s="54">
        <v>561</v>
      </c>
      <c r="K413" s="54">
        <v>796</v>
      </c>
      <c r="L413" s="54">
        <v>542</v>
      </c>
      <c r="M413" s="54">
        <f t="shared" si="6"/>
        <v>1191</v>
      </c>
      <c r="N413" s="55">
        <v>7445</v>
      </c>
      <c r="O413" s="54">
        <v>136</v>
      </c>
      <c r="P413" s="54">
        <v>1</v>
      </c>
      <c r="Q413" s="54">
        <v>619</v>
      </c>
      <c r="R413" s="54">
        <v>1860</v>
      </c>
      <c r="S413" s="54">
        <v>407</v>
      </c>
      <c r="T413" s="54">
        <v>1023</v>
      </c>
      <c r="U413" s="54">
        <v>1143</v>
      </c>
      <c r="V413" s="54">
        <v>681</v>
      </c>
      <c r="W413" s="54">
        <v>1496</v>
      </c>
      <c r="X413" s="54">
        <v>79</v>
      </c>
    </row>
    <row r="414" spans="1:24">
      <c r="A414" s="52">
        <v>46187</v>
      </c>
      <c r="B414" s="53" t="s">
        <v>995</v>
      </c>
      <c r="C414" s="54">
        <v>402</v>
      </c>
      <c r="D414" s="54">
        <v>523</v>
      </c>
      <c r="E414" s="54">
        <v>485</v>
      </c>
      <c r="F414" s="54">
        <v>1207</v>
      </c>
      <c r="G414" s="54">
        <v>833</v>
      </c>
      <c r="H414" s="54">
        <v>881</v>
      </c>
      <c r="I414" s="54">
        <v>523</v>
      </c>
      <c r="J414" s="54">
        <v>626</v>
      </c>
      <c r="K414" s="54">
        <v>887</v>
      </c>
      <c r="L414" s="54">
        <v>603</v>
      </c>
      <c r="M414" s="54">
        <f t="shared" si="6"/>
        <v>1327</v>
      </c>
      <c r="N414" s="55">
        <v>8297</v>
      </c>
      <c r="O414" s="54">
        <v>152</v>
      </c>
      <c r="P414" s="54">
        <v>1</v>
      </c>
      <c r="Q414" s="54">
        <v>690</v>
      </c>
      <c r="R414" s="54">
        <v>2073</v>
      </c>
      <c r="S414" s="54">
        <v>453</v>
      </c>
      <c r="T414" s="54">
        <v>1140</v>
      </c>
      <c r="U414" s="54">
        <v>1273</v>
      </c>
      <c r="V414" s="54">
        <v>759</v>
      </c>
      <c r="W414" s="54">
        <v>1668</v>
      </c>
      <c r="X414" s="54">
        <v>88</v>
      </c>
    </row>
    <row r="415" spans="1:24">
      <c r="A415" s="52">
        <v>46188</v>
      </c>
      <c r="B415" s="53" t="s">
        <v>995</v>
      </c>
      <c r="C415" s="54">
        <v>210</v>
      </c>
      <c r="D415" s="54">
        <v>273</v>
      </c>
      <c r="E415" s="54">
        <v>253</v>
      </c>
      <c r="F415" s="54">
        <v>630</v>
      </c>
      <c r="G415" s="54">
        <v>435</v>
      </c>
      <c r="H415" s="54">
        <v>460</v>
      </c>
      <c r="I415" s="54">
        <v>273</v>
      </c>
      <c r="J415" s="54">
        <v>327</v>
      </c>
      <c r="K415" s="54">
        <v>463</v>
      </c>
      <c r="L415" s="54">
        <v>315</v>
      </c>
      <c r="M415" s="54">
        <f t="shared" si="6"/>
        <v>695</v>
      </c>
      <c r="N415" s="55">
        <v>4334</v>
      </c>
      <c r="O415" s="54">
        <v>79</v>
      </c>
      <c r="P415" s="54">
        <v>1</v>
      </c>
      <c r="Q415" s="54">
        <v>360</v>
      </c>
      <c r="R415" s="54">
        <v>1083</v>
      </c>
      <c r="S415" s="54">
        <v>237</v>
      </c>
      <c r="T415" s="54">
        <v>596</v>
      </c>
      <c r="U415" s="54">
        <v>665</v>
      </c>
      <c r="V415" s="54">
        <v>396</v>
      </c>
      <c r="W415" s="54">
        <v>871</v>
      </c>
      <c r="X415" s="54">
        <v>46</v>
      </c>
    </row>
    <row r="416" spans="1:24">
      <c r="A416" s="52">
        <v>46189</v>
      </c>
      <c r="B416" s="53" t="s">
        <v>995</v>
      </c>
      <c r="C416" s="54">
        <v>210</v>
      </c>
      <c r="D416" s="54">
        <v>273</v>
      </c>
      <c r="E416" s="54">
        <v>253</v>
      </c>
      <c r="F416" s="54">
        <v>630</v>
      </c>
      <c r="G416" s="54">
        <v>435</v>
      </c>
      <c r="H416" s="54">
        <v>460</v>
      </c>
      <c r="I416" s="54">
        <v>273</v>
      </c>
      <c r="J416" s="54">
        <v>327</v>
      </c>
      <c r="K416" s="54">
        <v>463</v>
      </c>
      <c r="L416" s="54">
        <v>315</v>
      </c>
      <c r="M416" s="54">
        <f t="shared" si="6"/>
        <v>695</v>
      </c>
      <c r="N416" s="55">
        <v>4334</v>
      </c>
      <c r="O416" s="54">
        <v>79</v>
      </c>
      <c r="P416" s="54">
        <v>1</v>
      </c>
      <c r="Q416" s="54">
        <v>360</v>
      </c>
      <c r="R416" s="54">
        <v>1083</v>
      </c>
      <c r="S416" s="54">
        <v>237</v>
      </c>
      <c r="T416" s="54">
        <v>596</v>
      </c>
      <c r="U416" s="54">
        <v>665</v>
      </c>
      <c r="V416" s="54">
        <v>396</v>
      </c>
      <c r="W416" s="54">
        <v>871</v>
      </c>
      <c r="X416" s="54">
        <v>46</v>
      </c>
    </row>
    <row r="417" spans="1:24">
      <c r="A417" s="52">
        <v>46190</v>
      </c>
      <c r="B417" s="53" t="s">
        <v>995</v>
      </c>
      <c r="C417" s="54">
        <v>210</v>
      </c>
      <c r="D417" s="54">
        <v>273</v>
      </c>
      <c r="E417" s="54">
        <v>253</v>
      </c>
      <c r="F417" s="54">
        <v>630</v>
      </c>
      <c r="G417" s="54">
        <v>435</v>
      </c>
      <c r="H417" s="54">
        <v>460</v>
      </c>
      <c r="I417" s="54">
        <v>273</v>
      </c>
      <c r="J417" s="54">
        <v>327</v>
      </c>
      <c r="K417" s="54">
        <v>463</v>
      </c>
      <c r="L417" s="54">
        <v>315</v>
      </c>
      <c r="M417" s="54">
        <f t="shared" si="6"/>
        <v>695</v>
      </c>
      <c r="N417" s="55">
        <v>4334</v>
      </c>
      <c r="O417" s="54">
        <v>79</v>
      </c>
      <c r="P417" s="54">
        <v>1</v>
      </c>
      <c r="Q417" s="54">
        <v>360</v>
      </c>
      <c r="R417" s="54">
        <v>1083</v>
      </c>
      <c r="S417" s="54">
        <v>237</v>
      </c>
      <c r="T417" s="54">
        <v>596</v>
      </c>
      <c r="U417" s="54">
        <v>665</v>
      </c>
      <c r="V417" s="54">
        <v>396</v>
      </c>
      <c r="W417" s="54">
        <v>871</v>
      </c>
      <c r="X417" s="54">
        <v>46</v>
      </c>
    </row>
    <row r="418" spans="1:24">
      <c r="A418" s="52">
        <v>46191</v>
      </c>
      <c r="B418" s="53" t="s">
        <v>995</v>
      </c>
      <c r="C418" s="54">
        <v>210</v>
      </c>
      <c r="D418" s="54">
        <v>273</v>
      </c>
      <c r="E418" s="54">
        <v>253</v>
      </c>
      <c r="F418" s="54">
        <v>630</v>
      </c>
      <c r="G418" s="54">
        <v>435</v>
      </c>
      <c r="H418" s="54">
        <v>460</v>
      </c>
      <c r="I418" s="54">
        <v>273</v>
      </c>
      <c r="J418" s="54">
        <v>327</v>
      </c>
      <c r="K418" s="54">
        <v>463</v>
      </c>
      <c r="L418" s="54">
        <v>315</v>
      </c>
      <c r="M418" s="54">
        <f t="shared" si="6"/>
        <v>695</v>
      </c>
      <c r="N418" s="55">
        <v>4334</v>
      </c>
      <c r="O418" s="54">
        <v>79</v>
      </c>
      <c r="P418" s="54">
        <v>1</v>
      </c>
      <c r="Q418" s="54">
        <v>360</v>
      </c>
      <c r="R418" s="54">
        <v>1083</v>
      </c>
      <c r="S418" s="54">
        <v>237</v>
      </c>
      <c r="T418" s="54">
        <v>596</v>
      </c>
      <c r="U418" s="54">
        <v>665</v>
      </c>
      <c r="V418" s="54">
        <v>396</v>
      </c>
      <c r="W418" s="54">
        <v>871</v>
      </c>
      <c r="X418" s="54">
        <v>46</v>
      </c>
    </row>
    <row r="419" spans="1:24">
      <c r="A419" s="52">
        <v>46192</v>
      </c>
      <c r="B419" s="53" t="s">
        <v>995</v>
      </c>
      <c r="C419" s="54">
        <v>386</v>
      </c>
      <c r="D419" s="54">
        <v>502</v>
      </c>
      <c r="E419" s="54">
        <v>465</v>
      </c>
      <c r="F419" s="54">
        <v>1158</v>
      </c>
      <c r="G419" s="54">
        <v>800</v>
      </c>
      <c r="H419" s="54">
        <v>845</v>
      </c>
      <c r="I419" s="54">
        <v>502</v>
      </c>
      <c r="J419" s="54">
        <v>600</v>
      </c>
      <c r="K419" s="54">
        <v>851</v>
      </c>
      <c r="L419" s="54">
        <v>579</v>
      </c>
      <c r="M419" s="54">
        <f t="shared" si="6"/>
        <v>1274</v>
      </c>
      <c r="N419" s="55">
        <v>7962</v>
      </c>
      <c r="O419" s="54">
        <v>146</v>
      </c>
      <c r="P419" s="54">
        <v>1</v>
      </c>
      <c r="Q419" s="54">
        <v>662</v>
      </c>
      <c r="R419" s="54">
        <v>1989</v>
      </c>
      <c r="S419" s="54">
        <v>435</v>
      </c>
      <c r="T419" s="54">
        <v>1094</v>
      </c>
      <c r="U419" s="54">
        <v>1222</v>
      </c>
      <c r="V419" s="54">
        <v>728</v>
      </c>
      <c r="W419" s="54">
        <v>1601</v>
      </c>
      <c r="X419" s="54">
        <v>84</v>
      </c>
    </row>
    <row r="420" spans="1:24">
      <c r="A420" s="52">
        <v>46193</v>
      </c>
      <c r="B420" s="53" t="s">
        <v>995</v>
      </c>
      <c r="C420" s="54">
        <v>435</v>
      </c>
      <c r="D420" s="54">
        <v>565</v>
      </c>
      <c r="E420" s="54">
        <v>524</v>
      </c>
      <c r="F420" s="54">
        <v>1304</v>
      </c>
      <c r="G420" s="54">
        <v>900</v>
      </c>
      <c r="H420" s="54">
        <v>951</v>
      </c>
      <c r="I420" s="54">
        <v>565</v>
      </c>
      <c r="J420" s="54">
        <v>676</v>
      </c>
      <c r="K420" s="54">
        <v>958</v>
      </c>
      <c r="L420" s="54">
        <v>652</v>
      </c>
      <c r="M420" s="54">
        <f t="shared" si="6"/>
        <v>1434</v>
      </c>
      <c r="N420" s="55">
        <v>8964</v>
      </c>
      <c r="O420" s="54">
        <v>164</v>
      </c>
      <c r="P420" s="54">
        <v>1</v>
      </c>
      <c r="Q420" s="54">
        <v>745</v>
      </c>
      <c r="R420" s="54">
        <v>2239</v>
      </c>
      <c r="S420" s="54">
        <v>490</v>
      </c>
      <c r="T420" s="54">
        <v>1232</v>
      </c>
      <c r="U420" s="54">
        <v>1376</v>
      </c>
      <c r="V420" s="54">
        <v>820</v>
      </c>
      <c r="W420" s="54">
        <v>1802</v>
      </c>
      <c r="X420" s="54">
        <v>95</v>
      </c>
    </row>
    <row r="421" spans="1:24">
      <c r="A421" s="52">
        <v>46194</v>
      </c>
      <c r="B421" s="53" t="s">
        <v>995</v>
      </c>
      <c r="C421" s="54">
        <v>476</v>
      </c>
      <c r="D421" s="54">
        <v>618</v>
      </c>
      <c r="E421" s="54">
        <v>573</v>
      </c>
      <c r="F421" s="54">
        <v>1428</v>
      </c>
      <c r="G421" s="54">
        <v>986</v>
      </c>
      <c r="H421" s="54">
        <v>1042</v>
      </c>
      <c r="I421" s="54">
        <v>618</v>
      </c>
      <c r="J421" s="54">
        <v>740</v>
      </c>
      <c r="K421" s="54">
        <v>1049</v>
      </c>
      <c r="L421" s="54">
        <v>714</v>
      </c>
      <c r="M421" s="54">
        <f t="shared" si="6"/>
        <v>1572</v>
      </c>
      <c r="N421" s="55">
        <v>9816</v>
      </c>
      <c r="O421" s="54">
        <v>180</v>
      </c>
      <c r="P421" s="54">
        <v>2</v>
      </c>
      <c r="Q421" s="54">
        <v>816</v>
      </c>
      <c r="R421" s="54">
        <v>2452</v>
      </c>
      <c r="S421" s="54">
        <v>536</v>
      </c>
      <c r="T421" s="54">
        <v>1349</v>
      </c>
      <c r="U421" s="54">
        <v>1506</v>
      </c>
      <c r="V421" s="54">
        <v>898</v>
      </c>
      <c r="W421" s="54">
        <v>1973</v>
      </c>
      <c r="X421" s="54">
        <v>104</v>
      </c>
    </row>
    <row r="422" spans="1:24">
      <c r="A422" s="52">
        <v>46195</v>
      </c>
      <c r="B422" s="53" t="s">
        <v>995</v>
      </c>
      <c r="C422" s="54">
        <v>214</v>
      </c>
      <c r="D422" s="54">
        <v>278</v>
      </c>
      <c r="E422" s="54">
        <v>258</v>
      </c>
      <c r="F422" s="54">
        <v>641</v>
      </c>
      <c r="G422" s="54">
        <v>443</v>
      </c>
      <c r="H422" s="54">
        <v>468</v>
      </c>
      <c r="I422" s="54">
        <v>278</v>
      </c>
      <c r="J422" s="54">
        <v>332</v>
      </c>
      <c r="K422" s="54">
        <v>471</v>
      </c>
      <c r="L422" s="54">
        <v>321</v>
      </c>
      <c r="M422" s="54">
        <f t="shared" si="6"/>
        <v>704</v>
      </c>
      <c r="N422" s="55">
        <v>4408</v>
      </c>
      <c r="O422" s="54">
        <v>81</v>
      </c>
      <c r="P422" s="54">
        <v>1</v>
      </c>
      <c r="Q422" s="54">
        <v>366</v>
      </c>
      <c r="R422" s="54">
        <v>1101</v>
      </c>
      <c r="S422" s="54">
        <v>241</v>
      </c>
      <c r="T422" s="54">
        <v>606</v>
      </c>
      <c r="U422" s="54">
        <v>676</v>
      </c>
      <c r="V422" s="54">
        <v>403</v>
      </c>
      <c r="W422" s="54">
        <v>886</v>
      </c>
      <c r="X422" s="54">
        <v>47</v>
      </c>
    </row>
    <row r="423" spans="1:24">
      <c r="A423" s="52">
        <v>46196</v>
      </c>
      <c r="B423" s="53" t="s">
        <v>995</v>
      </c>
      <c r="C423" s="54">
        <v>214</v>
      </c>
      <c r="D423" s="54">
        <v>278</v>
      </c>
      <c r="E423" s="54">
        <v>258</v>
      </c>
      <c r="F423" s="54">
        <v>641</v>
      </c>
      <c r="G423" s="54">
        <v>443</v>
      </c>
      <c r="H423" s="54">
        <v>468</v>
      </c>
      <c r="I423" s="54">
        <v>278</v>
      </c>
      <c r="J423" s="54">
        <v>332</v>
      </c>
      <c r="K423" s="54">
        <v>471</v>
      </c>
      <c r="L423" s="54">
        <v>321</v>
      </c>
      <c r="M423" s="54">
        <f t="shared" si="6"/>
        <v>704</v>
      </c>
      <c r="N423" s="55">
        <v>4408</v>
      </c>
      <c r="O423" s="54">
        <v>81</v>
      </c>
      <c r="P423" s="54">
        <v>1</v>
      </c>
      <c r="Q423" s="54">
        <v>366</v>
      </c>
      <c r="R423" s="54">
        <v>1101</v>
      </c>
      <c r="S423" s="54">
        <v>241</v>
      </c>
      <c r="T423" s="54">
        <v>606</v>
      </c>
      <c r="U423" s="54">
        <v>676</v>
      </c>
      <c r="V423" s="54">
        <v>403</v>
      </c>
      <c r="W423" s="54">
        <v>886</v>
      </c>
      <c r="X423" s="54">
        <v>47</v>
      </c>
    </row>
    <row r="424" spans="1:24">
      <c r="A424" s="52">
        <v>46197</v>
      </c>
      <c r="B424" s="53" t="s">
        <v>995</v>
      </c>
      <c r="C424" s="54">
        <v>214</v>
      </c>
      <c r="D424" s="54">
        <v>278</v>
      </c>
      <c r="E424" s="54">
        <v>258</v>
      </c>
      <c r="F424" s="54">
        <v>641</v>
      </c>
      <c r="G424" s="54">
        <v>443</v>
      </c>
      <c r="H424" s="54">
        <v>468</v>
      </c>
      <c r="I424" s="54">
        <v>278</v>
      </c>
      <c r="J424" s="54">
        <v>332</v>
      </c>
      <c r="K424" s="54">
        <v>471</v>
      </c>
      <c r="L424" s="54">
        <v>321</v>
      </c>
      <c r="M424" s="54">
        <f t="shared" si="6"/>
        <v>704</v>
      </c>
      <c r="N424" s="55">
        <v>4408</v>
      </c>
      <c r="O424" s="54">
        <v>81</v>
      </c>
      <c r="P424" s="54">
        <v>1</v>
      </c>
      <c r="Q424" s="54">
        <v>366</v>
      </c>
      <c r="R424" s="54">
        <v>1101</v>
      </c>
      <c r="S424" s="54">
        <v>241</v>
      </c>
      <c r="T424" s="54">
        <v>606</v>
      </c>
      <c r="U424" s="54">
        <v>676</v>
      </c>
      <c r="V424" s="54">
        <v>403</v>
      </c>
      <c r="W424" s="54">
        <v>886</v>
      </c>
      <c r="X424" s="54">
        <v>47</v>
      </c>
    </row>
    <row r="425" spans="1:24">
      <c r="A425" s="52">
        <v>46198</v>
      </c>
      <c r="B425" s="53" t="s">
        <v>995</v>
      </c>
      <c r="C425" s="54">
        <v>214</v>
      </c>
      <c r="D425" s="54">
        <v>278</v>
      </c>
      <c r="E425" s="54">
        <v>258</v>
      </c>
      <c r="F425" s="54">
        <v>641</v>
      </c>
      <c r="G425" s="54">
        <v>443</v>
      </c>
      <c r="H425" s="54">
        <v>468</v>
      </c>
      <c r="I425" s="54">
        <v>278</v>
      </c>
      <c r="J425" s="54">
        <v>332</v>
      </c>
      <c r="K425" s="54">
        <v>471</v>
      </c>
      <c r="L425" s="54">
        <v>321</v>
      </c>
      <c r="M425" s="54">
        <f t="shared" si="6"/>
        <v>704</v>
      </c>
      <c r="N425" s="55">
        <v>4408</v>
      </c>
      <c r="O425" s="54">
        <v>81</v>
      </c>
      <c r="P425" s="54">
        <v>1</v>
      </c>
      <c r="Q425" s="54">
        <v>366</v>
      </c>
      <c r="R425" s="54">
        <v>1101</v>
      </c>
      <c r="S425" s="54">
        <v>241</v>
      </c>
      <c r="T425" s="54">
        <v>606</v>
      </c>
      <c r="U425" s="54">
        <v>676</v>
      </c>
      <c r="V425" s="54">
        <v>403</v>
      </c>
      <c r="W425" s="54">
        <v>886</v>
      </c>
      <c r="X425" s="54">
        <v>47</v>
      </c>
    </row>
    <row r="426" spans="1:24">
      <c r="A426" s="52">
        <v>46199</v>
      </c>
      <c r="B426" s="53" t="s">
        <v>995</v>
      </c>
      <c r="C426" s="54">
        <v>214</v>
      </c>
      <c r="D426" s="54">
        <v>278</v>
      </c>
      <c r="E426" s="54">
        <v>258</v>
      </c>
      <c r="F426" s="54">
        <v>641</v>
      </c>
      <c r="G426" s="54">
        <v>443</v>
      </c>
      <c r="H426" s="54">
        <v>468</v>
      </c>
      <c r="I426" s="54">
        <v>278</v>
      </c>
      <c r="J426" s="54">
        <v>332</v>
      </c>
      <c r="K426" s="54">
        <v>471</v>
      </c>
      <c r="L426" s="54">
        <v>321</v>
      </c>
      <c r="M426" s="54">
        <f t="shared" si="6"/>
        <v>704</v>
      </c>
      <c r="N426" s="55">
        <v>4408</v>
      </c>
      <c r="O426" s="54">
        <v>81</v>
      </c>
      <c r="P426" s="54">
        <v>1</v>
      </c>
      <c r="Q426" s="54">
        <v>366</v>
      </c>
      <c r="R426" s="54">
        <v>1101</v>
      </c>
      <c r="S426" s="54">
        <v>241</v>
      </c>
      <c r="T426" s="54">
        <v>606</v>
      </c>
      <c r="U426" s="54">
        <v>676</v>
      </c>
      <c r="V426" s="54">
        <v>403</v>
      </c>
      <c r="W426" s="54">
        <v>886</v>
      </c>
      <c r="X426" s="54">
        <v>47</v>
      </c>
    </row>
    <row r="427" spans="1:24">
      <c r="A427" s="52">
        <v>46200</v>
      </c>
      <c r="B427" s="53" t="s">
        <v>995</v>
      </c>
      <c r="C427" s="54">
        <v>386</v>
      </c>
      <c r="D427" s="54">
        <v>502</v>
      </c>
      <c r="E427" s="54">
        <v>465</v>
      </c>
      <c r="F427" s="54">
        <v>1158</v>
      </c>
      <c r="G427" s="54">
        <v>800</v>
      </c>
      <c r="H427" s="54">
        <v>845</v>
      </c>
      <c r="I427" s="54">
        <v>502</v>
      </c>
      <c r="J427" s="54">
        <v>600</v>
      </c>
      <c r="K427" s="54">
        <v>851</v>
      </c>
      <c r="L427" s="54">
        <v>579</v>
      </c>
      <c r="M427" s="54">
        <f t="shared" si="6"/>
        <v>1274</v>
      </c>
      <c r="N427" s="55">
        <v>7962</v>
      </c>
      <c r="O427" s="54">
        <v>146</v>
      </c>
      <c r="P427" s="54">
        <v>1</v>
      </c>
      <c r="Q427" s="54">
        <v>662</v>
      </c>
      <c r="R427" s="54">
        <v>1989</v>
      </c>
      <c r="S427" s="54">
        <v>435</v>
      </c>
      <c r="T427" s="54">
        <v>1094</v>
      </c>
      <c r="U427" s="54">
        <v>1222</v>
      </c>
      <c r="V427" s="54">
        <v>728</v>
      </c>
      <c r="W427" s="54">
        <v>1601</v>
      </c>
      <c r="X427" s="54">
        <v>84</v>
      </c>
    </row>
    <row r="428" spans="1:24">
      <c r="A428" s="52">
        <v>46201</v>
      </c>
      <c r="B428" s="53" t="s">
        <v>995</v>
      </c>
      <c r="C428" s="54">
        <v>435</v>
      </c>
      <c r="D428" s="54">
        <v>565</v>
      </c>
      <c r="E428" s="54">
        <v>524</v>
      </c>
      <c r="F428" s="54">
        <v>1304</v>
      </c>
      <c r="G428" s="54">
        <v>900</v>
      </c>
      <c r="H428" s="54">
        <v>951</v>
      </c>
      <c r="I428" s="54">
        <v>565</v>
      </c>
      <c r="J428" s="54">
        <v>676</v>
      </c>
      <c r="K428" s="54">
        <v>958</v>
      </c>
      <c r="L428" s="54">
        <v>651</v>
      </c>
      <c r="M428" s="54">
        <f t="shared" si="6"/>
        <v>1435</v>
      </c>
      <c r="N428" s="55">
        <v>8964</v>
      </c>
      <c r="O428" s="54">
        <v>164</v>
      </c>
      <c r="P428" s="54">
        <v>1</v>
      </c>
      <c r="Q428" s="54">
        <v>745</v>
      </c>
      <c r="R428" s="54">
        <v>2239</v>
      </c>
      <c r="S428" s="54">
        <v>490</v>
      </c>
      <c r="T428" s="54">
        <v>1232</v>
      </c>
      <c r="U428" s="54">
        <v>1376</v>
      </c>
      <c r="V428" s="54">
        <v>820</v>
      </c>
      <c r="W428" s="54">
        <v>1802</v>
      </c>
      <c r="X428" s="54">
        <v>95</v>
      </c>
    </row>
    <row r="429" spans="1:24">
      <c r="A429" s="52">
        <v>46202</v>
      </c>
      <c r="B429" s="53" t="s">
        <v>995</v>
      </c>
      <c r="C429" s="54">
        <v>225</v>
      </c>
      <c r="D429" s="54">
        <v>292</v>
      </c>
      <c r="E429" s="54">
        <v>271</v>
      </c>
      <c r="F429" s="54">
        <v>674</v>
      </c>
      <c r="G429" s="54">
        <v>465</v>
      </c>
      <c r="H429" s="54">
        <v>492</v>
      </c>
      <c r="I429" s="54">
        <v>292</v>
      </c>
      <c r="J429" s="54">
        <v>349</v>
      </c>
      <c r="K429" s="54">
        <v>495</v>
      </c>
      <c r="L429" s="54">
        <v>336</v>
      </c>
      <c r="M429" s="54">
        <f t="shared" si="6"/>
        <v>740</v>
      </c>
      <c r="N429" s="55">
        <v>4631</v>
      </c>
      <c r="O429" s="54">
        <v>85</v>
      </c>
      <c r="P429" s="54">
        <v>1</v>
      </c>
      <c r="Q429" s="54">
        <v>385</v>
      </c>
      <c r="R429" s="54">
        <v>1157</v>
      </c>
      <c r="S429" s="54">
        <v>253</v>
      </c>
      <c r="T429" s="54">
        <v>636</v>
      </c>
      <c r="U429" s="54">
        <v>711</v>
      </c>
      <c r="V429" s="54">
        <v>423</v>
      </c>
      <c r="W429" s="54">
        <v>931</v>
      </c>
      <c r="X429" s="54">
        <v>49</v>
      </c>
    </row>
    <row r="430" spans="1:24">
      <c r="A430" s="52">
        <v>46203</v>
      </c>
      <c r="B430" s="53" t="s">
        <v>995</v>
      </c>
      <c r="C430" s="54">
        <v>225</v>
      </c>
      <c r="D430" s="54">
        <v>292</v>
      </c>
      <c r="E430" s="54">
        <v>271</v>
      </c>
      <c r="F430" s="54">
        <v>674</v>
      </c>
      <c r="G430" s="54">
        <v>465</v>
      </c>
      <c r="H430" s="54">
        <v>492</v>
      </c>
      <c r="I430" s="54">
        <v>292</v>
      </c>
      <c r="J430" s="54">
        <v>349</v>
      </c>
      <c r="K430" s="54">
        <v>495</v>
      </c>
      <c r="L430" s="54">
        <v>336</v>
      </c>
      <c r="M430" s="54">
        <f t="shared" si="6"/>
        <v>740</v>
      </c>
      <c r="N430" s="55">
        <v>4631</v>
      </c>
      <c r="O430" s="54">
        <v>85</v>
      </c>
      <c r="P430" s="54">
        <v>1</v>
      </c>
      <c r="Q430" s="54">
        <v>385</v>
      </c>
      <c r="R430" s="54">
        <v>1157</v>
      </c>
      <c r="S430" s="54">
        <v>253</v>
      </c>
      <c r="T430" s="54">
        <v>636</v>
      </c>
      <c r="U430" s="54">
        <v>711</v>
      </c>
      <c r="V430" s="54">
        <v>423</v>
      </c>
      <c r="W430" s="54">
        <v>931</v>
      </c>
      <c r="X430" s="54">
        <v>49</v>
      </c>
    </row>
    <row r="431" spans="1:24">
      <c r="A431" s="52">
        <v>46204</v>
      </c>
      <c r="B431" s="53" t="s">
        <v>995</v>
      </c>
      <c r="C431" s="54">
        <v>101</v>
      </c>
      <c r="D431" s="54">
        <v>150</v>
      </c>
      <c r="E431" s="54">
        <v>180</v>
      </c>
      <c r="F431" s="54">
        <v>332</v>
      </c>
      <c r="G431" s="54">
        <v>204</v>
      </c>
      <c r="H431" s="54">
        <v>182</v>
      </c>
      <c r="I431" s="54">
        <v>116</v>
      </c>
      <c r="J431" s="54">
        <v>280</v>
      </c>
      <c r="K431" s="54">
        <v>361</v>
      </c>
      <c r="L431" s="54">
        <v>227</v>
      </c>
      <c r="M431" s="54">
        <f t="shared" si="6"/>
        <v>161</v>
      </c>
      <c r="N431" s="55">
        <v>2294</v>
      </c>
      <c r="O431" s="54">
        <v>49</v>
      </c>
      <c r="P431" s="54">
        <v>0</v>
      </c>
      <c r="Q431" s="54">
        <v>234</v>
      </c>
      <c r="R431" s="54">
        <v>403</v>
      </c>
      <c r="S431" s="54">
        <v>99</v>
      </c>
      <c r="T431" s="54">
        <v>284</v>
      </c>
      <c r="U431" s="54">
        <v>118</v>
      </c>
      <c r="V431" s="54">
        <v>444</v>
      </c>
      <c r="W431" s="54">
        <v>646</v>
      </c>
      <c r="X431" s="54">
        <v>17</v>
      </c>
    </row>
    <row r="432" spans="1:24">
      <c r="A432" s="52">
        <v>46205</v>
      </c>
      <c r="B432" s="53" t="s">
        <v>995</v>
      </c>
      <c r="C432" s="54">
        <v>101</v>
      </c>
      <c r="D432" s="54">
        <v>150</v>
      </c>
      <c r="E432" s="54">
        <v>180</v>
      </c>
      <c r="F432" s="54">
        <v>332</v>
      </c>
      <c r="G432" s="54">
        <v>204</v>
      </c>
      <c r="H432" s="54">
        <v>182</v>
      </c>
      <c r="I432" s="54">
        <v>116</v>
      </c>
      <c r="J432" s="54">
        <v>280</v>
      </c>
      <c r="K432" s="54">
        <v>361</v>
      </c>
      <c r="L432" s="54">
        <v>227</v>
      </c>
      <c r="M432" s="54">
        <f t="shared" si="6"/>
        <v>161</v>
      </c>
      <c r="N432" s="55">
        <v>2294</v>
      </c>
      <c r="O432" s="54">
        <v>49</v>
      </c>
      <c r="P432" s="54">
        <v>0</v>
      </c>
      <c r="Q432" s="54">
        <v>234</v>
      </c>
      <c r="R432" s="54">
        <v>403</v>
      </c>
      <c r="S432" s="54">
        <v>99</v>
      </c>
      <c r="T432" s="54">
        <v>284</v>
      </c>
      <c r="U432" s="54">
        <v>118</v>
      </c>
      <c r="V432" s="54">
        <v>444</v>
      </c>
      <c r="W432" s="54">
        <v>646</v>
      </c>
      <c r="X432" s="54">
        <v>17</v>
      </c>
    </row>
    <row r="433" spans="1:24">
      <c r="A433" s="52">
        <v>46206</v>
      </c>
      <c r="B433" s="53" t="s">
        <v>995</v>
      </c>
      <c r="C433" s="54">
        <v>101</v>
      </c>
      <c r="D433" s="54">
        <v>150</v>
      </c>
      <c r="E433" s="54">
        <v>180</v>
      </c>
      <c r="F433" s="54">
        <v>332</v>
      </c>
      <c r="G433" s="54">
        <v>204</v>
      </c>
      <c r="H433" s="54">
        <v>182</v>
      </c>
      <c r="I433" s="54">
        <v>117</v>
      </c>
      <c r="J433" s="54">
        <v>280</v>
      </c>
      <c r="K433" s="54">
        <v>362</v>
      </c>
      <c r="L433" s="54">
        <v>228</v>
      </c>
      <c r="M433" s="54">
        <f t="shared" si="6"/>
        <v>159</v>
      </c>
      <c r="N433" s="55">
        <v>2295</v>
      </c>
      <c r="O433" s="54">
        <v>49</v>
      </c>
      <c r="P433" s="54">
        <v>0</v>
      </c>
      <c r="Q433" s="54">
        <v>234</v>
      </c>
      <c r="R433" s="54">
        <v>403</v>
      </c>
      <c r="S433" s="54">
        <v>99</v>
      </c>
      <c r="T433" s="54">
        <v>284</v>
      </c>
      <c r="U433" s="54">
        <v>118</v>
      </c>
      <c r="V433" s="54">
        <v>445</v>
      </c>
      <c r="W433" s="54">
        <v>646</v>
      </c>
      <c r="X433" s="54">
        <v>17</v>
      </c>
    </row>
    <row r="434" spans="1:24">
      <c r="A434" s="52">
        <v>46207</v>
      </c>
      <c r="B434" s="53" t="s">
        <v>995</v>
      </c>
      <c r="C434" s="54">
        <v>116</v>
      </c>
      <c r="D434" s="54">
        <v>173</v>
      </c>
      <c r="E434" s="54">
        <v>207</v>
      </c>
      <c r="F434" s="54">
        <v>382</v>
      </c>
      <c r="G434" s="54">
        <v>234</v>
      </c>
      <c r="H434" s="54">
        <v>209</v>
      </c>
      <c r="I434" s="54">
        <v>134</v>
      </c>
      <c r="J434" s="54">
        <v>322</v>
      </c>
      <c r="K434" s="54">
        <v>416</v>
      </c>
      <c r="L434" s="54">
        <v>262</v>
      </c>
      <c r="M434" s="54">
        <f t="shared" si="6"/>
        <v>184</v>
      </c>
      <c r="N434" s="55">
        <v>2639</v>
      </c>
      <c r="O434" s="54">
        <v>57</v>
      </c>
      <c r="P434" s="54">
        <v>0</v>
      </c>
      <c r="Q434" s="54">
        <v>269</v>
      </c>
      <c r="R434" s="54">
        <v>464</v>
      </c>
      <c r="S434" s="54">
        <v>113</v>
      </c>
      <c r="T434" s="54">
        <v>326</v>
      </c>
      <c r="U434" s="54">
        <v>136</v>
      </c>
      <c r="V434" s="54">
        <v>511</v>
      </c>
      <c r="W434" s="54">
        <v>743</v>
      </c>
      <c r="X434" s="54">
        <v>20</v>
      </c>
    </row>
    <row r="435" spans="1:24">
      <c r="A435" s="52">
        <v>46208</v>
      </c>
      <c r="B435" s="53" t="s">
        <v>995</v>
      </c>
      <c r="C435" s="54">
        <v>117</v>
      </c>
      <c r="D435" s="54">
        <v>173</v>
      </c>
      <c r="E435" s="54">
        <v>207</v>
      </c>
      <c r="F435" s="54">
        <v>382</v>
      </c>
      <c r="G435" s="54">
        <v>234</v>
      </c>
      <c r="H435" s="54">
        <v>209</v>
      </c>
      <c r="I435" s="54">
        <v>134</v>
      </c>
      <c r="J435" s="54">
        <v>322</v>
      </c>
      <c r="K435" s="54">
        <v>416</v>
      </c>
      <c r="L435" s="54">
        <v>262</v>
      </c>
      <c r="M435" s="54">
        <f t="shared" si="6"/>
        <v>186</v>
      </c>
      <c r="N435" s="55">
        <v>2642</v>
      </c>
      <c r="O435" s="54">
        <v>58</v>
      </c>
      <c r="P435" s="54">
        <v>0</v>
      </c>
      <c r="Q435" s="54">
        <v>269</v>
      </c>
      <c r="R435" s="54">
        <v>465</v>
      </c>
      <c r="S435" s="54">
        <v>113</v>
      </c>
      <c r="T435" s="54">
        <v>327</v>
      </c>
      <c r="U435" s="54">
        <v>136</v>
      </c>
      <c r="V435" s="54">
        <v>511</v>
      </c>
      <c r="W435" s="54">
        <v>743</v>
      </c>
      <c r="X435" s="54">
        <v>20</v>
      </c>
    </row>
    <row r="436" spans="1:24">
      <c r="A436" s="52">
        <v>46209</v>
      </c>
      <c r="B436" s="53" t="s">
        <v>995</v>
      </c>
      <c r="C436" s="54">
        <v>101</v>
      </c>
      <c r="D436" s="54">
        <v>150</v>
      </c>
      <c r="E436" s="54">
        <v>180</v>
      </c>
      <c r="F436" s="54">
        <v>333</v>
      </c>
      <c r="G436" s="54">
        <v>204</v>
      </c>
      <c r="H436" s="54">
        <v>182</v>
      </c>
      <c r="I436" s="54">
        <v>117</v>
      </c>
      <c r="J436" s="54">
        <v>280</v>
      </c>
      <c r="K436" s="54">
        <v>362</v>
      </c>
      <c r="L436" s="54">
        <v>228</v>
      </c>
      <c r="M436" s="54">
        <f t="shared" si="6"/>
        <v>161</v>
      </c>
      <c r="N436" s="55">
        <v>2298</v>
      </c>
      <c r="O436" s="54">
        <v>50</v>
      </c>
      <c r="P436" s="54">
        <v>0</v>
      </c>
      <c r="Q436" s="54">
        <v>234</v>
      </c>
      <c r="R436" s="54">
        <v>404</v>
      </c>
      <c r="S436" s="54">
        <v>99</v>
      </c>
      <c r="T436" s="54">
        <v>285</v>
      </c>
      <c r="U436" s="54">
        <v>118</v>
      </c>
      <c r="V436" s="54">
        <v>445</v>
      </c>
      <c r="W436" s="54">
        <v>646</v>
      </c>
      <c r="X436" s="54">
        <v>17</v>
      </c>
    </row>
    <row r="437" spans="1:24">
      <c r="A437" s="52">
        <v>46210</v>
      </c>
      <c r="B437" s="53" t="s">
        <v>995</v>
      </c>
      <c r="C437" s="54">
        <v>101</v>
      </c>
      <c r="D437" s="54">
        <v>150</v>
      </c>
      <c r="E437" s="54">
        <v>180</v>
      </c>
      <c r="F437" s="54">
        <v>333</v>
      </c>
      <c r="G437" s="54">
        <v>204</v>
      </c>
      <c r="H437" s="54">
        <v>182</v>
      </c>
      <c r="I437" s="54">
        <v>117</v>
      </c>
      <c r="J437" s="54">
        <v>280</v>
      </c>
      <c r="K437" s="54">
        <v>362</v>
      </c>
      <c r="L437" s="54">
        <v>228</v>
      </c>
      <c r="M437" s="54">
        <f t="shared" si="6"/>
        <v>161</v>
      </c>
      <c r="N437" s="55">
        <v>2298</v>
      </c>
      <c r="O437" s="54">
        <v>50</v>
      </c>
      <c r="P437" s="54">
        <v>0</v>
      </c>
      <c r="Q437" s="54">
        <v>234</v>
      </c>
      <c r="R437" s="54">
        <v>404</v>
      </c>
      <c r="S437" s="54">
        <v>99</v>
      </c>
      <c r="T437" s="54">
        <v>285</v>
      </c>
      <c r="U437" s="54">
        <v>118</v>
      </c>
      <c r="V437" s="54">
        <v>445</v>
      </c>
      <c r="W437" s="54">
        <v>646</v>
      </c>
      <c r="X437" s="54">
        <v>17</v>
      </c>
    </row>
    <row r="438" spans="1:24">
      <c r="A438" s="52">
        <v>46211</v>
      </c>
      <c r="B438" s="53" t="s">
        <v>995</v>
      </c>
      <c r="C438" s="54">
        <v>101</v>
      </c>
      <c r="D438" s="54">
        <v>151</v>
      </c>
      <c r="E438" s="54">
        <v>180</v>
      </c>
      <c r="F438" s="54">
        <v>333</v>
      </c>
      <c r="G438" s="54">
        <v>204</v>
      </c>
      <c r="H438" s="54">
        <v>182</v>
      </c>
      <c r="I438" s="54">
        <v>117</v>
      </c>
      <c r="J438" s="54">
        <v>280</v>
      </c>
      <c r="K438" s="54">
        <v>362</v>
      </c>
      <c r="L438" s="54">
        <v>228</v>
      </c>
      <c r="M438" s="54">
        <f t="shared" si="6"/>
        <v>161</v>
      </c>
      <c r="N438" s="55">
        <v>2299</v>
      </c>
      <c r="O438" s="54">
        <v>50</v>
      </c>
      <c r="P438" s="54">
        <v>0</v>
      </c>
      <c r="Q438" s="54">
        <v>234</v>
      </c>
      <c r="R438" s="54">
        <v>404</v>
      </c>
      <c r="S438" s="54">
        <v>99</v>
      </c>
      <c r="T438" s="54">
        <v>285</v>
      </c>
      <c r="U438" s="54">
        <v>119</v>
      </c>
      <c r="V438" s="54">
        <v>445</v>
      </c>
      <c r="W438" s="54">
        <v>646</v>
      </c>
      <c r="X438" s="54">
        <v>17</v>
      </c>
    </row>
    <row r="439" spans="1:24">
      <c r="A439" s="52">
        <v>46212</v>
      </c>
      <c r="B439" s="53" t="s">
        <v>995</v>
      </c>
      <c r="C439" s="54">
        <v>101</v>
      </c>
      <c r="D439" s="54">
        <v>151</v>
      </c>
      <c r="E439" s="54">
        <v>180</v>
      </c>
      <c r="F439" s="54">
        <v>333</v>
      </c>
      <c r="G439" s="54">
        <v>204</v>
      </c>
      <c r="H439" s="54">
        <v>182</v>
      </c>
      <c r="I439" s="54">
        <v>117</v>
      </c>
      <c r="J439" s="54">
        <v>280</v>
      </c>
      <c r="K439" s="54">
        <v>362</v>
      </c>
      <c r="L439" s="54">
        <v>228</v>
      </c>
      <c r="M439" s="54">
        <f t="shared" si="6"/>
        <v>162</v>
      </c>
      <c r="N439" s="55">
        <v>2300</v>
      </c>
      <c r="O439" s="54">
        <v>50</v>
      </c>
      <c r="P439" s="54">
        <v>0</v>
      </c>
      <c r="Q439" s="54">
        <v>234</v>
      </c>
      <c r="R439" s="54">
        <v>404</v>
      </c>
      <c r="S439" s="54">
        <v>100</v>
      </c>
      <c r="T439" s="54">
        <v>285</v>
      </c>
      <c r="U439" s="54">
        <v>119</v>
      </c>
      <c r="V439" s="54">
        <v>445</v>
      </c>
      <c r="W439" s="54">
        <v>646</v>
      </c>
      <c r="X439" s="54">
        <v>17</v>
      </c>
    </row>
    <row r="440" spans="1:24">
      <c r="A440" s="52">
        <v>46213</v>
      </c>
      <c r="B440" s="53" t="s">
        <v>995</v>
      </c>
      <c r="C440" s="54">
        <v>101</v>
      </c>
      <c r="D440" s="54">
        <v>151</v>
      </c>
      <c r="E440" s="54">
        <v>180</v>
      </c>
      <c r="F440" s="54">
        <v>333</v>
      </c>
      <c r="G440" s="54">
        <v>204</v>
      </c>
      <c r="H440" s="54">
        <v>182</v>
      </c>
      <c r="I440" s="54">
        <v>117</v>
      </c>
      <c r="J440" s="54">
        <v>280</v>
      </c>
      <c r="K440" s="54">
        <v>362</v>
      </c>
      <c r="L440" s="54">
        <v>228</v>
      </c>
      <c r="M440" s="54">
        <f t="shared" si="6"/>
        <v>162</v>
      </c>
      <c r="N440" s="55">
        <v>2300</v>
      </c>
      <c r="O440" s="54">
        <v>50</v>
      </c>
      <c r="P440" s="54">
        <v>0</v>
      </c>
      <c r="Q440" s="54">
        <v>234</v>
      </c>
      <c r="R440" s="54">
        <v>404</v>
      </c>
      <c r="S440" s="54">
        <v>100</v>
      </c>
      <c r="T440" s="54">
        <v>285</v>
      </c>
      <c r="U440" s="54">
        <v>119</v>
      </c>
      <c r="V440" s="54">
        <v>445</v>
      </c>
      <c r="W440" s="54">
        <v>646</v>
      </c>
      <c r="X440" s="54">
        <v>17</v>
      </c>
    </row>
    <row r="441" spans="1:24">
      <c r="A441" s="52">
        <v>46214</v>
      </c>
      <c r="B441" s="53" t="s">
        <v>995</v>
      </c>
      <c r="C441" s="54">
        <v>117</v>
      </c>
      <c r="D441" s="54">
        <v>173</v>
      </c>
      <c r="E441" s="54">
        <v>207</v>
      </c>
      <c r="F441" s="54">
        <v>383</v>
      </c>
      <c r="G441" s="54">
        <v>235</v>
      </c>
      <c r="H441" s="54">
        <v>210</v>
      </c>
      <c r="I441" s="54">
        <v>134</v>
      </c>
      <c r="J441" s="54">
        <v>322</v>
      </c>
      <c r="K441" s="54">
        <v>417</v>
      </c>
      <c r="L441" s="54">
        <v>262</v>
      </c>
      <c r="M441" s="54">
        <f t="shared" si="6"/>
        <v>184</v>
      </c>
      <c r="N441" s="55">
        <v>2644</v>
      </c>
      <c r="O441" s="54">
        <v>58</v>
      </c>
      <c r="P441" s="54">
        <v>0</v>
      </c>
      <c r="Q441" s="54">
        <v>269</v>
      </c>
      <c r="R441" s="54">
        <v>465</v>
      </c>
      <c r="S441" s="54">
        <v>114</v>
      </c>
      <c r="T441" s="54">
        <v>327</v>
      </c>
      <c r="U441" s="54">
        <v>137</v>
      </c>
      <c r="V441" s="54">
        <v>511</v>
      </c>
      <c r="W441" s="54">
        <v>743</v>
      </c>
      <c r="X441" s="54">
        <v>20</v>
      </c>
    </row>
    <row r="442" spans="1:24">
      <c r="A442" s="52">
        <v>46215</v>
      </c>
      <c r="B442" s="53" t="s">
        <v>995</v>
      </c>
      <c r="C442" s="54">
        <v>117</v>
      </c>
      <c r="D442" s="54">
        <v>173</v>
      </c>
      <c r="E442" s="54">
        <v>207</v>
      </c>
      <c r="F442" s="54">
        <v>383</v>
      </c>
      <c r="G442" s="54">
        <v>235</v>
      </c>
      <c r="H442" s="54">
        <v>210</v>
      </c>
      <c r="I442" s="54">
        <v>134</v>
      </c>
      <c r="J442" s="54">
        <v>323</v>
      </c>
      <c r="K442" s="54">
        <v>417</v>
      </c>
      <c r="L442" s="54">
        <v>262</v>
      </c>
      <c r="M442" s="54">
        <f t="shared" si="6"/>
        <v>184</v>
      </c>
      <c r="N442" s="55">
        <v>2645</v>
      </c>
      <c r="O442" s="54">
        <v>58</v>
      </c>
      <c r="P442" s="54">
        <v>0</v>
      </c>
      <c r="Q442" s="54">
        <v>270</v>
      </c>
      <c r="R442" s="54">
        <v>465</v>
      </c>
      <c r="S442" s="54">
        <v>114</v>
      </c>
      <c r="T442" s="54">
        <v>327</v>
      </c>
      <c r="U442" s="54">
        <v>137</v>
      </c>
      <c r="V442" s="54">
        <v>511</v>
      </c>
      <c r="W442" s="54">
        <v>743</v>
      </c>
      <c r="X442" s="54">
        <v>20</v>
      </c>
    </row>
    <row r="443" spans="1:24">
      <c r="A443" s="52">
        <v>46216</v>
      </c>
      <c r="B443" s="53" t="s">
        <v>995</v>
      </c>
      <c r="C443" s="54">
        <v>102</v>
      </c>
      <c r="D443" s="54">
        <v>151</v>
      </c>
      <c r="E443" s="54">
        <v>180</v>
      </c>
      <c r="F443" s="54">
        <v>333</v>
      </c>
      <c r="G443" s="54">
        <v>204</v>
      </c>
      <c r="H443" s="54">
        <v>182</v>
      </c>
      <c r="I443" s="54">
        <v>117</v>
      </c>
      <c r="J443" s="54">
        <v>281</v>
      </c>
      <c r="K443" s="54">
        <v>363</v>
      </c>
      <c r="L443" s="54">
        <v>228</v>
      </c>
      <c r="M443" s="54">
        <f t="shared" si="6"/>
        <v>161</v>
      </c>
      <c r="N443" s="55">
        <v>2302</v>
      </c>
      <c r="O443" s="54">
        <v>50</v>
      </c>
      <c r="P443" s="54">
        <v>0</v>
      </c>
      <c r="Q443" s="54">
        <v>235</v>
      </c>
      <c r="R443" s="54">
        <v>404</v>
      </c>
      <c r="S443" s="54">
        <v>100</v>
      </c>
      <c r="T443" s="54">
        <v>285</v>
      </c>
      <c r="U443" s="54">
        <v>119</v>
      </c>
      <c r="V443" s="54">
        <v>445</v>
      </c>
      <c r="W443" s="54">
        <v>647</v>
      </c>
      <c r="X443" s="54">
        <v>17</v>
      </c>
    </row>
    <row r="444" spans="1:24">
      <c r="A444" s="52">
        <v>46217</v>
      </c>
      <c r="B444" s="53" t="s">
        <v>995</v>
      </c>
      <c r="C444" s="54">
        <v>102</v>
      </c>
      <c r="D444" s="54">
        <v>151</v>
      </c>
      <c r="E444" s="54">
        <v>180</v>
      </c>
      <c r="F444" s="54">
        <v>333</v>
      </c>
      <c r="G444" s="54">
        <v>204</v>
      </c>
      <c r="H444" s="54">
        <v>182</v>
      </c>
      <c r="I444" s="54">
        <v>117</v>
      </c>
      <c r="J444" s="54">
        <v>281</v>
      </c>
      <c r="K444" s="54">
        <v>363</v>
      </c>
      <c r="L444" s="54">
        <v>228</v>
      </c>
      <c r="M444" s="54">
        <f t="shared" si="6"/>
        <v>161</v>
      </c>
      <c r="N444" s="55">
        <v>2302</v>
      </c>
      <c r="O444" s="54">
        <v>50</v>
      </c>
      <c r="P444" s="54">
        <v>0</v>
      </c>
      <c r="Q444" s="54">
        <v>235</v>
      </c>
      <c r="R444" s="54">
        <v>404</v>
      </c>
      <c r="S444" s="54">
        <v>100</v>
      </c>
      <c r="T444" s="54">
        <v>285</v>
      </c>
      <c r="U444" s="54">
        <v>119</v>
      </c>
      <c r="V444" s="54">
        <v>445</v>
      </c>
      <c r="W444" s="54">
        <v>647</v>
      </c>
      <c r="X444" s="54">
        <v>17</v>
      </c>
    </row>
    <row r="445" spans="1:24">
      <c r="A445" s="52">
        <v>46218</v>
      </c>
      <c r="B445" s="53" t="s">
        <v>995</v>
      </c>
      <c r="C445" s="54">
        <v>102</v>
      </c>
      <c r="D445" s="54">
        <v>151</v>
      </c>
      <c r="E445" s="54">
        <v>180</v>
      </c>
      <c r="F445" s="54">
        <v>333</v>
      </c>
      <c r="G445" s="54">
        <v>204</v>
      </c>
      <c r="H445" s="54">
        <v>182</v>
      </c>
      <c r="I445" s="54">
        <v>117</v>
      </c>
      <c r="J445" s="54">
        <v>281</v>
      </c>
      <c r="K445" s="54">
        <v>363</v>
      </c>
      <c r="L445" s="54">
        <v>228</v>
      </c>
      <c r="M445" s="54">
        <f t="shared" si="6"/>
        <v>161</v>
      </c>
      <c r="N445" s="55">
        <v>2302</v>
      </c>
      <c r="O445" s="54">
        <v>50</v>
      </c>
      <c r="P445" s="54">
        <v>0</v>
      </c>
      <c r="Q445" s="54">
        <v>235</v>
      </c>
      <c r="R445" s="54">
        <v>404</v>
      </c>
      <c r="S445" s="54">
        <v>100</v>
      </c>
      <c r="T445" s="54">
        <v>285</v>
      </c>
      <c r="U445" s="54">
        <v>119</v>
      </c>
      <c r="V445" s="54">
        <v>445</v>
      </c>
      <c r="W445" s="54">
        <v>647</v>
      </c>
      <c r="X445" s="54">
        <v>17</v>
      </c>
    </row>
    <row r="446" spans="1:24">
      <c r="A446" s="52">
        <v>46219</v>
      </c>
      <c r="B446" s="53" t="s">
        <v>995</v>
      </c>
      <c r="C446" s="54">
        <v>102</v>
      </c>
      <c r="D446" s="54">
        <v>151</v>
      </c>
      <c r="E446" s="54">
        <v>180</v>
      </c>
      <c r="F446" s="54">
        <v>333</v>
      </c>
      <c r="G446" s="54">
        <v>204</v>
      </c>
      <c r="H446" s="54">
        <v>182</v>
      </c>
      <c r="I446" s="54">
        <v>117</v>
      </c>
      <c r="J446" s="54">
        <v>281</v>
      </c>
      <c r="K446" s="54">
        <v>363</v>
      </c>
      <c r="L446" s="54">
        <v>228</v>
      </c>
      <c r="M446" s="54">
        <f t="shared" si="6"/>
        <v>161</v>
      </c>
      <c r="N446" s="55">
        <v>2302</v>
      </c>
      <c r="O446" s="54">
        <v>50</v>
      </c>
      <c r="P446" s="54">
        <v>0</v>
      </c>
      <c r="Q446" s="54">
        <v>235</v>
      </c>
      <c r="R446" s="54">
        <v>404</v>
      </c>
      <c r="S446" s="54">
        <v>100</v>
      </c>
      <c r="T446" s="54">
        <v>285</v>
      </c>
      <c r="U446" s="54">
        <v>119</v>
      </c>
      <c r="V446" s="54">
        <v>445</v>
      </c>
      <c r="W446" s="54">
        <v>647</v>
      </c>
      <c r="X446" s="54">
        <v>17</v>
      </c>
    </row>
    <row r="447" spans="1:24">
      <c r="A447" s="52">
        <v>46220</v>
      </c>
      <c r="B447" s="53" t="s">
        <v>995</v>
      </c>
      <c r="C447" s="54">
        <v>102</v>
      </c>
      <c r="D447" s="54">
        <v>151</v>
      </c>
      <c r="E447" s="54">
        <v>180</v>
      </c>
      <c r="F447" s="54">
        <v>333</v>
      </c>
      <c r="G447" s="54">
        <v>204</v>
      </c>
      <c r="H447" s="54">
        <v>182</v>
      </c>
      <c r="I447" s="54">
        <v>117</v>
      </c>
      <c r="J447" s="54">
        <v>281</v>
      </c>
      <c r="K447" s="54">
        <v>363</v>
      </c>
      <c r="L447" s="54">
        <v>228</v>
      </c>
      <c r="M447" s="54">
        <f t="shared" si="6"/>
        <v>161</v>
      </c>
      <c r="N447" s="55">
        <v>2302</v>
      </c>
      <c r="O447" s="54">
        <v>50</v>
      </c>
      <c r="P447" s="54">
        <v>0</v>
      </c>
      <c r="Q447" s="54">
        <v>235</v>
      </c>
      <c r="R447" s="54">
        <v>404</v>
      </c>
      <c r="S447" s="54">
        <v>100</v>
      </c>
      <c r="T447" s="54">
        <v>285</v>
      </c>
      <c r="U447" s="54">
        <v>119</v>
      </c>
      <c r="V447" s="54">
        <v>445</v>
      </c>
      <c r="W447" s="54">
        <v>647</v>
      </c>
      <c r="X447" s="54">
        <v>17</v>
      </c>
    </row>
    <row r="448" spans="1:24">
      <c r="A448" s="52">
        <v>46221</v>
      </c>
      <c r="B448" s="53" t="s">
        <v>995</v>
      </c>
      <c r="C448" s="54">
        <v>117</v>
      </c>
      <c r="D448" s="54">
        <v>173</v>
      </c>
      <c r="E448" s="54">
        <v>207</v>
      </c>
      <c r="F448" s="54">
        <v>383</v>
      </c>
      <c r="G448" s="54">
        <v>235</v>
      </c>
      <c r="H448" s="54">
        <v>210</v>
      </c>
      <c r="I448" s="54">
        <v>134</v>
      </c>
      <c r="J448" s="54">
        <v>323</v>
      </c>
      <c r="K448" s="54">
        <v>417</v>
      </c>
      <c r="L448" s="54">
        <v>262</v>
      </c>
      <c r="M448" s="54">
        <f t="shared" si="6"/>
        <v>185</v>
      </c>
      <c r="N448" s="55">
        <v>2646</v>
      </c>
      <c r="O448" s="54">
        <v>58</v>
      </c>
      <c r="P448" s="54">
        <v>0</v>
      </c>
      <c r="Q448" s="54">
        <v>270</v>
      </c>
      <c r="R448" s="54">
        <v>465</v>
      </c>
      <c r="S448" s="54">
        <v>114</v>
      </c>
      <c r="T448" s="54">
        <v>327</v>
      </c>
      <c r="U448" s="54">
        <v>137</v>
      </c>
      <c r="V448" s="54">
        <v>511</v>
      </c>
      <c r="W448" s="54">
        <v>744</v>
      </c>
      <c r="X448" s="54">
        <v>20</v>
      </c>
    </row>
    <row r="449" spans="1:24">
      <c r="A449" s="52">
        <v>46222</v>
      </c>
      <c r="B449" s="53" t="s">
        <v>995</v>
      </c>
      <c r="C449" s="54">
        <v>117</v>
      </c>
      <c r="D449" s="54">
        <v>173</v>
      </c>
      <c r="E449" s="54">
        <v>207</v>
      </c>
      <c r="F449" s="54">
        <v>383</v>
      </c>
      <c r="G449" s="54">
        <v>235</v>
      </c>
      <c r="H449" s="54">
        <v>210</v>
      </c>
      <c r="I449" s="54">
        <v>134</v>
      </c>
      <c r="J449" s="54">
        <v>323</v>
      </c>
      <c r="K449" s="54">
        <v>417</v>
      </c>
      <c r="L449" s="54">
        <v>262</v>
      </c>
      <c r="M449" s="54">
        <f t="shared" si="6"/>
        <v>185</v>
      </c>
      <c r="N449" s="55">
        <v>2646</v>
      </c>
      <c r="O449" s="54">
        <v>58</v>
      </c>
      <c r="P449" s="54">
        <v>0</v>
      </c>
      <c r="Q449" s="54">
        <v>270</v>
      </c>
      <c r="R449" s="54">
        <v>465</v>
      </c>
      <c r="S449" s="54">
        <v>114</v>
      </c>
      <c r="T449" s="54">
        <v>327</v>
      </c>
      <c r="U449" s="54">
        <v>137</v>
      </c>
      <c r="V449" s="54">
        <v>511</v>
      </c>
      <c r="W449" s="54">
        <v>744</v>
      </c>
      <c r="X449" s="54">
        <v>20</v>
      </c>
    </row>
    <row r="450" spans="1:24">
      <c r="A450" s="52">
        <v>46223</v>
      </c>
      <c r="B450" s="53" t="s">
        <v>995</v>
      </c>
      <c r="C450" s="54">
        <v>102</v>
      </c>
      <c r="D450" s="54">
        <v>151</v>
      </c>
      <c r="E450" s="54">
        <v>180</v>
      </c>
      <c r="F450" s="54">
        <v>333</v>
      </c>
      <c r="G450" s="54">
        <v>204</v>
      </c>
      <c r="H450" s="54">
        <v>182</v>
      </c>
      <c r="I450" s="54">
        <v>117</v>
      </c>
      <c r="J450" s="54">
        <v>281</v>
      </c>
      <c r="K450" s="54">
        <v>363</v>
      </c>
      <c r="L450" s="54">
        <v>228</v>
      </c>
      <c r="M450" s="54">
        <f t="shared" si="6"/>
        <v>161</v>
      </c>
      <c r="N450" s="55">
        <v>2302</v>
      </c>
      <c r="O450" s="54">
        <v>50</v>
      </c>
      <c r="P450" s="54">
        <v>0</v>
      </c>
      <c r="Q450" s="54">
        <v>235</v>
      </c>
      <c r="R450" s="54">
        <v>404</v>
      </c>
      <c r="S450" s="54">
        <v>100</v>
      </c>
      <c r="T450" s="54">
        <v>285</v>
      </c>
      <c r="U450" s="54">
        <v>119</v>
      </c>
      <c r="V450" s="54">
        <v>445</v>
      </c>
      <c r="W450" s="54">
        <v>647</v>
      </c>
      <c r="X450" s="54">
        <v>17</v>
      </c>
    </row>
    <row r="451" spans="1:24">
      <c r="A451" s="52">
        <v>46224</v>
      </c>
      <c r="B451" s="53" t="s">
        <v>995</v>
      </c>
      <c r="C451" s="54">
        <v>102</v>
      </c>
      <c r="D451" s="54">
        <v>151</v>
      </c>
      <c r="E451" s="54">
        <v>180</v>
      </c>
      <c r="F451" s="54">
        <v>333</v>
      </c>
      <c r="G451" s="54">
        <v>204</v>
      </c>
      <c r="H451" s="54">
        <v>182</v>
      </c>
      <c r="I451" s="54">
        <v>117</v>
      </c>
      <c r="J451" s="54">
        <v>281</v>
      </c>
      <c r="K451" s="54">
        <v>363</v>
      </c>
      <c r="L451" s="54">
        <v>228</v>
      </c>
      <c r="M451" s="54">
        <f t="shared" ref="M451:M514" si="7">N451-SUM(C451:L451)</f>
        <v>161</v>
      </c>
      <c r="N451" s="55">
        <v>2302</v>
      </c>
      <c r="O451" s="54">
        <v>50</v>
      </c>
      <c r="P451" s="54">
        <v>0</v>
      </c>
      <c r="Q451" s="54">
        <v>235</v>
      </c>
      <c r="R451" s="54">
        <v>404</v>
      </c>
      <c r="S451" s="54">
        <v>100</v>
      </c>
      <c r="T451" s="54">
        <v>285</v>
      </c>
      <c r="U451" s="54">
        <v>119</v>
      </c>
      <c r="V451" s="54">
        <v>445</v>
      </c>
      <c r="W451" s="54">
        <v>647</v>
      </c>
      <c r="X451" s="54">
        <v>17</v>
      </c>
    </row>
    <row r="452" spans="1:24">
      <c r="A452" s="52">
        <v>46225</v>
      </c>
      <c r="B452" s="53" t="s">
        <v>995</v>
      </c>
      <c r="C452" s="54">
        <v>102</v>
      </c>
      <c r="D452" s="54">
        <v>151</v>
      </c>
      <c r="E452" s="54">
        <v>180</v>
      </c>
      <c r="F452" s="54">
        <v>333</v>
      </c>
      <c r="G452" s="54">
        <v>204</v>
      </c>
      <c r="H452" s="54">
        <v>182</v>
      </c>
      <c r="I452" s="54">
        <v>117</v>
      </c>
      <c r="J452" s="54">
        <v>281</v>
      </c>
      <c r="K452" s="54">
        <v>363</v>
      </c>
      <c r="L452" s="54">
        <v>228</v>
      </c>
      <c r="M452" s="54">
        <f t="shared" si="7"/>
        <v>161</v>
      </c>
      <c r="N452" s="55">
        <v>2302</v>
      </c>
      <c r="O452" s="54">
        <v>50</v>
      </c>
      <c r="P452" s="54">
        <v>0</v>
      </c>
      <c r="Q452" s="54">
        <v>235</v>
      </c>
      <c r="R452" s="54">
        <v>404</v>
      </c>
      <c r="S452" s="54">
        <v>100</v>
      </c>
      <c r="T452" s="54">
        <v>285</v>
      </c>
      <c r="U452" s="54">
        <v>119</v>
      </c>
      <c r="V452" s="54">
        <v>445</v>
      </c>
      <c r="W452" s="54">
        <v>647</v>
      </c>
      <c r="X452" s="54">
        <v>17</v>
      </c>
    </row>
    <row r="453" spans="1:24">
      <c r="A453" s="52">
        <v>46226</v>
      </c>
      <c r="B453" s="53" t="s">
        <v>995</v>
      </c>
      <c r="C453" s="54">
        <v>102</v>
      </c>
      <c r="D453" s="54">
        <v>151</v>
      </c>
      <c r="E453" s="54">
        <v>180</v>
      </c>
      <c r="F453" s="54">
        <v>333</v>
      </c>
      <c r="G453" s="54">
        <v>204</v>
      </c>
      <c r="H453" s="54">
        <v>182</v>
      </c>
      <c r="I453" s="54">
        <v>117</v>
      </c>
      <c r="J453" s="54">
        <v>281</v>
      </c>
      <c r="K453" s="54">
        <v>363</v>
      </c>
      <c r="L453" s="54">
        <v>228</v>
      </c>
      <c r="M453" s="54">
        <f t="shared" si="7"/>
        <v>161</v>
      </c>
      <c r="N453" s="55">
        <v>2302</v>
      </c>
      <c r="O453" s="54">
        <v>50</v>
      </c>
      <c r="P453" s="54">
        <v>0</v>
      </c>
      <c r="Q453" s="54">
        <v>235</v>
      </c>
      <c r="R453" s="54">
        <v>404</v>
      </c>
      <c r="S453" s="54">
        <v>100</v>
      </c>
      <c r="T453" s="54">
        <v>285</v>
      </c>
      <c r="U453" s="54">
        <v>119</v>
      </c>
      <c r="V453" s="54">
        <v>445</v>
      </c>
      <c r="W453" s="54">
        <v>647</v>
      </c>
      <c r="X453" s="54">
        <v>17</v>
      </c>
    </row>
    <row r="454" spans="1:24">
      <c r="A454" s="52">
        <v>46227</v>
      </c>
      <c r="B454" s="53" t="s">
        <v>995</v>
      </c>
      <c r="C454" s="54">
        <v>102</v>
      </c>
      <c r="D454" s="54">
        <v>151</v>
      </c>
      <c r="E454" s="54">
        <v>180</v>
      </c>
      <c r="F454" s="54">
        <v>333</v>
      </c>
      <c r="G454" s="54">
        <v>204</v>
      </c>
      <c r="H454" s="54">
        <v>182</v>
      </c>
      <c r="I454" s="54">
        <v>117</v>
      </c>
      <c r="J454" s="54">
        <v>281</v>
      </c>
      <c r="K454" s="54">
        <v>363</v>
      </c>
      <c r="L454" s="54">
        <v>228</v>
      </c>
      <c r="M454" s="54">
        <f t="shared" si="7"/>
        <v>162</v>
      </c>
      <c r="N454" s="55">
        <v>2303</v>
      </c>
      <c r="O454" s="54">
        <v>50</v>
      </c>
      <c r="P454" s="54">
        <v>1</v>
      </c>
      <c r="Q454" s="54">
        <v>235</v>
      </c>
      <c r="R454" s="54">
        <v>404</v>
      </c>
      <c r="S454" s="54">
        <v>100</v>
      </c>
      <c r="T454" s="54">
        <v>285</v>
      </c>
      <c r="U454" s="54">
        <v>119</v>
      </c>
      <c r="V454" s="54">
        <v>445</v>
      </c>
      <c r="W454" s="54">
        <v>647</v>
      </c>
      <c r="X454" s="54">
        <v>17</v>
      </c>
    </row>
    <row r="455" spans="1:24">
      <c r="A455" s="52">
        <v>46228</v>
      </c>
      <c r="B455" s="53" t="s">
        <v>995</v>
      </c>
      <c r="C455" s="54">
        <v>117</v>
      </c>
      <c r="D455" s="54">
        <v>173</v>
      </c>
      <c r="E455" s="54">
        <v>207</v>
      </c>
      <c r="F455" s="54">
        <v>383</v>
      </c>
      <c r="G455" s="54">
        <v>235</v>
      </c>
      <c r="H455" s="54">
        <v>210</v>
      </c>
      <c r="I455" s="54">
        <v>134</v>
      </c>
      <c r="J455" s="54">
        <v>323</v>
      </c>
      <c r="K455" s="54">
        <v>417</v>
      </c>
      <c r="L455" s="54">
        <v>262</v>
      </c>
      <c r="M455" s="54">
        <f t="shared" si="7"/>
        <v>186</v>
      </c>
      <c r="N455" s="55">
        <v>2647</v>
      </c>
      <c r="O455" s="54">
        <v>58</v>
      </c>
      <c r="P455" s="54">
        <v>1</v>
      </c>
      <c r="Q455" s="54">
        <v>270</v>
      </c>
      <c r="R455" s="54">
        <v>465</v>
      </c>
      <c r="S455" s="54">
        <v>114</v>
      </c>
      <c r="T455" s="54">
        <v>327</v>
      </c>
      <c r="U455" s="54">
        <v>137</v>
      </c>
      <c r="V455" s="54">
        <v>511</v>
      </c>
      <c r="W455" s="54">
        <v>744</v>
      </c>
      <c r="X455" s="54">
        <v>20</v>
      </c>
    </row>
    <row r="456" spans="1:24">
      <c r="A456" s="52">
        <v>46229</v>
      </c>
      <c r="B456" s="53" t="s">
        <v>995</v>
      </c>
      <c r="C456" s="54">
        <v>117</v>
      </c>
      <c r="D456" s="54">
        <v>173</v>
      </c>
      <c r="E456" s="54">
        <v>207</v>
      </c>
      <c r="F456" s="54">
        <v>383</v>
      </c>
      <c r="G456" s="54">
        <v>235</v>
      </c>
      <c r="H456" s="54">
        <v>210</v>
      </c>
      <c r="I456" s="54">
        <v>134</v>
      </c>
      <c r="J456" s="54">
        <v>323</v>
      </c>
      <c r="K456" s="54">
        <v>417</v>
      </c>
      <c r="L456" s="54">
        <v>262</v>
      </c>
      <c r="M456" s="54">
        <f t="shared" si="7"/>
        <v>186</v>
      </c>
      <c r="N456" s="55">
        <v>2647</v>
      </c>
      <c r="O456" s="54">
        <v>58</v>
      </c>
      <c r="P456" s="54">
        <v>1</v>
      </c>
      <c r="Q456" s="54">
        <v>270</v>
      </c>
      <c r="R456" s="54">
        <v>465</v>
      </c>
      <c r="S456" s="54">
        <v>114</v>
      </c>
      <c r="T456" s="54">
        <v>327</v>
      </c>
      <c r="U456" s="54">
        <v>137</v>
      </c>
      <c r="V456" s="54">
        <v>511</v>
      </c>
      <c r="W456" s="54">
        <v>744</v>
      </c>
      <c r="X456" s="54">
        <v>20</v>
      </c>
    </row>
    <row r="457" spans="1:24">
      <c r="A457" s="52">
        <v>46230</v>
      </c>
      <c r="B457" s="53" t="s">
        <v>995</v>
      </c>
      <c r="C457" s="54">
        <v>102</v>
      </c>
      <c r="D457" s="54">
        <v>151</v>
      </c>
      <c r="E457" s="54">
        <v>180</v>
      </c>
      <c r="F457" s="54">
        <v>333</v>
      </c>
      <c r="G457" s="54">
        <v>204</v>
      </c>
      <c r="H457" s="54">
        <v>182</v>
      </c>
      <c r="I457" s="54">
        <v>117</v>
      </c>
      <c r="J457" s="54">
        <v>281</v>
      </c>
      <c r="K457" s="54">
        <v>363</v>
      </c>
      <c r="L457" s="54">
        <v>228</v>
      </c>
      <c r="M457" s="54">
        <f t="shared" si="7"/>
        <v>162</v>
      </c>
      <c r="N457" s="55">
        <v>2303</v>
      </c>
      <c r="O457" s="54">
        <v>50</v>
      </c>
      <c r="P457" s="54">
        <v>1</v>
      </c>
      <c r="Q457" s="54">
        <v>235</v>
      </c>
      <c r="R457" s="54">
        <v>404</v>
      </c>
      <c r="S457" s="54">
        <v>100</v>
      </c>
      <c r="T457" s="54">
        <v>285</v>
      </c>
      <c r="U457" s="54">
        <v>119</v>
      </c>
      <c r="V457" s="54">
        <v>445</v>
      </c>
      <c r="W457" s="54">
        <v>647</v>
      </c>
      <c r="X457" s="54">
        <v>17</v>
      </c>
    </row>
    <row r="458" spans="1:24">
      <c r="A458" s="52">
        <v>46231</v>
      </c>
      <c r="B458" s="53" t="s">
        <v>995</v>
      </c>
      <c r="C458" s="54">
        <v>102</v>
      </c>
      <c r="D458" s="54">
        <v>151</v>
      </c>
      <c r="E458" s="54">
        <v>180</v>
      </c>
      <c r="F458" s="54">
        <v>333</v>
      </c>
      <c r="G458" s="54">
        <v>204</v>
      </c>
      <c r="H458" s="54">
        <v>183</v>
      </c>
      <c r="I458" s="54">
        <v>117</v>
      </c>
      <c r="J458" s="54">
        <v>281</v>
      </c>
      <c r="K458" s="54">
        <v>363</v>
      </c>
      <c r="L458" s="54">
        <v>229</v>
      </c>
      <c r="M458" s="54">
        <f t="shared" si="7"/>
        <v>161</v>
      </c>
      <c r="N458" s="55">
        <v>2304</v>
      </c>
      <c r="O458" s="54">
        <v>50</v>
      </c>
      <c r="P458" s="54">
        <v>1</v>
      </c>
      <c r="Q458" s="54">
        <v>235</v>
      </c>
      <c r="R458" s="54">
        <v>404</v>
      </c>
      <c r="S458" s="54">
        <v>100</v>
      </c>
      <c r="T458" s="54">
        <v>285</v>
      </c>
      <c r="U458" s="54">
        <v>119</v>
      </c>
      <c r="V458" s="54">
        <v>445</v>
      </c>
      <c r="W458" s="54">
        <v>647</v>
      </c>
      <c r="X458" s="54">
        <v>18</v>
      </c>
    </row>
    <row r="459" spans="1:24">
      <c r="A459" s="52">
        <v>46232</v>
      </c>
      <c r="B459" s="53" t="s">
        <v>995</v>
      </c>
      <c r="C459" s="54">
        <v>102</v>
      </c>
      <c r="D459" s="54">
        <v>151</v>
      </c>
      <c r="E459" s="54">
        <v>180</v>
      </c>
      <c r="F459" s="54">
        <v>333</v>
      </c>
      <c r="G459" s="54">
        <v>204</v>
      </c>
      <c r="H459" s="54">
        <v>183</v>
      </c>
      <c r="I459" s="54">
        <v>117</v>
      </c>
      <c r="J459" s="54">
        <v>281</v>
      </c>
      <c r="K459" s="54">
        <v>363</v>
      </c>
      <c r="L459" s="54">
        <v>229</v>
      </c>
      <c r="M459" s="54">
        <f t="shared" si="7"/>
        <v>161</v>
      </c>
      <c r="N459" s="55">
        <v>2304</v>
      </c>
      <c r="O459" s="54">
        <v>50</v>
      </c>
      <c r="P459" s="54">
        <v>1</v>
      </c>
      <c r="Q459" s="54">
        <v>235</v>
      </c>
      <c r="R459" s="54">
        <v>404</v>
      </c>
      <c r="S459" s="54">
        <v>100</v>
      </c>
      <c r="T459" s="54">
        <v>285</v>
      </c>
      <c r="U459" s="54">
        <v>119</v>
      </c>
      <c r="V459" s="54">
        <v>445</v>
      </c>
      <c r="W459" s="54">
        <v>647</v>
      </c>
      <c r="X459" s="54">
        <v>18</v>
      </c>
    </row>
    <row r="460" spans="1:24">
      <c r="A460" s="52">
        <v>46233</v>
      </c>
      <c r="B460" s="53" t="s">
        <v>995</v>
      </c>
      <c r="C460" s="54">
        <v>102</v>
      </c>
      <c r="D460" s="54">
        <v>151</v>
      </c>
      <c r="E460" s="54">
        <v>180</v>
      </c>
      <c r="F460" s="54">
        <v>333</v>
      </c>
      <c r="G460" s="54">
        <v>204</v>
      </c>
      <c r="H460" s="54">
        <v>183</v>
      </c>
      <c r="I460" s="54">
        <v>117</v>
      </c>
      <c r="J460" s="54">
        <v>281</v>
      </c>
      <c r="K460" s="54">
        <v>363</v>
      </c>
      <c r="L460" s="54">
        <v>229</v>
      </c>
      <c r="M460" s="54">
        <f t="shared" si="7"/>
        <v>161</v>
      </c>
      <c r="N460" s="55">
        <v>2304</v>
      </c>
      <c r="O460" s="54">
        <v>50</v>
      </c>
      <c r="P460" s="54">
        <v>1</v>
      </c>
      <c r="Q460" s="54">
        <v>235</v>
      </c>
      <c r="R460" s="54">
        <v>404</v>
      </c>
      <c r="S460" s="54">
        <v>100</v>
      </c>
      <c r="T460" s="54">
        <v>285</v>
      </c>
      <c r="U460" s="54">
        <v>119</v>
      </c>
      <c r="V460" s="54">
        <v>445</v>
      </c>
      <c r="W460" s="54">
        <v>647</v>
      </c>
      <c r="X460" s="54">
        <v>18</v>
      </c>
    </row>
    <row r="461" spans="1:24">
      <c r="A461" s="52">
        <v>46234</v>
      </c>
      <c r="B461" s="53" t="s">
        <v>995</v>
      </c>
      <c r="C461" s="54">
        <v>102</v>
      </c>
      <c r="D461" s="54">
        <v>151</v>
      </c>
      <c r="E461" s="54">
        <v>180</v>
      </c>
      <c r="F461" s="54">
        <v>333</v>
      </c>
      <c r="G461" s="54">
        <v>204</v>
      </c>
      <c r="H461" s="54">
        <v>183</v>
      </c>
      <c r="I461" s="54">
        <v>117</v>
      </c>
      <c r="J461" s="54">
        <v>281</v>
      </c>
      <c r="K461" s="54">
        <v>363</v>
      </c>
      <c r="L461" s="54">
        <v>229</v>
      </c>
      <c r="M461" s="54">
        <f t="shared" si="7"/>
        <v>161</v>
      </c>
      <c r="N461" s="55">
        <v>2304</v>
      </c>
      <c r="O461" s="54">
        <v>50</v>
      </c>
      <c r="P461" s="54">
        <v>1</v>
      </c>
      <c r="Q461" s="54">
        <v>235</v>
      </c>
      <c r="R461" s="54">
        <v>404</v>
      </c>
      <c r="S461" s="54">
        <v>100</v>
      </c>
      <c r="T461" s="54">
        <v>285</v>
      </c>
      <c r="U461" s="54">
        <v>119</v>
      </c>
      <c r="V461" s="54">
        <v>445</v>
      </c>
      <c r="W461" s="54">
        <v>647</v>
      </c>
      <c r="X461" s="54">
        <v>18</v>
      </c>
    </row>
    <row r="462" spans="1:24">
      <c r="A462" s="52">
        <v>46235</v>
      </c>
      <c r="B462" s="53" t="s">
        <v>995</v>
      </c>
      <c r="C462" s="54">
        <v>89</v>
      </c>
      <c r="D462" s="54">
        <v>137</v>
      </c>
      <c r="E462" s="54">
        <v>180</v>
      </c>
      <c r="F462" s="54">
        <v>298</v>
      </c>
      <c r="G462" s="54">
        <v>200</v>
      </c>
      <c r="H462" s="54">
        <v>195</v>
      </c>
      <c r="I462" s="54">
        <v>102</v>
      </c>
      <c r="J462" s="54">
        <v>365</v>
      </c>
      <c r="K462" s="54">
        <v>351</v>
      </c>
      <c r="L462" s="54">
        <v>240</v>
      </c>
      <c r="M462" s="54">
        <f t="shared" si="7"/>
        <v>240</v>
      </c>
      <c r="N462" s="55">
        <v>2397</v>
      </c>
      <c r="O462" s="54">
        <v>55</v>
      </c>
      <c r="P462" s="54">
        <v>0</v>
      </c>
      <c r="Q462" s="54">
        <v>260</v>
      </c>
      <c r="R462" s="54">
        <v>477</v>
      </c>
      <c r="S462" s="54">
        <v>108</v>
      </c>
      <c r="T462" s="54">
        <v>437</v>
      </c>
      <c r="U462" s="54">
        <v>84</v>
      </c>
      <c r="V462" s="54">
        <v>519</v>
      </c>
      <c r="W462" s="54">
        <v>457</v>
      </c>
      <c r="X462" s="54">
        <v>0</v>
      </c>
    </row>
    <row r="463" spans="1:24">
      <c r="A463" s="52">
        <v>46236</v>
      </c>
      <c r="B463" s="53" t="s">
        <v>995</v>
      </c>
      <c r="C463" s="54">
        <v>89</v>
      </c>
      <c r="D463" s="54">
        <v>137</v>
      </c>
      <c r="E463" s="54">
        <v>181</v>
      </c>
      <c r="F463" s="54">
        <v>299</v>
      </c>
      <c r="G463" s="54">
        <v>200</v>
      </c>
      <c r="H463" s="54">
        <v>195</v>
      </c>
      <c r="I463" s="54">
        <v>102</v>
      </c>
      <c r="J463" s="54">
        <v>365</v>
      </c>
      <c r="K463" s="54">
        <v>352</v>
      </c>
      <c r="L463" s="54">
        <v>241</v>
      </c>
      <c r="M463" s="54">
        <f t="shared" si="7"/>
        <v>241</v>
      </c>
      <c r="N463" s="55">
        <v>2402</v>
      </c>
      <c r="O463" s="54">
        <v>55</v>
      </c>
      <c r="P463" s="54">
        <v>0</v>
      </c>
      <c r="Q463" s="54">
        <v>260</v>
      </c>
      <c r="R463" s="54">
        <v>477</v>
      </c>
      <c r="S463" s="54">
        <v>108</v>
      </c>
      <c r="T463" s="54">
        <v>437</v>
      </c>
      <c r="U463" s="54">
        <v>84</v>
      </c>
      <c r="V463" s="54">
        <v>519</v>
      </c>
      <c r="W463" s="54">
        <v>462</v>
      </c>
      <c r="X463" s="54">
        <v>0</v>
      </c>
    </row>
    <row r="464" spans="1:24">
      <c r="A464" s="52">
        <v>46237</v>
      </c>
      <c r="B464" s="53" t="s">
        <v>995</v>
      </c>
      <c r="C464" s="54">
        <v>79</v>
      </c>
      <c r="D464" s="54">
        <v>122</v>
      </c>
      <c r="E464" s="54">
        <v>160</v>
      </c>
      <c r="F464" s="54">
        <v>265</v>
      </c>
      <c r="G464" s="54">
        <v>178</v>
      </c>
      <c r="H464" s="54">
        <v>173</v>
      </c>
      <c r="I464" s="54">
        <v>91</v>
      </c>
      <c r="J464" s="54">
        <v>324</v>
      </c>
      <c r="K464" s="54">
        <v>313</v>
      </c>
      <c r="L464" s="54">
        <v>214</v>
      </c>
      <c r="M464" s="54">
        <f t="shared" si="7"/>
        <v>213</v>
      </c>
      <c r="N464" s="55">
        <v>2132</v>
      </c>
      <c r="O464" s="54">
        <v>48</v>
      </c>
      <c r="P464" s="54">
        <v>0</v>
      </c>
      <c r="Q464" s="54">
        <v>226</v>
      </c>
      <c r="R464" s="54">
        <v>415</v>
      </c>
      <c r="S464" s="54">
        <v>94</v>
      </c>
      <c r="T464" s="54">
        <v>380</v>
      </c>
      <c r="U464" s="54">
        <v>73</v>
      </c>
      <c r="V464" s="54">
        <v>451</v>
      </c>
      <c r="W464" s="54">
        <v>445</v>
      </c>
      <c r="X464" s="54">
        <v>0</v>
      </c>
    </row>
    <row r="465" spans="1:24">
      <c r="A465" s="52">
        <v>46238</v>
      </c>
      <c r="B465" s="53" t="s">
        <v>995</v>
      </c>
      <c r="C465" s="54">
        <v>79</v>
      </c>
      <c r="D465" s="54">
        <v>123</v>
      </c>
      <c r="E465" s="54">
        <v>161</v>
      </c>
      <c r="F465" s="54">
        <v>266</v>
      </c>
      <c r="G465" s="54">
        <v>179</v>
      </c>
      <c r="H465" s="54">
        <v>174</v>
      </c>
      <c r="I465" s="54">
        <v>91</v>
      </c>
      <c r="J465" s="54">
        <v>326</v>
      </c>
      <c r="K465" s="54">
        <v>314</v>
      </c>
      <c r="L465" s="54">
        <v>215</v>
      </c>
      <c r="M465" s="54">
        <f t="shared" si="7"/>
        <v>216</v>
      </c>
      <c r="N465" s="55">
        <v>2144</v>
      </c>
      <c r="O465" s="54">
        <v>48</v>
      </c>
      <c r="P465" s="54">
        <v>0</v>
      </c>
      <c r="Q465" s="54">
        <v>226</v>
      </c>
      <c r="R465" s="54">
        <v>415</v>
      </c>
      <c r="S465" s="54">
        <v>94</v>
      </c>
      <c r="T465" s="54">
        <v>380</v>
      </c>
      <c r="U465" s="54">
        <v>74</v>
      </c>
      <c r="V465" s="54">
        <v>451</v>
      </c>
      <c r="W465" s="54">
        <v>456</v>
      </c>
      <c r="X465" s="54">
        <v>0</v>
      </c>
    </row>
    <row r="466" spans="1:24">
      <c r="A466" s="52">
        <v>46239</v>
      </c>
      <c r="B466" s="53" t="s">
        <v>995</v>
      </c>
      <c r="C466" s="54">
        <v>80</v>
      </c>
      <c r="D466" s="54">
        <v>123</v>
      </c>
      <c r="E466" s="54">
        <v>162</v>
      </c>
      <c r="F466" s="54">
        <v>267</v>
      </c>
      <c r="G466" s="54">
        <v>179</v>
      </c>
      <c r="H466" s="54">
        <v>175</v>
      </c>
      <c r="I466" s="54">
        <v>91</v>
      </c>
      <c r="J466" s="54">
        <v>327</v>
      </c>
      <c r="K466" s="54">
        <v>315</v>
      </c>
      <c r="L466" s="54">
        <v>216</v>
      </c>
      <c r="M466" s="54">
        <f t="shared" si="7"/>
        <v>216</v>
      </c>
      <c r="N466" s="55">
        <v>2151</v>
      </c>
      <c r="O466" s="54">
        <v>48</v>
      </c>
      <c r="P466" s="54">
        <v>0</v>
      </c>
      <c r="Q466" s="54">
        <v>226</v>
      </c>
      <c r="R466" s="54">
        <v>415</v>
      </c>
      <c r="S466" s="54">
        <v>94</v>
      </c>
      <c r="T466" s="54">
        <v>380</v>
      </c>
      <c r="U466" s="54">
        <v>74</v>
      </c>
      <c r="V466" s="54">
        <v>451</v>
      </c>
      <c r="W466" s="54">
        <v>463</v>
      </c>
      <c r="X466" s="54">
        <v>0</v>
      </c>
    </row>
    <row r="467" spans="1:24">
      <c r="A467" s="52">
        <v>46240</v>
      </c>
      <c r="B467" s="53" t="s">
        <v>995</v>
      </c>
      <c r="C467" s="54">
        <v>79</v>
      </c>
      <c r="D467" s="54">
        <v>123</v>
      </c>
      <c r="E467" s="54">
        <v>161</v>
      </c>
      <c r="F467" s="54">
        <v>266</v>
      </c>
      <c r="G467" s="54">
        <v>179</v>
      </c>
      <c r="H467" s="54">
        <v>174</v>
      </c>
      <c r="I467" s="54">
        <v>91</v>
      </c>
      <c r="J467" s="54">
        <v>326</v>
      </c>
      <c r="K467" s="54">
        <v>314</v>
      </c>
      <c r="L467" s="54">
        <v>215</v>
      </c>
      <c r="M467" s="54">
        <f t="shared" si="7"/>
        <v>216</v>
      </c>
      <c r="N467" s="55">
        <v>2144</v>
      </c>
      <c r="O467" s="54">
        <v>48</v>
      </c>
      <c r="P467" s="54">
        <v>0</v>
      </c>
      <c r="Q467" s="54">
        <v>226</v>
      </c>
      <c r="R467" s="54">
        <v>415</v>
      </c>
      <c r="S467" s="54">
        <v>94</v>
      </c>
      <c r="T467" s="54">
        <v>381</v>
      </c>
      <c r="U467" s="54">
        <v>74</v>
      </c>
      <c r="V467" s="54">
        <v>451</v>
      </c>
      <c r="W467" s="54">
        <v>455</v>
      </c>
      <c r="X467" s="54">
        <v>0</v>
      </c>
    </row>
    <row r="468" spans="1:24">
      <c r="A468" s="52">
        <v>46241</v>
      </c>
      <c r="B468" s="53" t="s">
        <v>995</v>
      </c>
      <c r="C468" s="54">
        <v>80</v>
      </c>
      <c r="D468" s="54">
        <v>123</v>
      </c>
      <c r="E468" s="54">
        <v>162</v>
      </c>
      <c r="F468" s="54">
        <v>268</v>
      </c>
      <c r="G468" s="54">
        <v>180</v>
      </c>
      <c r="H468" s="54">
        <v>175</v>
      </c>
      <c r="I468" s="54">
        <v>92</v>
      </c>
      <c r="J468" s="54">
        <v>328</v>
      </c>
      <c r="K468" s="54">
        <v>316</v>
      </c>
      <c r="L468" s="54">
        <v>216</v>
      </c>
      <c r="M468" s="54">
        <f t="shared" si="7"/>
        <v>217</v>
      </c>
      <c r="N468" s="55">
        <v>2157</v>
      </c>
      <c r="O468" s="54">
        <v>48</v>
      </c>
      <c r="P468" s="54">
        <v>0</v>
      </c>
      <c r="Q468" s="54">
        <v>226</v>
      </c>
      <c r="R468" s="54">
        <v>415</v>
      </c>
      <c r="S468" s="54">
        <v>94</v>
      </c>
      <c r="T468" s="54">
        <v>381</v>
      </c>
      <c r="U468" s="54">
        <v>74</v>
      </c>
      <c r="V468" s="54">
        <v>451</v>
      </c>
      <c r="W468" s="54">
        <v>468</v>
      </c>
      <c r="X468" s="54">
        <v>0</v>
      </c>
    </row>
    <row r="469" spans="1:24">
      <c r="A469" s="52">
        <v>46242</v>
      </c>
      <c r="B469" s="53" t="s">
        <v>995</v>
      </c>
      <c r="C469" s="54">
        <v>91</v>
      </c>
      <c r="D469" s="54">
        <v>141</v>
      </c>
      <c r="E469" s="54">
        <v>185</v>
      </c>
      <c r="F469" s="54">
        <v>306</v>
      </c>
      <c r="G469" s="54">
        <v>206</v>
      </c>
      <c r="H469" s="54">
        <v>200</v>
      </c>
      <c r="I469" s="54">
        <v>105</v>
      </c>
      <c r="J469" s="54">
        <v>375</v>
      </c>
      <c r="K469" s="54">
        <v>361</v>
      </c>
      <c r="L469" s="54">
        <v>247</v>
      </c>
      <c r="M469" s="54">
        <f t="shared" si="7"/>
        <v>247</v>
      </c>
      <c r="N469" s="55">
        <v>2464</v>
      </c>
      <c r="O469" s="54">
        <v>55</v>
      </c>
      <c r="P469" s="54">
        <v>0</v>
      </c>
      <c r="Q469" s="54">
        <v>260</v>
      </c>
      <c r="R469" s="54">
        <v>477</v>
      </c>
      <c r="S469" s="54">
        <v>108</v>
      </c>
      <c r="T469" s="54">
        <v>438</v>
      </c>
      <c r="U469" s="54">
        <v>86</v>
      </c>
      <c r="V469" s="54">
        <v>519</v>
      </c>
      <c r="W469" s="54">
        <v>521</v>
      </c>
      <c r="X469" s="54">
        <v>0</v>
      </c>
    </row>
    <row r="470" spans="1:24">
      <c r="A470" s="52">
        <v>46243</v>
      </c>
      <c r="B470" s="53" t="s">
        <v>995</v>
      </c>
      <c r="C470" s="54">
        <v>91</v>
      </c>
      <c r="D470" s="54">
        <v>141</v>
      </c>
      <c r="E470" s="54">
        <v>185</v>
      </c>
      <c r="F470" s="54">
        <v>306</v>
      </c>
      <c r="G470" s="54">
        <v>205</v>
      </c>
      <c r="H470" s="54">
        <v>200</v>
      </c>
      <c r="I470" s="54">
        <v>105</v>
      </c>
      <c r="J470" s="54">
        <v>375</v>
      </c>
      <c r="K470" s="54">
        <v>361</v>
      </c>
      <c r="L470" s="54">
        <v>247</v>
      </c>
      <c r="M470" s="54">
        <f t="shared" si="7"/>
        <v>247</v>
      </c>
      <c r="N470" s="55">
        <v>2463</v>
      </c>
      <c r="O470" s="54">
        <v>55</v>
      </c>
      <c r="P470" s="54">
        <v>0</v>
      </c>
      <c r="Q470" s="54">
        <v>260</v>
      </c>
      <c r="R470" s="54">
        <v>477</v>
      </c>
      <c r="S470" s="54">
        <v>108</v>
      </c>
      <c r="T470" s="54">
        <v>438</v>
      </c>
      <c r="U470" s="54">
        <v>86</v>
      </c>
      <c r="V470" s="54">
        <v>519</v>
      </c>
      <c r="W470" s="54">
        <v>520</v>
      </c>
      <c r="X470" s="54">
        <v>0</v>
      </c>
    </row>
    <row r="471" spans="1:24">
      <c r="A471" s="52">
        <v>46244</v>
      </c>
      <c r="B471" s="53" t="s">
        <v>995</v>
      </c>
      <c r="C471" s="54">
        <v>82</v>
      </c>
      <c r="D471" s="54">
        <v>127</v>
      </c>
      <c r="E471" s="54">
        <v>166</v>
      </c>
      <c r="F471" s="54">
        <v>275</v>
      </c>
      <c r="G471" s="54">
        <v>184</v>
      </c>
      <c r="H471" s="54">
        <v>180</v>
      </c>
      <c r="I471" s="54">
        <v>94</v>
      </c>
      <c r="J471" s="54">
        <v>336</v>
      </c>
      <c r="K471" s="54">
        <v>324</v>
      </c>
      <c r="L471" s="54">
        <v>222</v>
      </c>
      <c r="M471" s="54">
        <f t="shared" si="7"/>
        <v>222</v>
      </c>
      <c r="N471" s="55">
        <v>2212</v>
      </c>
      <c r="O471" s="54">
        <v>48</v>
      </c>
      <c r="P471" s="54">
        <v>0</v>
      </c>
      <c r="Q471" s="54">
        <v>226</v>
      </c>
      <c r="R471" s="54">
        <v>415</v>
      </c>
      <c r="S471" s="54">
        <v>95</v>
      </c>
      <c r="T471" s="54">
        <v>381</v>
      </c>
      <c r="U471" s="54">
        <v>74</v>
      </c>
      <c r="V471" s="54">
        <v>451</v>
      </c>
      <c r="W471" s="54">
        <v>488</v>
      </c>
      <c r="X471" s="54">
        <v>34</v>
      </c>
    </row>
    <row r="472" spans="1:24">
      <c r="A472" s="52">
        <v>46245</v>
      </c>
      <c r="B472" s="53" t="s">
        <v>995</v>
      </c>
      <c r="C472" s="54">
        <v>82</v>
      </c>
      <c r="D472" s="54">
        <v>126</v>
      </c>
      <c r="E472" s="54">
        <v>166</v>
      </c>
      <c r="F472" s="54">
        <v>274</v>
      </c>
      <c r="G472" s="54">
        <v>184</v>
      </c>
      <c r="H472" s="54">
        <v>179</v>
      </c>
      <c r="I472" s="54">
        <v>94</v>
      </c>
      <c r="J472" s="54">
        <v>335</v>
      </c>
      <c r="K472" s="54">
        <v>323</v>
      </c>
      <c r="L472" s="54">
        <v>221</v>
      </c>
      <c r="M472" s="54">
        <f t="shared" si="7"/>
        <v>221</v>
      </c>
      <c r="N472" s="55">
        <v>2205</v>
      </c>
      <c r="O472" s="54">
        <v>48</v>
      </c>
      <c r="P472" s="54">
        <v>0</v>
      </c>
      <c r="Q472" s="54">
        <v>226</v>
      </c>
      <c r="R472" s="54">
        <v>415</v>
      </c>
      <c r="S472" s="54">
        <v>95</v>
      </c>
      <c r="T472" s="54">
        <v>381</v>
      </c>
      <c r="U472" s="54">
        <v>74</v>
      </c>
      <c r="V472" s="54">
        <v>451</v>
      </c>
      <c r="W472" s="54">
        <v>481</v>
      </c>
      <c r="X472" s="54">
        <v>34</v>
      </c>
    </row>
    <row r="473" spans="1:24">
      <c r="A473" s="52">
        <v>46246</v>
      </c>
      <c r="B473" s="53" t="s">
        <v>995</v>
      </c>
      <c r="C473" s="54">
        <v>82</v>
      </c>
      <c r="D473" s="54">
        <v>127</v>
      </c>
      <c r="E473" s="54">
        <v>166</v>
      </c>
      <c r="F473" s="54">
        <v>275</v>
      </c>
      <c r="G473" s="54">
        <v>185</v>
      </c>
      <c r="H473" s="54">
        <v>180</v>
      </c>
      <c r="I473" s="54">
        <v>94</v>
      </c>
      <c r="J473" s="54">
        <v>337</v>
      </c>
      <c r="K473" s="54">
        <v>325</v>
      </c>
      <c r="L473" s="54">
        <v>222</v>
      </c>
      <c r="M473" s="54">
        <f t="shared" si="7"/>
        <v>220</v>
      </c>
      <c r="N473" s="55">
        <v>2213</v>
      </c>
      <c r="O473" s="54">
        <v>48</v>
      </c>
      <c r="P473" s="54">
        <v>0</v>
      </c>
      <c r="Q473" s="54">
        <v>226</v>
      </c>
      <c r="R473" s="54">
        <v>415</v>
      </c>
      <c r="S473" s="54">
        <v>95</v>
      </c>
      <c r="T473" s="54">
        <v>381</v>
      </c>
      <c r="U473" s="54">
        <v>74</v>
      </c>
      <c r="V473" s="54">
        <v>451</v>
      </c>
      <c r="W473" s="54">
        <v>489</v>
      </c>
      <c r="X473" s="54">
        <v>34</v>
      </c>
    </row>
    <row r="474" spans="1:24">
      <c r="A474" s="52">
        <v>46247</v>
      </c>
      <c r="B474" s="53" t="s">
        <v>995</v>
      </c>
      <c r="C474" s="54">
        <v>81</v>
      </c>
      <c r="D474" s="54">
        <v>126</v>
      </c>
      <c r="E474" s="54">
        <v>165</v>
      </c>
      <c r="F474" s="54">
        <v>273</v>
      </c>
      <c r="G474" s="54">
        <v>183</v>
      </c>
      <c r="H474" s="54">
        <v>178</v>
      </c>
      <c r="I474" s="54">
        <v>93</v>
      </c>
      <c r="J474" s="54">
        <v>334</v>
      </c>
      <c r="K474" s="54">
        <v>322</v>
      </c>
      <c r="L474" s="54">
        <v>220</v>
      </c>
      <c r="M474" s="54">
        <f t="shared" si="7"/>
        <v>222</v>
      </c>
      <c r="N474" s="55">
        <v>2197</v>
      </c>
      <c r="O474" s="54">
        <v>49</v>
      </c>
      <c r="P474" s="54">
        <v>0</v>
      </c>
      <c r="Q474" s="54">
        <v>226</v>
      </c>
      <c r="R474" s="54">
        <v>416</v>
      </c>
      <c r="S474" s="54">
        <v>95</v>
      </c>
      <c r="T474" s="54">
        <v>381</v>
      </c>
      <c r="U474" s="54">
        <v>74</v>
      </c>
      <c r="V474" s="54">
        <v>451</v>
      </c>
      <c r="W474" s="54">
        <v>471</v>
      </c>
      <c r="X474" s="54">
        <v>34</v>
      </c>
    </row>
    <row r="475" spans="1:24">
      <c r="A475" s="52">
        <v>46248</v>
      </c>
      <c r="B475" s="53" t="s">
        <v>995</v>
      </c>
      <c r="C475" s="54">
        <v>81</v>
      </c>
      <c r="D475" s="54">
        <v>125</v>
      </c>
      <c r="E475" s="54">
        <v>165</v>
      </c>
      <c r="F475" s="54">
        <v>272</v>
      </c>
      <c r="G475" s="54">
        <v>183</v>
      </c>
      <c r="H475" s="54">
        <v>178</v>
      </c>
      <c r="I475" s="54">
        <v>93</v>
      </c>
      <c r="J475" s="54">
        <v>333</v>
      </c>
      <c r="K475" s="54">
        <v>321</v>
      </c>
      <c r="L475" s="54">
        <v>220</v>
      </c>
      <c r="M475" s="54">
        <f t="shared" si="7"/>
        <v>221</v>
      </c>
      <c r="N475" s="55">
        <v>2192</v>
      </c>
      <c r="O475" s="54">
        <v>49</v>
      </c>
      <c r="P475" s="54">
        <v>0</v>
      </c>
      <c r="Q475" s="54">
        <v>226</v>
      </c>
      <c r="R475" s="54">
        <v>416</v>
      </c>
      <c r="S475" s="54">
        <v>95</v>
      </c>
      <c r="T475" s="54">
        <v>381</v>
      </c>
      <c r="U475" s="54">
        <v>74</v>
      </c>
      <c r="V475" s="54">
        <v>451</v>
      </c>
      <c r="W475" s="54">
        <v>500</v>
      </c>
      <c r="X475" s="54">
        <v>0</v>
      </c>
    </row>
    <row r="476" spans="1:24">
      <c r="A476" s="52">
        <v>46249</v>
      </c>
      <c r="B476" s="53" t="s">
        <v>995</v>
      </c>
      <c r="C476" s="54">
        <v>93</v>
      </c>
      <c r="D476" s="54">
        <v>144</v>
      </c>
      <c r="E476" s="54">
        <v>189</v>
      </c>
      <c r="F476" s="54">
        <v>312</v>
      </c>
      <c r="G476" s="54">
        <v>209</v>
      </c>
      <c r="H476" s="54">
        <v>204</v>
      </c>
      <c r="I476" s="54">
        <v>107</v>
      </c>
      <c r="J476" s="54">
        <v>382</v>
      </c>
      <c r="K476" s="54">
        <v>368</v>
      </c>
      <c r="L476" s="54">
        <v>252</v>
      </c>
      <c r="M476" s="54">
        <f t="shared" si="7"/>
        <v>251</v>
      </c>
      <c r="N476" s="55">
        <v>2511</v>
      </c>
      <c r="O476" s="54">
        <v>56</v>
      </c>
      <c r="P476" s="54">
        <v>0</v>
      </c>
      <c r="Q476" s="54">
        <v>260</v>
      </c>
      <c r="R476" s="54">
        <v>478</v>
      </c>
      <c r="S476" s="54">
        <v>109</v>
      </c>
      <c r="T476" s="54">
        <v>438</v>
      </c>
      <c r="U476" s="54">
        <v>86</v>
      </c>
      <c r="V476" s="54">
        <v>519</v>
      </c>
      <c r="W476" s="54">
        <v>565</v>
      </c>
      <c r="X476" s="54">
        <v>0</v>
      </c>
    </row>
    <row r="477" spans="1:24">
      <c r="A477" s="52">
        <v>46250</v>
      </c>
      <c r="B477" s="53" t="s">
        <v>995</v>
      </c>
      <c r="C477" s="54">
        <v>95</v>
      </c>
      <c r="D477" s="54">
        <v>146</v>
      </c>
      <c r="E477" s="54">
        <v>193</v>
      </c>
      <c r="F477" s="54">
        <v>318</v>
      </c>
      <c r="G477" s="54">
        <v>213</v>
      </c>
      <c r="H477" s="54">
        <v>208</v>
      </c>
      <c r="I477" s="54">
        <v>109</v>
      </c>
      <c r="J477" s="54">
        <v>389</v>
      </c>
      <c r="K477" s="54">
        <v>375</v>
      </c>
      <c r="L477" s="54">
        <v>257</v>
      </c>
      <c r="M477" s="54">
        <f t="shared" si="7"/>
        <v>256</v>
      </c>
      <c r="N477" s="55">
        <v>2559</v>
      </c>
      <c r="O477" s="54">
        <v>56</v>
      </c>
      <c r="P477" s="54">
        <v>0</v>
      </c>
      <c r="Q477" s="54">
        <v>260</v>
      </c>
      <c r="R477" s="54">
        <v>478</v>
      </c>
      <c r="S477" s="54">
        <v>109</v>
      </c>
      <c r="T477" s="54">
        <v>438</v>
      </c>
      <c r="U477" s="54">
        <v>86</v>
      </c>
      <c r="V477" s="54">
        <v>519</v>
      </c>
      <c r="W477" s="54">
        <v>579</v>
      </c>
      <c r="X477" s="54">
        <v>34</v>
      </c>
    </row>
    <row r="478" spans="1:24">
      <c r="A478" s="52">
        <v>46251</v>
      </c>
      <c r="B478" s="53" t="s">
        <v>995</v>
      </c>
      <c r="C478" s="54">
        <v>83</v>
      </c>
      <c r="D478" s="54">
        <v>129</v>
      </c>
      <c r="E478" s="54">
        <v>169</v>
      </c>
      <c r="F478" s="54">
        <v>280</v>
      </c>
      <c r="G478" s="54">
        <v>188</v>
      </c>
      <c r="H478" s="54">
        <v>183</v>
      </c>
      <c r="I478" s="54">
        <v>96</v>
      </c>
      <c r="J478" s="54">
        <v>342</v>
      </c>
      <c r="K478" s="54">
        <v>330</v>
      </c>
      <c r="L478" s="54">
        <v>226</v>
      </c>
      <c r="M478" s="54">
        <f t="shared" si="7"/>
        <v>224</v>
      </c>
      <c r="N478" s="55">
        <v>2250</v>
      </c>
      <c r="O478" s="54">
        <v>49</v>
      </c>
      <c r="P478" s="54">
        <v>0</v>
      </c>
      <c r="Q478" s="54">
        <v>226</v>
      </c>
      <c r="R478" s="54">
        <v>416</v>
      </c>
      <c r="S478" s="54">
        <v>95</v>
      </c>
      <c r="T478" s="54">
        <v>381</v>
      </c>
      <c r="U478" s="54">
        <v>74</v>
      </c>
      <c r="V478" s="54">
        <v>451</v>
      </c>
      <c r="W478" s="54">
        <v>524</v>
      </c>
      <c r="X478" s="54">
        <v>34</v>
      </c>
    </row>
    <row r="479" spans="1:24">
      <c r="A479" s="52">
        <v>46252</v>
      </c>
      <c r="B479" s="53" t="s">
        <v>995</v>
      </c>
      <c r="C479" s="54">
        <v>83</v>
      </c>
      <c r="D479" s="54">
        <v>128</v>
      </c>
      <c r="E479" s="54">
        <v>168</v>
      </c>
      <c r="F479" s="54">
        <v>277</v>
      </c>
      <c r="G479" s="54">
        <v>186</v>
      </c>
      <c r="H479" s="54">
        <v>181</v>
      </c>
      <c r="I479" s="54">
        <v>95</v>
      </c>
      <c r="J479" s="54">
        <v>339</v>
      </c>
      <c r="K479" s="54">
        <v>327</v>
      </c>
      <c r="L479" s="54">
        <v>224</v>
      </c>
      <c r="M479" s="54">
        <f t="shared" si="7"/>
        <v>224</v>
      </c>
      <c r="N479" s="55">
        <v>2232</v>
      </c>
      <c r="O479" s="54">
        <v>49</v>
      </c>
      <c r="P479" s="54">
        <v>0</v>
      </c>
      <c r="Q479" s="54">
        <v>226</v>
      </c>
      <c r="R479" s="54">
        <v>416</v>
      </c>
      <c r="S479" s="54">
        <v>95</v>
      </c>
      <c r="T479" s="54">
        <v>381</v>
      </c>
      <c r="U479" s="54">
        <v>74</v>
      </c>
      <c r="V479" s="54">
        <v>451</v>
      </c>
      <c r="W479" s="54">
        <v>506</v>
      </c>
      <c r="X479" s="54">
        <v>34</v>
      </c>
    </row>
    <row r="480" spans="1:24">
      <c r="A480" s="52">
        <v>46253</v>
      </c>
      <c r="B480" s="53" t="s">
        <v>995</v>
      </c>
      <c r="C480" s="54">
        <v>82</v>
      </c>
      <c r="D480" s="54">
        <v>127</v>
      </c>
      <c r="E480" s="54">
        <v>167</v>
      </c>
      <c r="F480" s="54">
        <v>276</v>
      </c>
      <c r="G480" s="54">
        <v>185</v>
      </c>
      <c r="H480" s="54">
        <v>181</v>
      </c>
      <c r="I480" s="54">
        <v>95</v>
      </c>
      <c r="J480" s="54">
        <v>338</v>
      </c>
      <c r="K480" s="54">
        <v>326</v>
      </c>
      <c r="L480" s="54">
        <v>223</v>
      </c>
      <c r="M480" s="54">
        <f t="shared" si="7"/>
        <v>223</v>
      </c>
      <c r="N480" s="55">
        <v>2223</v>
      </c>
      <c r="O480" s="54">
        <v>49</v>
      </c>
      <c r="P480" s="54">
        <v>0</v>
      </c>
      <c r="Q480" s="54">
        <v>226</v>
      </c>
      <c r="R480" s="54">
        <v>416</v>
      </c>
      <c r="S480" s="54">
        <v>95</v>
      </c>
      <c r="T480" s="54">
        <v>381</v>
      </c>
      <c r="U480" s="54">
        <v>74</v>
      </c>
      <c r="V480" s="54">
        <v>451</v>
      </c>
      <c r="W480" s="54">
        <v>497</v>
      </c>
      <c r="X480" s="54">
        <v>34</v>
      </c>
    </row>
    <row r="481" spans="1:24">
      <c r="A481" s="52">
        <v>46254</v>
      </c>
      <c r="B481" s="53" t="s">
        <v>995</v>
      </c>
      <c r="C481" s="54">
        <v>84</v>
      </c>
      <c r="D481" s="54">
        <v>130</v>
      </c>
      <c r="E481" s="54">
        <v>171</v>
      </c>
      <c r="F481" s="54">
        <v>282</v>
      </c>
      <c r="G481" s="54">
        <v>189</v>
      </c>
      <c r="H481" s="54">
        <v>184</v>
      </c>
      <c r="I481" s="54">
        <v>96</v>
      </c>
      <c r="J481" s="54">
        <v>345</v>
      </c>
      <c r="K481" s="54">
        <v>332</v>
      </c>
      <c r="L481" s="54">
        <v>227</v>
      </c>
      <c r="M481" s="54">
        <f t="shared" si="7"/>
        <v>227</v>
      </c>
      <c r="N481" s="55">
        <v>2267</v>
      </c>
      <c r="O481" s="54">
        <v>49</v>
      </c>
      <c r="P481" s="54">
        <v>0</v>
      </c>
      <c r="Q481" s="54">
        <v>226</v>
      </c>
      <c r="R481" s="54">
        <v>416</v>
      </c>
      <c r="S481" s="54">
        <v>95</v>
      </c>
      <c r="T481" s="54">
        <v>381</v>
      </c>
      <c r="U481" s="54">
        <v>74</v>
      </c>
      <c r="V481" s="54">
        <v>451</v>
      </c>
      <c r="W481" s="54">
        <v>541</v>
      </c>
      <c r="X481" s="54">
        <v>34</v>
      </c>
    </row>
    <row r="482" spans="1:24">
      <c r="A482" s="52">
        <v>46255</v>
      </c>
      <c r="B482" s="53" t="s">
        <v>995</v>
      </c>
      <c r="C482" s="54">
        <v>85</v>
      </c>
      <c r="D482" s="54">
        <v>131</v>
      </c>
      <c r="E482" s="54">
        <v>172</v>
      </c>
      <c r="F482" s="54">
        <v>284</v>
      </c>
      <c r="G482" s="54">
        <v>191</v>
      </c>
      <c r="H482" s="54">
        <v>186</v>
      </c>
      <c r="I482" s="54">
        <v>97</v>
      </c>
      <c r="J482" s="54">
        <v>348</v>
      </c>
      <c r="K482" s="54">
        <v>336</v>
      </c>
      <c r="L482" s="54">
        <v>229</v>
      </c>
      <c r="M482" s="54">
        <f t="shared" si="7"/>
        <v>229</v>
      </c>
      <c r="N482" s="55">
        <v>2288</v>
      </c>
      <c r="O482" s="54">
        <v>49</v>
      </c>
      <c r="P482" s="54">
        <v>0</v>
      </c>
      <c r="Q482" s="54">
        <v>227</v>
      </c>
      <c r="R482" s="54">
        <v>416</v>
      </c>
      <c r="S482" s="54">
        <v>95</v>
      </c>
      <c r="T482" s="54">
        <v>381</v>
      </c>
      <c r="U482" s="54">
        <v>74</v>
      </c>
      <c r="V482" s="54">
        <v>451</v>
      </c>
      <c r="W482" s="54">
        <v>595</v>
      </c>
      <c r="X482" s="54">
        <v>0</v>
      </c>
    </row>
    <row r="483" spans="1:24">
      <c r="A483" s="52">
        <v>46256</v>
      </c>
      <c r="B483" s="53" t="s">
        <v>995</v>
      </c>
      <c r="C483" s="54">
        <v>95</v>
      </c>
      <c r="D483" s="54">
        <v>147</v>
      </c>
      <c r="E483" s="54">
        <v>193</v>
      </c>
      <c r="F483" s="54">
        <v>318</v>
      </c>
      <c r="G483" s="54">
        <v>214</v>
      </c>
      <c r="H483" s="54">
        <v>208</v>
      </c>
      <c r="I483" s="54">
        <v>109</v>
      </c>
      <c r="J483" s="54">
        <v>390</v>
      </c>
      <c r="K483" s="54">
        <v>376</v>
      </c>
      <c r="L483" s="54">
        <v>257</v>
      </c>
      <c r="M483" s="54">
        <f t="shared" si="7"/>
        <v>254</v>
      </c>
      <c r="N483" s="55">
        <v>2561</v>
      </c>
      <c r="O483" s="54">
        <v>56</v>
      </c>
      <c r="P483" s="54">
        <v>0</v>
      </c>
      <c r="Q483" s="54">
        <v>261</v>
      </c>
      <c r="R483" s="54">
        <v>478</v>
      </c>
      <c r="S483" s="54">
        <v>109</v>
      </c>
      <c r="T483" s="54">
        <v>438</v>
      </c>
      <c r="U483" s="54">
        <v>86</v>
      </c>
      <c r="V483" s="54">
        <v>519</v>
      </c>
      <c r="W483" s="54">
        <v>614</v>
      </c>
      <c r="X483" s="54">
        <v>0</v>
      </c>
    </row>
    <row r="484" spans="1:24">
      <c r="A484" s="52">
        <v>46257</v>
      </c>
      <c r="B484" s="53" t="s">
        <v>995</v>
      </c>
      <c r="C484" s="54">
        <v>99</v>
      </c>
      <c r="D484" s="54">
        <v>153</v>
      </c>
      <c r="E484" s="54">
        <v>200</v>
      </c>
      <c r="F484" s="54">
        <v>331</v>
      </c>
      <c r="G484" s="54">
        <v>222</v>
      </c>
      <c r="H484" s="54">
        <v>216</v>
      </c>
      <c r="I484" s="54">
        <v>113</v>
      </c>
      <c r="J484" s="54">
        <v>405</v>
      </c>
      <c r="K484" s="54">
        <v>391</v>
      </c>
      <c r="L484" s="54">
        <v>267</v>
      </c>
      <c r="M484" s="54">
        <f t="shared" si="7"/>
        <v>268</v>
      </c>
      <c r="N484" s="55">
        <v>2665</v>
      </c>
      <c r="O484" s="54">
        <v>56</v>
      </c>
      <c r="P484" s="54">
        <v>0</v>
      </c>
      <c r="Q484" s="54">
        <v>261</v>
      </c>
      <c r="R484" s="54">
        <v>478</v>
      </c>
      <c r="S484" s="54">
        <v>109</v>
      </c>
      <c r="T484" s="54">
        <v>438</v>
      </c>
      <c r="U484" s="54">
        <v>86</v>
      </c>
      <c r="V484" s="54">
        <v>519</v>
      </c>
      <c r="W484" s="54">
        <v>684</v>
      </c>
      <c r="X484" s="54">
        <v>34</v>
      </c>
    </row>
    <row r="485" spans="1:24">
      <c r="A485" s="52">
        <v>46258</v>
      </c>
      <c r="B485" s="53" t="s">
        <v>995</v>
      </c>
      <c r="C485" s="54">
        <v>90</v>
      </c>
      <c r="D485" s="54">
        <v>139</v>
      </c>
      <c r="E485" s="54">
        <v>183</v>
      </c>
      <c r="F485" s="54">
        <v>302</v>
      </c>
      <c r="G485" s="54">
        <v>203</v>
      </c>
      <c r="H485" s="54">
        <v>197</v>
      </c>
      <c r="I485" s="54">
        <v>103</v>
      </c>
      <c r="J485" s="54">
        <v>370</v>
      </c>
      <c r="K485" s="54">
        <v>356</v>
      </c>
      <c r="L485" s="54">
        <v>244</v>
      </c>
      <c r="M485" s="54">
        <f t="shared" si="7"/>
        <v>243</v>
      </c>
      <c r="N485" s="55">
        <v>2430</v>
      </c>
      <c r="O485" s="54">
        <v>49</v>
      </c>
      <c r="P485" s="54">
        <v>0</v>
      </c>
      <c r="Q485" s="54">
        <v>227</v>
      </c>
      <c r="R485" s="54">
        <v>416</v>
      </c>
      <c r="S485" s="54">
        <v>95</v>
      </c>
      <c r="T485" s="54">
        <v>381</v>
      </c>
      <c r="U485" s="54">
        <v>74</v>
      </c>
      <c r="V485" s="54">
        <v>451</v>
      </c>
      <c r="W485" s="54">
        <v>703</v>
      </c>
      <c r="X485" s="54">
        <v>34</v>
      </c>
    </row>
    <row r="486" spans="1:24">
      <c r="A486" s="52">
        <v>46259</v>
      </c>
      <c r="B486" s="53" t="s">
        <v>995</v>
      </c>
      <c r="C486" s="54">
        <v>90</v>
      </c>
      <c r="D486" s="54">
        <v>140</v>
      </c>
      <c r="E486" s="54">
        <v>184</v>
      </c>
      <c r="F486" s="54">
        <v>303</v>
      </c>
      <c r="G486" s="54">
        <v>204</v>
      </c>
      <c r="H486" s="54">
        <v>198</v>
      </c>
      <c r="I486" s="54">
        <v>104</v>
      </c>
      <c r="J486" s="54">
        <v>371</v>
      </c>
      <c r="K486" s="54">
        <v>358</v>
      </c>
      <c r="L486" s="54">
        <v>245</v>
      </c>
      <c r="M486" s="54">
        <f t="shared" si="7"/>
        <v>243</v>
      </c>
      <c r="N486" s="55">
        <v>2440</v>
      </c>
      <c r="O486" s="54">
        <v>49</v>
      </c>
      <c r="P486" s="54">
        <v>1</v>
      </c>
      <c r="Q486" s="54">
        <v>227</v>
      </c>
      <c r="R486" s="54">
        <v>416</v>
      </c>
      <c r="S486" s="54">
        <v>95</v>
      </c>
      <c r="T486" s="54">
        <v>381</v>
      </c>
      <c r="U486" s="54">
        <v>74</v>
      </c>
      <c r="V486" s="54">
        <v>451</v>
      </c>
      <c r="W486" s="54">
        <v>712</v>
      </c>
      <c r="X486" s="54">
        <v>34</v>
      </c>
    </row>
    <row r="487" spans="1:24">
      <c r="A487" s="52">
        <v>46260</v>
      </c>
      <c r="B487" s="53" t="s">
        <v>995</v>
      </c>
      <c r="C487" s="54">
        <v>84</v>
      </c>
      <c r="D487" s="54">
        <v>130</v>
      </c>
      <c r="E487" s="54">
        <v>171</v>
      </c>
      <c r="F487" s="54">
        <v>283</v>
      </c>
      <c r="G487" s="54">
        <v>190</v>
      </c>
      <c r="H487" s="54">
        <v>185</v>
      </c>
      <c r="I487" s="54">
        <v>97</v>
      </c>
      <c r="J487" s="54">
        <v>346</v>
      </c>
      <c r="K487" s="54">
        <v>334</v>
      </c>
      <c r="L487" s="54">
        <v>228</v>
      </c>
      <c r="M487" s="54">
        <f t="shared" si="7"/>
        <v>227</v>
      </c>
      <c r="N487" s="55">
        <v>2275</v>
      </c>
      <c r="O487" s="54">
        <v>49</v>
      </c>
      <c r="P487" s="54">
        <v>1</v>
      </c>
      <c r="Q487" s="54">
        <v>227</v>
      </c>
      <c r="R487" s="54">
        <v>416</v>
      </c>
      <c r="S487" s="54">
        <v>95</v>
      </c>
      <c r="T487" s="54">
        <v>381</v>
      </c>
      <c r="U487" s="54">
        <v>74</v>
      </c>
      <c r="V487" s="54">
        <v>451</v>
      </c>
      <c r="W487" s="54">
        <v>547</v>
      </c>
      <c r="X487" s="54">
        <v>34</v>
      </c>
    </row>
    <row r="488" spans="1:24">
      <c r="A488" s="52">
        <v>46261</v>
      </c>
      <c r="B488" s="53" t="s">
        <v>995</v>
      </c>
      <c r="C488" s="54">
        <v>85</v>
      </c>
      <c r="D488" s="54">
        <v>131</v>
      </c>
      <c r="E488" s="54">
        <v>172</v>
      </c>
      <c r="F488" s="54">
        <v>284</v>
      </c>
      <c r="G488" s="54">
        <v>190</v>
      </c>
      <c r="H488" s="54">
        <v>185</v>
      </c>
      <c r="I488" s="54">
        <v>97</v>
      </c>
      <c r="J488" s="54">
        <v>347</v>
      </c>
      <c r="K488" s="54">
        <v>334</v>
      </c>
      <c r="L488" s="54">
        <v>229</v>
      </c>
      <c r="M488" s="54">
        <f t="shared" si="7"/>
        <v>227</v>
      </c>
      <c r="N488" s="55">
        <v>2281</v>
      </c>
      <c r="O488" s="54">
        <v>49</v>
      </c>
      <c r="P488" s="54">
        <v>1</v>
      </c>
      <c r="Q488" s="54">
        <v>227</v>
      </c>
      <c r="R488" s="54">
        <v>416</v>
      </c>
      <c r="S488" s="54">
        <v>95</v>
      </c>
      <c r="T488" s="54">
        <v>381</v>
      </c>
      <c r="U488" s="54">
        <v>74</v>
      </c>
      <c r="V488" s="54">
        <v>451</v>
      </c>
      <c r="W488" s="54">
        <v>553</v>
      </c>
      <c r="X488" s="54">
        <v>34</v>
      </c>
    </row>
    <row r="489" spans="1:24">
      <c r="A489" s="52">
        <v>46262</v>
      </c>
      <c r="B489" s="53" t="s">
        <v>995</v>
      </c>
      <c r="C489" s="54">
        <v>82</v>
      </c>
      <c r="D489" s="54">
        <v>126</v>
      </c>
      <c r="E489" s="54">
        <v>166</v>
      </c>
      <c r="F489" s="54">
        <v>274</v>
      </c>
      <c r="G489" s="54">
        <v>184</v>
      </c>
      <c r="H489" s="54">
        <v>179</v>
      </c>
      <c r="I489" s="54">
        <v>94</v>
      </c>
      <c r="J489" s="54">
        <v>336</v>
      </c>
      <c r="K489" s="54">
        <v>323</v>
      </c>
      <c r="L489" s="54">
        <v>221</v>
      </c>
      <c r="M489" s="54">
        <f t="shared" si="7"/>
        <v>221</v>
      </c>
      <c r="N489" s="55">
        <v>2206</v>
      </c>
      <c r="O489" s="54">
        <v>49</v>
      </c>
      <c r="P489" s="54">
        <v>1</v>
      </c>
      <c r="Q489" s="54">
        <v>227</v>
      </c>
      <c r="R489" s="54">
        <v>416</v>
      </c>
      <c r="S489" s="54">
        <v>95</v>
      </c>
      <c r="T489" s="54">
        <v>381</v>
      </c>
      <c r="U489" s="54">
        <v>74</v>
      </c>
      <c r="V489" s="54">
        <v>452</v>
      </c>
      <c r="W489" s="54">
        <v>511</v>
      </c>
      <c r="X489" s="54">
        <v>0</v>
      </c>
    </row>
    <row r="490" spans="1:24">
      <c r="A490" s="52">
        <v>46263</v>
      </c>
      <c r="B490" s="53" t="s">
        <v>995</v>
      </c>
      <c r="C490" s="54">
        <v>92</v>
      </c>
      <c r="D490" s="54">
        <v>142</v>
      </c>
      <c r="E490" s="54">
        <v>187</v>
      </c>
      <c r="F490" s="54">
        <v>309</v>
      </c>
      <c r="G490" s="54">
        <v>207</v>
      </c>
      <c r="H490" s="54">
        <v>202</v>
      </c>
      <c r="I490" s="54">
        <v>106</v>
      </c>
      <c r="J490" s="54">
        <v>378</v>
      </c>
      <c r="K490" s="54">
        <v>364</v>
      </c>
      <c r="L490" s="54">
        <v>249</v>
      </c>
      <c r="M490" s="54">
        <f t="shared" si="7"/>
        <v>248</v>
      </c>
      <c r="N490" s="55">
        <v>2484</v>
      </c>
      <c r="O490" s="54">
        <v>56</v>
      </c>
      <c r="P490" s="54">
        <v>1</v>
      </c>
      <c r="Q490" s="54">
        <v>261</v>
      </c>
      <c r="R490" s="54">
        <v>478</v>
      </c>
      <c r="S490" s="54">
        <v>109</v>
      </c>
      <c r="T490" s="54">
        <v>438</v>
      </c>
      <c r="U490" s="54">
        <v>86</v>
      </c>
      <c r="V490" s="54">
        <v>520</v>
      </c>
      <c r="W490" s="54">
        <v>535</v>
      </c>
      <c r="X490" s="54">
        <v>0</v>
      </c>
    </row>
    <row r="491" spans="1:24">
      <c r="A491" s="52">
        <v>46264</v>
      </c>
      <c r="B491" s="53" t="s">
        <v>995</v>
      </c>
      <c r="C491" s="54">
        <v>91</v>
      </c>
      <c r="D491" s="54">
        <v>140</v>
      </c>
      <c r="E491" s="54">
        <v>184</v>
      </c>
      <c r="F491" s="54">
        <v>305</v>
      </c>
      <c r="G491" s="54">
        <v>204</v>
      </c>
      <c r="H491" s="54">
        <v>199</v>
      </c>
      <c r="I491" s="54">
        <v>104</v>
      </c>
      <c r="J491" s="54">
        <v>373</v>
      </c>
      <c r="K491" s="54">
        <v>360</v>
      </c>
      <c r="L491" s="54">
        <v>246</v>
      </c>
      <c r="M491" s="54">
        <f t="shared" si="7"/>
        <v>244</v>
      </c>
      <c r="N491" s="55">
        <v>2450</v>
      </c>
      <c r="O491" s="54">
        <v>56</v>
      </c>
      <c r="P491" s="54">
        <v>1</v>
      </c>
      <c r="Q491" s="54">
        <v>261</v>
      </c>
      <c r="R491" s="54">
        <v>478</v>
      </c>
      <c r="S491" s="54">
        <v>109</v>
      </c>
      <c r="T491" s="54">
        <v>438</v>
      </c>
      <c r="U491" s="54">
        <v>86</v>
      </c>
      <c r="V491" s="54">
        <v>520</v>
      </c>
      <c r="W491" s="54">
        <v>468</v>
      </c>
      <c r="X491" s="54">
        <v>33</v>
      </c>
    </row>
    <row r="492" spans="1:24">
      <c r="A492" s="52">
        <v>46265</v>
      </c>
      <c r="B492" s="53" t="s">
        <v>995</v>
      </c>
      <c r="C492" s="54">
        <v>80</v>
      </c>
      <c r="D492" s="54">
        <v>124</v>
      </c>
      <c r="E492" s="54">
        <v>162</v>
      </c>
      <c r="F492" s="54">
        <v>267</v>
      </c>
      <c r="G492" s="54">
        <v>180</v>
      </c>
      <c r="H492" s="54">
        <v>175</v>
      </c>
      <c r="I492" s="54">
        <v>92</v>
      </c>
      <c r="J492" s="54">
        <v>327</v>
      </c>
      <c r="K492" s="54">
        <v>315</v>
      </c>
      <c r="L492" s="54">
        <v>216</v>
      </c>
      <c r="M492" s="54">
        <f t="shared" si="7"/>
        <v>206</v>
      </c>
      <c r="N492" s="55">
        <v>2144</v>
      </c>
      <c r="O492" s="54">
        <v>49</v>
      </c>
      <c r="P492" s="54">
        <v>1</v>
      </c>
      <c r="Q492" s="54">
        <v>227</v>
      </c>
      <c r="R492" s="54">
        <v>416</v>
      </c>
      <c r="S492" s="54">
        <v>95</v>
      </c>
      <c r="T492" s="54">
        <v>381</v>
      </c>
      <c r="U492" s="54">
        <v>74</v>
      </c>
      <c r="V492" s="54">
        <v>452</v>
      </c>
      <c r="W492" s="54">
        <v>416</v>
      </c>
      <c r="X492" s="54">
        <v>33</v>
      </c>
    </row>
    <row r="493" spans="1:24">
      <c r="A493" s="52">
        <v>46266</v>
      </c>
      <c r="B493" s="53" t="s">
        <v>995</v>
      </c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>
        <f t="shared" si="7"/>
        <v>0</v>
      </c>
      <c r="N493" s="55"/>
      <c r="O493" s="54"/>
      <c r="P493" s="54"/>
      <c r="Q493" s="54"/>
      <c r="R493" s="54"/>
      <c r="S493" s="54"/>
      <c r="T493" s="54"/>
      <c r="U493" s="54"/>
      <c r="V493" s="54"/>
      <c r="W493" s="54"/>
      <c r="X493" s="54"/>
    </row>
    <row r="494" spans="1:24">
      <c r="A494" s="52">
        <v>46267</v>
      </c>
      <c r="B494" s="53" t="s">
        <v>995</v>
      </c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>
        <f t="shared" si="7"/>
        <v>0</v>
      </c>
      <c r="N494" s="55"/>
      <c r="O494" s="54"/>
      <c r="P494" s="54"/>
      <c r="Q494" s="54"/>
      <c r="R494" s="54"/>
      <c r="S494" s="54"/>
      <c r="T494" s="54"/>
      <c r="U494" s="54"/>
      <c r="V494" s="54"/>
      <c r="W494" s="54"/>
      <c r="X494" s="54"/>
    </row>
    <row r="495" spans="1:24">
      <c r="A495" s="52">
        <v>46268</v>
      </c>
      <c r="B495" s="53" t="s">
        <v>995</v>
      </c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>
        <f t="shared" si="7"/>
        <v>0</v>
      </c>
      <c r="N495" s="55"/>
      <c r="O495" s="54"/>
      <c r="P495" s="54"/>
      <c r="Q495" s="54"/>
      <c r="R495" s="54"/>
      <c r="S495" s="54"/>
      <c r="T495" s="54"/>
      <c r="U495" s="54"/>
      <c r="V495" s="54"/>
      <c r="W495" s="54"/>
      <c r="X495" s="54"/>
    </row>
    <row r="496" spans="1:24">
      <c r="A496" s="52">
        <v>46269</v>
      </c>
      <c r="B496" s="53" t="s">
        <v>995</v>
      </c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>
        <f t="shared" si="7"/>
        <v>0</v>
      </c>
      <c r="N496" s="55"/>
      <c r="O496" s="54"/>
      <c r="P496" s="54"/>
      <c r="Q496" s="54"/>
      <c r="R496" s="54"/>
      <c r="S496" s="54"/>
      <c r="T496" s="54"/>
      <c r="U496" s="54"/>
      <c r="V496" s="54"/>
      <c r="W496" s="54"/>
      <c r="X496" s="54"/>
    </row>
    <row r="497" spans="1:24">
      <c r="A497" s="52">
        <v>46270</v>
      </c>
      <c r="B497" s="53" t="s">
        <v>995</v>
      </c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>
        <f t="shared" si="7"/>
        <v>0</v>
      </c>
      <c r="N497" s="55"/>
      <c r="O497" s="54"/>
      <c r="P497" s="54"/>
      <c r="Q497" s="54"/>
      <c r="R497" s="54"/>
      <c r="S497" s="54"/>
      <c r="T497" s="54"/>
      <c r="U497" s="54"/>
      <c r="V497" s="54"/>
      <c r="W497" s="54"/>
      <c r="X497" s="54"/>
    </row>
    <row r="498" spans="1:24">
      <c r="A498" s="52">
        <v>46271</v>
      </c>
      <c r="B498" s="53" t="s">
        <v>995</v>
      </c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>
        <f t="shared" si="7"/>
        <v>0</v>
      </c>
      <c r="N498" s="55"/>
      <c r="O498" s="54"/>
      <c r="P498" s="54"/>
      <c r="Q498" s="54"/>
      <c r="R498" s="54"/>
      <c r="S498" s="54"/>
      <c r="T498" s="54"/>
      <c r="U498" s="54"/>
      <c r="V498" s="54"/>
      <c r="W498" s="54"/>
      <c r="X498" s="54"/>
    </row>
    <row r="499" spans="1:24">
      <c r="A499" s="52">
        <v>46272</v>
      </c>
      <c r="B499" s="53" t="s">
        <v>995</v>
      </c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>
        <f t="shared" si="7"/>
        <v>0</v>
      </c>
      <c r="N499" s="55"/>
      <c r="O499" s="54"/>
      <c r="P499" s="54"/>
      <c r="Q499" s="54"/>
      <c r="R499" s="54"/>
      <c r="S499" s="54"/>
      <c r="T499" s="54"/>
      <c r="U499" s="54"/>
      <c r="V499" s="54"/>
      <c r="W499" s="54"/>
      <c r="X499" s="54"/>
    </row>
    <row r="500" spans="1:24">
      <c r="A500" s="52">
        <v>46273</v>
      </c>
      <c r="B500" s="53" t="s">
        <v>995</v>
      </c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>
        <f t="shared" si="7"/>
        <v>0</v>
      </c>
      <c r="N500" s="55"/>
      <c r="O500" s="54"/>
      <c r="P500" s="54"/>
      <c r="Q500" s="54"/>
      <c r="R500" s="54"/>
      <c r="S500" s="54"/>
      <c r="T500" s="54"/>
      <c r="U500" s="54"/>
      <c r="V500" s="54"/>
      <c r="W500" s="54"/>
      <c r="X500" s="54"/>
    </row>
    <row r="501" spans="1:24">
      <c r="A501" s="52">
        <v>46274</v>
      </c>
      <c r="B501" s="53" t="s">
        <v>995</v>
      </c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>
        <f t="shared" si="7"/>
        <v>0</v>
      </c>
      <c r="N501" s="55"/>
      <c r="O501" s="54"/>
      <c r="P501" s="54"/>
      <c r="Q501" s="54"/>
      <c r="R501" s="54"/>
      <c r="S501" s="54"/>
      <c r="T501" s="54"/>
      <c r="U501" s="54"/>
      <c r="V501" s="54"/>
      <c r="W501" s="54"/>
      <c r="X501" s="54"/>
    </row>
    <row r="502" spans="1:24">
      <c r="A502" s="52">
        <v>46275</v>
      </c>
      <c r="B502" s="53" t="s">
        <v>995</v>
      </c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>
        <f t="shared" si="7"/>
        <v>0</v>
      </c>
      <c r="N502" s="55"/>
      <c r="O502" s="54"/>
      <c r="P502" s="54"/>
      <c r="Q502" s="54"/>
      <c r="R502" s="54"/>
      <c r="S502" s="54"/>
      <c r="T502" s="54"/>
      <c r="U502" s="54"/>
      <c r="V502" s="54"/>
      <c r="W502" s="54"/>
      <c r="X502" s="54"/>
    </row>
    <row r="503" spans="1:24">
      <c r="A503" s="52">
        <v>46276</v>
      </c>
      <c r="B503" s="53" t="s">
        <v>995</v>
      </c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>
        <f t="shared" si="7"/>
        <v>0</v>
      </c>
      <c r="N503" s="55"/>
      <c r="O503" s="54"/>
      <c r="P503" s="54"/>
      <c r="Q503" s="54"/>
      <c r="R503" s="54"/>
      <c r="S503" s="54"/>
      <c r="T503" s="54"/>
      <c r="U503" s="54"/>
      <c r="V503" s="54"/>
      <c r="W503" s="54"/>
      <c r="X503" s="54"/>
    </row>
    <row r="504" spans="1:24">
      <c r="A504" s="52">
        <v>46277</v>
      </c>
      <c r="B504" s="53" t="s">
        <v>995</v>
      </c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>
        <f t="shared" si="7"/>
        <v>0</v>
      </c>
      <c r="N504" s="55"/>
      <c r="O504" s="54"/>
      <c r="P504" s="54"/>
      <c r="Q504" s="54"/>
      <c r="R504" s="54"/>
      <c r="S504" s="54"/>
      <c r="T504" s="54"/>
      <c r="U504" s="54"/>
      <c r="V504" s="54"/>
      <c r="W504" s="54"/>
      <c r="X504" s="54"/>
    </row>
    <row r="505" spans="1:24">
      <c r="A505" s="52">
        <v>46278</v>
      </c>
      <c r="B505" s="53" t="s">
        <v>995</v>
      </c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>
        <f t="shared" si="7"/>
        <v>0</v>
      </c>
      <c r="N505" s="55"/>
      <c r="O505" s="54"/>
      <c r="P505" s="54"/>
      <c r="Q505" s="54"/>
      <c r="R505" s="54"/>
      <c r="S505" s="54"/>
      <c r="T505" s="54"/>
      <c r="U505" s="54"/>
      <c r="V505" s="54"/>
      <c r="W505" s="54"/>
      <c r="X505" s="54"/>
    </row>
    <row r="506" spans="1:24">
      <c r="A506" s="52">
        <v>46279</v>
      </c>
      <c r="B506" s="53" t="s">
        <v>995</v>
      </c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>
        <f t="shared" si="7"/>
        <v>0</v>
      </c>
      <c r="N506" s="55"/>
      <c r="O506" s="54"/>
      <c r="P506" s="54"/>
      <c r="Q506" s="54"/>
      <c r="R506" s="54"/>
      <c r="S506" s="54"/>
      <c r="T506" s="54"/>
      <c r="U506" s="54"/>
      <c r="V506" s="54"/>
      <c r="W506" s="54"/>
      <c r="X506" s="54"/>
    </row>
    <row r="507" spans="1:24">
      <c r="A507" s="52">
        <v>46280</v>
      </c>
      <c r="B507" s="53" t="s">
        <v>995</v>
      </c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>
        <f t="shared" si="7"/>
        <v>0</v>
      </c>
      <c r="N507" s="55"/>
      <c r="O507" s="54"/>
      <c r="P507" s="54"/>
      <c r="Q507" s="54"/>
      <c r="R507" s="54"/>
      <c r="S507" s="54"/>
      <c r="T507" s="54"/>
      <c r="U507" s="54"/>
      <c r="V507" s="54"/>
      <c r="W507" s="54"/>
      <c r="X507" s="54"/>
    </row>
    <row r="508" spans="1:24">
      <c r="A508" s="52">
        <v>46281</v>
      </c>
      <c r="B508" s="53" t="s">
        <v>995</v>
      </c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>
        <f t="shared" si="7"/>
        <v>0</v>
      </c>
      <c r="N508" s="55"/>
      <c r="O508" s="54"/>
      <c r="P508" s="54"/>
      <c r="Q508" s="54"/>
      <c r="R508" s="54"/>
      <c r="S508" s="54"/>
      <c r="T508" s="54"/>
      <c r="U508" s="54"/>
      <c r="V508" s="54"/>
      <c r="W508" s="54"/>
      <c r="X508" s="54"/>
    </row>
    <row r="509" spans="1:24">
      <c r="A509" s="52">
        <v>46282</v>
      </c>
      <c r="B509" s="53" t="s">
        <v>995</v>
      </c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>
        <f t="shared" si="7"/>
        <v>0</v>
      </c>
      <c r="N509" s="55"/>
      <c r="O509" s="54"/>
      <c r="P509" s="54"/>
      <c r="Q509" s="54"/>
      <c r="R509" s="54"/>
      <c r="S509" s="54"/>
      <c r="T509" s="54"/>
      <c r="U509" s="54"/>
      <c r="V509" s="54"/>
      <c r="W509" s="54"/>
      <c r="X509" s="54"/>
    </row>
    <row r="510" spans="1:24">
      <c r="A510" s="52">
        <v>46283</v>
      </c>
      <c r="B510" s="53" t="s">
        <v>995</v>
      </c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>
        <f t="shared" si="7"/>
        <v>0</v>
      </c>
      <c r="N510" s="55"/>
      <c r="O510" s="54"/>
      <c r="P510" s="54"/>
      <c r="Q510" s="54"/>
      <c r="R510" s="54"/>
      <c r="S510" s="54"/>
      <c r="T510" s="54"/>
      <c r="U510" s="54"/>
      <c r="V510" s="54"/>
      <c r="W510" s="54"/>
      <c r="X510" s="54"/>
    </row>
    <row r="511" spans="1:24">
      <c r="A511" s="52">
        <v>46284</v>
      </c>
      <c r="B511" s="53" t="s">
        <v>995</v>
      </c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>
        <f t="shared" si="7"/>
        <v>0</v>
      </c>
      <c r="N511" s="55"/>
      <c r="O511" s="54"/>
      <c r="P511" s="54"/>
      <c r="Q511" s="54"/>
      <c r="R511" s="54"/>
      <c r="S511" s="54"/>
      <c r="T511" s="54"/>
      <c r="U511" s="54"/>
      <c r="V511" s="54"/>
      <c r="W511" s="54"/>
      <c r="X511" s="54"/>
    </row>
    <row r="512" spans="1:24">
      <c r="A512" s="52">
        <v>46285</v>
      </c>
      <c r="B512" s="53" t="s">
        <v>995</v>
      </c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>
        <f t="shared" si="7"/>
        <v>0</v>
      </c>
      <c r="N512" s="55"/>
      <c r="O512" s="54"/>
      <c r="P512" s="54"/>
      <c r="Q512" s="54"/>
      <c r="R512" s="54"/>
      <c r="S512" s="54"/>
      <c r="T512" s="54"/>
      <c r="U512" s="54"/>
      <c r="V512" s="54"/>
      <c r="W512" s="54"/>
      <c r="X512" s="54"/>
    </row>
    <row r="513" spans="1:24">
      <c r="A513" s="52">
        <v>46286</v>
      </c>
      <c r="B513" s="53" t="s">
        <v>995</v>
      </c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>
        <f t="shared" si="7"/>
        <v>0</v>
      </c>
      <c r="N513" s="55"/>
      <c r="O513" s="54"/>
      <c r="P513" s="54"/>
      <c r="Q513" s="54"/>
      <c r="R513" s="54"/>
      <c r="S513" s="54"/>
      <c r="T513" s="54"/>
      <c r="U513" s="54"/>
      <c r="V513" s="54"/>
      <c r="W513" s="54"/>
      <c r="X513" s="54"/>
    </row>
    <row r="514" spans="1:24">
      <c r="A514" s="52">
        <v>46287</v>
      </c>
      <c r="B514" s="53" t="s">
        <v>995</v>
      </c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>
        <f t="shared" si="7"/>
        <v>0</v>
      </c>
      <c r="N514" s="55"/>
      <c r="O514" s="54"/>
      <c r="P514" s="54"/>
      <c r="Q514" s="54"/>
      <c r="R514" s="54"/>
      <c r="S514" s="54"/>
      <c r="T514" s="54"/>
      <c r="U514" s="54"/>
      <c r="V514" s="54"/>
      <c r="W514" s="54"/>
      <c r="X514" s="54"/>
    </row>
    <row r="515" spans="1:24">
      <c r="A515" s="52">
        <v>46288</v>
      </c>
      <c r="B515" s="53" t="s">
        <v>995</v>
      </c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>
        <f t="shared" ref="M515:M578" si="8">N515-SUM(C515:L515)</f>
        <v>0</v>
      </c>
      <c r="N515" s="55"/>
      <c r="O515" s="54"/>
      <c r="P515" s="54"/>
      <c r="Q515" s="54"/>
      <c r="R515" s="54"/>
      <c r="S515" s="54"/>
      <c r="T515" s="54"/>
      <c r="U515" s="54"/>
      <c r="V515" s="54"/>
      <c r="W515" s="54"/>
      <c r="X515" s="54"/>
    </row>
    <row r="516" spans="1:24">
      <c r="A516" s="52">
        <v>46289</v>
      </c>
      <c r="B516" s="53" t="s">
        <v>995</v>
      </c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>
        <f t="shared" si="8"/>
        <v>0</v>
      </c>
      <c r="N516" s="55"/>
      <c r="O516" s="54"/>
      <c r="P516" s="54"/>
      <c r="Q516" s="54"/>
      <c r="R516" s="54"/>
      <c r="S516" s="54"/>
      <c r="T516" s="54"/>
      <c r="U516" s="54"/>
      <c r="V516" s="54"/>
      <c r="W516" s="54"/>
      <c r="X516" s="54"/>
    </row>
    <row r="517" spans="1:24">
      <c r="A517" s="52">
        <v>46290</v>
      </c>
      <c r="B517" s="53" t="s">
        <v>995</v>
      </c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>
        <f t="shared" si="8"/>
        <v>0</v>
      </c>
      <c r="N517" s="55"/>
      <c r="O517" s="54"/>
      <c r="P517" s="54"/>
      <c r="Q517" s="54"/>
      <c r="R517" s="54"/>
      <c r="S517" s="54"/>
      <c r="T517" s="54"/>
      <c r="U517" s="54"/>
      <c r="V517" s="54"/>
      <c r="W517" s="54"/>
      <c r="X517" s="54"/>
    </row>
    <row r="518" spans="1:24">
      <c r="A518" s="52">
        <v>46291</v>
      </c>
      <c r="B518" s="53" t="s">
        <v>995</v>
      </c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>
        <f t="shared" si="8"/>
        <v>0</v>
      </c>
      <c r="N518" s="55"/>
      <c r="O518" s="54"/>
      <c r="P518" s="54"/>
      <c r="Q518" s="54"/>
      <c r="R518" s="54"/>
      <c r="S518" s="54"/>
      <c r="T518" s="54"/>
      <c r="U518" s="54"/>
      <c r="V518" s="54"/>
      <c r="W518" s="54"/>
      <c r="X518" s="54"/>
    </row>
    <row r="519" spans="1:24">
      <c r="A519" s="52">
        <v>46292</v>
      </c>
      <c r="B519" s="53" t="s">
        <v>995</v>
      </c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>
        <f t="shared" si="8"/>
        <v>0</v>
      </c>
      <c r="N519" s="55"/>
      <c r="O519" s="54"/>
      <c r="P519" s="54"/>
      <c r="Q519" s="54"/>
      <c r="R519" s="54"/>
      <c r="S519" s="54"/>
      <c r="T519" s="54"/>
      <c r="U519" s="54"/>
      <c r="V519" s="54"/>
      <c r="W519" s="54"/>
      <c r="X519" s="54"/>
    </row>
    <row r="520" spans="1:24">
      <c r="A520" s="52">
        <v>46293</v>
      </c>
      <c r="B520" s="53" t="s">
        <v>995</v>
      </c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>
        <f t="shared" si="8"/>
        <v>0</v>
      </c>
      <c r="N520" s="55"/>
      <c r="O520" s="54"/>
      <c r="P520" s="54"/>
      <c r="Q520" s="54"/>
      <c r="R520" s="54"/>
      <c r="S520" s="54"/>
      <c r="T520" s="54"/>
      <c r="U520" s="54"/>
      <c r="V520" s="54"/>
      <c r="W520" s="54"/>
      <c r="X520" s="54"/>
    </row>
    <row r="521" spans="1:24">
      <c r="A521" s="52">
        <v>46294</v>
      </c>
      <c r="B521" s="53" t="s">
        <v>995</v>
      </c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>
        <f t="shared" si="8"/>
        <v>0</v>
      </c>
      <c r="N521" s="55"/>
      <c r="O521" s="54"/>
      <c r="P521" s="54"/>
      <c r="Q521" s="54"/>
      <c r="R521" s="54"/>
      <c r="S521" s="54"/>
      <c r="T521" s="54"/>
      <c r="U521" s="54"/>
      <c r="V521" s="54"/>
      <c r="W521" s="54"/>
      <c r="X521" s="54"/>
    </row>
    <row r="522" spans="1:24">
      <c r="A522" s="52">
        <v>46295</v>
      </c>
      <c r="B522" s="53" t="s">
        <v>995</v>
      </c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>
        <f t="shared" si="8"/>
        <v>0</v>
      </c>
      <c r="N522" s="55"/>
      <c r="O522" s="54"/>
      <c r="P522" s="54"/>
      <c r="Q522" s="54"/>
      <c r="R522" s="54"/>
      <c r="S522" s="54"/>
      <c r="T522" s="54"/>
      <c r="U522" s="54"/>
      <c r="V522" s="54"/>
      <c r="W522" s="54"/>
      <c r="X522" s="54"/>
    </row>
    <row r="523" spans="1:24">
      <c r="A523" s="52">
        <v>46296</v>
      </c>
      <c r="B523" s="53" t="s">
        <v>995</v>
      </c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>
        <f t="shared" si="8"/>
        <v>0</v>
      </c>
      <c r="N523" s="55"/>
      <c r="O523" s="54"/>
      <c r="P523" s="54"/>
      <c r="Q523" s="54"/>
      <c r="R523" s="54"/>
      <c r="S523" s="54"/>
      <c r="T523" s="54"/>
      <c r="U523" s="54"/>
      <c r="V523" s="54"/>
      <c r="W523" s="54"/>
      <c r="X523" s="54"/>
    </row>
    <row r="524" spans="1:24">
      <c r="A524" s="52">
        <v>46297</v>
      </c>
      <c r="B524" s="53" t="s">
        <v>995</v>
      </c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>
        <f t="shared" si="8"/>
        <v>0</v>
      </c>
      <c r="N524" s="55"/>
      <c r="O524" s="54"/>
      <c r="P524" s="54"/>
      <c r="Q524" s="54"/>
      <c r="R524" s="54"/>
      <c r="S524" s="54"/>
      <c r="T524" s="54"/>
      <c r="U524" s="54"/>
      <c r="V524" s="54"/>
      <c r="W524" s="54"/>
      <c r="X524" s="54"/>
    </row>
    <row r="525" spans="1:24">
      <c r="A525" s="52">
        <v>46298</v>
      </c>
      <c r="B525" s="53" t="s">
        <v>995</v>
      </c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>
        <f t="shared" si="8"/>
        <v>0</v>
      </c>
      <c r="N525" s="55"/>
      <c r="O525" s="54"/>
      <c r="P525" s="54"/>
      <c r="Q525" s="54"/>
      <c r="R525" s="54"/>
      <c r="S525" s="54"/>
      <c r="T525" s="54"/>
      <c r="U525" s="54"/>
      <c r="V525" s="54"/>
      <c r="W525" s="54"/>
      <c r="X525" s="54"/>
    </row>
    <row r="526" spans="1:24">
      <c r="A526" s="52">
        <v>46299</v>
      </c>
      <c r="B526" s="53" t="s">
        <v>995</v>
      </c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>
        <f t="shared" si="8"/>
        <v>0</v>
      </c>
      <c r="N526" s="55"/>
      <c r="O526" s="54"/>
      <c r="P526" s="54"/>
      <c r="Q526" s="54"/>
      <c r="R526" s="54"/>
      <c r="S526" s="54"/>
      <c r="T526" s="54"/>
      <c r="U526" s="54"/>
      <c r="V526" s="54"/>
      <c r="W526" s="54"/>
      <c r="X526" s="54"/>
    </row>
    <row r="527" spans="1:24">
      <c r="A527" s="52">
        <v>46300</v>
      </c>
      <c r="B527" s="53" t="s">
        <v>995</v>
      </c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>
        <f t="shared" si="8"/>
        <v>0</v>
      </c>
      <c r="N527" s="55"/>
      <c r="O527" s="54"/>
      <c r="P527" s="54"/>
      <c r="Q527" s="54"/>
      <c r="R527" s="54"/>
      <c r="S527" s="54"/>
      <c r="T527" s="54"/>
      <c r="U527" s="54"/>
      <c r="V527" s="54"/>
      <c r="W527" s="54"/>
      <c r="X527" s="54"/>
    </row>
    <row r="528" spans="1:24">
      <c r="A528" s="52">
        <v>46301</v>
      </c>
      <c r="B528" s="53" t="s">
        <v>995</v>
      </c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>
        <f t="shared" si="8"/>
        <v>0</v>
      </c>
      <c r="N528" s="55"/>
      <c r="O528" s="54"/>
      <c r="P528" s="54"/>
      <c r="Q528" s="54"/>
      <c r="R528" s="54"/>
      <c r="S528" s="54"/>
      <c r="T528" s="54"/>
      <c r="U528" s="54"/>
      <c r="V528" s="54"/>
      <c r="W528" s="54"/>
      <c r="X528" s="54"/>
    </row>
    <row r="529" spans="1:24">
      <c r="A529" s="52">
        <v>46302</v>
      </c>
      <c r="B529" s="53" t="s">
        <v>995</v>
      </c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>
        <f t="shared" si="8"/>
        <v>0</v>
      </c>
      <c r="N529" s="55"/>
      <c r="O529" s="54"/>
      <c r="P529" s="54"/>
      <c r="Q529" s="54"/>
      <c r="R529" s="54"/>
      <c r="S529" s="54"/>
      <c r="T529" s="54"/>
      <c r="U529" s="54"/>
      <c r="V529" s="54"/>
      <c r="W529" s="54"/>
      <c r="X529" s="54"/>
    </row>
    <row r="530" spans="1:24">
      <c r="A530" s="52">
        <v>46303</v>
      </c>
      <c r="B530" s="53" t="s">
        <v>995</v>
      </c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>
        <f t="shared" si="8"/>
        <v>0</v>
      </c>
      <c r="N530" s="55"/>
      <c r="O530" s="54"/>
      <c r="P530" s="54"/>
      <c r="Q530" s="54"/>
      <c r="R530" s="54"/>
      <c r="S530" s="54"/>
      <c r="T530" s="54"/>
      <c r="U530" s="54"/>
      <c r="V530" s="54"/>
      <c r="W530" s="54"/>
      <c r="X530" s="54"/>
    </row>
    <row r="531" spans="1:24">
      <c r="A531" s="52">
        <v>46304</v>
      </c>
      <c r="B531" s="53" t="s">
        <v>995</v>
      </c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>
        <f t="shared" si="8"/>
        <v>0</v>
      </c>
      <c r="N531" s="55"/>
      <c r="O531" s="54"/>
      <c r="P531" s="54"/>
      <c r="Q531" s="54"/>
      <c r="R531" s="54"/>
      <c r="S531" s="54"/>
      <c r="T531" s="54"/>
      <c r="U531" s="54"/>
      <c r="V531" s="54"/>
      <c r="W531" s="54"/>
      <c r="X531" s="54"/>
    </row>
    <row r="532" spans="1:24">
      <c r="A532" s="52">
        <v>46305</v>
      </c>
      <c r="B532" s="53" t="s">
        <v>995</v>
      </c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>
        <f t="shared" si="8"/>
        <v>0</v>
      </c>
      <c r="N532" s="55"/>
      <c r="O532" s="54"/>
      <c r="P532" s="54"/>
      <c r="Q532" s="54"/>
      <c r="R532" s="54"/>
      <c r="S532" s="54"/>
      <c r="T532" s="54"/>
      <c r="U532" s="54"/>
      <c r="V532" s="54"/>
      <c r="W532" s="54"/>
      <c r="X532" s="54"/>
    </row>
    <row r="533" spans="1:24">
      <c r="A533" s="52">
        <v>46306</v>
      </c>
      <c r="B533" s="53" t="s">
        <v>995</v>
      </c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>
        <f t="shared" si="8"/>
        <v>0</v>
      </c>
      <c r="N533" s="55"/>
      <c r="O533" s="54"/>
      <c r="P533" s="54"/>
      <c r="Q533" s="54"/>
      <c r="R533" s="54"/>
      <c r="S533" s="54"/>
      <c r="T533" s="54"/>
      <c r="U533" s="54"/>
      <c r="V533" s="54"/>
      <c r="W533" s="54"/>
      <c r="X533" s="54"/>
    </row>
    <row r="534" spans="1:24">
      <c r="A534" s="52">
        <v>46307</v>
      </c>
      <c r="B534" s="53" t="s">
        <v>995</v>
      </c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>
        <f t="shared" si="8"/>
        <v>0</v>
      </c>
      <c r="N534" s="55"/>
      <c r="O534" s="54"/>
      <c r="P534" s="54"/>
      <c r="Q534" s="54"/>
      <c r="R534" s="54"/>
      <c r="S534" s="54"/>
      <c r="T534" s="54"/>
      <c r="U534" s="54"/>
      <c r="V534" s="54"/>
      <c r="W534" s="54"/>
      <c r="X534" s="54"/>
    </row>
    <row r="535" spans="1:24">
      <c r="A535" s="52">
        <v>46308</v>
      </c>
      <c r="B535" s="53" t="s">
        <v>995</v>
      </c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>
        <f t="shared" si="8"/>
        <v>0</v>
      </c>
      <c r="N535" s="55"/>
      <c r="O535" s="54"/>
      <c r="P535" s="54"/>
      <c r="Q535" s="54"/>
      <c r="R535" s="54"/>
      <c r="S535" s="54"/>
      <c r="T535" s="54"/>
      <c r="U535" s="54"/>
      <c r="V535" s="54"/>
      <c r="W535" s="54"/>
      <c r="X535" s="54"/>
    </row>
    <row r="536" spans="1:24">
      <c r="A536" s="52">
        <v>46309</v>
      </c>
      <c r="B536" s="53" t="s">
        <v>995</v>
      </c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>
        <f t="shared" si="8"/>
        <v>0</v>
      </c>
      <c r="N536" s="55"/>
      <c r="O536" s="54"/>
      <c r="P536" s="54"/>
      <c r="Q536" s="54"/>
      <c r="R536" s="54"/>
      <c r="S536" s="54"/>
      <c r="T536" s="54"/>
      <c r="U536" s="54"/>
      <c r="V536" s="54"/>
      <c r="W536" s="54"/>
      <c r="X536" s="54"/>
    </row>
    <row r="537" spans="1:24">
      <c r="A537" s="52">
        <v>46310</v>
      </c>
      <c r="B537" s="53" t="s">
        <v>995</v>
      </c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>
        <f t="shared" si="8"/>
        <v>0</v>
      </c>
      <c r="N537" s="55"/>
      <c r="O537" s="54"/>
      <c r="P537" s="54"/>
      <c r="Q537" s="54"/>
      <c r="R537" s="54"/>
      <c r="S537" s="54"/>
      <c r="T537" s="54"/>
      <c r="U537" s="54"/>
      <c r="V537" s="54"/>
      <c r="W537" s="54"/>
      <c r="X537" s="54"/>
    </row>
    <row r="538" spans="1:24">
      <c r="A538" s="52">
        <v>46311</v>
      </c>
      <c r="B538" s="53" t="s">
        <v>995</v>
      </c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>
        <f t="shared" si="8"/>
        <v>0</v>
      </c>
      <c r="N538" s="55"/>
      <c r="O538" s="54"/>
      <c r="P538" s="54"/>
      <c r="Q538" s="54"/>
      <c r="R538" s="54"/>
      <c r="S538" s="54"/>
      <c r="T538" s="54"/>
      <c r="U538" s="54"/>
      <c r="V538" s="54"/>
      <c r="W538" s="54"/>
      <c r="X538" s="54"/>
    </row>
    <row r="539" spans="1:24">
      <c r="A539" s="52">
        <v>46312</v>
      </c>
      <c r="B539" s="53" t="s">
        <v>995</v>
      </c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>
        <f t="shared" si="8"/>
        <v>0</v>
      </c>
      <c r="N539" s="55"/>
      <c r="O539" s="54"/>
      <c r="P539" s="54"/>
      <c r="Q539" s="54"/>
      <c r="R539" s="54"/>
      <c r="S539" s="54"/>
      <c r="T539" s="54"/>
      <c r="U539" s="54"/>
      <c r="V539" s="54"/>
      <c r="W539" s="54"/>
      <c r="X539" s="54"/>
    </row>
    <row r="540" spans="1:24">
      <c r="A540" s="52">
        <v>46313</v>
      </c>
      <c r="B540" s="53" t="s">
        <v>995</v>
      </c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>
        <f t="shared" si="8"/>
        <v>0</v>
      </c>
      <c r="N540" s="55"/>
      <c r="O540" s="54"/>
      <c r="P540" s="54"/>
      <c r="Q540" s="54"/>
      <c r="R540" s="54"/>
      <c r="S540" s="54"/>
      <c r="T540" s="54"/>
      <c r="U540" s="54"/>
      <c r="V540" s="54"/>
      <c r="W540" s="54"/>
      <c r="X540" s="54"/>
    </row>
    <row r="541" spans="1:24">
      <c r="A541" s="52">
        <v>46314</v>
      </c>
      <c r="B541" s="53" t="s">
        <v>995</v>
      </c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>
        <f t="shared" si="8"/>
        <v>0</v>
      </c>
      <c r="N541" s="55"/>
      <c r="O541" s="54"/>
      <c r="P541" s="54"/>
      <c r="Q541" s="54"/>
      <c r="R541" s="54"/>
      <c r="S541" s="54"/>
      <c r="T541" s="54"/>
      <c r="U541" s="54"/>
      <c r="V541" s="54"/>
      <c r="W541" s="54"/>
      <c r="X541" s="54"/>
    </row>
    <row r="542" spans="1:24">
      <c r="A542" s="52">
        <v>46315</v>
      </c>
      <c r="B542" s="53" t="s">
        <v>995</v>
      </c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>
        <f t="shared" si="8"/>
        <v>0</v>
      </c>
      <c r="N542" s="55"/>
      <c r="O542" s="54"/>
      <c r="P542" s="54"/>
      <c r="Q542" s="54"/>
      <c r="R542" s="54"/>
      <c r="S542" s="54"/>
      <c r="T542" s="54"/>
      <c r="U542" s="54"/>
      <c r="V542" s="54"/>
      <c r="W542" s="54"/>
      <c r="X542" s="54"/>
    </row>
    <row r="543" spans="1:24">
      <c r="A543" s="52">
        <v>46316</v>
      </c>
      <c r="B543" s="53" t="s">
        <v>995</v>
      </c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>
        <f t="shared" si="8"/>
        <v>0</v>
      </c>
      <c r="N543" s="55"/>
      <c r="O543" s="54"/>
      <c r="P543" s="54"/>
      <c r="Q543" s="54"/>
      <c r="R543" s="54"/>
      <c r="S543" s="54"/>
      <c r="T543" s="54"/>
      <c r="U543" s="54"/>
      <c r="V543" s="54"/>
      <c r="W543" s="54"/>
      <c r="X543" s="54"/>
    </row>
    <row r="544" spans="1:24">
      <c r="A544" s="52">
        <v>46317</v>
      </c>
      <c r="B544" s="53" t="s">
        <v>995</v>
      </c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>
        <f t="shared" si="8"/>
        <v>0</v>
      </c>
      <c r="N544" s="55"/>
      <c r="O544" s="54"/>
      <c r="P544" s="54"/>
      <c r="Q544" s="54"/>
      <c r="R544" s="54"/>
      <c r="S544" s="54"/>
      <c r="T544" s="54"/>
      <c r="U544" s="54"/>
      <c r="V544" s="54"/>
      <c r="W544" s="54"/>
      <c r="X544" s="54"/>
    </row>
    <row r="545" spans="1:24">
      <c r="A545" s="52">
        <v>46318</v>
      </c>
      <c r="B545" s="53" t="s">
        <v>995</v>
      </c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>
        <f t="shared" si="8"/>
        <v>0</v>
      </c>
      <c r="N545" s="55"/>
      <c r="O545" s="54"/>
      <c r="P545" s="54"/>
      <c r="Q545" s="54"/>
      <c r="R545" s="54"/>
      <c r="S545" s="54"/>
      <c r="T545" s="54"/>
      <c r="U545" s="54"/>
      <c r="V545" s="54"/>
      <c r="W545" s="54"/>
      <c r="X545" s="54"/>
    </row>
    <row r="546" spans="1:24">
      <c r="A546" s="52">
        <v>46319</v>
      </c>
      <c r="B546" s="53" t="s">
        <v>995</v>
      </c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>
        <f t="shared" si="8"/>
        <v>0</v>
      </c>
      <c r="N546" s="55"/>
      <c r="O546" s="54"/>
      <c r="P546" s="54"/>
      <c r="Q546" s="54"/>
      <c r="R546" s="54"/>
      <c r="S546" s="54"/>
      <c r="T546" s="54"/>
      <c r="U546" s="54"/>
      <c r="V546" s="54"/>
      <c r="W546" s="54"/>
      <c r="X546" s="54"/>
    </row>
    <row r="547" spans="1:24">
      <c r="A547" s="52">
        <v>46320</v>
      </c>
      <c r="B547" s="53" t="s">
        <v>995</v>
      </c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>
        <f t="shared" si="8"/>
        <v>0</v>
      </c>
      <c r="N547" s="55"/>
      <c r="O547" s="54"/>
      <c r="P547" s="54"/>
      <c r="Q547" s="54"/>
      <c r="R547" s="54"/>
      <c r="S547" s="54"/>
      <c r="T547" s="54"/>
      <c r="U547" s="54"/>
      <c r="V547" s="54"/>
      <c r="W547" s="54"/>
      <c r="X547" s="54"/>
    </row>
    <row r="548" spans="1:24">
      <c r="A548" s="52">
        <v>46321</v>
      </c>
      <c r="B548" s="53" t="s">
        <v>995</v>
      </c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>
        <f t="shared" si="8"/>
        <v>0</v>
      </c>
      <c r="N548" s="55"/>
      <c r="O548" s="54"/>
      <c r="P548" s="54"/>
      <c r="Q548" s="54"/>
      <c r="R548" s="54"/>
      <c r="S548" s="54"/>
      <c r="T548" s="54"/>
      <c r="U548" s="54"/>
      <c r="V548" s="54"/>
      <c r="W548" s="54"/>
      <c r="X548" s="54"/>
    </row>
    <row r="549" spans="1:24">
      <c r="A549" s="52">
        <v>46322</v>
      </c>
      <c r="B549" s="53" t="s">
        <v>995</v>
      </c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>
        <f t="shared" si="8"/>
        <v>0</v>
      </c>
      <c r="N549" s="55"/>
      <c r="O549" s="54"/>
      <c r="P549" s="54"/>
      <c r="Q549" s="54"/>
      <c r="R549" s="54"/>
      <c r="S549" s="54"/>
      <c r="T549" s="54"/>
      <c r="U549" s="54"/>
      <c r="V549" s="54"/>
      <c r="W549" s="54"/>
      <c r="X549" s="54"/>
    </row>
    <row r="550" spans="1:24">
      <c r="A550" s="52">
        <v>46323</v>
      </c>
      <c r="B550" s="53" t="s">
        <v>995</v>
      </c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>
        <f t="shared" si="8"/>
        <v>0</v>
      </c>
      <c r="N550" s="55"/>
      <c r="O550" s="54"/>
      <c r="P550" s="54"/>
      <c r="Q550" s="54"/>
      <c r="R550" s="54"/>
      <c r="S550" s="54"/>
      <c r="T550" s="54"/>
      <c r="U550" s="54"/>
      <c r="V550" s="54"/>
      <c r="W550" s="54"/>
      <c r="X550" s="54"/>
    </row>
    <row r="551" spans="1:24">
      <c r="A551" s="52">
        <v>46324</v>
      </c>
      <c r="B551" s="53" t="s">
        <v>995</v>
      </c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>
        <f t="shared" si="8"/>
        <v>0</v>
      </c>
      <c r="N551" s="55"/>
      <c r="O551" s="54"/>
      <c r="P551" s="54"/>
      <c r="Q551" s="54"/>
      <c r="R551" s="54"/>
      <c r="S551" s="54"/>
      <c r="T551" s="54"/>
      <c r="U551" s="54"/>
      <c r="V551" s="54"/>
      <c r="W551" s="54"/>
      <c r="X551" s="54"/>
    </row>
    <row r="552" spans="1:24">
      <c r="A552" s="52">
        <v>46325</v>
      </c>
      <c r="B552" s="53" t="s">
        <v>995</v>
      </c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>
        <f t="shared" si="8"/>
        <v>0</v>
      </c>
      <c r="N552" s="55"/>
      <c r="O552" s="54"/>
      <c r="P552" s="54"/>
      <c r="Q552" s="54"/>
      <c r="R552" s="54"/>
      <c r="S552" s="54"/>
      <c r="T552" s="54"/>
      <c r="U552" s="54"/>
      <c r="V552" s="54"/>
      <c r="W552" s="54"/>
      <c r="X552" s="54"/>
    </row>
    <row r="553" spans="1:24">
      <c r="A553" s="52">
        <v>46326</v>
      </c>
      <c r="B553" s="53" t="s">
        <v>995</v>
      </c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>
        <f t="shared" si="8"/>
        <v>0</v>
      </c>
      <c r="N553" s="55"/>
      <c r="O553" s="54"/>
      <c r="P553" s="54"/>
      <c r="Q553" s="54"/>
      <c r="R553" s="54"/>
      <c r="S553" s="54"/>
      <c r="T553" s="54"/>
      <c r="U553" s="54"/>
      <c r="V553" s="54"/>
      <c r="W553" s="54"/>
      <c r="X553" s="54"/>
    </row>
    <row r="554" spans="1:24">
      <c r="A554" s="52">
        <v>46327</v>
      </c>
      <c r="B554" s="53" t="s">
        <v>995</v>
      </c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>
        <f t="shared" si="8"/>
        <v>0</v>
      </c>
      <c r="N554" s="55"/>
      <c r="O554" s="54"/>
      <c r="P554" s="54"/>
      <c r="Q554" s="54"/>
      <c r="R554" s="54"/>
      <c r="S554" s="54"/>
      <c r="T554" s="54"/>
      <c r="U554" s="54"/>
      <c r="V554" s="54"/>
      <c r="W554" s="54"/>
      <c r="X554" s="54"/>
    </row>
    <row r="555" spans="1:24">
      <c r="A555" s="52">
        <v>46328</v>
      </c>
      <c r="B555" s="53" t="s">
        <v>995</v>
      </c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>
        <f t="shared" si="8"/>
        <v>0</v>
      </c>
      <c r="N555" s="55"/>
      <c r="O555" s="54"/>
      <c r="P555" s="54"/>
      <c r="Q555" s="54"/>
      <c r="R555" s="54"/>
      <c r="S555" s="54"/>
      <c r="T555" s="54"/>
      <c r="U555" s="54"/>
      <c r="V555" s="54"/>
      <c r="W555" s="54"/>
      <c r="X555" s="54"/>
    </row>
    <row r="556" spans="1:24">
      <c r="A556" s="52">
        <v>46329</v>
      </c>
      <c r="B556" s="53" t="s">
        <v>995</v>
      </c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>
        <f t="shared" si="8"/>
        <v>0</v>
      </c>
      <c r="N556" s="55"/>
      <c r="O556" s="54"/>
      <c r="P556" s="54"/>
      <c r="Q556" s="54"/>
      <c r="R556" s="54"/>
      <c r="S556" s="54"/>
      <c r="T556" s="54"/>
      <c r="U556" s="54"/>
      <c r="V556" s="54"/>
      <c r="W556" s="54"/>
      <c r="X556" s="54"/>
    </row>
    <row r="557" spans="1:24">
      <c r="A557" s="52">
        <v>46330</v>
      </c>
      <c r="B557" s="53" t="s">
        <v>995</v>
      </c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>
        <f t="shared" si="8"/>
        <v>0</v>
      </c>
      <c r="N557" s="55"/>
      <c r="O557" s="54"/>
      <c r="P557" s="54"/>
      <c r="Q557" s="54"/>
      <c r="R557" s="54"/>
      <c r="S557" s="54"/>
      <c r="T557" s="54"/>
      <c r="U557" s="54"/>
      <c r="V557" s="54"/>
      <c r="W557" s="54"/>
      <c r="X557" s="54"/>
    </row>
    <row r="558" spans="1:24">
      <c r="A558" s="52">
        <v>46331</v>
      </c>
      <c r="B558" s="53" t="s">
        <v>995</v>
      </c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>
        <f t="shared" si="8"/>
        <v>0</v>
      </c>
      <c r="N558" s="55"/>
      <c r="O558" s="54"/>
      <c r="P558" s="54"/>
      <c r="Q558" s="54"/>
      <c r="R558" s="54"/>
      <c r="S558" s="54"/>
      <c r="T558" s="54"/>
      <c r="U558" s="54"/>
      <c r="V558" s="54"/>
      <c r="W558" s="54"/>
      <c r="X558" s="54"/>
    </row>
    <row r="559" spans="1:24">
      <c r="A559" s="52">
        <v>46332</v>
      </c>
      <c r="B559" s="53" t="s">
        <v>995</v>
      </c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>
        <f t="shared" si="8"/>
        <v>0</v>
      </c>
      <c r="N559" s="55"/>
      <c r="O559" s="54"/>
      <c r="P559" s="54"/>
      <c r="Q559" s="54"/>
      <c r="R559" s="54"/>
      <c r="S559" s="54"/>
      <c r="T559" s="54"/>
      <c r="U559" s="54"/>
      <c r="V559" s="54"/>
      <c r="W559" s="54"/>
      <c r="X559" s="54"/>
    </row>
    <row r="560" spans="1:24">
      <c r="A560" s="52">
        <v>46333</v>
      </c>
      <c r="B560" s="53" t="s">
        <v>995</v>
      </c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>
        <f t="shared" si="8"/>
        <v>0</v>
      </c>
      <c r="N560" s="55"/>
      <c r="O560" s="54"/>
      <c r="P560" s="54"/>
      <c r="Q560" s="54"/>
      <c r="R560" s="54"/>
      <c r="S560" s="54"/>
      <c r="T560" s="54"/>
      <c r="U560" s="54"/>
      <c r="V560" s="54"/>
      <c r="W560" s="54"/>
      <c r="X560" s="54"/>
    </row>
    <row r="561" spans="1:24">
      <c r="A561" s="52">
        <v>46334</v>
      </c>
      <c r="B561" s="53" t="s">
        <v>995</v>
      </c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>
        <f t="shared" si="8"/>
        <v>0</v>
      </c>
      <c r="N561" s="55"/>
      <c r="O561" s="54"/>
      <c r="P561" s="54"/>
      <c r="Q561" s="54"/>
      <c r="R561" s="54"/>
      <c r="S561" s="54"/>
      <c r="T561" s="54"/>
      <c r="U561" s="54"/>
      <c r="V561" s="54"/>
      <c r="W561" s="54"/>
      <c r="X561" s="54"/>
    </row>
    <row r="562" spans="1:24">
      <c r="A562" s="52">
        <v>46335</v>
      </c>
      <c r="B562" s="53" t="s">
        <v>995</v>
      </c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>
        <f t="shared" si="8"/>
        <v>0</v>
      </c>
      <c r="N562" s="55"/>
      <c r="O562" s="54"/>
      <c r="P562" s="54"/>
      <c r="Q562" s="54"/>
      <c r="R562" s="54"/>
      <c r="S562" s="54"/>
      <c r="T562" s="54"/>
      <c r="U562" s="54"/>
      <c r="V562" s="54"/>
      <c r="W562" s="54"/>
      <c r="X562" s="54"/>
    </row>
    <row r="563" spans="1:24">
      <c r="A563" s="52">
        <v>46336</v>
      </c>
      <c r="B563" s="53" t="s">
        <v>995</v>
      </c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>
        <f t="shared" si="8"/>
        <v>0</v>
      </c>
      <c r="N563" s="55"/>
      <c r="O563" s="54"/>
      <c r="P563" s="54"/>
      <c r="Q563" s="54"/>
      <c r="R563" s="54"/>
      <c r="S563" s="54"/>
      <c r="T563" s="54"/>
      <c r="U563" s="54"/>
      <c r="V563" s="54"/>
      <c r="W563" s="54"/>
      <c r="X563" s="54"/>
    </row>
    <row r="564" spans="1:24">
      <c r="A564" s="52">
        <v>46337</v>
      </c>
      <c r="B564" s="53" t="s">
        <v>995</v>
      </c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>
        <f t="shared" si="8"/>
        <v>0</v>
      </c>
      <c r="N564" s="55"/>
      <c r="O564" s="54"/>
      <c r="P564" s="54"/>
      <c r="Q564" s="54"/>
      <c r="R564" s="54"/>
      <c r="S564" s="54"/>
      <c r="T564" s="54"/>
      <c r="U564" s="54"/>
      <c r="V564" s="54"/>
      <c r="W564" s="54"/>
      <c r="X564" s="54"/>
    </row>
    <row r="565" spans="1:24">
      <c r="A565" s="52">
        <v>46338</v>
      </c>
      <c r="B565" s="53" t="s">
        <v>995</v>
      </c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>
        <f t="shared" si="8"/>
        <v>0</v>
      </c>
      <c r="N565" s="55"/>
      <c r="O565" s="54"/>
      <c r="P565" s="54"/>
      <c r="Q565" s="54"/>
      <c r="R565" s="54"/>
      <c r="S565" s="54"/>
      <c r="T565" s="54"/>
      <c r="U565" s="54"/>
      <c r="V565" s="54"/>
      <c r="W565" s="54"/>
      <c r="X565" s="54"/>
    </row>
    <row r="566" spans="1:24">
      <c r="A566" s="52">
        <v>46339</v>
      </c>
      <c r="B566" s="53" t="s">
        <v>995</v>
      </c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>
        <f t="shared" si="8"/>
        <v>0</v>
      </c>
      <c r="N566" s="55"/>
      <c r="O566" s="54"/>
      <c r="P566" s="54"/>
      <c r="Q566" s="54"/>
      <c r="R566" s="54"/>
      <c r="S566" s="54"/>
      <c r="T566" s="54"/>
      <c r="U566" s="54"/>
      <c r="V566" s="54"/>
      <c r="W566" s="54"/>
      <c r="X566" s="54"/>
    </row>
    <row r="567" spans="1:24">
      <c r="A567" s="52">
        <v>46340</v>
      </c>
      <c r="B567" s="53" t="s">
        <v>995</v>
      </c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>
        <f t="shared" si="8"/>
        <v>0</v>
      </c>
      <c r="N567" s="55"/>
      <c r="O567" s="54"/>
      <c r="P567" s="54"/>
      <c r="Q567" s="54"/>
      <c r="R567" s="54"/>
      <c r="S567" s="54"/>
      <c r="T567" s="54"/>
      <c r="U567" s="54"/>
      <c r="V567" s="54"/>
      <c r="W567" s="54"/>
      <c r="X567" s="54"/>
    </row>
    <row r="568" spans="1:24">
      <c r="A568" s="52">
        <v>46341</v>
      </c>
      <c r="B568" s="53" t="s">
        <v>995</v>
      </c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>
        <f t="shared" si="8"/>
        <v>0</v>
      </c>
      <c r="N568" s="55"/>
      <c r="O568" s="54"/>
      <c r="P568" s="54"/>
      <c r="Q568" s="54"/>
      <c r="R568" s="54"/>
      <c r="S568" s="54"/>
      <c r="T568" s="54"/>
      <c r="U568" s="54"/>
      <c r="V568" s="54"/>
      <c r="W568" s="54"/>
      <c r="X568" s="54"/>
    </row>
    <row r="569" spans="1:24">
      <c r="A569" s="52">
        <v>46342</v>
      </c>
      <c r="B569" s="53" t="s">
        <v>995</v>
      </c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>
        <f t="shared" si="8"/>
        <v>0</v>
      </c>
      <c r="N569" s="55"/>
      <c r="O569" s="54"/>
      <c r="P569" s="54"/>
      <c r="Q569" s="54"/>
      <c r="R569" s="54"/>
      <c r="S569" s="54"/>
      <c r="T569" s="54"/>
      <c r="U569" s="54"/>
      <c r="V569" s="54"/>
      <c r="W569" s="54"/>
      <c r="X569" s="54"/>
    </row>
    <row r="570" spans="1:24">
      <c r="A570" s="52">
        <v>46343</v>
      </c>
      <c r="B570" s="53" t="s">
        <v>995</v>
      </c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>
        <f t="shared" si="8"/>
        <v>0</v>
      </c>
      <c r="N570" s="55"/>
      <c r="O570" s="54"/>
      <c r="P570" s="54"/>
      <c r="Q570" s="54"/>
      <c r="R570" s="54"/>
      <c r="S570" s="54"/>
      <c r="T570" s="54"/>
      <c r="U570" s="54"/>
      <c r="V570" s="54"/>
      <c r="W570" s="54"/>
      <c r="X570" s="54"/>
    </row>
    <row r="571" spans="1:24">
      <c r="A571" s="52">
        <v>46344</v>
      </c>
      <c r="B571" s="53" t="s">
        <v>995</v>
      </c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>
        <f t="shared" si="8"/>
        <v>0</v>
      </c>
      <c r="N571" s="55"/>
      <c r="O571" s="54"/>
      <c r="P571" s="54"/>
      <c r="Q571" s="54"/>
      <c r="R571" s="54"/>
      <c r="S571" s="54"/>
      <c r="T571" s="54"/>
      <c r="U571" s="54"/>
      <c r="V571" s="54"/>
      <c r="W571" s="54"/>
      <c r="X571" s="54"/>
    </row>
    <row r="572" spans="1:24">
      <c r="A572" s="52">
        <v>46345</v>
      </c>
      <c r="B572" s="53" t="s">
        <v>995</v>
      </c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>
        <f t="shared" si="8"/>
        <v>0</v>
      </c>
      <c r="N572" s="55"/>
      <c r="O572" s="54"/>
      <c r="P572" s="54"/>
      <c r="Q572" s="54"/>
      <c r="R572" s="54"/>
      <c r="S572" s="54"/>
      <c r="T572" s="54"/>
      <c r="U572" s="54"/>
      <c r="V572" s="54"/>
      <c r="W572" s="54"/>
      <c r="X572" s="54"/>
    </row>
    <row r="573" spans="1:24">
      <c r="A573" s="52">
        <v>46346</v>
      </c>
      <c r="B573" s="53" t="s">
        <v>995</v>
      </c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>
        <f t="shared" si="8"/>
        <v>0</v>
      </c>
      <c r="N573" s="55"/>
      <c r="O573" s="54"/>
      <c r="P573" s="54"/>
      <c r="Q573" s="54"/>
      <c r="R573" s="54"/>
      <c r="S573" s="54"/>
      <c r="T573" s="54"/>
      <c r="U573" s="54"/>
      <c r="V573" s="54"/>
      <c r="W573" s="54"/>
      <c r="X573" s="54"/>
    </row>
    <row r="574" spans="1:24">
      <c r="A574" s="52">
        <v>46347</v>
      </c>
      <c r="B574" s="53" t="s">
        <v>995</v>
      </c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>
        <f t="shared" si="8"/>
        <v>0</v>
      </c>
      <c r="N574" s="55"/>
      <c r="O574" s="54"/>
      <c r="P574" s="54"/>
      <c r="Q574" s="54"/>
      <c r="R574" s="54"/>
      <c r="S574" s="54"/>
      <c r="T574" s="54"/>
      <c r="U574" s="54"/>
      <c r="V574" s="54"/>
      <c r="W574" s="54"/>
      <c r="X574" s="54"/>
    </row>
    <row r="575" spans="1:24">
      <c r="A575" s="52">
        <v>46348</v>
      </c>
      <c r="B575" s="53" t="s">
        <v>995</v>
      </c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>
        <f t="shared" si="8"/>
        <v>0</v>
      </c>
      <c r="N575" s="55"/>
      <c r="O575" s="54"/>
      <c r="P575" s="54"/>
      <c r="Q575" s="54"/>
      <c r="R575" s="54"/>
      <c r="S575" s="54"/>
      <c r="T575" s="54"/>
      <c r="U575" s="54"/>
      <c r="V575" s="54"/>
      <c r="W575" s="54"/>
      <c r="X575" s="54"/>
    </row>
    <row r="576" spans="1:24">
      <c r="A576" s="52">
        <v>46349</v>
      </c>
      <c r="B576" s="53" t="s">
        <v>995</v>
      </c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>
        <f t="shared" si="8"/>
        <v>0</v>
      </c>
      <c r="N576" s="55"/>
      <c r="O576" s="54"/>
      <c r="P576" s="54"/>
      <c r="Q576" s="54"/>
      <c r="R576" s="54"/>
      <c r="S576" s="54"/>
      <c r="T576" s="54"/>
      <c r="U576" s="54"/>
      <c r="V576" s="54"/>
      <c r="W576" s="54"/>
      <c r="X576" s="54"/>
    </row>
    <row r="577" spans="1:24">
      <c r="A577" s="52">
        <v>46350</v>
      </c>
      <c r="B577" s="53" t="s">
        <v>995</v>
      </c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>
        <f t="shared" si="8"/>
        <v>0</v>
      </c>
      <c r="N577" s="55"/>
      <c r="O577" s="54"/>
      <c r="P577" s="54"/>
      <c r="Q577" s="54"/>
      <c r="R577" s="54"/>
      <c r="S577" s="54"/>
      <c r="T577" s="54"/>
      <c r="U577" s="54"/>
      <c r="V577" s="54"/>
      <c r="W577" s="54"/>
      <c r="X577" s="54"/>
    </row>
    <row r="578" spans="1:24">
      <c r="A578" s="52">
        <v>46351</v>
      </c>
      <c r="B578" s="53" t="s">
        <v>995</v>
      </c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>
        <f t="shared" si="8"/>
        <v>0</v>
      </c>
      <c r="N578" s="55"/>
      <c r="O578" s="54"/>
      <c r="P578" s="54"/>
      <c r="Q578" s="54"/>
      <c r="R578" s="54"/>
      <c r="S578" s="54"/>
      <c r="T578" s="54"/>
      <c r="U578" s="54"/>
      <c r="V578" s="54"/>
      <c r="W578" s="54"/>
      <c r="X578" s="54"/>
    </row>
    <row r="579" spans="1:24">
      <c r="A579" s="52">
        <v>46352</v>
      </c>
      <c r="B579" s="53" t="s">
        <v>995</v>
      </c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>
        <f t="shared" ref="M579:M642" si="9">N579-SUM(C579:L579)</f>
        <v>0</v>
      </c>
      <c r="N579" s="55"/>
      <c r="O579" s="54"/>
      <c r="P579" s="54"/>
      <c r="Q579" s="54"/>
      <c r="R579" s="54"/>
      <c r="S579" s="54"/>
      <c r="T579" s="54"/>
      <c r="U579" s="54"/>
      <c r="V579" s="54"/>
      <c r="W579" s="54"/>
      <c r="X579" s="54"/>
    </row>
    <row r="580" spans="1:24">
      <c r="A580" s="52">
        <v>46353</v>
      </c>
      <c r="B580" s="53" t="s">
        <v>995</v>
      </c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>
        <f t="shared" si="9"/>
        <v>0</v>
      </c>
      <c r="N580" s="55"/>
      <c r="O580" s="54"/>
      <c r="P580" s="54"/>
      <c r="Q580" s="54"/>
      <c r="R580" s="54"/>
      <c r="S580" s="54"/>
      <c r="T580" s="54"/>
      <c r="U580" s="54"/>
      <c r="V580" s="54"/>
      <c r="W580" s="54"/>
      <c r="X580" s="54"/>
    </row>
    <row r="581" spans="1:24">
      <c r="A581" s="52">
        <v>46354</v>
      </c>
      <c r="B581" s="53" t="s">
        <v>995</v>
      </c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>
        <f t="shared" si="9"/>
        <v>0</v>
      </c>
      <c r="N581" s="55"/>
      <c r="O581" s="54"/>
      <c r="P581" s="54"/>
      <c r="Q581" s="54"/>
      <c r="R581" s="54"/>
      <c r="S581" s="54"/>
      <c r="T581" s="54"/>
      <c r="U581" s="54"/>
      <c r="V581" s="54"/>
      <c r="W581" s="54"/>
      <c r="X581" s="54"/>
    </row>
    <row r="582" spans="1:24">
      <c r="A582" s="52">
        <v>46355</v>
      </c>
      <c r="B582" s="53" t="s">
        <v>995</v>
      </c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>
        <f t="shared" si="9"/>
        <v>0</v>
      </c>
      <c r="N582" s="55"/>
      <c r="O582" s="54"/>
      <c r="P582" s="54"/>
      <c r="Q582" s="54"/>
      <c r="R582" s="54"/>
      <c r="S582" s="54"/>
      <c r="T582" s="54"/>
      <c r="U582" s="54"/>
      <c r="V582" s="54"/>
      <c r="W582" s="54"/>
      <c r="X582" s="54"/>
    </row>
    <row r="583" spans="1:24">
      <c r="A583" s="52">
        <v>46356</v>
      </c>
      <c r="B583" s="53" t="s">
        <v>995</v>
      </c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>
        <f t="shared" si="9"/>
        <v>0</v>
      </c>
      <c r="N583" s="55"/>
      <c r="O583" s="54"/>
      <c r="P583" s="54"/>
      <c r="Q583" s="54"/>
      <c r="R583" s="54"/>
      <c r="S583" s="54"/>
      <c r="T583" s="54"/>
      <c r="U583" s="54"/>
      <c r="V583" s="54"/>
      <c r="W583" s="54"/>
      <c r="X583" s="54"/>
    </row>
    <row r="584" spans="1:24">
      <c r="A584" s="52">
        <v>46357</v>
      </c>
      <c r="B584" s="53" t="s">
        <v>995</v>
      </c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>
        <f t="shared" si="9"/>
        <v>0</v>
      </c>
      <c r="N584" s="55"/>
      <c r="O584" s="54"/>
      <c r="P584" s="54"/>
      <c r="Q584" s="54"/>
      <c r="R584" s="54"/>
      <c r="S584" s="54"/>
      <c r="T584" s="54"/>
      <c r="U584" s="54"/>
      <c r="V584" s="54"/>
      <c r="W584" s="54"/>
      <c r="X584" s="54"/>
    </row>
    <row r="585" spans="1:24">
      <c r="A585" s="52">
        <v>46358</v>
      </c>
      <c r="B585" s="53" t="s">
        <v>995</v>
      </c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>
        <f t="shared" si="9"/>
        <v>0</v>
      </c>
      <c r="N585" s="55"/>
      <c r="O585" s="54"/>
      <c r="P585" s="54"/>
      <c r="Q585" s="54"/>
      <c r="R585" s="54"/>
      <c r="S585" s="54"/>
      <c r="T585" s="54"/>
      <c r="U585" s="54"/>
      <c r="V585" s="54"/>
      <c r="W585" s="54"/>
      <c r="X585" s="54"/>
    </row>
    <row r="586" spans="1:24">
      <c r="A586" s="52">
        <v>46359</v>
      </c>
      <c r="B586" s="53" t="s">
        <v>995</v>
      </c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>
        <f t="shared" si="9"/>
        <v>0</v>
      </c>
      <c r="N586" s="55"/>
      <c r="O586" s="54"/>
      <c r="P586" s="54"/>
      <c r="Q586" s="54"/>
      <c r="R586" s="54"/>
      <c r="S586" s="54"/>
      <c r="T586" s="54"/>
      <c r="U586" s="54"/>
      <c r="V586" s="54"/>
      <c r="W586" s="54"/>
      <c r="X586" s="54"/>
    </row>
    <row r="587" spans="1:24">
      <c r="A587" s="52">
        <v>46360</v>
      </c>
      <c r="B587" s="53" t="s">
        <v>995</v>
      </c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>
        <f t="shared" si="9"/>
        <v>0</v>
      </c>
      <c r="N587" s="55"/>
      <c r="O587" s="54"/>
      <c r="P587" s="54"/>
      <c r="Q587" s="54"/>
      <c r="R587" s="54"/>
      <c r="S587" s="54"/>
      <c r="T587" s="54"/>
      <c r="U587" s="54"/>
      <c r="V587" s="54"/>
      <c r="W587" s="54"/>
      <c r="X587" s="54"/>
    </row>
    <row r="588" spans="1:24">
      <c r="A588" s="52">
        <v>46361</v>
      </c>
      <c r="B588" s="53" t="s">
        <v>995</v>
      </c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>
        <f t="shared" si="9"/>
        <v>0</v>
      </c>
      <c r="N588" s="55"/>
      <c r="O588" s="54"/>
      <c r="P588" s="54"/>
      <c r="Q588" s="54"/>
      <c r="R588" s="54"/>
      <c r="S588" s="54"/>
      <c r="T588" s="54"/>
      <c r="U588" s="54"/>
      <c r="V588" s="54"/>
      <c r="W588" s="54"/>
      <c r="X588" s="54"/>
    </row>
    <row r="589" spans="1:24">
      <c r="A589" s="52">
        <v>46362</v>
      </c>
      <c r="B589" s="53" t="s">
        <v>995</v>
      </c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>
        <f t="shared" si="9"/>
        <v>0</v>
      </c>
      <c r="N589" s="55"/>
      <c r="O589" s="54"/>
      <c r="P589" s="54"/>
      <c r="Q589" s="54"/>
      <c r="R589" s="54"/>
      <c r="S589" s="54"/>
      <c r="T589" s="54"/>
      <c r="U589" s="54"/>
      <c r="V589" s="54"/>
      <c r="W589" s="54"/>
      <c r="X589" s="54"/>
    </row>
    <row r="590" spans="1:24">
      <c r="A590" s="52">
        <v>46363</v>
      </c>
      <c r="B590" s="53" t="s">
        <v>995</v>
      </c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>
        <f t="shared" si="9"/>
        <v>0</v>
      </c>
      <c r="N590" s="55"/>
      <c r="O590" s="54"/>
      <c r="P590" s="54"/>
      <c r="Q590" s="54"/>
      <c r="R590" s="54"/>
      <c r="S590" s="54"/>
      <c r="T590" s="54"/>
      <c r="U590" s="54"/>
      <c r="V590" s="54"/>
      <c r="W590" s="54"/>
      <c r="X590" s="54"/>
    </row>
    <row r="591" spans="1:24">
      <c r="A591" s="52">
        <v>46364</v>
      </c>
      <c r="B591" s="53" t="s">
        <v>995</v>
      </c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>
        <f t="shared" si="9"/>
        <v>0</v>
      </c>
      <c r="N591" s="55"/>
      <c r="O591" s="54"/>
      <c r="P591" s="54"/>
      <c r="Q591" s="54"/>
      <c r="R591" s="54"/>
      <c r="S591" s="54"/>
      <c r="T591" s="54"/>
      <c r="U591" s="54"/>
      <c r="V591" s="54"/>
      <c r="W591" s="54"/>
      <c r="X591" s="54"/>
    </row>
    <row r="592" spans="1:24">
      <c r="A592" s="52">
        <v>46365</v>
      </c>
      <c r="B592" s="53" t="s">
        <v>995</v>
      </c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>
        <f t="shared" si="9"/>
        <v>0</v>
      </c>
      <c r="N592" s="55"/>
      <c r="O592" s="54"/>
      <c r="P592" s="54"/>
      <c r="Q592" s="54"/>
      <c r="R592" s="54"/>
      <c r="S592" s="54"/>
      <c r="T592" s="54"/>
      <c r="U592" s="54"/>
      <c r="V592" s="54"/>
      <c r="W592" s="54"/>
      <c r="X592" s="54"/>
    </row>
    <row r="593" spans="1:24">
      <c r="A593" s="52">
        <v>46366</v>
      </c>
      <c r="B593" s="53" t="s">
        <v>995</v>
      </c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>
        <f t="shared" si="9"/>
        <v>0</v>
      </c>
      <c r="N593" s="55"/>
      <c r="O593" s="54"/>
      <c r="P593" s="54"/>
      <c r="Q593" s="54"/>
      <c r="R593" s="54"/>
      <c r="S593" s="54"/>
      <c r="T593" s="54"/>
      <c r="U593" s="54"/>
      <c r="V593" s="54"/>
      <c r="W593" s="54"/>
      <c r="X593" s="54"/>
    </row>
    <row r="594" spans="1:24">
      <c r="A594" s="52">
        <v>46367</v>
      </c>
      <c r="B594" s="53" t="s">
        <v>995</v>
      </c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>
        <f t="shared" si="9"/>
        <v>0</v>
      </c>
      <c r="N594" s="55"/>
      <c r="O594" s="54"/>
      <c r="P594" s="54"/>
      <c r="Q594" s="54"/>
      <c r="R594" s="54"/>
      <c r="S594" s="54"/>
      <c r="T594" s="54"/>
      <c r="U594" s="54"/>
      <c r="V594" s="54"/>
      <c r="W594" s="54"/>
      <c r="X594" s="54"/>
    </row>
    <row r="595" spans="1:24">
      <c r="A595" s="52">
        <v>46368</v>
      </c>
      <c r="B595" s="53" t="s">
        <v>995</v>
      </c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>
        <f t="shared" si="9"/>
        <v>0</v>
      </c>
      <c r="N595" s="55"/>
      <c r="O595" s="54"/>
      <c r="P595" s="54"/>
      <c r="Q595" s="54"/>
      <c r="R595" s="54"/>
      <c r="S595" s="54"/>
      <c r="T595" s="54"/>
      <c r="U595" s="54"/>
      <c r="V595" s="54"/>
      <c r="W595" s="54"/>
      <c r="X595" s="54"/>
    </row>
    <row r="596" spans="1:24">
      <c r="A596" s="52">
        <v>46369</v>
      </c>
      <c r="B596" s="53" t="s">
        <v>995</v>
      </c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>
        <f t="shared" si="9"/>
        <v>0</v>
      </c>
      <c r="N596" s="55"/>
      <c r="O596" s="54"/>
      <c r="P596" s="54"/>
      <c r="Q596" s="54"/>
      <c r="R596" s="54"/>
      <c r="S596" s="54"/>
      <c r="T596" s="54"/>
      <c r="U596" s="54"/>
      <c r="V596" s="54"/>
      <c r="W596" s="54"/>
      <c r="X596" s="54"/>
    </row>
    <row r="597" spans="1:24">
      <c r="A597" s="52">
        <v>46370</v>
      </c>
      <c r="B597" s="53" t="s">
        <v>995</v>
      </c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>
        <f t="shared" si="9"/>
        <v>0</v>
      </c>
      <c r="N597" s="55"/>
      <c r="O597" s="54"/>
      <c r="P597" s="54"/>
      <c r="Q597" s="54"/>
      <c r="R597" s="54"/>
      <c r="S597" s="54"/>
      <c r="T597" s="54"/>
      <c r="U597" s="54"/>
      <c r="V597" s="54"/>
      <c r="W597" s="54"/>
      <c r="X597" s="54"/>
    </row>
    <row r="598" spans="1:24">
      <c r="A598" s="52">
        <v>46371</v>
      </c>
      <c r="B598" s="53" t="s">
        <v>995</v>
      </c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>
        <f t="shared" si="9"/>
        <v>0</v>
      </c>
      <c r="N598" s="55"/>
      <c r="O598" s="54"/>
      <c r="P598" s="54"/>
      <c r="Q598" s="54"/>
      <c r="R598" s="54"/>
      <c r="S598" s="54"/>
      <c r="T598" s="54"/>
      <c r="U598" s="54"/>
      <c r="V598" s="54"/>
      <c r="W598" s="54"/>
      <c r="X598" s="54"/>
    </row>
    <row r="599" spans="1:24">
      <c r="A599" s="52">
        <v>46372</v>
      </c>
      <c r="B599" s="53" t="s">
        <v>995</v>
      </c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>
        <f t="shared" si="9"/>
        <v>0</v>
      </c>
      <c r="N599" s="55"/>
      <c r="O599" s="54"/>
      <c r="P599" s="54"/>
      <c r="Q599" s="54"/>
      <c r="R599" s="54"/>
      <c r="S599" s="54"/>
      <c r="T599" s="54"/>
      <c r="U599" s="54"/>
      <c r="V599" s="54"/>
      <c r="W599" s="54"/>
      <c r="X599" s="54"/>
    </row>
    <row r="600" spans="1:24">
      <c r="A600" s="52">
        <v>46373</v>
      </c>
      <c r="B600" s="53" t="s">
        <v>995</v>
      </c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>
        <f t="shared" si="9"/>
        <v>0</v>
      </c>
      <c r="N600" s="55"/>
      <c r="O600" s="54"/>
      <c r="P600" s="54"/>
      <c r="Q600" s="54"/>
      <c r="R600" s="54"/>
      <c r="S600" s="54"/>
      <c r="T600" s="54"/>
      <c r="U600" s="54"/>
      <c r="V600" s="54"/>
      <c r="W600" s="54"/>
      <c r="X600" s="54"/>
    </row>
    <row r="601" spans="1:24">
      <c r="A601" s="52">
        <v>46374</v>
      </c>
      <c r="B601" s="53" t="s">
        <v>995</v>
      </c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>
        <f t="shared" si="9"/>
        <v>0</v>
      </c>
      <c r="N601" s="55"/>
      <c r="O601" s="54"/>
      <c r="P601" s="54"/>
      <c r="Q601" s="54"/>
      <c r="R601" s="54"/>
      <c r="S601" s="54"/>
      <c r="T601" s="54"/>
      <c r="U601" s="54"/>
      <c r="V601" s="54"/>
      <c r="W601" s="54"/>
      <c r="X601" s="54"/>
    </row>
    <row r="602" spans="1:24">
      <c r="A602" s="52">
        <v>46375</v>
      </c>
      <c r="B602" s="53" t="s">
        <v>995</v>
      </c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>
        <f t="shared" si="9"/>
        <v>0</v>
      </c>
      <c r="N602" s="55"/>
      <c r="O602" s="54"/>
      <c r="P602" s="54"/>
      <c r="Q602" s="54"/>
      <c r="R602" s="54"/>
      <c r="S602" s="54"/>
      <c r="T602" s="54"/>
      <c r="U602" s="54"/>
      <c r="V602" s="54"/>
      <c r="W602" s="54"/>
      <c r="X602" s="54"/>
    </row>
    <row r="603" spans="1:24">
      <c r="A603" s="52">
        <v>46376</v>
      </c>
      <c r="B603" s="53" t="s">
        <v>995</v>
      </c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>
        <f t="shared" si="9"/>
        <v>0</v>
      </c>
      <c r="N603" s="55"/>
      <c r="O603" s="54"/>
      <c r="P603" s="54"/>
      <c r="Q603" s="54"/>
      <c r="R603" s="54"/>
      <c r="S603" s="54"/>
      <c r="T603" s="54"/>
      <c r="U603" s="54"/>
      <c r="V603" s="54"/>
      <c r="W603" s="54"/>
      <c r="X603" s="54"/>
    </row>
    <row r="604" spans="1:24">
      <c r="A604" s="52">
        <v>46377</v>
      </c>
      <c r="B604" s="53" t="s">
        <v>995</v>
      </c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>
        <f t="shared" si="9"/>
        <v>0</v>
      </c>
      <c r="N604" s="55"/>
      <c r="O604" s="54"/>
      <c r="P604" s="54"/>
      <c r="Q604" s="54"/>
      <c r="R604" s="54"/>
      <c r="S604" s="54"/>
      <c r="T604" s="54"/>
      <c r="U604" s="54"/>
      <c r="V604" s="54"/>
      <c r="W604" s="54"/>
      <c r="X604" s="54"/>
    </row>
    <row r="605" spans="1:24">
      <c r="A605" s="52">
        <v>46378</v>
      </c>
      <c r="B605" s="53" t="s">
        <v>995</v>
      </c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>
        <f t="shared" si="9"/>
        <v>0</v>
      </c>
      <c r="N605" s="55"/>
      <c r="O605" s="54"/>
      <c r="P605" s="54"/>
      <c r="Q605" s="54"/>
      <c r="R605" s="54"/>
      <c r="S605" s="54"/>
      <c r="T605" s="54"/>
      <c r="U605" s="54"/>
      <c r="V605" s="54"/>
      <c r="W605" s="54"/>
      <c r="X605" s="54"/>
    </row>
    <row r="606" spans="1:24">
      <c r="A606" s="52">
        <v>46379</v>
      </c>
      <c r="B606" s="53" t="s">
        <v>995</v>
      </c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>
        <f t="shared" si="9"/>
        <v>0</v>
      </c>
      <c r="N606" s="55"/>
      <c r="O606" s="54"/>
      <c r="P606" s="54"/>
      <c r="Q606" s="54"/>
      <c r="R606" s="54"/>
      <c r="S606" s="54"/>
      <c r="T606" s="54"/>
      <c r="U606" s="54"/>
      <c r="V606" s="54"/>
      <c r="W606" s="54"/>
      <c r="X606" s="54"/>
    </row>
    <row r="607" spans="1:24">
      <c r="A607" s="52">
        <v>46380</v>
      </c>
      <c r="B607" s="53" t="s">
        <v>995</v>
      </c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>
        <f t="shared" si="9"/>
        <v>0</v>
      </c>
      <c r="N607" s="55"/>
      <c r="O607" s="54"/>
      <c r="P607" s="54"/>
      <c r="Q607" s="54"/>
      <c r="R607" s="54"/>
      <c r="S607" s="54"/>
      <c r="T607" s="54"/>
      <c r="U607" s="54"/>
      <c r="V607" s="54"/>
      <c r="W607" s="54"/>
      <c r="X607" s="54"/>
    </row>
    <row r="608" spans="1:24">
      <c r="A608" s="52">
        <v>46381</v>
      </c>
      <c r="B608" s="53" t="s">
        <v>995</v>
      </c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>
        <f t="shared" si="9"/>
        <v>0</v>
      </c>
      <c r="N608" s="55"/>
      <c r="O608" s="54"/>
      <c r="P608" s="54"/>
      <c r="Q608" s="54"/>
      <c r="R608" s="54"/>
      <c r="S608" s="54"/>
      <c r="T608" s="54"/>
      <c r="U608" s="54"/>
      <c r="V608" s="54"/>
      <c r="W608" s="54"/>
      <c r="X608" s="54"/>
    </row>
    <row r="609" spans="1:24">
      <c r="A609" s="52">
        <v>46382</v>
      </c>
      <c r="B609" s="53" t="s">
        <v>995</v>
      </c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>
        <f t="shared" si="9"/>
        <v>0</v>
      </c>
      <c r="N609" s="55"/>
      <c r="O609" s="54"/>
      <c r="P609" s="54"/>
      <c r="Q609" s="54"/>
      <c r="R609" s="54"/>
      <c r="S609" s="54"/>
      <c r="T609" s="54"/>
      <c r="U609" s="54"/>
      <c r="V609" s="54"/>
      <c r="W609" s="54"/>
      <c r="X609" s="54"/>
    </row>
    <row r="610" spans="1:24">
      <c r="A610" s="52">
        <v>46383</v>
      </c>
      <c r="B610" s="53" t="s">
        <v>995</v>
      </c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>
        <f t="shared" si="9"/>
        <v>0</v>
      </c>
      <c r="N610" s="55"/>
      <c r="O610" s="54"/>
      <c r="P610" s="54"/>
      <c r="Q610" s="54"/>
      <c r="R610" s="54"/>
      <c r="S610" s="54"/>
      <c r="T610" s="54"/>
      <c r="U610" s="54"/>
      <c r="V610" s="54"/>
      <c r="W610" s="54"/>
      <c r="X610" s="54"/>
    </row>
    <row r="611" spans="1:24">
      <c r="A611" s="52">
        <v>46384</v>
      </c>
      <c r="B611" s="53" t="s">
        <v>995</v>
      </c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>
        <f t="shared" si="9"/>
        <v>0</v>
      </c>
      <c r="N611" s="55"/>
      <c r="O611" s="54"/>
      <c r="P611" s="54"/>
      <c r="Q611" s="54"/>
      <c r="R611" s="54"/>
      <c r="S611" s="54"/>
      <c r="T611" s="54"/>
      <c r="U611" s="54"/>
      <c r="V611" s="54"/>
      <c r="W611" s="54"/>
      <c r="X611" s="54"/>
    </row>
    <row r="612" spans="1:24">
      <c r="A612" s="52">
        <v>46385</v>
      </c>
      <c r="B612" s="53" t="s">
        <v>995</v>
      </c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>
        <f t="shared" si="9"/>
        <v>0</v>
      </c>
      <c r="N612" s="55"/>
      <c r="O612" s="54"/>
      <c r="P612" s="54"/>
      <c r="Q612" s="54"/>
      <c r="R612" s="54"/>
      <c r="S612" s="54"/>
      <c r="T612" s="54"/>
      <c r="U612" s="54"/>
      <c r="V612" s="54"/>
      <c r="W612" s="54"/>
      <c r="X612" s="54"/>
    </row>
    <row r="613" spans="1:24">
      <c r="A613" s="52">
        <v>46386</v>
      </c>
      <c r="B613" s="53" t="s">
        <v>995</v>
      </c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>
        <f t="shared" si="9"/>
        <v>0</v>
      </c>
      <c r="N613" s="55"/>
      <c r="O613" s="54"/>
      <c r="P613" s="54"/>
      <c r="Q613" s="54"/>
      <c r="R613" s="54"/>
      <c r="S613" s="54"/>
      <c r="T613" s="54"/>
      <c r="U613" s="54"/>
      <c r="V613" s="54"/>
      <c r="W613" s="54"/>
      <c r="X613" s="54"/>
    </row>
    <row r="614" spans="1:24">
      <c r="A614" s="52">
        <v>46387</v>
      </c>
      <c r="B614" s="53" t="s">
        <v>995</v>
      </c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>
        <f t="shared" si="9"/>
        <v>0</v>
      </c>
      <c r="N614" s="55"/>
      <c r="O614" s="54"/>
      <c r="P614" s="54"/>
      <c r="Q614" s="54"/>
      <c r="R614" s="54"/>
      <c r="S614" s="54"/>
      <c r="T614" s="54"/>
      <c r="U614" s="54"/>
      <c r="V614" s="54"/>
      <c r="W614" s="54"/>
      <c r="X614" s="54"/>
    </row>
    <row r="615" spans="1:24">
      <c r="A615" s="52">
        <v>46082</v>
      </c>
      <c r="B615" s="53" t="s">
        <v>996</v>
      </c>
      <c r="C615" s="54">
        <v>361.3005</v>
      </c>
      <c r="D615" s="54">
        <v>361.3005</v>
      </c>
      <c r="E615" s="54">
        <v>295.60950000000003</v>
      </c>
      <c r="F615" s="54">
        <v>624.06450000000007</v>
      </c>
      <c r="G615" s="54">
        <v>361.3005</v>
      </c>
      <c r="H615" s="54">
        <v>426.99150000000003</v>
      </c>
      <c r="I615" s="54">
        <v>262.76400000000001</v>
      </c>
      <c r="J615" s="54">
        <v>131.38200000000001</v>
      </c>
      <c r="K615" s="54">
        <v>328.45500000000004</v>
      </c>
      <c r="L615" s="54">
        <v>131.38200000000001</v>
      </c>
      <c r="M615" s="54">
        <f t="shared" si="9"/>
        <v>770.44999999999982</v>
      </c>
      <c r="N615" s="55">
        <v>4055</v>
      </c>
      <c r="O615" s="54">
        <v>130</v>
      </c>
      <c r="P615" s="54">
        <v>2</v>
      </c>
      <c r="Q615" s="54">
        <v>955</v>
      </c>
      <c r="R615" s="54">
        <v>900</v>
      </c>
      <c r="S615" s="54">
        <v>500</v>
      </c>
      <c r="T615" s="54">
        <v>500</v>
      </c>
      <c r="U615" s="54">
        <v>0</v>
      </c>
      <c r="V615" s="54">
        <v>424</v>
      </c>
      <c r="W615" s="54">
        <v>644</v>
      </c>
      <c r="X615" s="54">
        <v>0</v>
      </c>
    </row>
    <row r="616" spans="1:24">
      <c r="A616" s="52">
        <v>46083</v>
      </c>
      <c r="B616" s="53" t="s">
        <v>336</v>
      </c>
      <c r="C616" s="54">
        <v>357.46920000000006</v>
      </c>
      <c r="D616" s="54">
        <v>357.46920000000006</v>
      </c>
      <c r="E616" s="54">
        <v>292.47480000000002</v>
      </c>
      <c r="F616" s="54">
        <v>617.44680000000005</v>
      </c>
      <c r="G616" s="54">
        <v>357.46920000000006</v>
      </c>
      <c r="H616" s="54">
        <v>422.46360000000004</v>
      </c>
      <c r="I616" s="54">
        <v>259.97760000000005</v>
      </c>
      <c r="J616" s="54">
        <v>129.98880000000003</v>
      </c>
      <c r="K616" s="54">
        <v>324.97200000000004</v>
      </c>
      <c r="L616" s="54">
        <v>129.98880000000003</v>
      </c>
      <c r="M616" s="54">
        <f t="shared" si="9"/>
        <v>762.27999999999929</v>
      </c>
      <c r="N616" s="55">
        <v>4012</v>
      </c>
      <c r="O616" s="54">
        <v>130</v>
      </c>
      <c r="P616" s="54">
        <v>2</v>
      </c>
      <c r="Q616" s="54">
        <v>738</v>
      </c>
      <c r="R616" s="54">
        <v>900</v>
      </c>
      <c r="S616" s="54">
        <v>450</v>
      </c>
      <c r="T616" s="54">
        <v>500</v>
      </c>
      <c r="U616" s="54">
        <v>0</v>
      </c>
      <c r="V616" s="54">
        <v>424</v>
      </c>
      <c r="W616" s="54">
        <v>768</v>
      </c>
      <c r="X616" s="54">
        <v>100</v>
      </c>
    </row>
    <row r="617" spans="1:24">
      <c r="A617" s="52">
        <v>46084</v>
      </c>
      <c r="B617" s="53" t="s">
        <v>336</v>
      </c>
      <c r="C617" s="54">
        <v>360.49860000000001</v>
      </c>
      <c r="D617" s="54">
        <v>360.49860000000001</v>
      </c>
      <c r="E617" s="54">
        <v>294.95339999999999</v>
      </c>
      <c r="F617" s="54">
        <v>622.6794000000001</v>
      </c>
      <c r="G617" s="54">
        <v>360.49860000000001</v>
      </c>
      <c r="H617" s="54">
        <v>426.04380000000003</v>
      </c>
      <c r="I617" s="54">
        <v>262.18080000000003</v>
      </c>
      <c r="J617" s="54">
        <v>131.09040000000002</v>
      </c>
      <c r="K617" s="54">
        <v>327.72600000000006</v>
      </c>
      <c r="L617" s="54">
        <v>131.09040000000002</v>
      </c>
      <c r="M617" s="54">
        <f t="shared" si="9"/>
        <v>768.73999999999978</v>
      </c>
      <c r="N617" s="55">
        <v>4046</v>
      </c>
      <c r="O617" s="54">
        <v>130</v>
      </c>
      <c r="P617" s="54">
        <v>2</v>
      </c>
      <c r="Q617" s="54">
        <v>738</v>
      </c>
      <c r="R617" s="54">
        <v>900</v>
      </c>
      <c r="S617" s="54">
        <v>450</v>
      </c>
      <c r="T617" s="54">
        <v>500</v>
      </c>
      <c r="U617" s="54">
        <v>0</v>
      </c>
      <c r="V617" s="54">
        <v>424</v>
      </c>
      <c r="W617" s="54">
        <v>802</v>
      </c>
      <c r="X617" s="54">
        <v>100</v>
      </c>
    </row>
    <row r="618" spans="1:24">
      <c r="A618" s="52">
        <v>46085</v>
      </c>
      <c r="B618" s="53" t="s">
        <v>336</v>
      </c>
      <c r="C618" s="54">
        <v>359.16210000000001</v>
      </c>
      <c r="D618" s="54">
        <v>359.16210000000001</v>
      </c>
      <c r="E618" s="54">
        <v>293.85989999999998</v>
      </c>
      <c r="F618" s="54">
        <v>620.37090000000001</v>
      </c>
      <c r="G618" s="54">
        <v>359.16210000000001</v>
      </c>
      <c r="H618" s="54">
        <v>424.46430000000004</v>
      </c>
      <c r="I618" s="54">
        <v>261.2088</v>
      </c>
      <c r="J618" s="54">
        <v>130.6044</v>
      </c>
      <c r="K618" s="54">
        <v>326.51100000000002</v>
      </c>
      <c r="L618" s="54">
        <v>130.6044</v>
      </c>
      <c r="M618" s="54">
        <f t="shared" si="9"/>
        <v>765.88999999999987</v>
      </c>
      <c r="N618" s="55">
        <v>4031</v>
      </c>
      <c r="O618" s="54">
        <v>130</v>
      </c>
      <c r="P618" s="54">
        <v>2</v>
      </c>
      <c r="Q618" s="54">
        <v>738</v>
      </c>
      <c r="R618" s="54">
        <v>900</v>
      </c>
      <c r="S618" s="54">
        <v>450</v>
      </c>
      <c r="T618" s="54">
        <v>500</v>
      </c>
      <c r="U618" s="54">
        <v>0</v>
      </c>
      <c r="V618" s="54">
        <v>424</v>
      </c>
      <c r="W618" s="54">
        <v>787</v>
      </c>
      <c r="X618" s="54">
        <v>100</v>
      </c>
    </row>
    <row r="619" spans="1:24">
      <c r="A619" s="52">
        <v>46086</v>
      </c>
      <c r="B619" s="53" t="s">
        <v>336</v>
      </c>
      <c r="C619" s="54">
        <v>366.91380000000004</v>
      </c>
      <c r="D619" s="54">
        <v>366.91380000000004</v>
      </c>
      <c r="E619" s="54">
        <v>300.2022</v>
      </c>
      <c r="F619" s="54">
        <v>633.76020000000005</v>
      </c>
      <c r="G619" s="54">
        <v>366.91380000000004</v>
      </c>
      <c r="H619" s="54">
        <v>433.62540000000007</v>
      </c>
      <c r="I619" s="54">
        <v>266.84640000000002</v>
      </c>
      <c r="J619" s="54">
        <v>133.42320000000001</v>
      </c>
      <c r="K619" s="54">
        <v>333.55800000000005</v>
      </c>
      <c r="L619" s="54">
        <v>133.42320000000001</v>
      </c>
      <c r="M619" s="54">
        <f t="shared" si="9"/>
        <v>782.41999999999962</v>
      </c>
      <c r="N619" s="55">
        <v>4118</v>
      </c>
      <c r="O619" s="54">
        <v>130</v>
      </c>
      <c r="P619" s="54">
        <v>2</v>
      </c>
      <c r="Q619" s="54">
        <v>738</v>
      </c>
      <c r="R619" s="54">
        <v>900</v>
      </c>
      <c r="S619" s="54">
        <v>450</v>
      </c>
      <c r="T619" s="54">
        <v>500</v>
      </c>
      <c r="U619" s="54">
        <v>0</v>
      </c>
      <c r="V619" s="54">
        <v>424</v>
      </c>
      <c r="W619" s="54">
        <v>874</v>
      </c>
      <c r="X619" s="54">
        <v>100</v>
      </c>
    </row>
    <row r="620" spans="1:24">
      <c r="A620" s="52">
        <v>46087</v>
      </c>
      <c r="B620" s="53" t="s">
        <v>336</v>
      </c>
      <c r="C620" s="54">
        <v>386.87220000000008</v>
      </c>
      <c r="D620" s="54">
        <v>386.87220000000008</v>
      </c>
      <c r="E620" s="54">
        <v>316.53180000000003</v>
      </c>
      <c r="F620" s="54">
        <v>668.23380000000009</v>
      </c>
      <c r="G620" s="54">
        <v>386.87220000000008</v>
      </c>
      <c r="H620" s="54">
        <v>457.21260000000007</v>
      </c>
      <c r="I620" s="54">
        <v>281.36160000000007</v>
      </c>
      <c r="J620" s="54">
        <v>140.68080000000003</v>
      </c>
      <c r="K620" s="54">
        <v>351.70200000000006</v>
      </c>
      <c r="L620" s="54">
        <v>140.68080000000003</v>
      </c>
      <c r="M620" s="54">
        <f t="shared" si="9"/>
        <v>824.97999999999865</v>
      </c>
      <c r="N620" s="55">
        <v>4342</v>
      </c>
      <c r="O620" s="54">
        <v>130</v>
      </c>
      <c r="P620" s="54">
        <v>2</v>
      </c>
      <c r="Q620" s="54">
        <v>738</v>
      </c>
      <c r="R620" s="54">
        <v>900</v>
      </c>
      <c r="S620" s="54">
        <v>450</v>
      </c>
      <c r="T620" s="54">
        <v>500</v>
      </c>
      <c r="U620" s="54">
        <v>245</v>
      </c>
      <c r="V620" s="54">
        <v>424</v>
      </c>
      <c r="W620" s="54">
        <v>851</v>
      </c>
      <c r="X620" s="54">
        <v>102</v>
      </c>
    </row>
    <row r="621" spans="1:24">
      <c r="A621" s="52">
        <v>46088</v>
      </c>
      <c r="B621" s="53" t="s">
        <v>336</v>
      </c>
      <c r="C621" s="54">
        <v>417.34440000000006</v>
      </c>
      <c r="D621" s="54">
        <v>417.34440000000006</v>
      </c>
      <c r="E621" s="54">
        <v>341.46360000000004</v>
      </c>
      <c r="F621" s="54">
        <v>720.86760000000004</v>
      </c>
      <c r="G621" s="54">
        <v>417.34440000000006</v>
      </c>
      <c r="H621" s="54">
        <v>493.22520000000009</v>
      </c>
      <c r="I621" s="54">
        <v>303.52320000000003</v>
      </c>
      <c r="J621" s="54">
        <v>151.76160000000002</v>
      </c>
      <c r="K621" s="54">
        <v>379.40400000000005</v>
      </c>
      <c r="L621" s="54">
        <v>151.76160000000002</v>
      </c>
      <c r="M621" s="54">
        <f t="shared" si="9"/>
        <v>889.96</v>
      </c>
      <c r="N621" s="55">
        <v>4684</v>
      </c>
      <c r="O621" s="54">
        <v>130</v>
      </c>
      <c r="P621" s="54">
        <v>2</v>
      </c>
      <c r="Q621" s="54">
        <v>959</v>
      </c>
      <c r="R621" s="54">
        <v>900</v>
      </c>
      <c r="S621" s="54">
        <v>500</v>
      </c>
      <c r="T621" s="54">
        <v>600</v>
      </c>
      <c r="U621" s="54">
        <v>245</v>
      </c>
      <c r="V621" s="54">
        <v>424</v>
      </c>
      <c r="W621" s="54">
        <v>924</v>
      </c>
      <c r="X621" s="54">
        <v>0</v>
      </c>
    </row>
    <row r="622" spans="1:24">
      <c r="A622" s="52">
        <v>46089</v>
      </c>
      <c r="B622" s="53" t="s">
        <v>336</v>
      </c>
      <c r="C622" s="54">
        <v>432.13500000000005</v>
      </c>
      <c r="D622" s="54">
        <v>432.13500000000005</v>
      </c>
      <c r="E622" s="54">
        <v>353.56500000000005</v>
      </c>
      <c r="F622" s="54">
        <v>746.41500000000008</v>
      </c>
      <c r="G622" s="54">
        <v>432.13500000000005</v>
      </c>
      <c r="H622" s="54">
        <v>510.7050000000001</v>
      </c>
      <c r="I622" s="54">
        <v>314.28000000000003</v>
      </c>
      <c r="J622" s="54">
        <v>157.14000000000001</v>
      </c>
      <c r="K622" s="54">
        <v>392.85000000000008</v>
      </c>
      <c r="L622" s="54">
        <v>157.14000000000001</v>
      </c>
      <c r="M622" s="54">
        <f t="shared" si="9"/>
        <v>921.5</v>
      </c>
      <c r="N622" s="55">
        <v>4850</v>
      </c>
      <c r="O622" s="54">
        <v>130</v>
      </c>
      <c r="P622" s="54">
        <v>2</v>
      </c>
      <c r="Q622" s="54">
        <v>959</v>
      </c>
      <c r="R622" s="54">
        <v>1025</v>
      </c>
      <c r="S622" s="54">
        <v>500</v>
      </c>
      <c r="T622" s="54">
        <v>600</v>
      </c>
      <c r="U622" s="54">
        <v>245</v>
      </c>
      <c r="V622" s="54">
        <v>424</v>
      </c>
      <c r="W622" s="54">
        <v>965</v>
      </c>
      <c r="X622" s="54">
        <v>0</v>
      </c>
    </row>
    <row r="623" spans="1:24">
      <c r="A623" s="52">
        <v>46090</v>
      </c>
      <c r="B623" s="53" t="s">
        <v>336</v>
      </c>
      <c r="C623" s="54">
        <v>408.79080000000005</v>
      </c>
      <c r="D623" s="54">
        <v>408.79080000000005</v>
      </c>
      <c r="E623" s="54">
        <v>334.46519999999998</v>
      </c>
      <c r="F623" s="54">
        <v>706.09320000000002</v>
      </c>
      <c r="G623" s="54">
        <v>408.79080000000005</v>
      </c>
      <c r="H623" s="54">
        <v>483.11640000000006</v>
      </c>
      <c r="I623" s="54">
        <v>297.30240000000003</v>
      </c>
      <c r="J623" s="54">
        <v>148.65120000000002</v>
      </c>
      <c r="K623" s="54">
        <v>371.62800000000004</v>
      </c>
      <c r="L623" s="54">
        <v>148.65120000000002</v>
      </c>
      <c r="M623" s="54">
        <f t="shared" si="9"/>
        <v>871.72000000000025</v>
      </c>
      <c r="N623" s="55">
        <v>4588</v>
      </c>
      <c r="O623" s="54">
        <v>130</v>
      </c>
      <c r="P623" s="54">
        <v>2</v>
      </c>
      <c r="Q623" s="54">
        <v>738</v>
      </c>
      <c r="R623" s="54">
        <v>1025</v>
      </c>
      <c r="S623" s="54">
        <v>450</v>
      </c>
      <c r="T623" s="54">
        <v>500</v>
      </c>
      <c r="U623" s="54">
        <v>245</v>
      </c>
      <c r="V623" s="54">
        <v>424</v>
      </c>
      <c r="W623" s="54">
        <v>972</v>
      </c>
      <c r="X623" s="54">
        <v>102</v>
      </c>
    </row>
    <row r="624" spans="1:24">
      <c r="A624" s="52">
        <v>46091</v>
      </c>
      <c r="B624" s="53" t="s">
        <v>336</v>
      </c>
      <c r="C624" s="54">
        <v>385.53570000000002</v>
      </c>
      <c r="D624" s="54">
        <v>385.53570000000002</v>
      </c>
      <c r="E624" s="54">
        <v>315.43830000000003</v>
      </c>
      <c r="F624" s="54">
        <v>665.92530000000011</v>
      </c>
      <c r="G624" s="54">
        <v>385.53570000000002</v>
      </c>
      <c r="H624" s="54">
        <v>455.63310000000007</v>
      </c>
      <c r="I624" s="54">
        <v>280.38960000000003</v>
      </c>
      <c r="J624" s="54">
        <v>140.19480000000001</v>
      </c>
      <c r="K624" s="54">
        <v>350.48700000000008</v>
      </c>
      <c r="L624" s="54">
        <v>140.19480000000001</v>
      </c>
      <c r="M624" s="54">
        <f t="shared" si="9"/>
        <v>822.1299999999992</v>
      </c>
      <c r="N624" s="55">
        <v>4327</v>
      </c>
      <c r="O624" s="54">
        <v>130</v>
      </c>
      <c r="P624" s="54">
        <v>2</v>
      </c>
      <c r="Q624" s="54">
        <v>738</v>
      </c>
      <c r="R624" s="54">
        <v>1025</v>
      </c>
      <c r="S624" s="54">
        <v>450</v>
      </c>
      <c r="T624" s="54">
        <v>500</v>
      </c>
      <c r="U624" s="54">
        <v>0</v>
      </c>
      <c r="V624" s="54">
        <v>424</v>
      </c>
      <c r="W624" s="54">
        <v>956</v>
      </c>
      <c r="X624" s="54">
        <v>102</v>
      </c>
    </row>
    <row r="625" spans="1:24">
      <c r="A625" s="52">
        <v>46092</v>
      </c>
      <c r="B625" s="53" t="s">
        <v>336</v>
      </c>
      <c r="C625" s="54">
        <v>427.41270000000003</v>
      </c>
      <c r="D625" s="54">
        <v>427.41270000000003</v>
      </c>
      <c r="E625" s="54">
        <v>349.7013</v>
      </c>
      <c r="F625" s="54">
        <v>738.25830000000008</v>
      </c>
      <c r="G625" s="54">
        <v>427.41270000000003</v>
      </c>
      <c r="H625" s="54">
        <v>505.12410000000006</v>
      </c>
      <c r="I625" s="54">
        <v>310.84560000000005</v>
      </c>
      <c r="J625" s="54">
        <v>155.42280000000002</v>
      </c>
      <c r="K625" s="54">
        <v>388.55700000000002</v>
      </c>
      <c r="L625" s="54">
        <v>155.42280000000002</v>
      </c>
      <c r="M625" s="54">
        <f t="shared" si="9"/>
        <v>911.42999999999984</v>
      </c>
      <c r="N625" s="55">
        <v>4797</v>
      </c>
      <c r="O625" s="54">
        <v>130</v>
      </c>
      <c r="P625" s="54">
        <v>2</v>
      </c>
      <c r="Q625" s="54">
        <v>812</v>
      </c>
      <c r="R625" s="54">
        <v>1025</v>
      </c>
      <c r="S625" s="54">
        <v>450</v>
      </c>
      <c r="T625" s="54">
        <v>500</v>
      </c>
      <c r="U625" s="54">
        <v>470</v>
      </c>
      <c r="V625" s="54">
        <v>424</v>
      </c>
      <c r="W625" s="54">
        <v>882</v>
      </c>
      <c r="X625" s="54">
        <v>102</v>
      </c>
    </row>
    <row r="626" spans="1:24">
      <c r="A626" s="52">
        <v>46093</v>
      </c>
      <c r="B626" s="53" t="s">
        <v>336</v>
      </c>
      <c r="C626" s="54">
        <v>424.6506</v>
      </c>
      <c r="D626" s="54">
        <v>424.6506</v>
      </c>
      <c r="E626" s="54">
        <v>347.44139999999999</v>
      </c>
      <c r="F626" s="54">
        <v>733.48739999999998</v>
      </c>
      <c r="G626" s="54">
        <v>424.6506</v>
      </c>
      <c r="H626" s="54">
        <v>501.85980000000001</v>
      </c>
      <c r="I626" s="54">
        <v>308.83679999999998</v>
      </c>
      <c r="J626" s="54">
        <v>154.41839999999999</v>
      </c>
      <c r="K626" s="54">
        <v>386.04600000000005</v>
      </c>
      <c r="L626" s="54">
        <v>154.41839999999999</v>
      </c>
      <c r="M626" s="54">
        <f t="shared" si="9"/>
        <v>905.53999999999951</v>
      </c>
      <c r="N626" s="55">
        <v>4766</v>
      </c>
      <c r="O626" s="54">
        <v>130</v>
      </c>
      <c r="P626" s="54">
        <v>2</v>
      </c>
      <c r="Q626" s="54">
        <v>812</v>
      </c>
      <c r="R626" s="54">
        <v>1025</v>
      </c>
      <c r="S626" s="54">
        <v>450</v>
      </c>
      <c r="T626" s="54">
        <v>500</v>
      </c>
      <c r="U626" s="54">
        <v>470</v>
      </c>
      <c r="V626" s="54">
        <v>424</v>
      </c>
      <c r="W626" s="54">
        <v>851</v>
      </c>
      <c r="X626" s="54">
        <v>102</v>
      </c>
    </row>
    <row r="627" spans="1:24">
      <c r="A627" s="52">
        <v>46094</v>
      </c>
      <c r="B627" s="53" t="s">
        <v>336</v>
      </c>
      <c r="C627" s="54">
        <v>434.89710000000002</v>
      </c>
      <c r="D627" s="54">
        <v>434.89710000000002</v>
      </c>
      <c r="E627" s="54">
        <v>355.82490000000001</v>
      </c>
      <c r="F627" s="54">
        <v>751.18590000000006</v>
      </c>
      <c r="G627" s="54">
        <v>434.89710000000002</v>
      </c>
      <c r="H627" s="54">
        <v>513.96930000000009</v>
      </c>
      <c r="I627" s="54">
        <v>316.28880000000004</v>
      </c>
      <c r="J627" s="54">
        <v>158.14440000000002</v>
      </c>
      <c r="K627" s="54">
        <v>395.36100000000005</v>
      </c>
      <c r="L627" s="54">
        <v>158.14440000000002</v>
      </c>
      <c r="M627" s="54">
        <f t="shared" si="9"/>
        <v>927.38999999999942</v>
      </c>
      <c r="N627" s="55">
        <v>4881</v>
      </c>
      <c r="O627" s="54">
        <v>130</v>
      </c>
      <c r="P627" s="54">
        <v>2</v>
      </c>
      <c r="Q627" s="54">
        <v>812</v>
      </c>
      <c r="R627" s="54">
        <v>1025</v>
      </c>
      <c r="S627" s="54">
        <v>450</v>
      </c>
      <c r="T627" s="54">
        <v>500</v>
      </c>
      <c r="U627" s="54">
        <v>470</v>
      </c>
      <c r="V627" s="54">
        <v>424</v>
      </c>
      <c r="W627" s="54">
        <v>966</v>
      </c>
      <c r="X627" s="54">
        <v>102</v>
      </c>
    </row>
    <row r="628" spans="1:24">
      <c r="A628" s="52">
        <v>46095</v>
      </c>
      <c r="B628" s="53" t="s">
        <v>336</v>
      </c>
      <c r="C628" s="54">
        <v>543.06450000000007</v>
      </c>
      <c r="D628" s="54">
        <v>543.06450000000007</v>
      </c>
      <c r="E628" s="54">
        <v>444.32550000000003</v>
      </c>
      <c r="F628" s="54">
        <v>938.0205000000002</v>
      </c>
      <c r="G628" s="54">
        <v>543.06450000000007</v>
      </c>
      <c r="H628" s="54">
        <v>641.8035000000001</v>
      </c>
      <c r="I628" s="54">
        <v>394.95600000000007</v>
      </c>
      <c r="J628" s="54">
        <v>197.47800000000004</v>
      </c>
      <c r="K628" s="54">
        <v>493.69500000000011</v>
      </c>
      <c r="L628" s="54">
        <v>197.47800000000004</v>
      </c>
      <c r="M628" s="54">
        <f t="shared" si="9"/>
        <v>1158.0500000000002</v>
      </c>
      <c r="N628" s="55">
        <v>6095</v>
      </c>
      <c r="O628" s="54">
        <v>130</v>
      </c>
      <c r="P628" s="54">
        <v>2</v>
      </c>
      <c r="Q628" s="54">
        <v>1055</v>
      </c>
      <c r="R628" s="54">
        <v>1901</v>
      </c>
      <c r="S628" s="54">
        <v>500</v>
      </c>
      <c r="T628" s="54">
        <v>600</v>
      </c>
      <c r="U628" s="54">
        <v>470</v>
      </c>
      <c r="V628" s="54">
        <v>424</v>
      </c>
      <c r="W628" s="54">
        <v>1013</v>
      </c>
      <c r="X628" s="54">
        <v>0</v>
      </c>
    </row>
    <row r="629" spans="1:24">
      <c r="A629" s="52">
        <v>46096</v>
      </c>
      <c r="B629" s="53" t="s">
        <v>336</v>
      </c>
      <c r="C629" s="54">
        <v>459.48869999999999</v>
      </c>
      <c r="D629" s="54">
        <v>459.48869999999999</v>
      </c>
      <c r="E629" s="54">
        <v>375.94529999999997</v>
      </c>
      <c r="F629" s="54">
        <v>793.66230000000007</v>
      </c>
      <c r="G629" s="54">
        <v>459.48869999999999</v>
      </c>
      <c r="H629" s="54">
        <v>543.03210000000001</v>
      </c>
      <c r="I629" s="54">
        <v>334.17360000000002</v>
      </c>
      <c r="J629" s="54">
        <v>167.08680000000001</v>
      </c>
      <c r="K629" s="54">
        <v>417.71700000000004</v>
      </c>
      <c r="L629" s="54">
        <v>167.08680000000001</v>
      </c>
      <c r="M629" s="54">
        <f t="shared" si="9"/>
        <v>979.82999999999993</v>
      </c>
      <c r="N629" s="55">
        <v>5157</v>
      </c>
      <c r="O629" s="54">
        <v>130</v>
      </c>
      <c r="P629" s="54">
        <v>2</v>
      </c>
      <c r="Q629" s="54">
        <v>1055</v>
      </c>
      <c r="R629" s="54">
        <v>1025</v>
      </c>
      <c r="S629" s="54">
        <v>500</v>
      </c>
      <c r="T629" s="54">
        <v>400</v>
      </c>
      <c r="U629" s="54">
        <v>470</v>
      </c>
      <c r="V629" s="54">
        <v>424</v>
      </c>
      <c r="W629" s="54">
        <v>1151</v>
      </c>
      <c r="X629" s="54">
        <v>0</v>
      </c>
    </row>
    <row r="630" spans="1:24">
      <c r="A630" s="52">
        <v>46097</v>
      </c>
      <c r="B630" s="53" t="s">
        <v>336</v>
      </c>
      <c r="C630" s="54">
        <v>446.21280000000007</v>
      </c>
      <c r="D630" s="54">
        <v>446.21280000000007</v>
      </c>
      <c r="E630" s="54">
        <v>365.08320000000003</v>
      </c>
      <c r="F630" s="54">
        <v>770.73120000000006</v>
      </c>
      <c r="G630" s="54">
        <v>446.21280000000007</v>
      </c>
      <c r="H630" s="54">
        <v>527.34240000000011</v>
      </c>
      <c r="I630" s="54">
        <v>324.51840000000004</v>
      </c>
      <c r="J630" s="54">
        <v>162.25920000000002</v>
      </c>
      <c r="K630" s="54">
        <v>405.64800000000008</v>
      </c>
      <c r="L630" s="54">
        <v>162.25920000000002</v>
      </c>
      <c r="M630" s="54">
        <f t="shared" si="9"/>
        <v>951.51999999999953</v>
      </c>
      <c r="N630" s="55">
        <v>5008</v>
      </c>
      <c r="O630" s="54">
        <v>130</v>
      </c>
      <c r="P630" s="54">
        <v>2</v>
      </c>
      <c r="Q630" s="54">
        <v>812</v>
      </c>
      <c r="R630" s="54">
        <v>1025</v>
      </c>
      <c r="S630" s="54">
        <v>450</v>
      </c>
      <c r="T630" s="54">
        <v>400</v>
      </c>
      <c r="U630" s="54">
        <v>470</v>
      </c>
      <c r="V630" s="54">
        <v>424</v>
      </c>
      <c r="W630" s="54">
        <v>1193</v>
      </c>
      <c r="X630" s="54">
        <v>102</v>
      </c>
    </row>
    <row r="631" spans="1:24">
      <c r="A631" s="52">
        <v>46098</v>
      </c>
      <c r="B631" s="53" t="s">
        <v>336</v>
      </c>
      <c r="C631" s="54">
        <v>396.04950000000002</v>
      </c>
      <c r="D631" s="54">
        <v>396.04950000000002</v>
      </c>
      <c r="E631" s="54">
        <v>324.04050000000001</v>
      </c>
      <c r="F631" s="54">
        <v>684.08550000000002</v>
      </c>
      <c r="G631" s="54">
        <v>396.04950000000002</v>
      </c>
      <c r="H631" s="54">
        <v>468.05850000000004</v>
      </c>
      <c r="I631" s="54">
        <v>288.036</v>
      </c>
      <c r="J631" s="54">
        <v>144.018</v>
      </c>
      <c r="K631" s="54">
        <v>360.04500000000007</v>
      </c>
      <c r="L631" s="54">
        <v>144.018</v>
      </c>
      <c r="M631" s="54">
        <f t="shared" si="9"/>
        <v>844.54999999999973</v>
      </c>
      <c r="N631" s="55">
        <v>4445</v>
      </c>
      <c r="O631" s="54">
        <v>130</v>
      </c>
      <c r="P631" s="54">
        <v>2</v>
      </c>
      <c r="Q631" s="54">
        <v>812</v>
      </c>
      <c r="R631" s="54">
        <v>1025</v>
      </c>
      <c r="S631" s="54">
        <v>450</v>
      </c>
      <c r="T631" s="54">
        <v>400</v>
      </c>
      <c r="U631" s="54">
        <v>0</v>
      </c>
      <c r="V631" s="54">
        <v>424</v>
      </c>
      <c r="W631" s="54">
        <v>1100</v>
      </c>
      <c r="X631" s="54">
        <v>102</v>
      </c>
    </row>
    <row r="632" spans="1:24">
      <c r="A632" s="52">
        <v>46099</v>
      </c>
      <c r="B632" s="53" t="s">
        <v>336</v>
      </c>
      <c r="C632" s="54">
        <v>395.96040000000005</v>
      </c>
      <c r="D632" s="54">
        <v>395.96040000000005</v>
      </c>
      <c r="E632" s="54">
        <v>323.9676</v>
      </c>
      <c r="F632" s="54">
        <v>683.93160000000012</v>
      </c>
      <c r="G632" s="54">
        <v>395.96040000000005</v>
      </c>
      <c r="H632" s="54">
        <v>467.95320000000004</v>
      </c>
      <c r="I632" s="54">
        <v>287.97120000000001</v>
      </c>
      <c r="J632" s="54">
        <v>143.98560000000001</v>
      </c>
      <c r="K632" s="54">
        <v>359.96400000000006</v>
      </c>
      <c r="L632" s="54">
        <v>143.98560000000001</v>
      </c>
      <c r="M632" s="54">
        <f t="shared" si="9"/>
        <v>844.36000000000013</v>
      </c>
      <c r="N632" s="55">
        <v>4444</v>
      </c>
      <c r="O632" s="54">
        <v>131</v>
      </c>
      <c r="P632" s="54">
        <v>2</v>
      </c>
      <c r="Q632" s="54">
        <v>812</v>
      </c>
      <c r="R632" s="54">
        <v>1025</v>
      </c>
      <c r="S632" s="54">
        <v>450</v>
      </c>
      <c r="T632" s="54">
        <v>400</v>
      </c>
      <c r="U632" s="54">
        <v>0</v>
      </c>
      <c r="V632" s="54">
        <v>424</v>
      </c>
      <c r="W632" s="54">
        <v>1098</v>
      </c>
      <c r="X632" s="54">
        <v>102</v>
      </c>
    </row>
    <row r="633" spans="1:24">
      <c r="A633" s="52">
        <v>46100</v>
      </c>
      <c r="B633" s="53" t="s">
        <v>336</v>
      </c>
      <c r="C633" s="54">
        <v>401.12820000000005</v>
      </c>
      <c r="D633" s="54">
        <v>401.12820000000005</v>
      </c>
      <c r="E633" s="54">
        <v>328.19580000000002</v>
      </c>
      <c r="F633" s="54">
        <v>692.85780000000011</v>
      </c>
      <c r="G633" s="54">
        <v>401.12820000000005</v>
      </c>
      <c r="H633" s="54">
        <v>474.06060000000008</v>
      </c>
      <c r="I633" s="54">
        <v>291.72960000000006</v>
      </c>
      <c r="J633" s="54">
        <v>145.86480000000003</v>
      </c>
      <c r="K633" s="54">
        <v>364.66200000000003</v>
      </c>
      <c r="L633" s="54">
        <v>145.86480000000003</v>
      </c>
      <c r="M633" s="54">
        <f t="shared" si="9"/>
        <v>855.37999999999965</v>
      </c>
      <c r="N633" s="55">
        <v>4502</v>
      </c>
      <c r="O633" s="54">
        <v>131</v>
      </c>
      <c r="P633" s="54">
        <v>2</v>
      </c>
      <c r="Q633" s="54">
        <v>812</v>
      </c>
      <c r="R633" s="54">
        <v>1025</v>
      </c>
      <c r="S633" s="54">
        <v>450</v>
      </c>
      <c r="T633" s="54">
        <v>400</v>
      </c>
      <c r="U633" s="54">
        <v>0</v>
      </c>
      <c r="V633" s="54">
        <v>424</v>
      </c>
      <c r="W633" s="54">
        <v>1156</v>
      </c>
      <c r="X633" s="54">
        <v>102</v>
      </c>
    </row>
    <row r="634" spans="1:24">
      <c r="A634" s="52">
        <v>46101</v>
      </c>
      <c r="B634" s="53" t="s">
        <v>336</v>
      </c>
      <c r="C634" s="54">
        <v>378.3186</v>
      </c>
      <c r="D634" s="54">
        <v>378.3186</v>
      </c>
      <c r="E634" s="54">
        <v>309.53340000000003</v>
      </c>
      <c r="F634" s="54">
        <v>653.45940000000007</v>
      </c>
      <c r="G634" s="54">
        <v>378.3186</v>
      </c>
      <c r="H634" s="54">
        <v>447.10380000000004</v>
      </c>
      <c r="I634" s="54">
        <v>275.14080000000001</v>
      </c>
      <c r="J634" s="54">
        <v>137.57040000000001</v>
      </c>
      <c r="K634" s="54">
        <v>343.92600000000004</v>
      </c>
      <c r="L634" s="54">
        <v>137.57040000000001</v>
      </c>
      <c r="M634" s="54">
        <f t="shared" si="9"/>
        <v>806.73999999999978</v>
      </c>
      <c r="N634" s="55">
        <v>4246</v>
      </c>
      <c r="O634" s="54">
        <v>131</v>
      </c>
      <c r="P634" s="54">
        <v>2</v>
      </c>
      <c r="Q634" s="54">
        <v>812</v>
      </c>
      <c r="R634" s="54">
        <v>1025</v>
      </c>
      <c r="S634" s="54">
        <v>450</v>
      </c>
      <c r="T634" s="54">
        <v>200</v>
      </c>
      <c r="U634" s="54">
        <v>0</v>
      </c>
      <c r="V634" s="54">
        <v>424</v>
      </c>
      <c r="W634" s="54">
        <v>1100</v>
      </c>
      <c r="X634" s="54">
        <v>102</v>
      </c>
    </row>
    <row r="635" spans="1:24">
      <c r="A635" s="52">
        <v>46102</v>
      </c>
      <c r="B635" s="53" t="s">
        <v>336</v>
      </c>
      <c r="C635" s="54">
        <v>404.78130000000004</v>
      </c>
      <c r="D635" s="54">
        <v>404.78130000000004</v>
      </c>
      <c r="E635" s="54">
        <v>331.18470000000002</v>
      </c>
      <c r="F635" s="54">
        <v>699.16770000000008</v>
      </c>
      <c r="G635" s="54">
        <v>404.78130000000004</v>
      </c>
      <c r="H635" s="54">
        <v>478.37790000000007</v>
      </c>
      <c r="I635" s="54">
        <v>294.38640000000004</v>
      </c>
      <c r="J635" s="54">
        <v>147.19320000000002</v>
      </c>
      <c r="K635" s="54">
        <v>367.98300000000006</v>
      </c>
      <c r="L635" s="54">
        <v>147.19320000000002</v>
      </c>
      <c r="M635" s="54">
        <f t="shared" si="9"/>
        <v>863.16999999999962</v>
      </c>
      <c r="N635" s="55">
        <v>4543</v>
      </c>
      <c r="O635" s="54">
        <v>131</v>
      </c>
      <c r="P635" s="54">
        <v>2</v>
      </c>
      <c r="Q635" s="54">
        <v>1151</v>
      </c>
      <c r="R635" s="54">
        <v>1025</v>
      </c>
      <c r="S635" s="54">
        <v>500</v>
      </c>
      <c r="T635" s="54">
        <v>200</v>
      </c>
      <c r="U635" s="54">
        <v>0</v>
      </c>
      <c r="V635" s="54">
        <v>424</v>
      </c>
      <c r="W635" s="54">
        <v>1110</v>
      </c>
      <c r="X635" s="54">
        <v>0</v>
      </c>
    </row>
    <row r="636" spans="1:24">
      <c r="A636" s="52">
        <v>46103</v>
      </c>
      <c r="B636" s="53" t="s">
        <v>336</v>
      </c>
      <c r="C636" s="54">
        <v>412.53300000000002</v>
      </c>
      <c r="D636" s="54">
        <v>412.53300000000002</v>
      </c>
      <c r="E636" s="54">
        <v>337.52699999999999</v>
      </c>
      <c r="F636" s="54">
        <v>712.55700000000002</v>
      </c>
      <c r="G636" s="54">
        <v>412.53300000000002</v>
      </c>
      <c r="H636" s="54">
        <v>487.53900000000004</v>
      </c>
      <c r="I636" s="54">
        <v>300.024</v>
      </c>
      <c r="J636" s="54">
        <v>150.012</v>
      </c>
      <c r="K636" s="54">
        <v>375.03000000000003</v>
      </c>
      <c r="L636" s="54">
        <v>150.012</v>
      </c>
      <c r="M636" s="54">
        <f t="shared" si="9"/>
        <v>879.69999999999936</v>
      </c>
      <c r="N636" s="55">
        <v>4630</v>
      </c>
      <c r="O636" s="54">
        <v>131</v>
      </c>
      <c r="P636" s="54">
        <v>3</v>
      </c>
      <c r="Q636" s="54">
        <v>1151</v>
      </c>
      <c r="R636" s="54">
        <v>1025</v>
      </c>
      <c r="S636" s="54">
        <v>500</v>
      </c>
      <c r="T636" s="54">
        <v>200</v>
      </c>
      <c r="U636" s="54">
        <v>0</v>
      </c>
      <c r="V636" s="54">
        <v>424</v>
      </c>
      <c r="W636" s="54">
        <v>1196</v>
      </c>
      <c r="X636" s="54">
        <v>0</v>
      </c>
    </row>
    <row r="637" spans="1:24">
      <c r="A637" s="52">
        <v>46104</v>
      </c>
      <c r="B637" s="53" t="s">
        <v>336</v>
      </c>
      <c r="C637" s="54">
        <v>414.67140000000001</v>
      </c>
      <c r="D637" s="54">
        <v>414.67140000000001</v>
      </c>
      <c r="E637" s="54">
        <v>339.27660000000003</v>
      </c>
      <c r="F637" s="54">
        <v>716.25060000000008</v>
      </c>
      <c r="G637" s="54">
        <v>414.67140000000001</v>
      </c>
      <c r="H637" s="54">
        <v>490.06620000000004</v>
      </c>
      <c r="I637" s="54">
        <v>301.57920000000001</v>
      </c>
      <c r="J637" s="54">
        <v>150.78960000000001</v>
      </c>
      <c r="K637" s="54">
        <v>376.97400000000005</v>
      </c>
      <c r="L637" s="54">
        <v>150.78960000000001</v>
      </c>
      <c r="M637" s="54">
        <f t="shared" si="9"/>
        <v>884.25999999999931</v>
      </c>
      <c r="N637" s="55">
        <v>4654</v>
      </c>
      <c r="O637" s="54">
        <v>131</v>
      </c>
      <c r="P637" s="54">
        <v>3</v>
      </c>
      <c r="Q637" s="54">
        <v>885</v>
      </c>
      <c r="R637" s="54">
        <v>1025</v>
      </c>
      <c r="S637" s="54">
        <v>450</v>
      </c>
      <c r="T637" s="54">
        <v>400</v>
      </c>
      <c r="U637" s="54">
        <v>0</v>
      </c>
      <c r="V637" s="54">
        <v>424</v>
      </c>
      <c r="W637" s="54">
        <v>1234</v>
      </c>
      <c r="X637" s="54">
        <v>102</v>
      </c>
    </row>
    <row r="638" spans="1:24">
      <c r="A638" s="52">
        <v>46105</v>
      </c>
      <c r="B638" s="53" t="s">
        <v>336</v>
      </c>
      <c r="C638" s="54">
        <v>404.87040000000002</v>
      </c>
      <c r="D638" s="54">
        <v>404.87040000000002</v>
      </c>
      <c r="E638" s="54">
        <v>331.25760000000002</v>
      </c>
      <c r="F638" s="54">
        <v>699.3216000000001</v>
      </c>
      <c r="G638" s="54">
        <v>404.87040000000002</v>
      </c>
      <c r="H638" s="54">
        <v>478.48320000000007</v>
      </c>
      <c r="I638" s="54">
        <v>294.45120000000003</v>
      </c>
      <c r="J638" s="54">
        <v>147.22560000000001</v>
      </c>
      <c r="K638" s="54">
        <v>368.06400000000008</v>
      </c>
      <c r="L638" s="54">
        <v>147.22560000000001</v>
      </c>
      <c r="M638" s="54">
        <f t="shared" si="9"/>
        <v>863.35999999999922</v>
      </c>
      <c r="N638" s="55">
        <v>4544</v>
      </c>
      <c r="O638" s="54">
        <v>131</v>
      </c>
      <c r="P638" s="54">
        <v>3</v>
      </c>
      <c r="Q638" s="54">
        <v>885</v>
      </c>
      <c r="R638" s="54">
        <v>1025</v>
      </c>
      <c r="S638" s="54">
        <v>450</v>
      </c>
      <c r="T638" s="54">
        <v>400</v>
      </c>
      <c r="U638" s="54">
        <v>0</v>
      </c>
      <c r="V638" s="54">
        <v>424</v>
      </c>
      <c r="W638" s="54">
        <v>1124</v>
      </c>
      <c r="X638" s="54">
        <v>102</v>
      </c>
    </row>
    <row r="639" spans="1:24">
      <c r="A639" s="52">
        <v>46106</v>
      </c>
      <c r="B639" s="53" t="s">
        <v>336</v>
      </c>
      <c r="C639" s="54">
        <v>404.87040000000002</v>
      </c>
      <c r="D639" s="54">
        <v>404.87040000000002</v>
      </c>
      <c r="E639" s="54">
        <v>331.25760000000002</v>
      </c>
      <c r="F639" s="54">
        <v>699.3216000000001</v>
      </c>
      <c r="G639" s="54">
        <v>404.87040000000002</v>
      </c>
      <c r="H639" s="54">
        <v>478.48320000000007</v>
      </c>
      <c r="I639" s="54">
        <v>294.45120000000003</v>
      </c>
      <c r="J639" s="54">
        <v>147.22560000000001</v>
      </c>
      <c r="K639" s="54">
        <v>368.06400000000008</v>
      </c>
      <c r="L639" s="54">
        <v>147.22560000000001</v>
      </c>
      <c r="M639" s="54">
        <f t="shared" si="9"/>
        <v>863.35999999999922</v>
      </c>
      <c r="N639" s="55">
        <v>4544</v>
      </c>
      <c r="O639" s="54">
        <v>131</v>
      </c>
      <c r="P639" s="54">
        <v>3</v>
      </c>
      <c r="Q639" s="54">
        <v>885</v>
      </c>
      <c r="R639" s="54">
        <v>1025</v>
      </c>
      <c r="S639" s="54">
        <v>450</v>
      </c>
      <c r="T639" s="54">
        <v>400</v>
      </c>
      <c r="U639" s="54">
        <v>0</v>
      </c>
      <c r="V639" s="54">
        <v>424</v>
      </c>
      <c r="W639" s="54">
        <v>1124</v>
      </c>
      <c r="X639" s="54">
        <v>102</v>
      </c>
    </row>
    <row r="640" spans="1:24">
      <c r="A640" s="52">
        <v>46107</v>
      </c>
      <c r="B640" s="53" t="s">
        <v>336</v>
      </c>
      <c r="C640" s="54">
        <v>449.33130000000006</v>
      </c>
      <c r="D640" s="54">
        <v>449.33130000000006</v>
      </c>
      <c r="E640" s="54">
        <v>367.63470000000001</v>
      </c>
      <c r="F640" s="54">
        <v>776.11770000000013</v>
      </c>
      <c r="G640" s="54">
        <v>449.33130000000006</v>
      </c>
      <c r="H640" s="54">
        <v>531.02790000000005</v>
      </c>
      <c r="I640" s="54">
        <v>326.78640000000001</v>
      </c>
      <c r="J640" s="54">
        <v>163.39320000000001</v>
      </c>
      <c r="K640" s="54">
        <v>408.48300000000006</v>
      </c>
      <c r="L640" s="54">
        <v>163.39320000000001</v>
      </c>
      <c r="M640" s="54">
        <f t="shared" si="9"/>
        <v>958.16999999999916</v>
      </c>
      <c r="N640" s="55">
        <v>5043</v>
      </c>
      <c r="O640" s="54">
        <v>131</v>
      </c>
      <c r="P640" s="54">
        <v>3</v>
      </c>
      <c r="Q640" s="54">
        <v>885</v>
      </c>
      <c r="R640" s="54">
        <v>1025</v>
      </c>
      <c r="S640" s="54">
        <v>450</v>
      </c>
      <c r="T640" s="54">
        <v>400</v>
      </c>
      <c r="U640" s="54">
        <v>499</v>
      </c>
      <c r="V640" s="54">
        <v>424</v>
      </c>
      <c r="W640" s="54">
        <v>1124</v>
      </c>
      <c r="X640" s="54">
        <v>102</v>
      </c>
    </row>
    <row r="641" spans="1:24">
      <c r="A641" s="52">
        <v>46108</v>
      </c>
      <c r="B641" s="53" t="s">
        <v>336</v>
      </c>
      <c r="C641" s="54">
        <v>462.60720000000003</v>
      </c>
      <c r="D641" s="54">
        <v>462.60720000000003</v>
      </c>
      <c r="E641" s="54">
        <v>378.49680000000001</v>
      </c>
      <c r="F641" s="54">
        <v>799.04880000000014</v>
      </c>
      <c r="G641" s="54">
        <v>462.60720000000003</v>
      </c>
      <c r="H641" s="54">
        <v>546.71760000000006</v>
      </c>
      <c r="I641" s="54">
        <v>336.44160000000005</v>
      </c>
      <c r="J641" s="54">
        <v>168.22080000000003</v>
      </c>
      <c r="K641" s="54">
        <v>420.55200000000008</v>
      </c>
      <c r="L641" s="54">
        <v>168.22080000000003</v>
      </c>
      <c r="M641" s="54">
        <f t="shared" si="9"/>
        <v>986.47999999999956</v>
      </c>
      <c r="N641" s="55">
        <v>5192</v>
      </c>
      <c r="O641" s="54">
        <v>131</v>
      </c>
      <c r="P641" s="54">
        <v>3</v>
      </c>
      <c r="Q641" s="54">
        <v>885</v>
      </c>
      <c r="R641" s="54">
        <v>1025</v>
      </c>
      <c r="S641" s="54">
        <v>450</v>
      </c>
      <c r="T641" s="54">
        <v>300</v>
      </c>
      <c r="U641" s="54">
        <v>734</v>
      </c>
      <c r="V641" s="54">
        <v>424</v>
      </c>
      <c r="W641" s="54">
        <v>1138</v>
      </c>
      <c r="X641" s="54">
        <v>102</v>
      </c>
    </row>
    <row r="642" spans="1:24">
      <c r="A642" s="52">
        <v>46109</v>
      </c>
      <c r="B642" s="53" t="s">
        <v>336</v>
      </c>
      <c r="C642" s="54">
        <v>490.58460000000008</v>
      </c>
      <c r="D642" s="54">
        <v>490.58460000000008</v>
      </c>
      <c r="E642" s="54">
        <v>401.38740000000001</v>
      </c>
      <c r="F642" s="54">
        <v>847.37340000000017</v>
      </c>
      <c r="G642" s="54">
        <v>490.58460000000008</v>
      </c>
      <c r="H642" s="54">
        <v>579.78180000000009</v>
      </c>
      <c r="I642" s="54">
        <v>356.78880000000004</v>
      </c>
      <c r="J642" s="54">
        <v>178.39440000000002</v>
      </c>
      <c r="K642" s="54">
        <v>445.9860000000001</v>
      </c>
      <c r="L642" s="54">
        <v>178.39440000000002</v>
      </c>
      <c r="M642" s="54">
        <f t="shared" si="9"/>
        <v>1046.1399999999994</v>
      </c>
      <c r="N642" s="55">
        <v>5506</v>
      </c>
      <c r="O642" s="54">
        <v>131</v>
      </c>
      <c r="P642" s="54">
        <v>3</v>
      </c>
      <c r="Q642" s="54">
        <v>1151</v>
      </c>
      <c r="R642" s="54">
        <v>1025</v>
      </c>
      <c r="S642" s="54">
        <v>522</v>
      </c>
      <c r="T642" s="54">
        <v>300</v>
      </c>
      <c r="U642" s="54">
        <v>734</v>
      </c>
      <c r="V642" s="54">
        <v>424</v>
      </c>
      <c r="W642" s="54">
        <v>1216</v>
      </c>
      <c r="X642" s="54">
        <v>0</v>
      </c>
    </row>
    <row r="643" spans="1:24">
      <c r="A643" s="52">
        <v>46110</v>
      </c>
      <c r="B643" s="53" t="s">
        <v>336</v>
      </c>
      <c r="C643" s="54">
        <v>493.88130000000001</v>
      </c>
      <c r="D643" s="54">
        <v>493.88130000000001</v>
      </c>
      <c r="E643" s="54">
        <v>404.0847</v>
      </c>
      <c r="F643" s="54">
        <v>853.06769999999995</v>
      </c>
      <c r="G643" s="54">
        <v>493.88130000000001</v>
      </c>
      <c r="H643" s="54">
        <v>583.67790000000002</v>
      </c>
      <c r="I643" s="54">
        <v>359.18639999999999</v>
      </c>
      <c r="J643" s="54">
        <v>179.5932</v>
      </c>
      <c r="K643" s="54">
        <v>448.983</v>
      </c>
      <c r="L643" s="54">
        <v>179.5932</v>
      </c>
      <c r="M643" s="54">
        <f t="shared" ref="M643:M706" si="10">N643-SUM(C643:L643)</f>
        <v>1053.17</v>
      </c>
      <c r="N643" s="55">
        <v>5543</v>
      </c>
      <c r="O643" s="54">
        <v>131</v>
      </c>
      <c r="P643" s="54">
        <v>3</v>
      </c>
      <c r="Q643" s="54">
        <v>1151</v>
      </c>
      <c r="R643" s="54">
        <v>1025</v>
      </c>
      <c r="S643" s="54">
        <v>522</v>
      </c>
      <c r="T643" s="54">
        <v>300</v>
      </c>
      <c r="U643" s="54">
        <v>733</v>
      </c>
      <c r="V643" s="54">
        <v>424</v>
      </c>
      <c r="W643" s="54">
        <v>1254</v>
      </c>
      <c r="X643" s="54">
        <v>0</v>
      </c>
    </row>
    <row r="644" spans="1:24">
      <c r="A644" s="52">
        <v>46111</v>
      </c>
      <c r="B644" s="53" t="s">
        <v>336</v>
      </c>
      <c r="C644" s="54">
        <v>397.11869999999999</v>
      </c>
      <c r="D644" s="54">
        <v>397.11869999999999</v>
      </c>
      <c r="E644" s="54">
        <v>324.9153</v>
      </c>
      <c r="F644" s="54">
        <v>685.93230000000005</v>
      </c>
      <c r="G644" s="54">
        <v>397.11869999999999</v>
      </c>
      <c r="H644" s="54">
        <v>469.32210000000003</v>
      </c>
      <c r="I644" s="54">
        <v>288.81360000000001</v>
      </c>
      <c r="J644" s="54">
        <v>144.4068</v>
      </c>
      <c r="K644" s="54">
        <v>361.01700000000005</v>
      </c>
      <c r="L644" s="54">
        <v>144.4068</v>
      </c>
      <c r="M644" s="54">
        <f t="shared" si="10"/>
        <v>846.82999999999947</v>
      </c>
      <c r="N644" s="55">
        <v>4457</v>
      </c>
      <c r="O644" s="54">
        <v>131</v>
      </c>
      <c r="P644" s="54">
        <v>3</v>
      </c>
      <c r="Q644" s="54">
        <v>885</v>
      </c>
      <c r="R644" s="54">
        <v>1025</v>
      </c>
      <c r="S644" s="54">
        <v>450</v>
      </c>
      <c r="T644" s="54">
        <v>300</v>
      </c>
      <c r="U644" s="54">
        <v>0</v>
      </c>
      <c r="V644" s="54">
        <v>424</v>
      </c>
      <c r="W644" s="54">
        <v>1137</v>
      </c>
      <c r="X644" s="54">
        <v>102</v>
      </c>
    </row>
    <row r="645" spans="1:24">
      <c r="A645" s="52">
        <v>46112</v>
      </c>
      <c r="B645" s="53" t="s">
        <v>336</v>
      </c>
      <c r="C645" s="54">
        <v>391.50540000000007</v>
      </c>
      <c r="D645" s="54">
        <v>391.50540000000007</v>
      </c>
      <c r="E645" s="54">
        <v>320.32260000000002</v>
      </c>
      <c r="F645" s="54">
        <v>676.23660000000007</v>
      </c>
      <c r="G645" s="54">
        <v>391.50540000000007</v>
      </c>
      <c r="H645" s="54">
        <v>462.68820000000005</v>
      </c>
      <c r="I645" s="54">
        <v>284.73120000000006</v>
      </c>
      <c r="J645" s="54">
        <v>142.36560000000003</v>
      </c>
      <c r="K645" s="54">
        <v>355.91400000000004</v>
      </c>
      <c r="L645" s="54">
        <v>142.36560000000003</v>
      </c>
      <c r="M645" s="54">
        <f t="shared" si="10"/>
        <v>834.85999999999922</v>
      </c>
      <c r="N645" s="55">
        <v>4394</v>
      </c>
      <c r="O645" s="54">
        <v>131</v>
      </c>
      <c r="P645" s="54">
        <v>3</v>
      </c>
      <c r="Q645" s="54">
        <v>885</v>
      </c>
      <c r="R645" s="54">
        <v>1027</v>
      </c>
      <c r="S645" s="54">
        <v>450</v>
      </c>
      <c r="T645" s="54">
        <v>300</v>
      </c>
      <c r="U645" s="54">
        <v>0</v>
      </c>
      <c r="V645" s="54">
        <v>424</v>
      </c>
      <c r="W645" s="54">
        <v>1068</v>
      </c>
      <c r="X645" s="54">
        <v>106</v>
      </c>
    </row>
    <row r="646" spans="1:24">
      <c r="A646" s="52">
        <v>46113</v>
      </c>
      <c r="B646" s="53" t="s">
        <v>336</v>
      </c>
      <c r="C646" s="54">
        <v>311.56488000000002</v>
      </c>
      <c r="D646" s="54">
        <v>311.56487999999996</v>
      </c>
      <c r="E646" s="54">
        <v>283.24080000000004</v>
      </c>
      <c r="F646" s="54">
        <v>481.50936000000007</v>
      </c>
      <c r="G646" s="54">
        <v>311.56488000000002</v>
      </c>
      <c r="H646" s="54">
        <v>368.21304000000003</v>
      </c>
      <c r="I646" s="54">
        <v>254.91672000000003</v>
      </c>
      <c r="J646" s="54">
        <v>84.972239999999999</v>
      </c>
      <c r="K646" s="54">
        <v>311.56488000000002</v>
      </c>
      <c r="L646" s="54">
        <v>113.29632000000002</v>
      </c>
      <c r="M646" s="54">
        <f t="shared" si="10"/>
        <v>662.59199999999964</v>
      </c>
      <c r="N646" s="55">
        <v>3495</v>
      </c>
      <c r="O646" s="54">
        <v>108</v>
      </c>
      <c r="P646" s="54">
        <v>0</v>
      </c>
      <c r="Q646" s="54">
        <v>770</v>
      </c>
      <c r="R646" s="54">
        <v>509</v>
      </c>
      <c r="S646" s="54">
        <v>310</v>
      </c>
      <c r="T646" s="54">
        <v>309</v>
      </c>
      <c r="U646" s="54">
        <v>112</v>
      </c>
      <c r="V646" s="54">
        <v>333</v>
      </c>
      <c r="W646" s="54">
        <v>937</v>
      </c>
      <c r="X646" s="54">
        <v>107</v>
      </c>
    </row>
    <row r="647" spans="1:24">
      <c r="A647" s="52">
        <v>46114</v>
      </c>
      <c r="B647" s="53" t="s">
        <v>336</v>
      </c>
      <c r="C647" s="54">
        <v>312.66971999999998</v>
      </c>
      <c r="D647" s="54">
        <v>312.66971999999998</v>
      </c>
      <c r="E647" s="54">
        <v>284.24520000000001</v>
      </c>
      <c r="F647" s="54">
        <v>483.2168400000001</v>
      </c>
      <c r="G647" s="54">
        <v>312.66971999999998</v>
      </c>
      <c r="H647" s="54">
        <v>369.51876000000004</v>
      </c>
      <c r="I647" s="54">
        <v>255.82067999999998</v>
      </c>
      <c r="J647" s="54">
        <v>85.273560000000003</v>
      </c>
      <c r="K647" s="54">
        <v>312.66971999999998</v>
      </c>
      <c r="L647" s="54">
        <v>113.69808</v>
      </c>
      <c r="M647" s="54">
        <f t="shared" si="10"/>
        <v>665.54800000000023</v>
      </c>
      <c r="N647" s="55">
        <v>3508</v>
      </c>
      <c r="O647" s="54">
        <v>109</v>
      </c>
      <c r="P647" s="54">
        <v>0</v>
      </c>
      <c r="Q647" s="54">
        <v>770</v>
      </c>
      <c r="R647" s="54">
        <v>513</v>
      </c>
      <c r="S647" s="54">
        <v>313</v>
      </c>
      <c r="T647" s="54">
        <v>316</v>
      </c>
      <c r="U647" s="54">
        <v>112</v>
      </c>
      <c r="V647" s="54">
        <v>333</v>
      </c>
      <c r="W647" s="54">
        <v>935</v>
      </c>
      <c r="X647" s="54">
        <v>107</v>
      </c>
    </row>
    <row r="648" spans="1:24">
      <c r="A648" s="52">
        <v>46115</v>
      </c>
      <c r="B648" s="53" t="s">
        <v>336</v>
      </c>
      <c r="C648" s="54">
        <v>312.66971999999998</v>
      </c>
      <c r="D648" s="54">
        <v>312.66971999999998</v>
      </c>
      <c r="E648" s="54">
        <v>284.24520000000001</v>
      </c>
      <c r="F648" s="54">
        <v>483.2168400000001</v>
      </c>
      <c r="G648" s="54">
        <v>312.66971999999998</v>
      </c>
      <c r="H648" s="54">
        <v>369.51876000000004</v>
      </c>
      <c r="I648" s="54">
        <v>255.82067999999998</v>
      </c>
      <c r="J648" s="54">
        <v>85.273560000000003</v>
      </c>
      <c r="K648" s="54">
        <v>312.66971999999998</v>
      </c>
      <c r="L648" s="54">
        <v>113.69808</v>
      </c>
      <c r="M648" s="54">
        <f t="shared" si="10"/>
        <v>665.54800000000023</v>
      </c>
      <c r="N648" s="55">
        <v>3508</v>
      </c>
      <c r="O648" s="54">
        <v>109</v>
      </c>
      <c r="P648" s="54">
        <v>0</v>
      </c>
      <c r="Q648" s="54">
        <v>770</v>
      </c>
      <c r="R648" s="54">
        <v>513</v>
      </c>
      <c r="S648" s="54">
        <v>313</v>
      </c>
      <c r="T648" s="54">
        <v>316</v>
      </c>
      <c r="U648" s="54">
        <v>112</v>
      </c>
      <c r="V648" s="54">
        <v>333</v>
      </c>
      <c r="W648" s="54">
        <v>935</v>
      </c>
      <c r="X648" s="54">
        <v>107</v>
      </c>
    </row>
    <row r="649" spans="1:24">
      <c r="A649" s="52">
        <v>46116</v>
      </c>
      <c r="B649" s="53" t="s">
        <v>336</v>
      </c>
      <c r="C649" s="54">
        <v>348.63839999999999</v>
      </c>
      <c r="D649" s="54">
        <v>348.63839999999999</v>
      </c>
      <c r="E649" s="54">
        <v>316.94400000000002</v>
      </c>
      <c r="F649" s="54">
        <v>538.8048</v>
      </c>
      <c r="G649" s="54">
        <v>348.63839999999999</v>
      </c>
      <c r="H649" s="54">
        <v>412.02720000000005</v>
      </c>
      <c r="I649" s="54">
        <v>285.24959999999999</v>
      </c>
      <c r="J649" s="54">
        <v>95.083200000000005</v>
      </c>
      <c r="K649" s="54">
        <v>348.63839999999999</v>
      </c>
      <c r="L649" s="54">
        <v>126.77760000000001</v>
      </c>
      <c r="M649" s="54">
        <f t="shared" si="10"/>
        <v>744.56</v>
      </c>
      <c r="N649" s="55">
        <v>3914</v>
      </c>
      <c r="O649" s="54">
        <v>125</v>
      </c>
      <c r="P649" s="54">
        <v>0</v>
      </c>
      <c r="Q649" s="54">
        <v>886</v>
      </c>
      <c r="R649" s="54">
        <v>590</v>
      </c>
      <c r="S649" s="54">
        <v>360</v>
      </c>
      <c r="T649" s="54">
        <v>364</v>
      </c>
      <c r="U649" s="54">
        <v>130</v>
      </c>
      <c r="V649" s="54">
        <v>384</v>
      </c>
      <c r="W649" s="54">
        <v>1075</v>
      </c>
      <c r="X649" s="54">
        <v>0</v>
      </c>
    </row>
    <row r="650" spans="1:24">
      <c r="A650" s="52">
        <v>46117</v>
      </c>
      <c r="B650" s="53" t="s">
        <v>336</v>
      </c>
      <c r="C650" s="54">
        <v>348.63839999999999</v>
      </c>
      <c r="D650" s="54">
        <v>348.63839999999999</v>
      </c>
      <c r="E650" s="54">
        <v>316.94400000000002</v>
      </c>
      <c r="F650" s="54">
        <v>538.8048</v>
      </c>
      <c r="G650" s="54">
        <v>348.63839999999999</v>
      </c>
      <c r="H650" s="54">
        <v>412.02720000000005</v>
      </c>
      <c r="I650" s="54">
        <v>285.24959999999999</v>
      </c>
      <c r="J650" s="54">
        <v>95.083200000000005</v>
      </c>
      <c r="K650" s="54">
        <v>348.63839999999999</v>
      </c>
      <c r="L650" s="54">
        <v>126.77760000000001</v>
      </c>
      <c r="M650" s="54">
        <f t="shared" si="10"/>
        <v>744.56</v>
      </c>
      <c r="N650" s="55">
        <v>3914</v>
      </c>
      <c r="O650" s="54">
        <v>125</v>
      </c>
      <c r="P650" s="54">
        <v>0</v>
      </c>
      <c r="Q650" s="54">
        <v>886</v>
      </c>
      <c r="R650" s="54">
        <v>590</v>
      </c>
      <c r="S650" s="54">
        <v>360</v>
      </c>
      <c r="T650" s="54">
        <v>364</v>
      </c>
      <c r="U650" s="54">
        <v>130</v>
      </c>
      <c r="V650" s="54">
        <v>384</v>
      </c>
      <c r="W650" s="54">
        <v>1075</v>
      </c>
      <c r="X650" s="54">
        <v>0</v>
      </c>
    </row>
    <row r="651" spans="1:24">
      <c r="A651" s="52">
        <v>46118</v>
      </c>
      <c r="B651" s="53" t="s">
        <v>336</v>
      </c>
      <c r="C651" s="54">
        <v>348.63839999999999</v>
      </c>
      <c r="D651" s="54">
        <v>348.63839999999999</v>
      </c>
      <c r="E651" s="54">
        <v>316.94400000000002</v>
      </c>
      <c r="F651" s="54">
        <v>538.8048</v>
      </c>
      <c r="G651" s="54">
        <v>348.63839999999999</v>
      </c>
      <c r="H651" s="54">
        <v>412.02720000000005</v>
      </c>
      <c r="I651" s="54">
        <v>285.24959999999999</v>
      </c>
      <c r="J651" s="54">
        <v>95.083200000000005</v>
      </c>
      <c r="K651" s="54">
        <v>348.63839999999999</v>
      </c>
      <c r="L651" s="54">
        <v>126.77760000000001</v>
      </c>
      <c r="M651" s="54">
        <f t="shared" si="10"/>
        <v>744.56</v>
      </c>
      <c r="N651" s="55">
        <v>3914</v>
      </c>
      <c r="O651" s="54">
        <v>125</v>
      </c>
      <c r="P651" s="54">
        <v>0</v>
      </c>
      <c r="Q651" s="54">
        <v>886</v>
      </c>
      <c r="R651" s="54">
        <v>590</v>
      </c>
      <c r="S651" s="54">
        <v>360</v>
      </c>
      <c r="T651" s="54">
        <v>364</v>
      </c>
      <c r="U651" s="54">
        <v>130</v>
      </c>
      <c r="V651" s="54">
        <v>384</v>
      </c>
      <c r="W651" s="54">
        <v>1075</v>
      </c>
      <c r="X651" s="54">
        <v>0</v>
      </c>
    </row>
    <row r="652" spans="1:24">
      <c r="A652" s="52">
        <v>46119</v>
      </c>
      <c r="B652" s="53" t="s">
        <v>336</v>
      </c>
      <c r="C652" s="54">
        <v>312.66971999999998</v>
      </c>
      <c r="D652" s="54">
        <v>312.66971999999998</v>
      </c>
      <c r="E652" s="54">
        <v>284.24520000000001</v>
      </c>
      <c r="F652" s="54">
        <v>483.2168400000001</v>
      </c>
      <c r="G652" s="54">
        <v>312.66971999999998</v>
      </c>
      <c r="H652" s="54">
        <v>369.51876000000004</v>
      </c>
      <c r="I652" s="54">
        <v>255.82067999999998</v>
      </c>
      <c r="J652" s="54">
        <v>85.273560000000003</v>
      </c>
      <c r="K652" s="54">
        <v>312.66971999999998</v>
      </c>
      <c r="L652" s="54">
        <v>113.69808</v>
      </c>
      <c r="M652" s="54">
        <f t="shared" si="10"/>
        <v>665.54800000000023</v>
      </c>
      <c r="N652" s="55">
        <v>3508</v>
      </c>
      <c r="O652" s="54">
        <v>109</v>
      </c>
      <c r="P652" s="54">
        <v>0</v>
      </c>
      <c r="Q652" s="54">
        <v>770</v>
      </c>
      <c r="R652" s="54">
        <v>513</v>
      </c>
      <c r="S652" s="54">
        <v>313</v>
      </c>
      <c r="T652" s="54">
        <v>316</v>
      </c>
      <c r="U652" s="54">
        <v>112</v>
      </c>
      <c r="V652" s="54">
        <v>333</v>
      </c>
      <c r="W652" s="54">
        <v>935</v>
      </c>
      <c r="X652" s="54">
        <v>107</v>
      </c>
    </row>
    <row r="653" spans="1:24">
      <c r="A653" s="52">
        <v>46120</v>
      </c>
      <c r="B653" s="53" t="s">
        <v>336</v>
      </c>
      <c r="C653" s="54">
        <v>312.66971999999998</v>
      </c>
      <c r="D653" s="54">
        <v>312.66971999999998</v>
      </c>
      <c r="E653" s="54">
        <v>284.24520000000001</v>
      </c>
      <c r="F653" s="54">
        <v>483.2168400000001</v>
      </c>
      <c r="G653" s="54">
        <v>312.66971999999998</v>
      </c>
      <c r="H653" s="54">
        <v>369.51876000000004</v>
      </c>
      <c r="I653" s="54">
        <v>255.82067999999998</v>
      </c>
      <c r="J653" s="54">
        <v>85.273560000000003</v>
      </c>
      <c r="K653" s="54">
        <v>312.66971999999998</v>
      </c>
      <c r="L653" s="54">
        <v>113.69808</v>
      </c>
      <c r="M653" s="54">
        <f t="shared" si="10"/>
        <v>665.54800000000023</v>
      </c>
      <c r="N653" s="55">
        <v>3508</v>
      </c>
      <c r="O653" s="54">
        <v>109</v>
      </c>
      <c r="P653" s="54">
        <v>0</v>
      </c>
      <c r="Q653" s="54">
        <v>770</v>
      </c>
      <c r="R653" s="54">
        <v>513</v>
      </c>
      <c r="S653" s="54">
        <v>313</v>
      </c>
      <c r="T653" s="54">
        <v>316</v>
      </c>
      <c r="U653" s="54">
        <v>112</v>
      </c>
      <c r="V653" s="54">
        <v>333</v>
      </c>
      <c r="W653" s="54">
        <v>935</v>
      </c>
      <c r="X653" s="54">
        <v>107</v>
      </c>
    </row>
    <row r="654" spans="1:24">
      <c r="A654" s="52">
        <v>46121</v>
      </c>
      <c r="B654" s="53" t="s">
        <v>336</v>
      </c>
      <c r="C654" s="54">
        <v>312.66971999999998</v>
      </c>
      <c r="D654" s="54">
        <v>312.66971999999998</v>
      </c>
      <c r="E654" s="54">
        <v>284.24520000000001</v>
      </c>
      <c r="F654" s="54">
        <v>483.2168400000001</v>
      </c>
      <c r="G654" s="54">
        <v>312.66971999999998</v>
      </c>
      <c r="H654" s="54">
        <v>369.51876000000004</v>
      </c>
      <c r="I654" s="54">
        <v>255.82067999999998</v>
      </c>
      <c r="J654" s="54">
        <v>85.273560000000003</v>
      </c>
      <c r="K654" s="54">
        <v>312.66971999999998</v>
      </c>
      <c r="L654" s="54">
        <v>113.69808</v>
      </c>
      <c r="M654" s="54">
        <f t="shared" si="10"/>
        <v>665.54800000000023</v>
      </c>
      <c r="N654" s="55">
        <v>3508</v>
      </c>
      <c r="O654" s="54">
        <v>109</v>
      </c>
      <c r="P654" s="54">
        <v>0</v>
      </c>
      <c r="Q654" s="54">
        <v>770</v>
      </c>
      <c r="R654" s="54">
        <v>513</v>
      </c>
      <c r="S654" s="54">
        <v>313</v>
      </c>
      <c r="T654" s="54">
        <v>316</v>
      </c>
      <c r="U654" s="54">
        <v>112</v>
      </c>
      <c r="V654" s="54">
        <v>333</v>
      </c>
      <c r="W654" s="54">
        <v>935</v>
      </c>
      <c r="X654" s="54">
        <v>107</v>
      </c>
    </row>
    <row r="655" spans="1:24">
      <c r="A655" s="52">
        <v>46122</v>
      </c>
      <c r="B655" s="53" t="s">
        <v>336</v>
      </c>
      <c r="C655" s="54">
        <v>312.66971999999998</v>
      </c>
      <c r="D655" s="54">
        <v>312.66971999999998</v>
      </c>
      <c r="E655" s="54">
        <v>284.24520000000001</v>
      </c>
      <c r="F655" s="54">
        <v>483.2168400000001</v>
      </c>
      <c r="G655" s="54">
        <v>312.66971999999998</v>
      </c>
      <c r="H655" s="54">
        <v>369.51876000000004</v>
      </c>
      <c r="I655" s="54">
        <v>255.82067999999998</v>
      </c>
      <c r="J655" s="54">
        <v>85.273560000000003</v>
      </c>
      <c r="K655" s="54">
        <v>312.66971999999998</v>
      </c>
      <c r="L655" s="54">
        <v>113.69808</v>
      </c>
      <c r="M655" s="54">
        <f t="shared" si="10"/>
        <v>665.54800000000023</v>
      </c>
      <c r="N655" s="55">
        <v>3508</v>
      </c>
      <c r="O655" s="54">
        <v>109</v>
      </c>
      <c r="P655" s="54">
        <v>0</v>
      </c>
      <c r="Q655" s="54">
        <v>770</v>
      </c>
      <c r="R655" s="54">
        <v>513</v>
      </c>
      <c r="S655" s="54">
        <v>313</v>
      </c>
      <c r="T655" s="54">
        <v>316</v>
      </c>
      <c r="U655" s="54">
        <v>112</v>
      </c>
      <c r="V655" s="54">
        <v>333</v>
      </c>
      <c r="W655" s="54">
        <v>935</v>
      </c>
      <c r="X655" s="54">
        <v>107</v>
      </c>
    </row>
    <row r="656" spans="1:24">
      <c r="A656" s="52">
        <v>46123</v>
      </c>
      <c r="B656" s="53" t="s">
        <v>336</v>
      </c>
      <c r="C656" s="54">
        <v>348.63839999999999</v>
      </c>
      <c r="D656" s="54">
        <v>348.63839999999999</v>
      </c>
      <c r="E656" s="54">
        <v>316.94400000000002</v>
      </c>
      <c r="F656" s="54">
        <v>538.8048</v>
      </c>
      <c r="G656" s="54">
        <v>348.63839999999999</v>
      </c>
      <c r="H656" s="54">
        <v>412.02720000000005</v>
      </c>
      <c r="I656" s="54">
        <v>285.24959999999999</v>
      </c>
      <c r="J656" s="54">
        <v>95.083200000000005</v>
      </c>
      <c r="K656" s="54">
        <v>348.63839999999999</v>
      </c>
      <c r="L656" s="54">
        <v>126.77760000000001</v>
      </c>
      <c r="M656" s="54">
        <f t="shared" si="10"/>
        <v>744.56</v>
      </c>
      <c r="N656" s="55">
        <v>3914</v>
      </c>
      <c r="O656" s="54">
        <v>125</v>
      </c>
      <c r="P656" s="54">
        <v>0</v>
      </c>
      <c r="Q656" s="54">
        <v>886</v>
      </c>
      <c r="R656" s="54">
        <v>590</v>
      </c>
      <c r="S656" s="54">
        <v>360</v>
      </c>
      <c r="T656" s="54">
        <v>364</v>
      </c>
      <c r="U656" s="54">
        <v>130</v>
      </c>
      <c r="V656" s="54">
        <v>384</v>
      </c>
      <c r="W656" s="54">
        <v>1075</v>
      </c>
      <c r="X656" s="54">
        <v>0</v>
      </c>
    </row>
    <row r="657" spans="1:24">
      <c r="A657" s="52">
        <v>46124</v>
      </c>
      <c r="B657" s="53" t="s">
        <v>336</v>
      </c>
      <c r="C657" s="54">
        <v>348.63839999999999</v>
      </c>
      <c r="D657" s="54">
        <v>348.63839999999999</v>
      </c>
      <c r="E657" s="54">
        <v>316.94400000000002</v>
      </c>
      <c r="F657" s="54">
        <v>538.8048</v>
      </c>
      <c r="G657" s="54">
        <v>348.63839999999999</v>
      </c>
      <c r="H657" s="54">
        <v>412.02720000000005</v>
      </c>
      <c r="I657" s="54">
        <v>285.24959999999999</v>
      </c>
      <c r="J657" s="54">
        <v>95.083200000000005</v>
      </c>
      <c r="K657" s="54">
        <v>348.63839999999999</v>
      </c>
      <c r="L657" s="54">
        <v>126.77760000000001</v>
      </c>
      <c r="M657" s="54">
        <f t="shared" si="10"/>
        <v>744.56</v>
      </c>
      <c r="N657" s="55">
        <v>3914</v>
      </c>
      <c r="O657" s="54">
        <v>125</v>
      </c>
      <c r="P657" s="54">
        <v>0</v>
      </c>
      <c r="Q657" s="54">
        <v>886</v>
      </c>
      <c r="R657" s="54">
        <v>590</v>
      </c>
      <c r="S657" s="54">
        <v>360</v>
      </c>
      <c r="T657" s="54">
        <v>364</v>
      </c>
      <c r="U657" s="54">
        <v>130</v>
      </c>
      <c r="V657" s="54">
        <v>384</v>
      </c>
      <c r="W657" s="54">
        <v>1075</v>
      </c>
      <c r="X657" s="54">
        <v>0</v>
      </c>
    </row>
    <row r="658" spans="1:24">
      <c r="A658" s="52">
        <v>46125</v>
      </c>
      <c r="B658" s="53" t="s">
        <v>336</v>
      </c>
      <c r="C658" s="54">
        <v>312.66971999999998</v>
      </c>
      <c r="D658" s="54">
        <v>312.66971999999998</v>
      </c>
      <c r="E658" s="54">
        <v>284.24520000000001</v>
      </c>
      <c r="F658" s="54">
        <v>483.2168400000001</v>
      </c>
      <c r="G658" s="54">
        <v>312.66971999999998</v>
      </c>
      <c r="H658" s="54">
        <v>369.51876000000004</v>
      </c>
      <c r="I658" s="54">
        <v>255.82067999999998</v>
      </c>
      <c r="J658" s="54">
        <v>85.273560000000003</v>
      </c>
      <c r="K658" s="54">
        <v>312.66971999999998</v>
      </c>
      <c r="L658" s="54">
        <v>113.69808</v>
      </c>
      <c r="M658" s="54">
        <f t="shared" si="10"/>
        <v>665.54800000000023</v>
      </c>
      <c r="N658" s="55">
        <v>3508</v>
      </c>
      <c r="O658" s="54">
        <v>109</v>
      </c>
      <c r="P658" s="54">
        <v>0</v>
      </c>
      <c r="Q658" s="54">
        <v>770</v>
      </c>
      <c r="R658" s="54">
        <v>513</v>
      </c>
      <c r="S658" s="54">
        <v>313</v>
      </c>
      <c r="T658" s="54">
        <v>316</v>
      </c>
      <c r="U658" s="54">
        <v>112</v>
      </c>
      <c r="V658" s="54">
        <v>333</v>
      </c>
      <c r="W658" s="54">
        <v>935</v>
      </c>
      <c r="X658" s="54">
        <v>107</v>
      </c>
    </row>
    <row r="659" spans="1:24">
      <c r="A659" s="52">
        <v>46126</v>
      </c>
      <c r="B659" s="53" t="s">
        <v>336</v>
      </c>
      <c r="C659" s="54">
        <v>312.66971999999998</v>
      </c>
      <c r="D659" s="54">
        <v>312.66971999999998</v>
      </c>
      <c r="E659" s="54">
        <v>284.24520000000001</v>
      </c>
      <c r="F659" s="54">
        <v>483.2168400000001</v>
      </c>
      <c r="G659" s="54">
        <v>312.66971999999998</v>
      </c>
      <c r="H659" s="54">
        <v>369.51876000000004</v>
      </c>
      <c r="I659" s="54">
        <v>255.82067999999998</v>
      </c>
      <c r="J659" s="54">
        <v>85.273560000000003</v>
      </c>
      <c r="K659" s="54">
        <v>312.66971999999998</v>
      </c>
      <c r="L659" s="54">
        <v>113.69808</v>
      </c>
      <c r="M659" s="54">
        <f t="shared" si="10"/>
        <v>665.54800000000023</v>
      </c>
      <c r="N659" s="55">
        <v>3508</v>
      </c>
      <c r="O659" s="54">
        <v>109</v>
      </c>
      <c r="P659" s="54">
        <v>0</v>
      </c>
      <c r="Q659" s="54">
        <v>770</v>
      </c>
      <c r="R659" s="54">
        <v>513</v>
      </c>
      <c r="S659" s="54">
        <v>313</v>
      </c>
      <c r="T659" s="54">
        <v>316</v>
      </c>
      <c r="U659" s="54">
        <v>112</v>
      </c>
      <c r="V659" s="54">
        <v>333</v>
      </c>
      <c r="W659" s="54">
        <v>935</v>
      </c>
      <c r="X659" s="54">
        <v>107</v>
      </c>
    </row>
    <row r="660" spans="1:24">
      <c r="A660" s="52">
        <v>46127</v>
      </c>
      <c r="B660" s="53" t="s">
        <v>336</v>
      </c>
      <c r="C660" s="54">
        <v>312.66971999999998</v>
      </c>
      <c r="D660" s="54">
        <v>312.66971999999998</v>
      </c>
      <c r="E660" s="54">
        <v>284.24520000000001</v>
      </c>
      <c r="F660" s="54">
        <v>483.2168400000001</v>
      </c>
      <c r="G660" s="54">
        <v>312.66971999999998</v>
      </c>
      <c r="H660" s="54">
        <v>369.51876000000004</v>
      </c>
      <c r="I660" s="54">
        <v>255.82067999999998</v>
      </c>
      <c r="J660" s="54">
        <v>85.273560000000003</v>
      </c>
      <c r="K660" s="54">
        <v>312.66971999999998</v>
      </c>
      <c r="L660" s="54">
        <v>113.69808</v>
      </c>
      <c r="M660" s="54">
        <f t="shared" si="10"/>
        <v>665.54800000000023</v>
      </c>
      <c r="N660" s="55">
        <v>3508</v>
      </c>
      <c r="O660" s="54">
        <v>109</v>
      </c>
      <c r="P660" s="54">
        <v>0</v>
      </c>
      <c r="Q660" s="54">
        <v>770</v>
      </c>
      <c r="R660" s="54">
        <v>513</v>
      </c>
      <c r="S660" s="54">
        <v>313</v>
      </c>
      <c r="T660" s="54">
        <v>316</v>
      </c>
      <c r="U660" s="54">
        <v>112</v>
      </c>
      <c r="V660" s="54">
        <v>333</v>
      </c>
      <c r="W660" s="54">
        <v>935</v>
      </c>
      <c r="X660" s="54">
        <v>107</v>
      </c>
    </row>
    <row r="661" spans="1:24">
      <c r="A661" s="52">
        <v>46128</v>
      </c>
      <c r="B661" s="53" t="s">
        <v>336</v>
      </c>
      <c r="C661" s="54">
        <v>312.66971999999998</v>
      </c>
      <c r="D661" s="54">
        <v>312.66971999999998</v>
      </c>
      <c r="E661" s="54">
        <v>284.24520000000001</v>
      </c>
      <c r="F661" s="54">
        <v>483.2168400000001</v>
      </c>
      <c r="G661" s="54">
        <v>312.66971999999998</v>
      </c>
      <c r="H661" s="54">
        <v>369.51876000000004</v>
      </c>
      <c r="I661" s="54">
        <v>255.82067999999998</v>
      </c>
      <c r="J661" s="54">
        <v>85.273560000000003</v>
      </c>
      <c r="K661" s="54">
        <v>312.66971999999998</v>
      </c>
      <c r="L661" s="54">
        <v>113.69808</v>
      </c>
      <c r="M661" s="54">
        <f t="shared" si="10"/>
        <v>665.54800000000023</v>
      </c>
      <c r="N661" s="55">
        <v>3508</v>
      </c>
      <c r="O661" s="54">
        <v>109</v>
      </c>
      <c r="P661" s="54">
        <v>0</v>
      </c>
      <c r="Q661" s="54">
        <v>770</v>
      </c>
      <c r="R661" s="54">
        <v>513</v>
      </c>
      <c r="S661" s="54">
        <v>313</v>
      </c>
      <c r="T661" s="54">
        <v>316</v>
      </c>
      <c r="U661" s="54">
        <v>112</v>
      </c>
      <c r="V661" s="54">
        <v>333</v>
      </c>
      <c r="W661" s="54">
        <v>935</v>
      </c>
      <c r="X661" s="54">
        <v>107</v>
      </c>
    </row>
    <row r="662" spans="1:24">
      <c r="A662" s="52">
        <v>46129</v>
      </c>
      <c r="B662" s="53" t="s">
        <v>336</v>
      </c>
      <c r="C662" s="54">
        <v>312.66971999999998</v>
      </c>
      <c r="D662" s="54">
        <v>312.66971999999998</v>
      </c>
      <c r="E662" s="54">
        <v>284.24520000000001</v>
      </c>
      <c r="F662" s="54">
        <v>483.2168400000001</v>
      </c>
      <c r="G662" s="54">
        <v>312.66971999999998</v>
      </c>
      <c r="H662" s="54">
        <v>369.51876000000004</v>
      </c>
      <c r="I662" s="54">
        <v>255.82067999999998</v>
      </c>
      <c r="J662" s="54">
        <v>85.273560000000003</v>
      </c>
      <c r="K662" s="54">
        <v>312.66971999999998</v>
      </c>
      <c r="L662" s="54">
        <v>113.69808</v>
      </c>
      <c r="M662" s="54">
        <f t="shared" si="10"/>
        <v>665.54800000000023</v>
      </c>
      <c r="N662" s="55">
        <v>3508</v>
      </c>
      <c r="O662" s="54">
        <v>109</v>
      </c>
      <c r="P662" s="54">
        <v>0</v>
      </c>
      <c r="Q662" s="54">
        <v>770</v>
      </c>
      <c r="R662" s="54">
        <v>513</v>
      </c>
      <c r="S662" s="54">
        <v>313</v>
      </c>
      <c r="T662" s="54">
        <v>316</v>
      </c>
      <c r="U662" s="54">
        <v>112</v>
      </c>
      <c r="V662" s="54">
        <v>333</v>
      </c>
      <c r="W662" s="54">
        <v>935</v>
      </c>
      <c r="X662" s="54">
        <v>107</v>
      </c>
    </row>
    <row r="663" spans="1:24">
      <c r="A663" s="52">
        <v>46130</v>
      </c>
      <c r="B663" s="53" t="s">
        <v>336</v>
      </c>
      <c r="C663" s="54">
        <v>348.63839999999999</v>
      </c>
      <c r="D663" s="54">
        <v>348.63839999999999</v>
      </c>
      <c r="E663" s="54">
        <v>316.94400000000002</v>
      </c>
      <c r="F663" s="54">
        <v>538.8048</v>
      </c>
      <c r="G663" s="54">
        <v>348.63839999999999</v>
      </c>
      <c r="H663" s="54">
        <v>412.02720000000005</v>
      </c>
      <c r="I663" s="54">
        <v>285.24959999999999</v>
      </c>
      <c r="J663" s="54">
        <v>95.083200000000005</v>
      </c>
      <c r="K663" s="54">
        <v>348.63839999999999</v>
      </c>
      <c r="L663" s="54">
        <v>126.77760000000001</v>
      </c>
      <c r="M663" s="54">
        <f t="shared" si="10"/>
        <v>744.56</v>
      </c>
      <c r="N663" s="55">
        <v>3914</v>
      </c>
      <c r="O663" s="54">
        <v>125</v>
      </c>
      <c r="P663" s="54">
        <v>0</v>
      </c>
      <c r="Q663" s="54">
        <v>886</v>
      </c>
      <c r="R663" s="54">
        <v>590</v>
      </c>
      <c r="S663" s="54">
        <v>360</v>
      </c>
      <c r="T663" s="54">
        <v>364</v>
      </c>
      <c r="U663" s="54">
        <v>130</v>
      </c>
      <c r="V663" s="54">
        <v>384</v>
      </c>
      <c r="W663" s="54">
        <v>1075</v>
      </c>
      <c r="X663" s="54">
        <v>0</v>
      </c>
    </row>
    <row r="664" spans="1:24">
      <c r="A664" s="52">
        <v>46131</v>
      </c>
      <c r="B664" s="53" t="s">
        <v>336</v>
      </c>
      <c r="C664" s="54">
        <v>348.63839999999999</v>
      </c>
      <c r="D664" s="54">
        <v>348.63839999999999</v>
      </c>
      <c r="E664" s="54">
        <v>316.94400000000002</v>
      </c>
      <c r="F664" s="54">
        <v>538.8048</v>
      </c>
      <c r="G664" s="54">
        <v>348.63839999999999</v>
      </c>
      <c r="H664" s="54">
        <v>412.02720000000005</v>
      </c>
      <c r="I664" s="54">
        <v>285.24959999999999</v>
      </c>
      <c r="J664" s="54">
        <v>95.083200000000005</v>
      </c>
      <c r="K664" s="54">
        <v>348.63839999999999</v>
      </c>
      <c r="L664" s="54">
        <v>126.77760000000001</v>
      </c>
      <c r="M664" s="54">
        <f t="shared" si="10"/>
        <v>744.56</v>
      </c>
      <c r="N664" s="55">
        <v>3914</v>
      </c>
      <c r="O664" s="54">
        <v>125</v>
      </c>
      <c r="P664" s="54">
        <v>0</v>
      </c>
      <c r="Q664" s="54">
        <v>886</v>
      </c>
      <c r="R664" s="54">
        <v>590</v>
      </c>
      <c r="S664" s="54">
        <v>360</v>
      </c>
      <c r="T664" s="54">
        <v>364</v>
      </c>
      <c r="U664" s="54">
        <v>130</v>
      </c>
      <c r="V664" s="54">
        <v>384</v>
      </c>
      <c r="W664" s="54">
        <v>1075</v>
      </c>
      <c r="X664" s="54">
        <v>0</v>
      </c>
    </row>
    <row r="665" spans="1:24">
      <c r="A665" s="52">
        <v>46132</v>
      </c>
      <c r="B665" s="53" t="s">
        <v>336</v>
      </c>
      <c r="C665" s="54">
        <v>312.66971999999998</v>
      </c>
      <c r="D665" s="54">
        <v>312.66971999999998</v>
      </c>
      <c r="E665" s="54">
        <v>284.24520000000001</v>
      </c>
      <c r="F665" s="54">
        <v>483.2168400000001</v>
      </c>
      <c r="G665" s="54">
        <v>312.66971999999998</v>
      </c>
      <c r="H665" s="54">
        <v>369.51876000000004</v>
      </c>
      <c r="I665" s="54">
        <v>255.82067999999998</v>
      </c>
      <c r="J665" s="54">
        <v>85.273560000000003</v>
      </c>
      <c r="K665" s="54">
        <v>312.66971999999998</v>
      </c>
      <c r="L665" s="54">
        <v>113.69808</v>
      </c>
      <c r="M665" s="54">
        <f t="shared" si="10"/>
        <v>665.54800000000023</v>
      </c>
      <c r="N665" s="55">
        <v>3508</v>
      </c>
      <c r="O665" s="54">
        <v>109</v>
      </c>
      <c r="P665" s="54">
        <v>0</v>
      </c>
      <c r="Q665" s="54">
        <v>770</v>
      </c>
      <c r="R665" s="54">
        <v>513</v>
      </c>
      <c r="S665" s="54">
        <v>313</v>
      </c>
      <c r="T665" s="54">
        <v>316</v>
      </c>
      <c r="U665" s="54">
        <v>112</v>
      </c>
      <c r="V665" s="54">
        <v>333</v>
      </c>
      <c r="W665" s="54">
        <v>935</v>
      </c>
      <c r="X665" s="54">
        <v>107</v>
      </c>
    </row>
    <row r="666" spans="1:24">
      <c r="A666" s="52">
        <v>46133</v>
      </c>
      <c r="B666" s="53" t="s">
        <v>336</v>
      </c>
      <c r="C666" s="54">
        <v>312.66971999999998</v>
      </c>
      <c r="D666" s="54">
        <v>312.66971999999998</v>
      </c>
      <c r="E666" s="54">
        <v>284.24520000000001</v>
      </c>
      <c r="F666" s="54">
        <v>483.2168400000001</v>
      </c>
      <c r="G666" s="54">
        <v>312.66971999999998</v>
      </c>
      <c r="H666" s="54">
        <v>369.51876000000004</v>
      </c>
      <c r="I666" s="54">
        <v>255.82067999999998</v>
      </c>
      <c r="J666" s="54">
        <v>85.273560000000003</v>
      </c>
      <c r="K666" s="54">
        <v>312.66971999999998</v>
      </c>
      <c r="L666" s="54">
        <v>113.69808</v>
      </c>
      <c r="M666" s="54">
        <f t="shared" si="10"/>
        <v>665.54800000000023</v>
      </c>
      <c r="N666" s="55">
        <v>3508</v>
      </c>
      <c r="O666" s="54">
        <v>109</v>
      </c>
      <c r="P666" s="54">
        <v>0</v>
      </c>
      <c r="Q666" s="54">
        <v>770</v>
      </c>
      <c r="R666" s="54">
        <v>513</v>
      </c>
      <c r="S666" s="54">
        <v>313</v>
      </c>
      <c r="T666" s="54">
        <v>316</v>
      </c>
      <c r="U666" s="54">
        <v>112</v>
      </c>
      <c r="V666" s="54">
        <v>333</v>
      </c>
      <c r="W666" s="54">
        <v>935</v>
      </c>
      <c r="X666" s="54">
        <v>107</v>
      </c>
    </row>
    <row r="667" spans="1:24">
      <c r="A667" s="52">
        <v>46134</v>
      </c>
      <c r="B667" s="53" t="s">
        <v>336</v>
      </c>
      <c r="C667" s="54">
        <v>312.66971999999998</v>
      </c>
      <c r="D667" s="54">
        <v>312.66971999999998</v>
      </c>
      <c r="E667" s="54">
        <v>284.24520000000001</v>
      </c>
      <c r="F667" s="54">
        <v>483.2168400000001</v>
      </c>
      <c r="G667" s="54">
        <v>312.66971999999998</v>
      </c>
      <c r="H667" s="54">
        <v>369.51876000000004</v>
      </c>
      <c r="I667" s="54">
        <v>255.82067999999998</v>
      </c>
      <c r="J667" s="54">
        <v>85.273560000000003</v>
      </c>
      <c r="K667" s="54">
        <v>312.66971999999998</v>
      </c>
      <c r="L667" s="54">
        <v>113.69808</v>
      </c>
      <c r="M667" s="54">
        <f t="shared" si="10"/>
        <v>665.54800000000023</v>
      </c>
      <c r="N667" s="55">
        <v>3508</v>
      </c>
      <c r="O667" s="54">
        <v>109</v>
      </c>
      <c r="P667" s="54">
        <v>0</v>
      </c>
      <c r="Q667" s="54">
        <v>770</v>
      </c>
      <c r="R667" s="54">
        <v>513</v>
      </c>
      <c r="S667" s="54">
        <v>313</v>
      </c>
      <c r="T667" s="54">
        <v>316</v>
      </c>
      <c r="U667" s="54">
        <v>112</v>
      </c>
      <c r="V667" s="54">
        <v>333</v>
      </c>
      <c r="W667" s="54">
        <v>935</v>
      </c>
      <c r="X667" s="54">
        <v>107</v>
      </c>
    </row>
    <row r="668" spans="1:24">
      <c r="A668" s="52">
        <v>46135</v>
      </c>
      <c r="B668" s="53" t="s">
        <v>336</v>
      </c>
      <c r="C668" s="54">
        <v>312.66971999999998</v>
      </c>
      <c r="D668" s="54">
        <v>312.66971999999998</v>
      </c>
      <c r="E668" s="54">
        <v>284.24520000000001</v>
      </c>
      <c r="F668" s="54">
        <v>483.2168400000001</v>
      </c>
      <c r="G668" s="54">
        <v>312.66971999999998</v>
      </c>
      <c r="H668" s="54">
        <v>369.51876000000004</v>
      </c>
      <c r="I668" s="54">
        <v>255.82067999999998</v>
      </c>
      <c r="J668" s="54">
        <v>85.273560000000003</v>
      </c>
      <c r="K668" s="54">
        <v>312.66971999999998</v>
      </c>
      <c r="L668" s="54">
        <v>113.69808</v>
      </c>
      <c r="M668" s="54">
        <f t="shared" si="10"/>
        <v>665.54800000000023</v>
      </c>
      <c r="N668" s="55">
        <v>3508</v>
      </c>
      <c r="O668" s="54">
        <v>109</v>
      </c>
      <c r="P668" s="54">
        <v>0</v>
      </c>
      <c r="Q668" s="54">
        <v>770</v>
      </c>
      <c r="R668" s="54">
        <v>513</v>
      </c>
      <c r="S668" s="54">
        <v>313</v>
      </c>
      <c r="T668" s="54">
        <v>316</v>
      </c>
      <c r="U668" s="54">
        <v>112</v>
      </c>
      <c r="V668" s="54">
        <v>333</v>
      </c>
      <c r="W668" s="54">
        <v>935</v>
      </c>
      <c r="X668" s="54">
        <v>107</v>
      </c>
    </row>
    <row r="669" spans="1:24">
      <c r="A669" s="52">
        <v>46136</v>
      </c>
      <c r="B669" s="53" t="s">
        <v>336</v>
      </c>
      <c r="C669" s="54">
        <v>312.66971999999998</v>
      </c>
      <c r="D669" s="54">
        <v>312.66971999999998</v>
      </c>
      <c r="E669" s="54">
        <v>284.24520000000001</v>
      </c>
      <c r="F669" s="54">
        <v>483.2168400000001</v>
      </c>
      <c r="G669" s="54">
        <v>312.66971999999998</v>
      </c>
      <c r="H669" s="54">
        <v>369.51876000000004</v>
      </c>
      <c r="I669" s="54">
        <v>255.82067999999998</v>
      </c>
      <c r="J669" s="54">
        <v>85.273560000000003</v>
      </c>
      <c r="K669" s="54">
        <v>312.66971999999998</v>
      </c>
      <c r="L669" s="54">
        <v>113.69808</v>
      </c>
      <c r="M669" s="54">
        <f t="shared" si="10"/>
        <v>665.54800000000023</v>
      </c>
      <c r="N669" s="55">
        <v>3508</v>
      </c>
      <c r="O669" s="54">
        <v>109</v>
      </c>
      <c r="P669" s="54">
        <v>0</v>
      </c>
      <c r="Q669" s="54">
        <v>770</v>
      </c>
      <c r="R669" s="54">
        <v>513</v>
      </c>
      <c r="S669" s="54">
        <v>313</v>
      </c>
      <c r="T669" s="54">
        <v>316</v>
      </c>
      <c r="U669" s="54">
        <v>112</v>
      </c>
      <c r="V669" s="54">
        <v>333</v>
      </c>
      <c r="W669" s="54">
        <v>935</v>
      </c>
      <c r="X669" s="54">
        <v>107</v>
      </c>
    </row>
    <row r="670" spans="1:24">
      <c r="A670" s="52">
        <v>46137</v>
      </c>
      <c r="B670" s="53" t="s">
        <v>336</v>
      </c>
      <c r="C670" s="54">
        <v>348.69978000000003</v>
      </c>
      <c r="D670" s="54">
        <v>348.69978000000003</v>
      </c>
      <c r="E670" s="54">
        <v>316.99980000000005</v>
      </c>
      <c r="F670" s="54">
        <v>538.89966000000015</v>
      </c>
      <c r="G670" s="54">
        <v>348.69978000000003</v>
      </c>
      <c r="H670" s="54">
        <v>412.09974000000005</v>
      </c>
      <c r="I670" s="54">
        <v>285.29982000000007</v>
      </c>
      <c r="J670" s="54">
        <v>95.099940000000004</v>
      </c>
      <c r="K670" s="54">
        <v>348.69978000000003</v>
      </c>
      <c r="L670" s="54">
        <v>126.79992000000003</v>
      </c>
      <c r="M670" s="54">
        <f t="shared" si="10"/>
        <v>745.0019999999995</v>
      </c>
      <c r="N670" s="55">
        <v>3915</v>
      </c>
      <c r="O670" s="54">
        <v>125</v>
      </c>
      <c r="P670" s="54">
        <v>1</v>
      </c>
      <c r="Q670" s="54">
        <v>886</v>
      </c>
      <c r="R670" s="54">
        <v>590</v>
      </c>
      <c r="S670" s="54">
        <v>360</v>
      </c>
      <c r="T670" s="54">
        <v>364</v>
      </c>
      <c r="U670" s="54">
        <v>130</v>
      </c>
      <c r="V670" s="54">
        <v>384</v>
      </c>
      <c r="W670" s="54">
        <v>1075</v>
      </c>
      <c r="X670" s="54">
        <v>0</v>
      </c>
    </row>
    <row r="671" spans="1:24">
      <c r="A671" s="52">
        <v>46138</v>
      </c>
      <c r="B671" s="53" t="s">
        <v>336</v>
      </c>
      <c r="C671" s="54">
        <v>348.69978000000003</v>
      </c>
      <c r="D671" s="54">
        <v>348.69978000000003</v>
      </c>
      <c r="E671" s="54">
        <v>316.99980000000005</v>
      </c>
      <c r="F671" s="54">
        <v>538.89966000000015</v>
      </c>
      <c r="G671" s="54">
        <v>348.69978000000003</v>
      </c>
      <c r="H671" s="54">
        <v>412.09974000000005</v>
      </c>
      <c r="I671" s="54">
        <v>285.29982000000007</v>
      </c>
      <c r="J671" s="54">
        <v>95.099940000000004</v>
      </c>
      <c r="K671" s="54">
        <v>348.69978000000003</v>
      </c>
      <c r="L671" s="54">
        <v>126.79992000000003</v>
      </c>
      <c r="M671" s="54">
        <f t="shared" si="10"/>
        <v>745.0019999999995</v>
      </c>
      <c r="N671" s="55">
        <v>3915</v>
      </c>
      <c r="O671" s="54">
        <v>125</v>
      </c>
      <c r="P671" s="54">
        <v>1</v>
      </c>
      <c r="Q671" s="54">
        <v>886</v>
      </c>
      <c r="R671" s="54">
        <v>590</v>
      </c>
      <c r="S671" s="54">
        <v>360</v>
      </c>
      <c r="T671" s="54">
        <v>364</v>
      </c>
      <c r="U671" s="54">
        <v>130</v>
      </c>
      <c r="V671" s="54">
        <v>384</v>
      </c>
      <c r="W671" s="54">
        <v>1075</v>
      </c>
      <c r="X671" s="54">
        <v>0</v>
      </c>
    </row>
    <row r="672" spans="1:24">
      <c r="A672" s="52">
        <v>46139</v>
      </c>
      <c r="B672" s="53" t="s">
        <v>336</v>
      </c>
      <c r="C672" s="54">
        <v>312.73109999999997</v>
      </c>
      <c r="D672" s="54">
        <v>312.73109999999997</v>
      </c>
      <c r="E672" s="54">
        <v>284.30099999999999</v>
      </c>
      <c r="F672" s="54">
        <v>483.31169999999997</v>
      </c>
      <c r="G672" s="54">
        <v>312.73109999999997</v>
      </c>
      <c r="H672" s="54">
        <v>369.59130000000005</v>
      </c>
      <c r="I672" s="54">
        <v>255.87089999999995</v>
      </c>
      <c r="J672" s="54">
        <v>85.290300000000002</v>
      </c>
      <c r="K672" s="54">
        <v>312.73109999999997</v>
      </c>
      <c r="L672" s="54">
        <v>113.7204</v>
      </c>
      <c r="M672" s="54">
        <f t="shared" si="10"/>
        <v>665.99000000000024</v>
      </c>
      <c r="N672" s="55">
        <v>3509</v>
      </c>
      <c r="O672" s="54">
        <v>109</v>
      </c>
      <c r="P672" s="54">
        <v>1</v>
      </c>
      <c r="Q672" s="54">
        <v>770</v>
      </c>
      <c r="R672" s="54">
        <v>513</v>
      </c>
      <c r="S672" s="54">
        <v>313</v>
      </c>
      <c r="T672" s="54">
        <v>316</v>
      </c>
      <c r="U672" s="54">
        <v>112</v>
      </c>
      <c r="V672" s="54">
        <v>333</v>
      </c>
      <c r="W672" s="54">
        <v>935</v>
      </c>
      <c r="X672" s="54">
        <v>107</v>
      </c>
    </row>
    <row r="673" spans="1:24">
      <c r="A673" s="52">
        <v>46140</v>
      </c>
      <c r="B673" s="53" t="s">
        <v>336</v>
      </c>
      <c r="C673" s="54">
        <v>312.73109999999997</v>
      </c>
      <c r="D673" s="54">
        <v>312.73109999999997</v>
      </c>
      <c r="E673" s="54">
        <v>284.30099999999999</v>
      </c>
      <c r="F673" s="54">
        <v>483.31169999999997</v>
      </c>
      <c r="G673" s="54">
        <v>312.73109999999997</v>
      </c>
      <c r="H673" s="54">
        <v>369.59130000000005</v>
      </c>
      <c r="I673" s="54">
        <v>255.87089999999995</v>
      </c>
      <c r="J673" s="54">
        <v>85.290300000000002</v>
      </c>
      <c r="K673" s="54">
        <v>312.73109999999997</v>
      </c>
      <c r="L673" s="54">
        <v>113.7204</v>
      </c>
      <c r="M673" s="54">
        <f t="shared" si="10"/>
        <v>665.99000000000024</v>
      </c>
      <c r="N673" s="55">
        <v>3509</v>
      </c>
      <c r="O673" s="54">
        <v>109</v>
      </c>
      <c r="P673" s="54">
        <v>1</v>
      </c>
      <c r="Q673" s="54">
        <v>770</v>
      </c>
      <c r="R673" s="54">
        <v>513</v>
      </c>
      <c r="S673" s="54">
        <v>313</v>
      </c>
      <c r="T673" s="54">
        <v>316</v>
      </c>
      <c r="U673" s="54">
        <v>112</v>
      </c>
      <c r="V673" s="54">
        <v>333</v>
      </c>
      <c r="W673" s="54">
        <v>935</v>
      </c>
      <c r="X673" s="54">
        <v>107</v>
      </c>
    </row>
    <row r="674" spans="1:24">
      <c r="A674" s="52">
        <v>46141</v>
      </c>
      <c r="B674" s="53" t="s">
        <v>336</v>
      </c>
      <c r="C674" s="54">
        <v>312.73109999999997</v>
      </c>
      <c r="D674" s="54">
        <v>312.73109999999997</v>
      </c>
      <c r="E674" s="54">
        <v>284.30099999999999</v>
      </c>
      <c r="F674" s="54">
        <v>483.31169999999997</v>
      </c>
      <c r="G674" s="54">
        <v>312.73109999999997</v>
      </c>
      <c r="H674" s="54">
        <v>369.59130000000005</v>
      </c>
      <c r="I674" s="54">
        <v>255.87089999999995</v>
      </c>
      <c r="J674" s="54">
        <v>85.290300000000002</v>
      </c>
      <c r="K674" s="54">
        <v>312.73109999999997</v>
      </c>
      <c r="L674" s="54">
        <v>113.7204</v>
      </c>
      <c r="M674" s="54">
        <f t="shared" si="10"/>
        <v>665.99000000000024</v>
      </c>
      <c r="N674" s="55">
        <v>3509</v>
      </c>
      <c r="O674" s="54">
        <v>109</v>
      </c>
      <c r="P674" s="54">
        <v>1</v>
      </c>
      <c r="Q674" s="54">
        <v>770</v>
      </c>
      <c r="R674" s="54">
        <v>513</v>
      </c>
      <c r="S674" s="54">
        <v>313</v>
      </c>
      <c r="T674" s="54">
        <v>316</v>
      </c>
      <c r="U674" s="54">
        <v>112</v>
      </c>
      <c r="V674" s="54">
        <v>333</v>
      </c>
      <c r="W674" s="54">
        <v>935</v>
      </c>
      <c r="X674" s="54">
        <v>107</v>
      </c>
    </row>
    <row r="675" spans="1:24">
      <c r="A675" s="52">
        <v>46142</v>
      </c>
      <c r="B675" s="53" t="s">
        <v>336</v>
      </c>
      <c r="C675" s="54">
        <v>314.32698000000005</v>
      </c>
      <c r="D675" s="54">
        <v>314.32698000000005</v>
      </c>
      <c r="E675" s="54">
        <v>285.7518</v>
      </c>
      <c r="F675" s="54">
        <v>485.7780600000001</v>
      </c>
      <c r="G675" s="54">
        <v>314.32698000000005</v>
      </c>
      <c r="H675" s="54">
        <v>371.47734000000003</v>
      </c>
      <c r="I675" s="54">
        <v>257.17662000000001</v>
      </c>
      <c r="J675" s="54">
        <v>85.725540000000009</v>
      </c>
      <c r="K675" s="54">
        <v>314.32698000000005</v>
      </c>
      <c r="L675" s="54">
        <v>114.30072</v>
      </c>
      <c r="M675" s="54">
        <f t="shared" si="10"/>
        <v>683.48199999999906</v>
      </c>
      <c r="N675" s="55">
        <v>3541</v>
      </c>
      <c r="O675" s="54">
        <v>110</v>
      </c>
      <c r="P675" s="54">
        <v>0</v>
      </c>
      <c r="Q675" s="54">
        <v>778</v>
      </c>
      <c r="R675" s="54">
        <v>501</v>
      </c>
      <c r="S675" s="54">
        <v>324</v>
      </c>
      <c r="T675" s="54">
        <v>323</v>
      </c>
      <c r="U675" s="54">
        <v>118</v>
      </c>
      <c r="V675" s="54">
        <v>341</v>
      </c>
      <c r="W675" s="54">
        <v>929</v>
      </c>
      <c r="X675" s="54">
        <v>117</v>
      </c>
    </row>
    <row r="676" spans="1:24">
      <c r="A676" s="52">
        <v>46143</v>
      </c>
      <c r="B676" s="53" t="s">
        <v>336</v>
      </c>
      <c r="C676" s="60">
        <v>737</v>
      </c>
      <c r="D676" s="60">
        <v>769</v>
      </c>
      <c r="E676" s="60">
        <v>601</v>
      </c>
      <c r="F676" s="60">
        <v>1359</v>
      </c>
      <c r="G676" s="60">
        <v>808</v>
      </c>
      <c r="H676" s="60">
        <v>994</v>
      </c>
      <c r="I676" s="60">
        <v>593</v>
      </c>
      <c r="J676" s="60">
        <v>213</v>
      </c>
      <c r="K676" s="60">
        <v>690</v>
      </c>
      <c r="L676" s="60">
        <v>289</v>
      </c>
      <c r="M676" s="54">
        <f t="shared" si="10"/>
        <v>1055</v>
      </c>
      <c r="N676" s="55">
        <v>8108</v>
      </c>
      <c r="O676" s="60">
        <v>165</v>
      </c>
      <c r="P676" s="60">
        <v>1</v>
      </c>
      <c r="Q676" s="60">
        <v>2096</v>
      </c>
      <c r="R676" s="60">
        <v>543</v>
      </c>
      <c r="S676" s="60">
        <v>762</v>
      </c>
      <c r="T676" s="60">
        <v>1104</v>
      </c>
      <c r="U676" s="60">
        <v>338</v>
      </c>
      <c r="V676" s="60">
        <v>1090</v>
      </c>
      <c r="W676" s="60">
        <v>1831</v>
      </c>
      <c r="X676" s="60">
        <v>178</v>
      </c>
    </row>
    <row r="677" spans="1:24">
      <c r="A677" s="52">
        <v>46144</v>
      </c>
      <c r="B677" s="53" t="s">
        <v>336</v>
      </c>
      <c r="C677" s="60">
        <v>737</v>
      </c>
      <c r="D677" s="60">
        <v>769</v>
      </c>
      <c r="E677" s="60">
        <v>601</v>
      </c>
      <c r="F677" s="60">
        <v>1359</v>
      </c>
      <c r="G677" s="60">
        <v>808</v>
      </c>
      <c r="H677" s="60">
        <v>994</v>
      </c>
      <c r="I677" s="60">
        <v>593</v>
      </c>
      <c r="J677" s="60">
        <v>213</v>
      </c>
      <c r="K677" s="60">
        <v>690</v>
      </c>
      <c r="L677" s="60">
        <v>289</v>
      </c>
      <c r="M677" s="54">
        <f t="shared" si="10"/>
        <v>1055</v>
      </c>
      <c r="N677" s="55">
        <v>8108</v>
      </c>
      <c r="O677" s="60">
        <v>165</v>
      </c>
      <c r="P677" s="60">
        <v>1</v>
      </c>
      <c r="Q677" s="60">
        <v>2096</v>
      </c>
      <c r="R677" s="60">
        <v>543</v>
      </c>
      <c r="S677" s="60">
        <v>762</v>
      </c>
      <c r="T677" s="60">
        <v>1104</v>
      </c>
      <c r="U677" s="60">
        <v>338</v>
      </c>
      <c r="V677" s="60">
        <v>1090</v>
      </c>
      <c r="W677" s="60">
        <v>1831</v>
      </c>
      <c r="X677" s="60">
        <v>178</v>
      </c>
    </row>
    <row r="678" spans="1:24">
      <c r="A678" s="52">
        <v>46145</v>
      </c>
      <c r="B678" s="53" t="s">
        <v>336</v>
      </c>
      <c r="C678" s="60">
        <v>737</v>
      </c>
      <c r="D678" s="60">
        <v>769</v>
      </c>
      <c r="E678" s="60">
        <v>601</v>
      </c>
      <c r="F678" s="60">
        <v>1359</v>
      </c>
      <c r="G678" s="60">
        <v>808</v>
      </c>
      <c r="H678" s="60">
        <v>994</v>
      </c>
      <c r="I678" s="60">
        <v>593</v>
      </c>
      <c r="J678" s="60">
        <v>213</v>
      </c>
      <c r="K678" s="60">
        <v>690</v>
      </c>
      <c r="L678" s="60">
        <v>289</v>
      </c>
      <c r="M678" s="54">
        <f t="shared" si="10"/>
        <v>1055</v>
      </c>
      <c r="N678" s="55">
        <v>8108</v>
      </c>
      <c r="O678" s="60">
        <v>165</v>
      </c>
      <c r="P678" s="60">
        <v>1</v>
      </c>
      <c r="Q678" s="60">
        <v>2096</v>
      </c>
      <c r="R678" s="60">
        <v>543</v>
      </c>
      <c r="S678" s="60">
        <v>762</v>
      </c>
      <c r="T678" s="60">
        <v>1104</v>
      </c>
      <c r="U678" s="60">
        <v>338</v>
      </c>
      <c r="V678" s="60">
        <v>1090</v>
      </c>
      <c r="W678" s="60">
        <v>1831</v>
      </c>
      <c r="X678" s="60">
        <v>178</v>
      </c>
    </row>
    <row r="679" spans="1:24">
      <c r="A679" s="52">
        <v>46146</v>
      </c>
      <c r="B679" s="53" t="s">
        <v>336</v>
      </c>
      <c r="C679" s="60">
        <v>737</v>
      </c>
      <c r="D679" s="60">
        <v>769</v>
      </c>
      <c r="E679" s="60">
        <v>601</v>
      </c>
      <c r="F679" s="60">
        <v>1359</v>
      </c>
      <c r="G679" s="60">
        <v>808</v>
      </c>
      <c r="H679" s="60">
        <v>994</v>
      </c>
      <c r="I679" s="60">
        <v>593</v>
      </c>
      <c r="J679" s="60">
        <v>213</v>
      </c>
      <c r="K679" s="60">
        <v>690</v>
      </c>
      <c r="L679" s="60">
        <v>289</v>
      </c>
      <c r="M679" s="54">
        <f t="shared" si="10"/>
        <v>1055</v>
      </c>
      <c r="N679" s="55">
        <v>8108</v>
      </c>
      <c r="O679" s="60">
        <v>165</v>
      </c>
      <c r="P679" s="60">
        <v>1</v>
      </c>
      <c r="Q679" s="60">
        <v>2096</v>
      </c>
      <c r="R679" s="60">
        <v>543</v>
      </c>
      <c r="S679" s="60">
        <v>762</v>
      </c>
      <c r="T679" s="60">
        <v>1104</v>
      </c>
      <c r="U679" s="60">
        <v>338</v>
      </c>
      <c r="V679" s="60">
        <v>1090</v>
      </c>
      <c r="W679" s="60">
        <v>1831</v>
      </c>
      <c r="X679" s="60">
        <v>178</v>
      </c>
    </row>
    <row r="680" spans="1:24">
      <c r="A680" s="52">
        <v>46147</v>
      </c>
      <c r="B680" s="53" t="s">
        <v>336</v>
      </c>
      <c r="C680" s="60">
        <v>737</v>
      </c>
      <c r="D680" s="60">
        <v>769</v>
      </c>
      <c r="E680" s="60">
        <v>601</v>
      </c>
      <c r="F680" s="60">
        <v>1359</v>
      </c>
      <c r="G680" s="60">
        <v>808</v>
      </c>
      <c r="H680" s="60">
        <v>994</v>
      </c>
      <c r="I680" s="60">
        <v>593</v>
      </c>
      <c r="J680" s="60">
        <v>213</v>
      </c>
      <c r="K680" s="60">
        <v>690</v>
      </c>
      <c r="L680" s="60">
        <v>289</v>
      </c>
      <c r="M680" s="54">
        <f t="shared" si="10"/>
        <v>1055</v>
      </c>
      <c r="N680" s="55">
        <v>8108</v>
      </c>
      <c r="O680" s="60">
        <v>165</v>
      </c>
      <c r="P680" s="60">
        <v>1</v>
      </c>
      <c r="Q680" s="60">
        <v>2096</v>
      </c>
      <c r="R680" s="60">
        <v>543</v>
      </c>
      <c r="S680" s="60">
        <v>762</v>
      </c>
      <c r="T680" s="60">
        <v>1104</v>
      </c>
      <c r="U680" s="60">
        <v>338</v>
      </c>
      <c r="V680" s="60">
        <v>1090</v>
      </c>
      <c r="W680" s="60">
        <v>1831</v>
      </c>
      <c r="X680" s="60">
        <v>178</v>
      </c>
    </row>
    <row r="681" spans="1:24">
      <c r="A681" s="52">
        <v>46148</v>
      </c>
      <c r="B681" s="53" t="s">
        <v>336</v>
      </c>
      <c r="C681" s="60">
        <v>275</v>
      </c>
      <c r="D681" s="60">
        <v>287</v>
      </c>
      <c r="E681" s="60">
        <v>224</v>
      </c>
      <c r="F681" s="60">
        <v>507</v>
      </c>
      <c r="G681" s="60">
        <v>302</v>
      </c>
      <c r="H681" s="60">
        <v>371</v>
      </c>
      <c r="I681" s="60">
        <v>221</v>
      </c>
      <c r="J681" s="60">
        <v>80</v>
      </c>
      <c r="K681" s="60">
        <v>258</v>
      </c>
      <c r="L681" s="60">
        <v>108</v>
      </c>
      <c r="M681" s="54">
        <f t="shared" si="10"/>
        <v>394</v>
      </c>
      <c r="N681" s="55">
        <v>3027</v>
      </c>
      <c r="O681" s="60">
        <v>62</v>
      </c>
      <c r="P681" s="60">
        <v>0</v>
      </c>
      <c r="Q681" s="60">
        <v>782</v>
      </c>
      <c r="R681" s="60">
        <v>203</v>
      </c>
      <c r="S681" s="60">
        <v>284</v>
      </c>
      <c r="T681" s="60">
        <v>412</v>
      </c>
      <c r="U681" s="60">
        <v>126</v>
      </c>
      <c r="V681" s="60">
        <v>407</v>
      </c>
      <c r="W681" s="60">
        <v>684</v>
      </c>
      <c r="X681" s="60">
        <v>67</v>
      </c>
    </row>
    <row r="682" spans="1:24">
      <c r="A682" s="52">
        <v>46149</v>
      </c>
      <c r="B682" s="53" t="s">
        <v>336</v>
      </c>
      <c r="C682" s="60">
        <v>275</v>
      </c>
      <c r="D682" s="60">
        <v>287</v>
      </c>
      <c r="E682" s="60">
        <v>224</v>
      </c>
      <c r="F682" s="60">
        <v>507</v>
      </c>
      <c r="G682" s="60">
        <v>302</v>
      </c>
      <c r="H682" s="60">
        <v>371</v>
      </c>
      <c r="I682" s="60">
        <v>221</v>
      </c>
      <c r="J682" s="60">
        <v>80</v>
      </c>
      <c r="K682" s="60">
        <v>258</v>
      </c>
      <c r="L682" s="60">
        <v>108</v>
      </c>
      <c r="M682" s="54">
        <f t="shared" si="10"/>
        <v>394</v>
      </c>
      <c r="N682" s="55">
        <v>3027</v>
      </c>
      <c r="O682" s="60">
        <v>62</v>
      </c>
      <c r="P682" s="60">
        <v>0</v>
      </c>
      <c r="Q682" s="60">
        <v>782</v>
      </c>
      <c r="R682" s="60">
        <v>203</v>
      </c>
      <c r="S682" s="60">
        <v>284</v>
      </c>
      <c r="T682" s="60">
        <v>412</v>
      </c>
      <c r="U682" s="60">
        <v>126</v>
      </c>
      <c r="V682" s="60">
        <v>407</v>
      </c>
      <c r="W682" s="60">
        <v>684</v>
      </c>
      <c r="X682" s="60">
        <v>67</v>
      </c>
    </row>
    <row r="683" spans="1:24">
      <c r="A683" s="52">
        <v>46150</v>
      </c>
      <c r="B683" s="53" t="s">
        <v>336</v>
      </c>
      <c r="C683" s="60">
        <v>275</v>
      </c>
      <c r="D683" s="60">
        <v>287</v>
      </c>
      <c r="E683" s="60">
        <v>224</v>
      </c>
      <c r="F683" s="60">
        <v>507</v>
      </c>
      <c r="G683" s="60">
        <v>302</v>
      </c>
      <c r="H683" s="60">
        <v>371</v>
      </c>
      <c r="I683" s="60">
        <v>221</v>
      </c>
      <c r="J683" s="60">
        <v>80</v>
      </c>
      <c r="K683" s="60">
        <v>258</v>
      </c>
      <c r="L683" s="60">
        <v>108</v>
      </c>
      <c r="M683" s="54">
        <f t="shared" si="10"/>
        <v>394</v>
      </c>
      <c r="N683" s="55">
        <v>3027</v>
      </c>
      <c r="O683" s="60">
        <v>62</v>
      </c>
      <c r="P683" s="60">
        <v>0</v>
      </c>
      <c r="Q683" s="60">
        <v>782</v>
      </c>
      <c r="R683" s="60">
        <v>203</v>
      </c>
      <c r="S683" s="60">
        <v>284</v>
      </c>
      <c r="T683" s="60">
        <v>412</v>
      </c>
      <c r="U683" s="60">
        <v>126</v>
      </c>
      <c r="V683" s="60">
        <v>407</v>
      </c>
      <c r="W683" s="60">
        <v>684</v>
      </c>
      <c r="X683" s="60">
        <v>67</v>
      </c>
    </row>
    <row r="684" spans="1:24">
      <c r="A684" s="52">
        <v>46151</v>
      </c>
      <c r="B684" s="53" t="s">
        <v>336</v>
      </c>
      <c r="C684" s="60">
        <v>297</v>
      </c>
      <c r="D684" s="60">
        <v>310</v>
      </c>
      <c r="E684" s="60">
        <v>242</v>
      </c>
      <c r="F684" s="60">
        <v>548</v>
      </c>
      <c r="G684" s="60">
        <v>326</v>
      </c>
      <c r="H684" s="60">
        <v>401</v>
      </c>
      <c r="I684" s="60">
        <v>239</v>
      </c>
      <c r="J684" s="60">
        <v>86</v>
      </c>
      <c r="K684" s="60">
        <v>278</v>
      </c>
      <c r="L684" s="60">
        <v>117</v>
      </c>
      <c r="M684" s="54">
        <f t="shared" si="10"/>
        <v>426</v>
      </c>
      <c r="N684" s="55">
        <v>3270</v>
      </c>
      <c r="O684" s="60">
        <v>67</v>
      </c>
      <c r="P684" s="60">
        <v>0</v>
      </c>
      <c r="Q684" s="60">
        <v>845</v>
      </c>
      <c r="R684" s="60">
        <v>219</v>
      </c>
      <c r="S684" s="60">
        <v>307</v>
      </c>
      <c r="T684" s="60">
        <v>445</v>
      </c>
      <c r="U684" s="60">
        <v>136</v>
      </c>
      <c r="V684" s="60">
        <v>440</v>
      </c>
      <c r="W684" s="60">
        <v>739</v>
      </c>
      <c r="X684" s="60">
        <v>72</v>
      </c>
    </row>
    <row r="685" spans="1:24">
      <c r="A685" s="52">
        <v>46152</v>
      </c>
      <c r="B685" s="53" t="s">
        <v>336</v>
      </c>
      <c r="C685" s="60">
        <v>297</v>
      </c>
      <c r="D685" s="60">
        <v>310</v>
      </c>
      <c r="E685" s="60">
        <v>242</v>
      </c>
      <c r="F685" s="60">
        <v>548</v>
      </c>
      <c r="G685" s="60">
        <v>326</v>
      </c>
      <c r="H685" s="60">
        <v>401</v>
      </c>
      <c r="I685" s="60">
        <v>239</v>
      </c>
      <c r="J685" s="60">
        <v>86</v>
      </c>
      <c r="K685" s="60">
        <v>278</v>
      </c>
      <c r="L685" s="60">
        <v>117</v>
      </c>
      <c r="M685" s="54">
        <f t="shared" si="10"/>
        <v>426</v>
      </c>
      <c r="N685" s="55">
        <v>3270</v>
      </c>
      <c r="O685" s="60">
        <v>67</v>
      </c>
      <c r="P685" s="60">
        <v>0</v>
      </c>
      <c r="Q685" s="60">
        <v>845</v>
      </c>
      <c r="R685" s="60">
        <v>219</v>
      </c>
      <c r="S685" s="60">
        <v>307</v>
      </c>
      <c r="T685" s="60">
        <v>445</v>
      </c>
      <c r="U685" s="60">
        <v>136</v>
      </c>
      <c r="V685" s="60">
        <v>440</v>
      </c>
      <c r="W685" s="60">
        <v>739</v>
      </c>
      <c r="X685" s="60">
        <v>72</v>
      </c>
    </row>
    <row r="686" spans="1:24">
      <c r="A686" s="52">
        <v>46153</v>
      </c>
      <c r="B686" s="53" t="s">
        <v>336</v>
      </c>
      <c r="C686" s="60">
        <v>229</v>
      </c>
      <c r="D686" s="60">
        <v>239</v>
      </c>
      <c r="E686" s="60">
        <v>186</v>
      </c>
      <c r="F686" s="60">
        <v>421</v>
      </c>
      <c r="G686" s="60">
        <v>250</v>
      </c>
      <c r="H686" s="60">
        <v>308</v>
      </c>
      <c r="I686" s="60">
        <v>184</v>
      </c>
      <c r="J686" s="60">
        <v>66</v>
      </c>
      <c r="K686" s="60">
        <v>214</v>
      </c>
      <c r="L686" s="60">
        <v>90</v>
      </c>
      <c r="M686" s="54">
        <f t="shared" si="10"/>
        <v>327</v>
      </c>
      <c r="N686" s="55">
        <v>2514</v>
      </c>
      <c r="O686" s="60">
        <v>51</v>
      </c>
      <c r="P686" s="60">
        <v>1</v>
      </c>
      <c r="Q686" s="60">
        <v>650</v>
      </c>
      <c r="R686" s="60">
        <v>168</v>
      </c>
      <c r="S686" s="60">
        <v>236</v>
      </c>
      <c r="T686" s="60">
        <v>342</v>
      </c>
      <c r="U686" s="60">
        <v>105</v>
      </c>
      <c r="V686" s="60">
        <v>338</v>
      </c>
      <c r="W686" s="60">
        <v>568</v>
      </c>
      <c r="X686" s="60">
        <v>55</v>
      </c>
    </row>
    <row r="687" spans="1:24">
      <c r="A687" s="52">
        <v>46154</v>
      </c>
      <c r="B687" s="53" t="s">
        <v>336</v>
      </c>
      <c r="C687" s="60">
        <v>229</v>
      </c>
      <c r="D687" s="60">
        <v>239</v>
      </c>
      <c r="E687" s="60">
        <v>186</v>
      </c>
      <c r="F687" s="60">
        <v>421</v>
      </c>
      <c r="G687" s="60">
        <v>250</v>
      </c>
      <c r="H687" s="60">
        <v>308</v>
      </c>
      <c r="I687" s="60">
        <v>184</v>
      </c>
      <c r="J687" s="60">
        <v>66</v>
      </c>
      <c r="K687" s="60">
        <v>214</v>
      </c>
      <c r="L687" s="60">
        <v>90</v>
      </c>
      <c r="M687" s="54">
        <f t="shared" si="10"/>
        <v>327</v>
      </c>
      <c r="N687" s="55">
        <v>2514</v>
      </c>
      <c r="O687" s="60">
        <v>51</v>
      </c>
      <c r="P687" s="60">
        <v>1</v>
      </c>
      <c r="Q687" s="60">
        <v>650</v>
      </c>
      <c r="R687" s="60">
        <v>168</v>
      </c>
      <c r="S687" s="60">
        <v>236</v>
      </c>
      <c r="T687" s="60">
        <v>342</v>
      </c>
      <c r="U687" s="60">
        <v>105</v>
      </c>
      <c r="V687" s="60">
        <v>338</v>
      </c>
      <c r="W687" s="60">
        <v>568</v>
      </c>
      <c r="X687" s="60">
        <v>55</v>
      </c>
    </row>
    <row r="688" spans="1:24">
      <c r="A688" s="52">
        <v>46155</v>
      </c>
      <c r="B688" s="53" t="s">
        <v>336</v>
      </c>
      <c r="C688" s="60">
        <v>229</v>
      </c>
      <c r="D688" s="60">
        <v>239</v>
      </c>
      <c r="E688" s="60">
        <v>186</v>
      </c>
      <c r="F688" s="60">
        <v>421</v>
      </c>
      <c r="G688" s="60">
        <v>250</v>
      </c>
      <c r="H688" s="60">
        <v>308</v>
      </c>
      <c r="I688" s="60">
        <v>184</v>
      </c>
      <c r="J688" s="60">
        <v>66</v>
      </c>
      <c r="K688" s="60">
        <v>214</v>
      </c>
      <c r="L688" s="60">
        <v>90</v>
      </c>
      <c r="M688" s="54">
        <f t="shared" si="10"/>
        <v>327</v>
      </c>
      <c r="N688" s="55">
        <v>2514</v>
      </c>
      <c r="O688" s="60">
        <v>51</v>
      </c>
      <c r="P688" s="60">
        <v>0</v>
      </c>
      <c r="Q688" s="60">
        <v>650</v>
      </c>
      <c r="R688" s="60">
        <v>168</v>
      </c>
      <c r="S688" s="60">
        <v>236</v>
      </c>
      <c r="T688" s="60">
        <v>342</v>
      </c>
      <c r="U688" s="60">
        <v>106</v>
      </c>
      <c r="V688" s="60">
        <v>338</v>
      </c>
      <c r="W688" s="60">
        <v>568</v>
      </c>
      <c r="X688" s="60">
        <v>55</v>
      </c>
    </row>
    <row r="689" spans="1:24">
      <c r="A689" s="52">
        <v>46156</v>
      </c>
      <c r="B689" s="53" t="s">
        <v>336</v>
      </c>
      <c r="C689" s="60">
        <v>226</v>
      </c>
      <c r="D689" s="60">
        <v>236</v>
      </c>
      <c r="E689" s="60">
        <v>184</v>
      </c>
      <c r="F689" s="60">
        <v>417</v>
      </c>
      <c r="G689" s="60">
        <v>248</v>
      </c>
      <c r="H689" s="60">
        <v>305</v>
      </c>
      <c r="I689" s="60">
        <v>182</v>
      </c>
      <c r="J689" s="60">
        <v>65</v>
      </c>
      <c r="K689" s="60">
        <v>212</v>
      </c>
      <c r="L689" s="60">
        <v>89</v>
      </c>
      <c r="M689" s="54">
        <f t="shared" si="10"/>
        <v>322</v>
      </c>
      <c r="N689" s="55">
        <v>2486</v>
      </c>
      <c r="O689" s="60">
        <v>51</v>
      </c>
      <c r="P689" s="60">
        <v>0</v>
      </c>
      <c r="Q689" s="60">
        <v>642</v>
      </c>
      <c r="R689" s="60">
        <v>166</v>
      </c>
      <c r="S689" s="60">
        <v>234</v>
      </c>
      <c r="T689" s="60">
        <v>339</v>
      </c>
      <c r="U689" s="60">
        <v>103</v>
      </c>
      <c r="V689" s="60">
        <v>334</v>
      </c>
      <c r="W689" s="60">
        <v>562</v>
      </c>
      <c r="X689" s="60">
        <v>55</v>
      </c>
    </row>
    <row r="690" spans="1:24">
      <c r="A690" s="52">
        <v>46157</v>
      </c>
      <c r="B690" s="53" t="s">
        <v>336</v>
      </c>
      <c r="C690" s="60">
        <v>226</v>
      </c>
      <c r="D690" s="60">
        <v>236</v>
      </c>
      <c r="E690" s="60">
        <v>184</v>
      </c>
      <c r="F690" s="60">
        <v>417</v>
      </c>
      <c r="G690" s="60">
        <v>248</v>
      </c>
      <c r="H690" s="60">
        <v>305</v>
      </c>
      <c r="I690" s="60">
        <v>182</v>
      </c>
      <c r="J690" s="60">
        <v>65</v>
      </c>
      <c r="K690" s="60">
        <v>212</v>
      </c>
      <c r="L690" s="60">
        <v>89</v>
      </c>
      <c r="M690" s="54">
        <f t="shared" si="10"/>
        <v>322</v>
      </c>
      <c r="N690" s="55">
        <v>2486</v>
      </c>
      <c r="O690" s="60">
        <v>51</v>
      </c>
      <c r="P690" s="60">
        <v>0</v>
      </c>
      <c r="Q690" s="60">
        <v>642</v>
      </c>
      <c r="R690" s="60">
        <v>166</v>
      </c>
      <c r="S690" s="60">
        <v>234</v>
      </c>
      <c r="T690" s="60">
        <v>339</v>
      </c>
      <c r="U690" s="60">
        <v>103</v>
      </c>
      <c r="V690" s="60">
        <v>334</v>
      </c>
      <c r="W690" s="60">
        <v>562</v>
      </c>
      <c r="X690" s="60">
        <v>55</v>
      </c>
    </row>
    <row r="691" spans="1:24">
      <c r="A691" s="52">
        <v>46158</v>
      </c>
      <c r="B691" s="53" t="s">
        <v>336</v>
      </c>
      <c r="C691" s="60">
        <v>248</v>
      </c>
      <c r="D691" s="60">
        <v>259</v>
      </c>
      <c r="E691" s="60">
        <v>202</v>
      </c>
      <c r="F691" s="60">
        <v>457</v>
      </c>
      <c r="G691" s="60">
        <v>272</v>
      </c>
      <c r="H691" s="60">
        <v>335</v>
      </c>
      <c r="I691" s="60">
        <v>200</v>
      </c>
      <c r="J691" s="60">
        <v>72</v>
      </c>
      <c r="K691" s="60">
        <v>232</v>
      </c>
      <c r="L691" s="60">
        <v>97</v>
      </c>
      <c r="M691" s="54">
        <f t="shared" si="10"/>
        <v>356</v>
      </c>
      <c r="N691" s="55">
        <v>2730</v>
      </c>
      <c r="O691" s="60">
        <v>56</v>
      </c>
      <c r="P691" s="60">
        <v>0</v>
      </c>
      <c r="Q691" s="60">
        <v>704</v>
      </c>
      <c r="R691" s="60">
        <v>183</v>
      </c>
      <c r="S691" s="60">
        <v>257</v>
      </c>
      <c r="T691" s="60">
        <v>372</v>
      </c>
      <c r="U691" s="60">
        <v>114</v>
      </c>
      <c r="V691" s="60">
        <v>367</v>
      </c>
      <c r="W691" s="60">
        <v>617</v>
      </c>
      <c r="X691" s="60">
        <v>60</v>
      </c>
    </row>
    <row r="692" spans="1:24">
      <c r="A692" s="52">
        <v>46159</v>
      </c>
      <c r="B692" s="53" t="s">
        <v>336</v>
      </c>
      <c r="C692" s="60">
        <v>248</v>
      </c>
      <c r="D692" s="60">
        <v>259</v>
      </c>
      <c r="E692" s="60">
        <v>202</v>
      </c>
      <c r="F692" s="60">
        <v>457</v>
      </c>
      <c r="G692" s="60">
        <v>272</v>
      </c>
      <c r="H692" s="60">
        <v>335</v>
      </c>
      <c r="I692" s="60">
        <v>200</v>
      </c>
      <c r="J692" s="60">
        <v>72</v>
      </c>
      <c r="K692" s="60">
        <v>232</v>
      </c>
      <c r="L692" s="60">
        <v>97</v>
      </c>
      <c r="M692" s="54">
        <f t="shared" si="10"/>
        <v>356</v>
      </c>
      <c r="N692" s="55">
        <v>2730</v>
      </c>
      <c r="O692" s="60">
        <v>56</v>
      </c>
      <c r="P692" s="60">
        <v>0</v>
      </c>
      <c r="Q692" s="60">
        <v>704</v>
      </c>
      <c r="R692" s="60">
        <v>183</v>
      </c>
      <c r="S692" s="60">
        <v>257</v>
      </c>
      <c r="T692" s="60">
        <v>372</v>
      </c>
      <c r="U692" s="60">
        <v>114</v>
      </c>
      <c r="V692" s="60">
        <v>367</v>
      </c>
      <c r="W692" s="60">
        <v>617</v>
      </c>
      <c r="X692" s="60">
        <v>60</v>
      </c>
    </row>
    <row r="693" spans="1:24">
      <c r="A693" s="52">
        <v>46160</v>
      </c>
      <c r="B693" s="53" t="s">
        <v>336</v>
      </c>
      <c r="C693" s="60">
        <v>226</v>
      </c>
      <c r="D693" s="60">
        <v>236</v>
      </c>
      <c r="E693" s="60">
        <v>184</v>
      </c>
      <c r="F693" s="60">
        <v>417</v>
      </c>
      <c r="G693" s="60">
        <v>248</v>
      </c>
      <c r="H693" s="60">
        <v>305</v>
      </c>
      <c r="I693" s="60">
        <v>182</v>
      </c>
      <c r="J693" s="60">
        <v>65</v>
      </c>
      <c r="K693" s="60">
        <v>212</v>
      </c>
      <c r="L693" s="60">
        <v>89</v>
      </c>
      <c r="M693" s="54">
        <f t="shared" si="10"/>
        <v>322</v>
      </c>
      <c r="N693" s="55">
        <v>2486</v>
      </c>
      <c r="O693" s="60">
        <v>51</v>
      </c>
      <c r="P693" s="60">
        <v>0</v>
      </c>
      <c r="Q693" s="60">
        <v>642</v>
      </c>
      <c r="R693" s="60">
        <v>166</v>
      </c>
      <c r="S693" s="60">
        <v>234</v>
      </c>
      <c r="T693" s="60">
        <v>339</v>
      </c>
      <c r="U693" s="60">
        <v>103</v>
      </c>
      <c r="V693" s="60">
        <v>334</v>
      </c>
      <c r="W693" s="60">
        <v>562</v>
      </c>
      <c r="X693" s="60">
        <v>55</v>
      </c>
    </row>
    <row r="694" spans="1:24">
      <c r="A694" s="52">
        <v>46161</v>
      </c>
      <c r="B694" s="53" t="s">
        <v>336</v>
      </c>
      <c r="C694" s="60">
        <v>226</v>
      </c>
      <c r="D694" s="60">
        <v>236</v>
      </c>
      <c r="E694" s="60">
        <v>184</v>
      </c>
      <c r="F694" s="60">
        <v>417</v>
      </c>
      <c r="G694" s="60">
        <v>248</v>
      </c>
      <c r="H694" s="60">
        <v>305</v>
      </c>
      <c r="I694" s="60">
        <v>182</v>
      </c>
      <c r="J694" s="60">
        <v>65</v>
      </c>
      <c r="K694" s="60">
        <v>212</v>
      </c>
      <c r="L694" s="60">
        <v>89</v>
      </c>
      <c r="M694" s="54">
        <f t="shared" si="10"/>
        <v>322</v>
      </c>
      <c r="N694" s="55">
        <v>2486</v>
      </c>
      <c r="O694" s="60">
        <v>51</v>
      </c>
      <c r="P694" s="60">
        <v>0</v>
      </c>
      <c r="Q694" s="60">
        <v>642</v>
      </c>
      <c r="R694" s="60">
        <v>166</v>
      </c>
      <c r="S694" s="60">
        <v>234</v>
      </c>
      <c r="T694" s="60">
        <v>339</v>
      </c>
      <c r="U694" s="60">
        <v>103</v>
      </c>
      <c r="V694" s="60">
        <v>334</v>
      </c>
      <c r="W694" s="60">
        <v>562</v>
      </c>
      <c r="X694" s="60">
        <v>55</v>
      </c>
    </row>
    <row r="695" spans="1:24">
      <c r="A695" s="52">
        <v>46162</v>
      </c>
      <c r="B695" s="53" t="s">
        <v>336</v>
      </c>
      <c r="C695" s="60">
        <v>226</v>
      </c>
      <c r="D695" s="60">
        <v>236</v>
      </c>
      <c r="E695" s="60">
        <v>184</v>
      </c>
      <c r="F695" s="60">
        <v>417</v>
      </c>
      <c r="G695" s="60">
        <v>248</v>
      </c>
      <c r="H695" s="60">
        <v>305</v>
      </c>
      <c r="I695" s="60">
        <v>182</v>
      </c>
      <c r="J695" s="60">
        <v>65</v>
      </c>
      <c r="K695" s="60">
        <v>212</v>
      </c>
      <c r="L695" s="60">
        <v>89</v>
      </c>
      <c r="M695" s="54">
        <f t="shared" si="10"/>
        <v>322</v>
      </c>
      <c r="N695" s="55">
        <v>2486</v>
      </c>
      <c r="O695" s="60">
        <v>51</v>
      </c>
      <c r="P695" s="60">
        <v>0</v>
      </c>
      <c r="Q695" s="60">
        <v>642</v>
      </c>
      <c r="R695" s="60">
        <v>166</v>
      </c>
      <c r="S695" s="60">
        <v>234</v>
      </c>
      <c r="T695" s="60">
        <v>339</v>
      </c>
      <c r="U695" s="60">
        <v>103</v>
      </c>
      <c r="V695" s="60">
        <v>334</v>
      </c>
      <c r="W695" s="60">
        <v>562</v>
      </c>
      <c r="X695" s="60">
        <v>55</v>
      </c>
    </row>
    <row r="696" spans="1:24">
      <c r="A696" s="52">
        <v>46163</v>
      </c>
      <c r="B696" s="53" t="s">
        <v>336</v>
      </c>
      <c r="C696" s="60">
        <v>226</v>
      </c>
      <c r="D696" s="60">
        <v>236</v>
      </c>
      <c r="E696" s="60">
        <v>184</v>
      </c>
      <c r="F696" s="60">
        <v>417</v>
      </c>
      <c r="G696" s="60">
        <v>248</v>
      </c>
      <c r="H696" s="60">
        <v>305</v>
      </c>
      <c r="I696" s="60">
        <v>182</v>
      </c>
      <c r="J696" s="60">
        <v>65</v>
      </c>
      <c r="K696" s="60">
        <v>212</v>
      </c>
      <c r="L696" s="60">
        <v>89</v>
      </c>
      <c r="M696" s="54">
        <f t="shared" si="10"/>
        <v>322</v>
      </c>
      <c r="N696" s="55">
        <v>2486</v>
      </c>
      <c r="O696" s="60">
        <v>51</v>
      </c>
      <c r="P696" s="60">
        <v>0</v>
      </c>
      <c r="Q696" s="60">
        <v>642</v>
      </c>
      <c r="R696" s="60">
        <v>166</v>
      </c>
      <c r="S696" s="60">
        <v>234</v>
      </c>
      <c r="T696" s="60">
        <v>339</v>
      </c>
      <c r="U696" s="60">
        <v>103</v>
      </c>
      <c r="V696" s="60">
        <v>334</v>
      </c>
      <c r="W696" s="60">
        <v>562</v>
      </c>
      <c r="X696" s="60">
        <v>55</v>
      </c>
    </row>
    <row r="697" spans="1:24">
      <c r="A697" s="52">
        <v>46164</v>
      </c>
      <c r="B697" s="53" t="s">
        <v>336</v>
      </c>
      <c r="C697" s="60">
        <v>226</v>
      </c>
      <c r="D697" s="60">
        <v>236</v>
      </c>
      <c r="E697" s="60">
        <v>184</v>
      </c>
      <c r="F697" s="60">
        <v>417</v>
      </c>
      <c r="G697" s="60">
        <v>248</v>
      </c>
      <c r="H697" s="60">
        <v>305</v>
      </c>
      <c r="I697" s="60">
        <v>182</v>
      </c>
      <c r="J697" s="60">
        <v>65</v>
      </c>
      <c r="K697" s="60">
        <v>212</v>
      </c>
      <c r="L697" s="60">
        <v>89</v>
      </c>
      <c r="M697" s="54">
        <f t="shared" si="10"/>
        <v>322</v>
      </c>
      <c r="N697" s="55">
        <v>2486</v>
      </c>
      <c r="O697" s="60">
        <v>51</v>
      </c>
      <c r="P697" s="60">
        <v>0</v>
      </c>
      <c r="Q697" s="60">
        <v>642</v>
      </c>
      <c r="R697" s="60">
        <v>166</v>
      </c>
      <c r="S697" s="60">
        <v>234</v>
      </c>
      <c r="T697" s="60">
        <v>339</v>
      </c>
      <c r="U697" s="60">
        <v>103</v>
      </c>
      <c r="V697" s="60">
        <v>334</v>
      </c>
      <c r="W697" s="60">
        <v>562</v>
      </c>
      <c r="X697" s="60">
        <v>55</v>
      </c>
    </row>
    <row r="698" spans="1:24">
      <c r="A698" s="52">
        <v>46165</v>
      </c>
      <c r="B698" s="53" t="s">
        <v>336</v>
      </c>
      <c r="C698" s="60">
        <v>248</v>
      </c>
      <c r="D698" s="60">
        <v>259</v>
      </c>
      <c r="E698" s="60">
        <v>202</v>
      </c>
      <c r="F698" s="60">
        <v>457</v>
      </c>
      <c r="G698" s="60">
        <v>272</v>
      </c>
      <c r="H698" s="60">
        <v>335</v>
      </c>
      <c r="I698" s="60">
        <v>200</v>
      </c>
      <c r="J698" s="60">
        <v>72</v>
      </c>
      <c r="K698" s="60">
        <v>232</v>
      </c>
      <c r="L698" s="60">
        <v>97</v>
      </c>
      <c r="M698" s="54">
        <f t="shared" si="10"/>
        <v>356</v>
      </c>
      <c r="N698" s="55">
        <v>2730</v>
      </c>
      <c r="O698" s="60">
        <v>56</v>
      </c>
      <c r="P698" s="60">
        <v>0</v>
      </c>
      <c r="Q698" s="60">
        <v>704</v>
      </c>
      <c r="R698" s="60">
        <v>183</v>
      </c>
      <c r="S698" s="60">
        <v>257</v>
      </c>
      <c r="T698" s="60">
        <v>372</v>
      </c>
      <c r="U698" s="60">
        <v>114</v>
      </c>
      <c r="V698" s="60">
        <v>367</v>
      </c>
      <c r="W698" s="60">
        <v>617</v>
      </c>
      <c r="X698" s="60">
        <v>60</v>
      </c>
    </row>
    <row r="699" spans="1:24">
      <c r="A699" s="52">
        <v>46166</v>
      </c>
      <c r="B699" s="53" t="s">
        <v>336</v>
      </c>
      <c r="C699" s="60">
        <v>248</v>
      </c>
      <c r="D699" s="60">
        <v>259</v>
      </c>
      <c r="E699" s="60">
        <v>202</v>
      </c>
      <c r="F699" s="60">
        <v>457</v>
      </c>
      <c r="G699" s="60">
        <v>272</v>
      </c>
      <c r="H699" s="60">
        <v>335</v>
      </c>
      <c r="I699" s="60">
        <v>200</v>
      </c>
      <c r="J699" s="60">
        <v>72</v>
      </c>
      <c r="K699" s="60">
        <v>232</v>
      </c>
      <c r="L699" s="60">
        <v>97</v>
      </c>
      <c r="M699" s="54">
        <f t="shared" si="10"/>
        <v>356</v>
      </c>
      <c r="N699" s="55">
        <v>2730</v>
      </c>
      <c r="O699" s="60">
        <v>56</v>
      </c>
      <c r="P699" s="60">
        <v>0</v>
      </c>
      <c r="Q699" s="60">
        <v>704</v>
      </c>
      <c r="R699" s="60">
        <v>183</v>
      </c>
      <c r="S699" s="60">
        <v>257</v>
      </c>
      <c r="T699" s="60">
        <v>372</v>
      </c>
      <c r="U699" s="60">
        <v>114</v>
      </c>
      <c r="V699" s="60">
        <v>367</v>
      </c>
      <c r="W699" s="60">
        <v>617</v>
      </c>
      <c r="X699" s="60">
        <v>60</v>
      </c>
    </row>
    <row r="700" spans="1:24">
      <c r="A700" s="52">
        <v>46167</v>
      </c>
      <c r="B700" s="53" t="s">
        <v>336</v>
      </c>
      <c r="C700" s="60">
        <v>273</v>
      </c>
      <c r="D700" s="60">
        <v>285</v>
      </c>
      <c r="E700" s="60">
        <v>222</v>
      </c>
      <c r="F700" s="60">
        <v>503</v>
      </c>
      <c r="G700" s="60">
        <v>299</v>
      </c>
      <c r="H700" s="60">
        <v>368</v>
      </c>
      <c r="I700" s="60">
        <v>219</v>
      </c>
      <c r="J700" s="60">
        <v>79</v>
      </c>
      <c r="K700" s="60">
        <v>255</v>
      </c>
      <c r="L700" s="60">
        <v>107</v>
      </c>
      <c r="M700" s="54">
        <f t="shared" si="10"/>
        <v>390</v>
      </c>
      <c r="N700" s="55">
        <v>3000</v>
      </c>
      <c r="O700" s="60">
        <v>61</v>
      </c>
      <c r="P700" s="60">
        <v>0</v>
      </c>
      <c r="Q700" s="60">
        <v>775</v>
      </c>
      <c r="R700" s="60">
        <v>201</v>
      </c>
      <c r="S700" s="60">
        <v>282</v>
      </c>
      <c r="T700" s="60">
        <v>409</v>
      </c>
      <c r="U700" s="60">
        <v>125</v>
      </c>
      <c r="V700" s="60">
        <v>403</v>
      </c>
      <c r="W700" s="60">
        <v>678</v>
      </c>
      <c r="X700" s="60">
        <v>66</v>
      </c>
    </row>
    <row r="701" spans="1:24">
      <c r="A701" s="52">
        <v>46168</v>
      </c>
      <c r="B701" s="53" t="s">
        <v>336</v>
      </c>
      <c r="C701" s="60">
        <v>273</v>
      </c>
      <c r="D701" s="60">
        <v>285</v>
      </c>
      <c r="E701" s="60">
        <v>222</v>
      </c>
      <c r="F701" s="60">
        <v>503</v>
      </c>
      <c r="G701" s="60">
        <v>299</v>
      </c>
      <c r="H701" s="60">
        <v>368</v>
      </c>
      <c r="I701" s="60">
        <v>219</v>
      </c>
      <c r="J701" s="60">
        <v>79</v>
      </c>
      <c r="K701" s="60">
        <v>255</v>
      </c>
      <c r="L701" s="60">
        <v>108</v>
      </c>
      <c r="M701" s="54">
        <f t="shared" si="10"/>
        <v>389</v>
      </c>
      <c r="N701" s="55">
        <v>3000</v>
      </c>
      <c r="O701" s="60">
        <v>61</v>
      </c>
      <c r="P701" s="60">
        <v>0</v>
      </c>
      <c r="Q701" s="60">
        <v>775</v>
      </c>
      <c r="R701" s="60">
        <v>201</v>
      </c>
      <c r="S701" s="60">
        <v>282</v>
      </c>
      <c r="T701" s="60">
        <v>409</v>
      </c>
      <c r="U701" s="60">
        <v>125</v>
      </c>
      <c r="V701" s="60">
        <v>403</v>
      </c>
      <c r="W701" s="60">
        <v>678</v>
      </c>
      <c r="X701" s="60">
        <v>66</v>
      </c>
    </row>
    <row r="702" spans="1:24">
      <c r="A702" s="52">
        <v>46169</v>
      </c>
      <c r="B702" s="53" t="s">
        <v>336</v>
      </c>
      <c r="C702" s="60">
        <v>273</v>
      </c>
      <c r="D702" s="60">
        <v>285</v>
      </c>
      <c r="E702" s="60">
        <v>222</v>
      </c>
      <c r="F702" s="60">
        <v>503</v>
      </c>
      <c r="G702" s="60">
        <v>299</v>
      </c>
      <c r="H702" s="60">
        <v>368</v>
      </c>
      <c r="I702" s="60">
        <v>219</v>
      </c>
      <c r="J702" s="60">
        <v>79</v>
      </c>
      <c r="K702" s="60">
        <v>255</v>
      </c>
      <c r="L702" s="60">
        <v>108</v>
      </c>
      <c r="M702" s="54">
        <f t="shared" si="10"/>
        <v>389</v>
      </c>
      <c r="N702" s="55">
        <v>3000</v>
      </c>
      <c r="O702" s="60">
        <v>61</v>
      </c>
      <c r="P702" s="60">
        <v>0</v>
      </c>
      <c r="Q702" s="60">
        <v>775</v>
      </c>
      <c r="R702" s="60">
        <v>201</v>
      </c>
      <c r="S702" s="60">
        <v>282</v>
      </c>
      <c r="T702" s="60">
        <v>409</v>
      </c>
      <c r="U702" s="60">
        <v>125</v>
      </c>
      <c r="V702" s="60">
        <v>403</v>
      </c>
      <c r="W702" s="60">
        <v>678</v>
      </c>
      <c r="X702" s="60">
        <v>66</v>
      </c>
    </row>
    <row r="703" spans="1:24">
      <c r="A703" s="52">
        <v>46170</v>
      </c>
      <c r="B703" s="53" t="s">
        <v>336</v>
      </c>
      <c r="C703" s="60">
        <v>273</v>
      </c>
      <c r="D703" s="60">
        <v>285</v>
      </c>
      <c r="E703" s="60">
        <v>222</v>
      </c>
      <c r="F703" s="60">
        <v>503</v>
      </c>
      <c r="G703" s="60">
        <v>299</v>
      </c>
      <c r="H703" s="60">
        <v>368</v>
      </c>
      <c r="I703" s="60">
        <v>219</v>
      </c>
      <c r="J703" s="60">
        <v>79</v>
      </c>
      <c r="K703" s="60">
        <v>255</v>
      </c>
      <c r="L703" s="60">
        <v>108</v>
      </c>
      <c r="M703" s="54">
        <f t="shared" si="10"/>
        <v>389</v>
      </c>
      <c r="N703" s="55">
        <v>3000</v>
      </c>
      <c r="O703" s="60">
        <v>61</v>
      </c>
      <c r="P703" s="60">
        <v>0</v>
      </c>
      <c r="Q703" s="60">
        <v>775</v>
      </c>
      <c r="R703" s="60">
        <v>201</v>
      </c>
      <c r="S703" s="60">
        <v>282</v>
      </c>
      <c r="T703" s="60">
        <v>409</v>
      </c>
      <c r="U703" s="60">
        <v>125</v>
      </c>
      <c r="V703" s="60">
        <v>403</v>
      </c>
      <c r="W703" s="60">
        <v>678</v>
      </c>
      <c r="X703" s="60">
        <v>66</v>
      </c>
    </row>
    <row r="704" spans="1:24">
      <c r="A704" s="52">
        <v>46171</v>
      </c>
      <c r="B704" s="53" t="s">
        <v>336</v>
      </c>
      <c r="C704" s="60">
        <v>273</v>
      </c>
      <c r="D704" s="60">
        <v>285</v>
      </c>
      <c r="E704" s="60">
        <v>222</v>
      </c>
      <c r="F704" s="60">
        <v>503</v>
      </c>
      <c r="G704" s="60">
        <v>299</v>
      </c>
      <c r="H704" s="60">
        <v>368</v>
      </c>
      <c r="I704" s="60">
        <v>219</v>
      </c>
      <c r="J704" s="60">
        <v>79</v>
      </c>
      <c r="K704" s="60">
        <v>255</v>
      </c>
      <c r="L704" s="60">
        <v>108</v>
      </c>
      <c r="M704" s="54">
        <f t="shared" si="10"/>
        <v>389</v>
      </c>
      <c r="N704" s="55">
        <v>3000</v>
      </c>
      <c r="O704" s="60">
        <v>61</v>
      </c>
      <c r="P704" s="60">
        <v>0</v>
      </c>
      <c r="Q704" s="60">
        <v>775</v>
      </c>
      <c r="R704" s="60">
        <v>201</v>
      </c>
      <c r="S704" s="60">
        <v>282</v>
      </c>
      <c r="T704" s="60">
        <v>409</v>
      </c>
      <c r="U704" s="60">
        <v>125</v>
      </c>
      <c r="V704" s="60">
        <v>403</v>
      </c>
      <c r="W704" s="60">
        <v>678</v>
      </c>
      <c r="X704" s="60">
        <v>66</v>
      </c>
    </row>
    <row r="705" spans="1:24">
      <c r="A705" s="52">
        <v>46172</v>
      </c>
      <c r="B705" s="53" t="s">
        <v>336</v>
      </c>
      <c r="C705" s="60">
        <v>295</v>
      </c>
      <c r="D705" s="60">
        <v>308</v>
      </c>
      <c r="E705" s="60">
        <v>240</v>
      </c>
      <c r="F705" s="60">
        <v>543</v>
      </c>
      <c r="G705" s="60">
        <v>323</v>
      </c>
      <c r="H705" s="60">
        <v>398</v>
      </c>
      <c r="I705" s="60">
        <v>237</v>
      </c>
      <c r="J705" s="60">
        <v>85</v>
      </c>
      <c r="K705" s="60">
        <v>276</v>
      </c>
      <c r="L705" s="60">
        <v>117</v>
      </c>
      <c r="M705" s="54">
        <f t="shared" si="10"/>
        <v>421</v>
      </c>
      <c r="N705" s="55">
        <v>3243</v>
      </c>
      <c r="O705" s="60">
        <v>66</v>
      </c>
      <c r="P705" s="60">
        <v>0</v>
      </c>
      <c r="Q705" s="60">
        <v>838</v>
      </c>
      <c r="R705" s="60">
        <v>217</v>
      </c>
      <c r="S705" s="60">
        <v>305</v>
      </c>
      <c r="T705" s="60">
        <v>442</v>
      </c>
      <c r="U705" s="60">
        <v>135</v>
      </c>
      <c r="V705" s="60">
        <v>436</v>
      </c>
      <c r="W705" s="60">
        <v>733</v>
      </c>
      <c r="X705" s="60">
        <v>71</v>
      </c>
    </row>
    <row r="706" spans="1:24">
      <c r="A706" s="52">
        <v>46173</v>
      </c>
      <c r="B706" s="53" t="s">
        <v>336</v>
      </c>
      <c r="C706" s="60">
        <v>295</v>
      </c>
      <c r="D706" s="60">
        <v>308</v>
      </c>
      <c r="E706" s="60">
        <v>241</v>
      </c>
      <c r="F706" s="60">
        <v>544</v>
      </c>
      <c r="G706" s="60">
        <v>323</v>
      </c>
      <c r="H706" s="60">
        <v>398</v>
      </c>
      <c r="I706" s="60">
        <v>237</v>
      </c>
      <c r="J706" s="60">
        <v>85</v>
      </c>
      <c r="K706" s="60">
        <v>276</v>
      </c>
      <c r="L706" s="60">
        <v>117</v>
      </c>
      <c r="M706" s="54">
        <f t="shared" si="10"/>
        <v>422</v>
      </c>
      <c r="N706" s="55">
        <v>3246</v>
      </c>
      <c r="O706" s="60">
        <v>66</v>
      </c>
      <c r="P706" s="60">
        <v>0</v>
      </c>
      <c r="Q706" s="60">
        <v>839</v>
      </c>
      <c r="R706" s="60">
        <v>217</v>
      </c>
      <c r="S706" s="60">
        <v>305</v>
      </c>
      <c r="T706" s="60">
        <v>442</v>
      </c>
      <c r="U706" s="60">
        <v>136</v>
      </c>
      <c r="V706" s="60">
        <v>437</v>
      </c>
      <c r="W706" s="60">
        <v>733</v>
      </c>
      <c r="X706" s="60">
        <v>71</v>
      </c>
    </row>
    <row r="707" spans="1:24">
      <c r="A707" s="52">
        <v>46174</v>
      </c>
      <c r="B707" s="53" t="s">
        <v>336</v>
      </c>
      <c r="C707" s="54">
        <v>349</v>
      </c>
      <c r="D707" s="54">
        <v>393</v>
      </c>
      <c r="E707" s="54">
        <v>356</v>
      </c>
      <c r="F707" s="54">
        <v>632</v>
      </c>
      <c r="G707" s="54">
        <v>378</v>
      </c>
      <c r="H707" s="54">
        <v>428</v>
      </c>
      <c r="I707" s="54">
        <v>269</v>
      </c>
      <c r="J707" s="54">
        <v>103</v>
      </c>
      <c r="K707" s="54">
        <v>346</v>
      </c>
      <c r="L707" s="54">
        <v>145</v>
      </c>
      <c r="M707" s="54">
        <f t="shared" ref="M707:M770" si="11">N707-SUM(C707:L707)</f>
        <v>462</v>
      </c>
      <c r="N707" s="55">
        <v>3861</v>
      </c>
      <c r="O707" s="54">
        <v>81</v>
      </c>
      <c r="P707" s="54">
        <v>1</v>
      </c>
      <c r="Q707" s="54">
        <v>787</v>
      </c>
      <c r="R707" s="54">
        <v>483</v>
      </c>
      <c r="S707" s="54">
        <v>387</v>
      </c>
      <c r="T707" s="54">
        <v>413</v>
      </c>
      <c r="U707" s="54">
        <v>274</v>
      </c>
      <c r="V707" s="54">
        <v>445</v>
      </c>
      <c r="W707" s="54">
        <v>902</v>
      </c>
      <c r="X707" s="54">
        <v>88</v>
      </c>
    </row>
    <row r="708" spans="1:24">
      <c r="A708" s="52">
        <v>46175</v>
      </c>
      <c r="B708" s="53" t="s">
        <v>336</v>
      </c>
      <c r="C708" s="54">
        <v>349</v>
      </c>
      <c r="D708" s="54">
        <v>394</v>
      </c>
      <c r="E708" s="54">
        <v>356</v>
      </c>
      <c r="F708" s="54">
        <v>633</v>
      </c>
      <c r="G708" s="54">
        <v>379</v>
      </c>
      <c r="H708" s="54">
        <v>429</v>
      </c>
      <c r="I708" s="54">
        <v>270</v>
      </c>
      <c r="J708" s="54">
        <v>103</v>
      </c>
      <c r="K708" s="54">
        <v>346</v>
      </c>
      <c r="L708" s="54">
        <v>145</v>
      </c>
      <c r="M708" s="54">
        <f t="shared" si="11"/>
        <v>465</v>
      </c>
      <c r="N708" s="55">
        <v>3869</v>
      </c>
      <c r="O708" s="54">
        <v>83</v>
      </c>
      <c r="P708" s="54">
        <v>1</v>
      </c>
      <c r="Q708" s="54">
        <v>790</v>
      </c>
      <c r="R708" s="54">
        <v>483</v>
      </c>
      <c r="S708" s="54">
        <v>387</v>
      </c>
      <c r="T708" s="54">
        <v>414</v>
      </c>
      <c r="U708" s="54">
        <v>280</v>
      </c>
      <c r="V708" s="54">
        <v>440</v>
      </c>
      <c r="W708" s="54">
        <v>902</v>
      </c>
      <c r="X708" s="54">
        <v>89</v>
      </c>
    </row>
    <row r="709" spans="1:24">
      <c r="A709" s="52">
        <v>46176</v>
      </c>
      <c r="B709" s="53" t="s">
        <v>336</v>
      </c>
      <c r="C709" s="54">
        <v>349</v>
      </c>
      <c r="D709" s="54">
        <v>394</v>
      </c>
      <c r="E709" s="54">
        <v>356</v>
      </c>
      <c r="F709" s="54">
        <v>633</v>
      </c>
      <c r="G709" s="54">
        <v>379</v>
      </c>
      <c r="H709" s="54">
        <v>429</v>
      </c>
      <c r="I709" s="54">
        <v>270</v>
      </c>
      <c r="J709" s="54">
        <v>103</v>
      </c>
      <c r="K709" s="54">
        <v>346</v>
      </c>
      <c r="L709" s="54">
        <v>145</v>
      </c>
      <c r="M709" s="54">
        <f t="shared" si="11"/>
        <v>465</v>
      </c>
      <c r="N709" s="55">
        <v>3869</v>
      </c>
      <c r="O709" s="54">
        <v>83</v>
      </c>
      <c r="P709" s="54">
        <v>1</v>
      </c>
      <c r="Q709" s="54">
        <v>790</v>
      </c>
      <c r="R709" s="54">
        <v>483</v>
      </c>
      <c r="S709" s="54">
        <v>387</v>
      </c>
      <c r="T709" s="54">
        <v>414</v>
      </c>
      <c r="U709" s="54">
        <v>280</v>
      </c>
      <c r="V709" s="54">
        <v>440</v>
      </c>
      <c r="W709" s="54">
        <v>902</v>
      </c>
      <c r="X709" s="54">
        <v>89</v>
      </c>
    </row>
    <row r="710" spans="1:24">
      <c r="A710" s="52">
        <v>46177</v>
      </c>
      <c r="B710" s="53" t="s">
        <v>336</v>
      </c>
      <c r="C710" s="54">
        <v>349</v>
      </c>
      <c r="D710" s="54">
        <v>394</v>
      </c>
      <c r="E710" s="54">
        <v>356</v>
      </c>
      <c r="F710" s="54">
        <v>633</v>
      </c>
      <c r="G710" s="54">
        <v>379</v>
      </c>
      <c r="H710" s="54">
        <v>429</v>
      </c>
      <c r="I710" s="54">
        <v>270</v>
      </c>
      <c r="J710" s="54">
        <v>103</v>
      </c>
      <c r="K710" s="54">
        <v>346</v>
      </c>
      <c r="L710" s="54">
        <v>145</v>
      </c>
      <c r="M710" s="54">
        <f t="shared" si="11"/>
        <v>465</v>
      </c>
      <c r="N710" s="55">
        <v>3869</v>
      </c>
      <c r="O710" s="54">
        <v>83</v>
      </c>
      <c r="P710" s="54">
        <v>1</v>
      </c>
      <c r="Q710" s="54">
        <v>790</v>
      </c>
      <c r="R710" s="54">
        <v>483</v>
      </c>
      <c r="S710" s="54">
        <v>387</v>
      </c>
      <c r="T710" s="54">
        <v>414</v>
      </c>
      <c r="U710" s="54">
        <v>280</v>
      </c>
      <c r="V710" s="54">
        <v>440</v>
      </c>
      <c r="W710" s="54">
        <v>902</v>
      </c>
      <c r="X710" s="54">
        <v>89</v>
      </c>
    </row>
    <row r="711" spans="1:24">
      <c r="A711" s="52">
        <v>46178</v>
      </c>
      <c r="B711" s="53" t="s">
        <v>336</v>
      </c>
      <c r="C711" s="54">
        <v>349</v>
      </c>
      <c r="D711" s="54">
        <v>394</v>
      </c>
      <c r="E711" s="54">
        <v>356</v>
      </c>
      <c r="F711" s="54">
        <v>633</v>
      </c>
      <c r="G711" s="54">
        <v>379</v>
      </c>
      <c r="H711" s="54">
        <v>429</v>
      </c>
      <c r="I711" s="54">
        <v>270</v>
      </c>
      <c r="J711" s="54">
        <v>103</v>
      </c>
      <c r="K711" s="54">
        <v>346</v>
      </c>
      <c r="L711" s="54">
        <v>145</v>
      </c>
      <c r="M711" s="54">
        <f t="shared" si="11"/>
        <v>465</v>
      </c>
      <c r="N711" s="55">
        <v>3869</v>
      </c>
      <c r="O711" s="54">
        <v>83</v>
      </c>
      <c r="P711" s="54">
        <v>1</v>
      </c>
      <c r="Q711" s="54">
        <v>790</v>
      </c>
      <c r="R711" s="54">
        <v>483</v>
      </c>
      <c r="S711" s="54">
        <v>387</v>
      </c>
      <c r="T711" s="54">
        <v>414</v>
      </c>
      <c r="U711" s="54">
        <v>280</v>
      </c>
      <c r="V711" s="54">
        <v>440</v>
      </c>
      <c r="W711" s="54">
        <v>902</v>
      </c>
      <c r="X711" s="54">
        <v>89</v>
      </c>
    </row>
    <row r="712" spans="1:24">
      <c r="A712" s="52">
        <v>46179</v>
      </c>
      <c r="B712" s="53" t="s">
        <v>336</v>
      </c>
      <c r="C712" s="54">
        <v>437</v>
      </c>
      <c r="D712" s="54">
        <v>492</v>
      </c>
      <c r="E712" s="54">
        <v>445</v>
      </c>
      <c r="F712" s="54">
        <v>791</v>
      </c>
      <c r="G712" s="54">
        <v>473</v>
      </c>
      <c r="H712" s="54">
        <v>536</v>
      </c>
      <c r="I712" s="54">
        <v>337</v>
      </c>
      <c r="J712" s="54">
        <v>129</v>
      </c>
      <c r="K712" s="54">
        <v>433</v>
      </c>
      <c r="L712" s="54">
        <v>181</v>
      </c>
      <c r="M712" s="54">
        <f t="shared" si="11"/>
        <v>580</v>
      </c>
      <c r="N712" s="55">
        <v>4834</v>
      </c>
      <c r="O712" s="54">
        <v>104</v>
      </c>
      <c r="P712" s="54">
        <v>1</v>
      </c>
      <c r="Q712" s="54">
        <v>987</v>
      </c>
      <c r="R712" s="54">
        <v>603</v>
      </c>
      <c r="S712" s="54">
        <v>484</v>
      </c>
      <c r="T712" s="54">
        <v>517</v>
      </c>
      <c r="U712" s="54">
        <v>350</v>
      </c>
      <c r="V712" s="54">
        <v>550</v>
      </c>
      <c r="W712" s="54">
        <v>1127</v>
      </c>
      <c r="X712" s="54">
        <v>111</v>
      </c>
    </row>
    <row r="713" spans="1:24">
      <c r="A713" s="52">
        <v>46180</v>
      </c>
      <c r="B713" s="53" t="s">
        <v>336</v>
      </c>
      <c r="C713" s="54">
        <v>437</v>
      </c>
      <c r="D713" s="54">
        <v>492</v>
      </c>
      <c r="E713" s="54">
        <v>445</v>
      </c>
      <c r="F713" s="54">
        <v>791</v>
      </c>
      <c r="G713" s="54">
        <v>473</v>
      </c>
      <c r="H713" s="54">
        <v>536</v>
      </c>
      <c r="I713" s="54">
        <v>337</v>
      </c>
      <c r="J713" s="54">
        <v>129</v>
      </c>
      <c r="K713" s="54">
        <v>433</v>
      </c>
      <c r="L713" s="54">
        <v>181</v>
      </c>
      <c r="M713" s="54">
        <f t="shared" si="11"/>
        <v>580</v>
      </c>
      <c r="N713" s="55">
        <v>4834</v>
      </c>
      <c r="O713" s="54">
        <v>104</v>
      </c>
      <c r="P713" s="54">
        <v>1</v>
      </c>
      <c r="Q713" s="54">
        <v>987</v>
      </c>
      <c r="R713" s="54">
        <v>603</v>
      </c>
      <c r="S713" s="54">
        <v>484</v>
      </c>
      <c r="T713" s="54">
        <v>517</v>
      </c>
      <c r="U713" s="54">
        <v>350</v>
      </c>
      <c r="V713" s="54">
        <v>550</v>
      </c>
      <c r="W713" s="54">
        <v>1127</v>
      </c>
      <c r="X713" s="54">
        <v>111</v>
      </c>
    </row>
    <row r="714" spans="1:24">
      <c r="A714" s="52">
        <v>46181</v>
      </c>
      <c r="B714" s="53" t="s">
        <v>336</v>
      </c>
      <c r="C714" s="54">
        <v>378</v>
      </c>
      <c r="D714" s="54">
        <v>427</v>
      </c>
      <c r="E714" s="54">
        <v>386</v>
      </c>
      <c r="F714" s="54">
        <v>685</v>
      </c>
      <c r="G714" s="54">
        <v>410</v>
      </c>
      <c r="H714" s="54">
        <v>465</v>
      </c>
      <c r="I714" s="54">
        <v>292</v>
      </c>
      <c r="J714" s="54">
        <v>112</v>
      </c>
      <c r="K714" s="54">
        <v>375</v>
      </c>
      <c r="L714" s="54">
        <v>157</v>
      </c>
      <c r="M714" s="54">
        <f t="shared" si="11"/>
        <v>503</v>
      </c>
      <c r="N714" s="55">
        <v>4190</v>
      </c>
      <c r="O714" s="54">
        <v>90</v>
      </c>
      <c r="P714" s="54">
        <v>1</v>
      </c>
      <c r="Q714" s="54">
        <v>855</v>
      </c>
      <c r="R714" s="54">
        <v>523</v>
      </c>
      <c r="S714" s="54">
        <v>419</v>
      </c>
      <c r="T714" s="54">
        <v>448</v>
      </c>
      <c r="U714" s="54">
        <v>304</v>
      </c>
      <c r="V714" s="54">
        <v>477</v>
      </c>
      <c r="W714" s="54">
        <v>977</v>
      </c>
      <c r="X714" s="54">
        <v>96</v>
      </c>
    </row>
    <row r="715" spans="1:24">
      <c r="A715" s="52">
        <v>46182</v>
      </c>
      <c r="B715" s="53" t="s">
        <v>336</v>
      </c>
      <c r="C715" s="54">
        <v>378</v>
      </c>
      <c r="D715" s="54">
        <v>427</v>
      </c>
      <c r="E715" s="54">
        <v>386</v>
      </c>
      <c r="F715" s="54">
        <v>685</v>
      </c>
      <c r="G715" s="54">
        <v>410</v>
      </c>
      <c r="H715" s="54">
        <v>465</v>
      </c>
      <c r="I715" s="54">
        <v>292</v>
      </c>
      <c r="J715" s="54">
        <v>112</v>
      </c>
      <c r="K715" s="54">
        <v>375</v>
      </c>
      <c r="L715" s="54">
        <v>157</v>
      </c>
      <c r="M715" s="54">
        <f t="shared" si="11"/>
        <v>503</v>
      </c>
      <c r="N715" s="55">
        <v>4190</v>
      </c>
      <c r="O715" s="54">
        <v>90</v>
      </c>
      <c r="P715" s="54">
        <v>1</v>
      </c>
      <c r="Q715" s="54">
        <v>855</v>
      </c>
      <c r="R715" s="54">
        <v>523</v>
      </c>
      <c r="S715" s="54">
        <v>419</v>
      </c>
      <c r="T715" s="54">
        <v>448</v>
      </c>
      <c r="U715" s="54">
        <v>304</v>
      </c>
      <c r="V715" s="54">
        <v>477</v>
      </c>
      <c r="W715" s="54">
        <v>977</v>
      </c>
      <c r="X715" s="54">
        <v>96</v>
      </c>
    </row>
    <row r="716" spans="1:24">
      <c r="A716" s="52">
        <v>46183</v>
      </c>
      <c r="B716" s="53" t="s">
        <v>336</v>
      </c>
      <c r="C716" s="54">
        <v>378</v>
      </c>
      <c r="D716" s="54">
        <v>427</v>
      </c>
      <c r="E716" s="54">
        <v>386</v>
      </c>
      <c r="F716" s="54">
        <v>685</v>
      </c>
      <c r="G716" s="54">
        <v>410</v>
      </c>
      <c r="H716" s="54">
        <v>465</v>
      </c>
      <c r="I716" s="54">
        <v>292</v>
      </c>
      <c r="J716" s="54">
        <v>112</v>
      </c>
      <c r="K716" s="54">
        <v>375</v>
      </c>
      <c r="L716" s="54">
        <v>157</v>
      </c>
      <c r="M716" s="54">
        <f t="shared" si="11"/>
        <v>503</v>
      </c>
      <c r="N716" s="55">
        <v>4190</v>
      </c>
      <c r="O716" s="54">
        <v>90</v>
      </c>
      <c r="P716" s="54">
        <v>1</v>
      </c>
      <c r="Q716" s="54">
        <v>855</v>
      </c>
      <c r="R716" s="54">
        <v>523</v>
      </c>
      <c r="S716" s="54">
        <v>419</v>
      </c>
      <c r="T716" s="54">
        <v>448</v>
      </c>
      <c r="U716" s="54">
        <v>304</v>
      </c>
      <c r="V716" s="54">
        <v>477</v>
      </c>
      <c r="W716" s="54">
        <v>977</v>
      </c>
      <c r="X716" s="54">
        <v>96</v>
      </c>
    </row>
    <row r="717" spans="1:24">
      <c r="A717" s="52">
        <v>46184</v>
      </c>
      <c r="B717" s="53" t="s">
        <v>336</v>
      </c>
      <c r="C717" s="54">
        <v>378</v>
      </c>
      <c r="D717" s="54">
        <v>426</v>
      </c>
      <c r="E717" s="54">
        <v>386</v>
      </c>
      <c r="F717" s="54">
        <v>685</v>
      </c>
      <c r="G717" s="54">
        <v>410</v>
      </c>
      <c r="H717" s="54">
        <v>465</v>
      </c>
      <c r="I717" s="54">
        <v>292</v>
      </c>
      <c r="J717" s="54">
        <v>111</v>
      </c>
      <c r="K717" s="54">
        <v>375</v>
      </c>
      <c r="L717" s="54">
        <v>157</v>
      </c>
      <c r="M717" s="54">
        <f t="shared" si="11"/>
        <v>504</v>
      </c>
      <c r="N717" s="55">
        <v>4189</v>
      </c>
      <c r="O717" s="54">
        <v>90</v>
      </c>
      <c r="P717" s="54">
        <v>0</v>
      </c>
      <c r="Q717" s="54">
        <v>855</v>
      </c>
      <c r="R717" s="54">
        <v>523</v>
      </c>
      <c r="S717" s="54">
        <v>419</v>
      </c>
      <c r="T717" s="54">
        <v>448</v>
      </c>
      <c r="U717" s="54">
        <v>304</v>
      </c>
      <c r="V717" s="54">
        <v>477</v>
      </c>
      <c r="W717" s="54">
        <v>977</v>
      </c>
      <c r="X717" s="54">
        <v>96</v>
      </c>
    </row>
    <row r="718" spans="1:24">
      <c r="A718" s="52">
        <v>46185</v>
      </c>
      <c r="B718" s="53" t="s">
        <v>336</v>
      </c>
      <c r="C718" s="54">
        <v>378</v>
      </c>
      <c r="D718" s="54">
        <v>426</v>
      </c>
      <c r="E718" s="54">
        <v>386</v>
      </c>
      <c r="F718" s="54">
        <v>685</v>
      </c>
      <c r="G718" s="54">
        <v>410</v>
      </c>
      <c r="H718" s="54">
        <v>465</v>
      </c>
      <c r="I718" s="54">
        <v>292</v>
      </c>
      <c r="J718" s="54">
        <v>111</v>
      </c>
      <c r="K718" s="54">
        <v>375</v>
      </c>
      <c r="L718" s="54">
        <v>157</v>
      </c>
      <c r="M718" s="54">
        <f t="shared" si="11"/>
        <v>504</v>
      </c>
      <c r="N718" s="55">
        <v>4189</v>
      </c>
      <c r="O718" s="54">
        <v>90</v>
      </c>
      <c r="P718" s="54">
        <v>0</v>
      </c>
      <c r="Q718" s="54">
        <v>855</v>
      </c>
      <c r="R718" s="54">
        <v>523</v>
      </c>
      <c r="S718" s="54">
        <v>419</v>
      </c>
      <c r="T718" s="54">
        <v>448</v>
      </c>
      <c r="U718" s="54">
        <v>304</v>
      </c>
      <c r="V718" s="54">
        <v>477</v>
      </c>
      <c r="W718" s="54">
        <v>977</v>
      </c>
      <c r="X718" s="54">
        <v>96</v>
      </c>
    </row>
    <row r="719" spans="1:24">
      <c r="A719" s="52">
        <v>46186</v>
      </c>
      <c r="B719" s="53" t="s">
        <v>336</v>
      </c>
      <c r="C719" s="54">
        <v>466</v>
      </c>
      <c r="D719" s="54">
        <v>525</v>
      </c>
      <c r="E719" s="54">
        <v>475</v>
      </c>
      <c r="F719" s="54">
        <v>844</v>
      </c>
      <c r="G719" s="54">
        <v>505</v>
      </c>
      <c r="H719" s="54">
        <v>572</v>
      </c>
      <c r="I719" s="54">
        <v>360</v>
      </c>
      <c r="J719" s="54">
        <v>137</v>
      </c>
      <c r="K719" s="54">
        <v>462</v>
      </c>
      <c r="L719" s="54">
        <v>193</v>
      </c>
      <c r="M719" s="54">
        <f t="shared" si="11"/>
        <v>618</v>
      </c>
      <c r="N719" s="55">
        <v>5157</v>
      </c>
      <c r="O719" s="54">
        <v>111</v>
      </c>
      <c r="P719" s="54">
        <v>0</v>
      </c>
      <c r="Q719" s="54">
        <v>1053</v>
      </c>
      <c r="R719" s="54">
        <v>643</v>
      </c>
      <c r="S719" s="54">
        <v>516</v>
      </c>
      <c r="T719" s="54">
        <v>552</v>
      </c>
      <c r="U719" s="54">
        <v>374</v>
      </c>
      <c r="V719" s="54">
        <v>587</v>
      </c>
      <c r="W719" s="54">
        <v>1203</v>
      </c>
      <c r="X719" s="54">
        <v>118</v>
      </c>
    </row>
    <row r="720" spans="1:24">
      <c r="A720" s="52">
        <v>46187</v>
      </c>
      <c r="B720" s="53" t="s">
        <v>336</v>
      </c>
      <c r="C720" s="54">
        <v>466</v>
      </c>
      <c r="D720" s="54">
        <v>525</v>
      </c>
      <c r="E720" s="54">
        <v>475</v>
      </c>
      <c r="F720" s="54">
        <v>844</v>
      </c>
      <c r="G720" s="54">
        <v>505</v>
      </c>
      <c r="H720" s="54">
        <v>572</v>
      </c>
      <c r="I720" s="54">
        <v>360</v>
      </c>
      <c r="J720" s="54">
        <v>137</v>
      </c>
      <c r="K720" s="54">
        <v>462</v>
      </c>
      <c r="L720" s="54">
        <v>193</v>
      </c>
      <c r="M720" s="54">
        <f t="shared" si="11"/>
        <v>618</v>
      </c>
      <c r="N720" s="55">
        <v>5157</v>
      </c>
      <c r="O720" s="54">
        <v>111</v>
      </c>
      <c r="P720" s="54">
        <v>0</v>
      </c>
      <c r="Q720" s="54">
        <v>1053</v>
      </c>
      <c r="R720" s="54">
        <v>643</v>
      </c>
      <c r="S720" s="54">
        <v>516</v>
      </c>
      <c r="T720" s="54">
        <v>552</v>
      </c>
      <c r="U720" s="54">
        <v>374</v>
      </c>
      <c r="V720" s="54">
        <v>587</v>
      </c>
      <c r="W720" s="54">
        <v>1203</v>
      </c>
      <c r="X720" s="54">
        <v>118</v>
      </c>
    </row>
    <row r="721" spans="1:24">
      <c r="A721" s="52">
        <v>46188</v>
      </c>
      <c r="B721" s="53" t="s">
        <v>336</v>
      </c>
      <c r="C721" s="54">
        <v>408</v>
      </c>
      <c r="D721" s="54">
        <v>459</v>
      </c>
      <c r="E721" s="54">
        <v>415</v>
      </c>
      <c r="F721" s="54">
        <v>738</v>
      </c>
      <c r="G721" s="54">
        <v>442</v>
      </c>
      <c r="H721" s="54">
        <v>500</v>
      </c>
      <c r="I721" s="54">
        <v>315</v>
      </c>
      <c r="J721" s="54">
        <v>120</v>
      </c>
      <c r="K721" s="54">
        <v>404</v>
      </c>
      <c r="L721" s="54">
        <v>169</v>
      </c>
      <c r="M721" s="54">
        <f t="shared" si="11"/>
        <v>542</v>
      </c>
      <c r="N721" s="55">
        <v>4512</v>
      </c>
      <c r="O721" s="54">
        <v>97</v>
      </c>
      <c r="P721" s="54">
        <v>0</v>
      </c>
      <c r="Q721" s="54">
        <v>921</v>
      </c>
      <c r="R721" s="54">
        <v>563</v>
      </c>
      <c r="S721" s="54">
        <v>451</v>
      </c>
      <c r="T721" s="54">
        <v>483</v>
      </c>
      <c r="U721" s="54">
        <v>327</v>
      </c>
      <c r="V721" s="54">
        <v>514</v>
      </c>
      <c r="W721" s="54">
        <v>1052</v>
      </c>
      <c r="X721" s="54">
        <v>104</v>
      </c>
    </row>
    <row r="722" spans="1:24">
      <c r="A722" s="52">
        <v>46189</v>
      </c>
      <c r="B722" s="53" t="s">
        <v>336</v>
      </c>
      <c r="C722" s="54">
        <v>408</v>
      </c>
      <c r="D722" s="54">
        <v>459</v>
      </c>
      <c r="E722" s="54">
        <v>415</v>
      </c>
      <c r="F722" s="54">
        <v>738</v>
      </c>
      <c r="G722" s="54">
        <v>442</v>
      </c>
      <c r="H722" s="54">
        <v>500</v>
      </c>
      <c r="I722" s="54">
        <v>315</v>
      </c>
      <c r="J722" s="54">
        <v>120</v>
      </c>
      <c r="K722" s="54">
        <v>404</v>
      </c>
      <c r="L722" s="54">
        <v>169</v>
      </c>
      <c r="M722" s="54">
        <f t="shared" si="11"/>
        <v>542</v>
      </c>
      <c r="N722" s="55">
        <v>4512</v>
      </c>
      <c r="O722" s="54">
        <v>97</v>
      </c>
      <c r="P722" s="54">
        <v>0</v>
      </c>
      <c r="Q722" s="54">
        <v>921</v>
      </c>
      <c r="R722" s="54">
        <v>563</v>
      </c>
      <c r="S722" s="54">
        <v>451</v>
      </c>
      <c r="T722" s="54">
        <v>483</v>
      </c>
      <c r="U722" s="54">
        <v>327</v>
      </c>
      <c r="V722" s="54">
        <v>514</v>
      </c>
      <c r="W722" s="54">
        <v>1052</v>
      </c>
      <c r="X722" s="54">
        <v>104</v>
      </c>
    </row>
    <row r="723" spans="1:24">
      <c r="A723" s="52">
        <v>46190</v>
      </c>
      <c r="B723" s="53" t="s">
        <v>336</v>
      </c>
      <c r="C723" s="54">
        <v>408</v>
      </c>
      <c r="D723" s="54">
        <v>459</v>
      </c>
      <c r="E723" s="54">
        <v>415</v>
      </c>
      <c r="F723" s="54">
        <v>738</v>
      </c>
      <c r="G723" s="54">
        <v>442</v>
      </c>
      <c r="H723" s="54">
        <v>500</v>
      </c>
      <c r="I723" s="54">
        <v>315</v>
      </c>
      <c r="J723" s="54">
        <v>120</v>
      </c>
      <c r="K723" s="54">
        <v>404</v>
      </c>
      <c r="L723" s="54">
        <v>169</v>
      </c>
      <c r="M723" s="54">
        <f t="shared" si="11"/>
        <v>542</v>
      </c>
      <c r="N723" s="55">
        <v>4512</v>
      </c>
      <c r="O723" s="54">
        <v>97</v>
      </c>
      <c r="P723" s="54">
        <v>0</v>
      </c>
      <c r="Q723" s="54">
        <v>921</v>
      </c>
      <c r="R723" s="54">
        <v>563</v>
      </c>
      <c r="S723" s="54">
        <v>451</v>
      </c>
      <c r="T723" s="54">
        <v>483</v>
      </c>
      <c r="U723" s="54">
        <v>327</v>
      </c>
      <c r="V723" s="54">
        <v>514</v>
      </c>
      <c r="W723" s="54">
        <v>1052</v>
      </c>
      <c r="X723" s="54">
        <v>104</v>
      </c>
    </row>
    <row r="724" spans="1:24">
      <c r="A724" s="52">
        <v>46191</v>
      </c>
      <c r="B724" s="53" t="s">
        <v>336</v>
      </c>
      <c r="C724" s="54">
        <v>408</v>
      </c>
      <c r="D724" s="54">
        <v>459</v>
      </c>
      <c r="E724" s="54">
        <v>415</v>
      </c>
      <c r="F724" s="54">
        <v>738</v>
      </c>
      <c r="G724" s="54">
        <v>442</v>
      </c>
      <c r="H724" s="54">
        <v>500</v>
      </c>
      <c r="I724" s="54">
        <v>315</v>
      </c>
      <c r="J724" s="54">
        <v>120</v>
      </c>
      <c r="K724" s="54">
        <v>404</v>
      </c>
      <c r="L724" s="54">
        <v>169</v>
      </c>
      <c r="M724" s="54">
        <f t="shared" si="11"/>
        <v>542</v>
      </c>
      <c r="N724" s="55">
        <v>4512</v>
      </c>
      <c r="O724" s="54">
        <v>97</v>
      </c>
      <c r="P724" s="54">
        <v>0</v>
      </c>
      <c r="Q724" s="54">
        <v>921</v>
      </c>
      <c r="R724" s="54">
        <v>563</v>
      </c>
      <c r="S724" s="54">
        <v>451</v>
      </c>
      <c r="T724" s="54">
        <v>483</v>
      </c>
      <c r="U724" s="54">
        <v>327</v>
      </c>
      <c r="V724" s="54">
        <v>514</v>
      </c>
      <c r="W724" s="54">
        <v>1052</v>
      </c>
      <c r="X724" s="54">
        <v>104</v>
      </c>
    </row>
    <row r="725" spans="1:24">
      <c r="A725" s="52">
        <v>46192</v>
      </c>
      <c r="B725" s="53" t="s">
        <v>336</v>
      </c>
      <c r="C725" s="54">
        <v>408</v>
      </c>
      <c r="D725" s="54">
        <v>459</v>
      </c>
      <c r="E725" s="54">
        <v>415</v>
      </c>
      <c r="F725" s="54">
        <v>738</v>
      </c>
      <c r="G725" s="54">
        <v>442</v>
      </c>
      <c r="H725" s="54">
        <v>500</v>
      </c>
      <c r="I725" s="54">
        <v>315</v>
      </c>
      <c r="J725" s="54">
        <v>120</v>
      </c>
      <c r="K725" s="54">
        <v>404</v>
      </c>
      <c r="L725" s="54">
        <v>169</v>
      </c>
      <c r="M725" s="54">
        <f t="shared" si="11"/>
        <v>542</v>
      </c>
      <c r="N725" s="55">
        <v>4512</v>
      </c>
      <c r="O725" s="54">
        <v>97</v>
      </c>
      <c r="P725" s="54">
        <v>0</v>
      </c>
      <c r="Q725" s="54">
        <v>921</v>
      </c>
      <c r="R725" s="54">
        <v>563</v>
      </c>
      <c r="S725" s="54">
        <v>451</v>
      </c>
      <c r="T725" s="54">
        <v>483</v>
      </c>
      <c r="U725" s="54">
        <v>327</v>
      </c>
      <c r="V725" s="54">
        <v>514</v>
      </c>
      <c r="W725" s="54">
        <v>1052</v>
      </c>
      <c r="X725" s="54">
        <v>104</v>
      </c>
    </row>
    <row r="726" spans="1:24">
      <c r="A726" s="52">
        <v>46193</v>
      </c>
      <c r="B726" s="53" t="s">
        <v>336</v>
      </c>
      <c r="C726" s="54">
        <v>495</v>
      </c>
      <c r="D726" s="54">
        <v>558</v>
      </c>
      <c r="E726" s="54">
        <v>505</v>
      </c>
      <c r="F726" s="54">
        <v>896</v>
      </c>
      <c r="G726" s="54">
        <v>537</v>
      </c>
      <c r="H726" s="54">
        <v>608</v>
      </c>
      <c r="I726" s="54">
        <v>382</v>
      </c>
      <c r="J726" s="54">
        <v>146</v>
      </c>
      <c r="K726" s="54">
        <v>491</v>
      </c>
      <c r="L726" s="54">
        <v>205</v>
      </c>
      <c r="M726" s="54">
        <f t="shared" si="11"/>
        <v>657</v>
      </c>
      <c r="N726" s="55">
        <v>5480</v>
      </c>
      <c r="O726" s="54">
        <v>118</v>
      </c>
      <c r="P726" s="54">
        <v>0</v>
      </c>
      <c r="Q726" s="54">
        <v>1119</v>
      </c>
      <c r="R726" s="54">
        <v>684</v>
      </c>
      <c r="S726" s="54">
        <v>548</v>
      </c>
      <c r="T726" s="54">
        <v>586</v>
      </c>
      <c r="U726" s="54">
        <v>397</v>
      </c>
      <c r="V726" s="54">
        <v>624</v>
      </c>
      <c r="W726" s="54">
        <v>1278</v>
      </c>
      <c r="X726" s="54">
        <v>126</v>
      </c>
    </row>
    <row r="727" spans="1:24">
      <c r="A727" s="52">
        <v>46194</v>
      </c>
      <c r="B727" s="53" t="s">
        <v>336</v>
      </c>
      <c r="C727" s="54">
        <v>495</v>
      </c>
      <c r="D727" s="54">
        <v>558</v>
      </c>
      <c r="E727" s="54">
        <v>505</v>
      </c>
      <c r="F727" s="54">
        <v>896</v>
      </c>
      <c r="G727" s="54">
        <v>537</v>
      </c>
      <c r="H727" s="54">
        <v>608</v>
      </c>
      <c r="I727" s="54">
        <v>382</v>
      </c>
      <c r="J727" s="54">
        <v>146</v>
      </c>
      <c r="K727" s="54">
        <v>491</v>
      </c>
      <c r="L727" s="54">
        <v>205</v>
      </c>
      <c r="M727" s="54">
        <f t="shared" si="11"/>
        <v>657</v>
      </c>
      <c r="N727" s="55">
        <v>5480</v>
      </c>
      <c r="O727" s="54">
        <v>118</v>
      </c>
      <c r="P727" s="54">
        <v>0</v>
      </c>
      <c r="Q727" s="54">
        <v>1119</v>
      </c>
      <c r="R727" s="54">
        <v>684</v>
      </c>
      <c r="S727" s="54">
        <v>548</v>
      </c>
      <c r="T727" s="54">
        <v>586</v>
      </c>
      <c r="U727" s="54">
        <v>397</v>
      </c>
      <c r="V727" s="54">
        <v>624</v>
      </c>
      <c r="W727" s="54">
        <v>1278</v>
      </c>
      <c r="X727" s="54">
        <v>126</v>
      </c>
    </row>
    <row r="728" spans="1:24">
      <c r="A728" s="52">
        <v>46195</v>
      </c>
      <c r="B728" s="53" t="s">
        <v>336</v>
      </c>
      <c r="C728" s="54">
        <v>466</v>
      </c>
      <c r="D728" s="54">
        <v>525</v>
      </c>
      <c r="E728" s="54">
        <v>475</v>
      </c>
      <c r="F728" s="54">
        <v>844</v>
      </c>
      <c r="G728" s="54">
        <v>505</v>
      </c>
      <c r="H728" s="54">
        <v>572</v>
      </c>
      <c r="I728" s="54">
        <v>360</v>
      </c>
      <c r="J728" s="54">
        <v>137</v>
      </c>
      <c r="K728" s="54">
        <v>462</v>
      </c>
      <c r="L728" s="54">
        <v>193</v>
      </c>
      <c r="M728" s="54">
        <f t="shared" si="11"/>
        <v>618</v>
      </c>
      <c r="N728" s="55">
        <v>5157</v>
      </c>
      <c r="O728" s="54">
        <v>111</v>
      </c>
      <c r="P728" s="54">
        <v>0</v>
      </c>
      <c r="Q728" s="54">
        <v>1053</v>
      </c>
      <c r="R728" s="54">
        <v>643</v>
      </c>
      <c r="S728" s="54">
        <v>516</v>
      </c>
      <c r="T728" s="54">
        <v>552</v>
      </c>
      <c r="U728" s="54">
        <v>374</v>
      </c>
      <c r="V728" s="54">
        <v>587</v>
      </c>
      <c r="W728" s="54">
        <v>1203</v>
      </c>
      <c r="X728" s="54">
        <v>118</v>
      </c>
    </row>
    <row r="729" spans="1:24">
      <c r="A729" s="52">
        <v>46196</v>
      </c>
      <c r="B729" s="53" t="s">
        <v>336</v>
      </c>
      <c r="C729" s="54">
        <v>466</v>
      </c>
      <c r="D729" s="54">
        <v>525</v>
      </c>
      <c r="E729" s="54">
        <v>475</v>
      </c>
      <c r="F729" s="54">
        <v>844</v>
      </c>
      <c r="G729" s="54">
        <v>505</v>
      </c>
      <c r="H729" s="54">
        <v>572</v>
      </c>
      <c r="I729" s="54">
        <v>360</v>
      </c>
      <c r="J729" s="54">
        <v>137</v>
      </c>
      <c r="K729" s="54">
        <v>462</v>
      </c>
      <c r="L729" s="54">
        <v>193</v>
      </c>
      <c r="M729" s="54">
        <f t="shared" si="11"/>
        <v>618</v>
      </c>
      <c r="N729" s="55">
        <v>5157</v>
      </c>
      <c r="O729" s="54">
        <v>111</v>
      </c>
      <c r="P729" s="54">
        <v>0</v>
      </c>
      <c r="Q729" s="54">
        <v>1053</v>
      </c>
      <c r="R729" s="54">
        <v>643</v>
      </c>
      <c r="S729" s="54">
        <v>516</v>
      </c>
      <c r="T729" s="54">
        <v>552</v>
      </c>
      <c r="U729" s="54">
        <v>374</v>
      </c>
      <c r="V729" s="54">
        <v>587</v>
      </c>
      <c r="W729" s="54">
        <v>1203</v>
      </c>
      <c r="X729" s="54">
        <v>118</v>
      </c>
    </row>
    <row r="730" spans="1:24">
      <c r="A730" s="52">
        <v>46197</v>
      </c>
      <c r="B730" s="53" t="s">
        <v>336</v>
      </c>
      <c r="C730" s="54">
        <v>466</v>
      </c>
      <c r="D730" s="54">
        <v>525</v>
      </c>
      <c r="E730" s="54">
        <v>475</v>
      </c>
      <c r="F730" s="54">
        <v>844</v>
      </c>
      <c r="G730" s="54">
        <v>505</v>
      </c>
      <c r="H730" s="54">
        <v>572</v>
      </c>
      <c r="I730" s="54">
        <v>360</v>
      </c>
      <c r="J730" s="54">
        <v>137</v>
      </c>
      <c r="K730" s="54">
        <v>462</v>
      </c>
      <c r="L730" s="54">
        <v>193</v>
      </c>
      <c r="M730" s="54">
        <f t="shared" si="11"/>
        <v>618</v>
      </c>
      <c r="N730" s="55">
        <v>5157</v>
      </c>
      <c r="O730" s="54">
        <v>111</v>
      </c>
      <c r="P730" s="54">
        <v>0</v>
      </c>
      <c r="Q730" s="54">
        <v>1053</v>
      </c>
      <c r="R730" s="54">
        <v>643</v>
      </c>
      <c r="S730" s="54">
        <v>516</v>
      </c>
      <c r="T730" s="54">
        <v>552</v>
      </c>
      <c r="U730" s="54">
        <v>374</v>
      </c>
      <c r="V730" s="54">
        <v>587</v>
      </c>
      <c r="W730" s="54">
        <v>1203</v>
      </c>
      <c r="X730" s="54">
        <v>118</v>
      </c>
    </row>
    <row r="731" spans="1:24">
      <c r="A731" s="52">
        <v>46198</v>
      </c>
      <c r="B731" s="53" t="s">
        <v>336</v>
      </c>
      <c r="C731" s="54">
        <v>466</v>
      </c>
      <c r="D731" s="54">
        <v>525</v>
      </c>
      <c r="E731" s="54">
        <v>475</v>
      </c>
      <c r="F731" s="54">
        <v>844</v>
      </c>
      <c r="G731" s="54">
        <v>505</v>
      </c>
      <c r="H731" s="54">
        <v>572</v>
      </c>
      <c r="I731" s="54">
        <v>360</v>
      </c>
      <c r="J731" s="54">
        <v>137</v>
      </c>
      <c r="K731" s="54">
        <v>462</v>
      </c>
      <c r="L731" s="54">
        <v>193</v>
      </c>
      <c r="M731" s="54">
        <f t="shared" si="11"/>
        <v>618</v>
      </c>
      <c r="N731" s="55">
        <v>5157</v>
      </c>
      <c r="O731" s="54">
        <v>111</v>
      </c>
      <c r="P731" s="54">
        <v>0</v>
      </c>
      <c r="Q731" s="54">
        <v>1053</v>
      </c>
      <c r="R731" s="54">
        <v>643</v>
      </c>
      <c r="S731" s="54">
        <v>516</v>
      </c>
      <c r="T731" s="54">
        <v>552</v>
      </c>
      <c r="U731" s="54">
        <v>374</v>
      </c>
      <c r="V731" s="54">
        <v>587</v>
      </c>
      <c r="W731" s="54">
        <v>1203</v>
      </c>
      <c r="X731" s="54">
        <v>118</v>
      </c>
    </row>
    <row r="732" spans="1:24">
      <c r="A732" s="52">
        <v>46199</v>
      </c>
      <c r="B732" s="53" t="s">
        <v>336</v>
      </c>
      <c r="C732" s="54">
        <v>466</v>
      </c>
      <c r="D732" s="54">
        <v>525</v>
      </c>
      <c r="E732" s="54">
        <v>475</v>
      </c>
      <c r="F732" s="54">
        <v>844</v>
      </c>
      <c r="G732" s="54">
        <v>505</v>
      </c>
      <c r="H732" s="54">
        <v>572</v>
      </c>
      <c r="I732" s="54">
        <v>360</v>
      </c>
      <c r="J732" s="54">
        <v>137</v>
      </c>
      <c r="K732" s="54">
        <v>462</v>
      </c>
      <c r="L732" s="54">
        <v>193</v>
      </c>
      <c r="M732" s="54">
        <f t="shared" si="11"/>
        <v>618</v>
      </c>
      <c r="N732" s="55">
        <v>5157</v>
      </c>
      <c r="O732" s="54">
        <v>111</v>
      </c>
      <c r="P732" s="54">
        <v>0</v>
      </c>
      <c r="Q732" s="54">
        <v>1053</v>
      </c>
      <c r="R732" s="54">
        <v>643</v>
      </c>
      <c r="S732" s="54">
        <v>516</v>
      </c>
      <c r="T732" s="54">
        <v>552</v>
      </c>
      <c r="U732" s="54">
        <v>374</v>
      </c>
      <c r="V732" s="54">
        <v>587</v>
      </c>
      <c r="W732" s="54">
        <v>1203</v>
      </c>
      <c r="X732" s="54">
        <v>118</v>
      </c>
    </row>
    <row r="733" spans="1:24">
      <c r="A733" s="52">
        <v>46200</v>
      </c>
      <c r="B733" s="53" t="s">
        <v>336</v>
      </c>
      <c r="C733" s="54">
        <v>553</v>
      </c>
      <c r="D733" s="54">
        <v>623</v>
      </c>
      <c r="E733" s="54">
        <v>564</v>
      </c>
      <c r="F733" s="54">
        <v>1002</v>
      </c>
      <c r="G733" s="54">
        <v>599</v>
      </c>
      <c r="H733" s="54">
        <v>679</v>
      </c>
      <c r="I733" s="54">
        <v>427</v>
      </c>
      <c r="J733" s="54">
        <v>163</v>
      </c>
      <c r="K733" s="54">
        <v>548</v>
      </c>
      <c r="L733" s="54">
        <v>230</v>
      </c>
      <c r="M733" s="54">
        <f t="shared" si="11"/>
        <v>735</v>
      </c>
      <c r="N733" s="55">
        <v>6123</v>
      </c>
      <c r="O733" s="54">
        <v>131</v>
      </c>
      <c r="P733" s="54">
        <v>0</v>
      </c>
      <c r="Q733" s="54">
        <v>1250</v>
      </c>
      <c r="R733" s="54">
        <v>764</v>
      </c>
      <c r="S733" s="54">
        <v>613</v>
      </c>
      <c r="T733" s="54">
        <v>655</v>
      </c>
      <c r="U733" s="54">
        <v>444</v>
      </c>
      <c r="V733" s="54">
        <v>697</v>
      </c>
      <c r="W733" s="54">
        <v>1428</v>
      </c>
      <c r="X733" s="54">
        <v>141</v>
      </c>
    </row>
    <row r="734" spans="1:24">
      <c r="A734" s="52">
        <v>46201</v>
      </c>
      <c r="B734" s="53" t="s">
        <v>336</v>
      </c>
      <c r="C734" s="54">
        <v>553</v>
      </c>
      <c r="D734" s="54">
        <v>623</v>
      </c>
      <c r="E734" s="54">
        <v>564</v>
      </c>
      <c r="F734" s="54">
        <v>1002</v>
      </c>
      <c r="G734" s="54">
        <v>599</v>
      </c>
      <c r="H734" s="54">
        <v>679</v>
      </c>
      <c r="I734" s="54">
        <v>427</v>
      </c>
      <c r="J734" s="54">
        <v>163</v>
      </c>
      <c r="K734" s="54">
        <v>548</v>
      </c>
      <c r="L734" s="54">
        <v>230</v>
      </c>
      <c r="M734" s="54">
        <f t="shared" si="11"/>
        <v>735</v>
      </c>
      <c r="N734" s="55">
        <v>6123</v>
      </c>
      <c r="O734" s="54">
        <v>131</v>
      </c>
      <c r="P734" s="54">
        <v>0</v>
      </c>
      <c r="Q734" s="54">
        <v>1250</v>
      </c>
      <c r="R734" s="54">
        <v>764</v>
      </c>
      <c r="S734" s="54">
        <v>613</v>
      </c>
      <c r="T734" s="54">
        <v>655</v>
      </c>
      <c r="U734" s="54">
        <v>444</v>
      </c>
      <c r="V734" s="54">
        <v>697</v>
      </c>
      <c r="W734" s="54">
        <v>1428</v>
      </c>
      <c r="X734" s="54">
        <v>141</v>
      </c>
    </row>
    <row r="735" spans="1:24">
      <c r="A735" s="52">
        <v>46202</v>
      </c>
      <c r="B735" s="53" t="s">
        <v>336</v>
      </c>
      <c r="C735" s="54">
        <v>640</v>
      </c>
      <c r="D735" s="54">
        <v>722</v>
      </c>
      <c r="E735" s="54">
        <v>653</v>
      </c>
      <c r="F735" s="54">
        <v>1160</v>
      </c>
      <c r="G735" s="54">
        <v>694</v>
      </c>
      <c r="H735" s="54">
        <v>787</v>
      </c>
      <c r="I735" s="54">
        <v>495</v>
      </c>
      <c r="J735" s="54">
        <v>189</v>
      </c>
      <c r="K735" s="54">
        <v>635</v>
      </c>
      <c r="L735" s="54">
        <v>265</v>
      </c>
      <c r="M735" s="54">
        <f t="shared" si="11"/>
        <v>851</v>
      </c>
      <c r="N735" s="55">
        <v>7091</v>
      </c>
      <c r="O735" s="54">
        <v>152</v>
      </c>
      <c r="P735" s="54">
        <v>0</v>
      </c>
      <c r="Q735" s="54">
        <v>1448</v>
      </c>
      <c r="R735" s="54">
        <v>885</v>
      </c>
      <c r="S735" s="54">
        <v>709</v>
      </c>
      <c r="T735" s="54">
        <v>759</v>
      </c>
      <c r="U735" s="54">
        <v>514</v>
      </c>
      <c r="V735" s="54">
        <v>807</v>
      </c>
      <c r="W735" s="54">
        <v>1654</v>
      </c>
      <c r="X735" s="54">
        <v>163</v>
      </c>
    </row>
    <row r="736" spans="1:24">
      <c r="A736" s="52">
        <v>46203</v>
      </c>
      <c r="B736" s="53" t="s">
        <v>336</v>
      </c>
      <c r="C736" s="54">
        <v>641</v>
      </c>
      <c r="D736" s="54">
        <v>722</v>
      </c>
      <c r="E736" s="54">
        <v>653</v>
      </c>
      <c r="F736" s="54">
        <v>1160</v>
      </c>
      <c r="G736" s="54">
        <v>694</v>
      </c>
      <c r="H736" s="54">
        <v>787</v>
      </c>
      <c r="I736" s="54">
        <v>495</v>
      </c>
      <c r="J736" s="54">
        <v>189</v>
      </c>
      <c r="K736" s="54">
        <v>635</v>
      </c>
      <c r="L736" s="54">
        <v>265</v>
      </c>
      <c r="M736" s="54">
        <f t="shared" si="11"/>
        <v>850</v>
      </c>
      <c r="N736" s="55">
        <v>7091</v>
      </c>
      <c r="O736" s="54">
        <v>152</v>
      </c>
      <c r="P736" s="54">
        <v>0</v>
      </c>
      <c r="Q736" s="54">
        <v>1448</v>
      </c>
      <c r="R736" s="54">
        <v>885</v>
      </c>
      <c r="S736" s="54">
        <v>709</v>
      </c>
      <c r="T736" s="54">
        <v>759</v>
      </c>
      <c r="U736" s="54">
        <v>514</v>
      </c>
      <c r="V736" s="54">
        <v>807</v>
      </c>
      <c r="W736" s="54">
        <v>1654</v>
      </c>
      <c r="X736" s="54">
        <v>163</v>
      </c>
    </row>
    <row r="737" spans="1:24">
      <c r="A737" s="52">
        <v>46204</v>
      </c>
      <c r="B737" s="53" t="s">
        <v>336</v>
      </c>
      <c r="C737" s="54">
        <v>280</v>
      </c>
      <c r="D737" s="54">
        <v>336</v>
      </c>
      <c r="E737" s="54">
        <v>308</v>
      </c>
      <c r="F737" s="54">
        <v>447</v>
      </c>
      <c r="G737" s="54">
        <v>308</v>
      </c>
      <c r="H737" s="54">
        <v>419</v>
      </c>
      <c r="I737" s="54">
        <v>224</v>
      </c>
      <c r="J737" s="54">
        <v>84</v>
      </c>
      <c r="K737" s="54">
        <v>280</v>
      </c>
      <c r="L737" s="54">
        <v>112</v>
      </c>
      <c r="M737" s="54">
        <f t="shared" si="11"/>
        <v>145</v>
      </c>
      <c r="N737" s="55">
        <v>2943</v>
      </c>
      <c r="O737" s="54">
        <v>60</v>
      </c>
      <c r="P737" s="54">
        <v>0</v>
      </c>
      <c r="Q737" s="54">
        <v>730</v>
      </c>
      <c r="R737" s="54">
        <v>293</v>
      </c>
      <c r="S737" s="54">
        <v>216</v>
      </c>
      <c r="T737" s="54">
        <v>236</v>
      </c>
      <c r="U737" s="54">
        <v>67</v>
      </c>
      <c r="V737" s="54">
        <v>563</v>
      </c>
      <c r="W737" s="54">
        <v>716</v>
      </c>
      <c r="X737" s="54">
        <v>62</v>
      </c>
    </row>
    <row r="738" spans="1:24">
      <c r="A738" s="52">
        <v>46205</v>
      </c>
      <c r="B738" s="53" t="s">
        <v>336</v>
      </c>
      <c r="C738" s="54">
        <v>280</v>
      </c>
      <c r="D738" s="54">
        <v>336</v>
      </c>
      <c r="E738" s="54">
        <v>308</v>
      </c>
      <c r="F738" s="54">
        <v>447</v>
      </c>
      <c r="G738" s="54">
        <v>308</v>
      </c>
      <c r="H738" s="54">
        <v>419</v>
      </c>
      <c r="I738" s="54">
        <v>224</v>
      </c>
      <c r="J738" s="54">
        <v>84</v>
      </c>
      <c r="K738" s="54">
        <v>280</v>
      </c>
      <c r="L738" s="54">
        <v>112</v>
      </c>
      <c r="M738" s="54">
        <f t="shared" si="11"/>
        <v>145</v>
      </c>
      <c r="N738" s="55">
        <v>2943</v>
      </c>
      <c r="O738" s="54">
        <v>60</v>
      </c>
      <c r="P738" s="54">
        <v>0</v>
      </c>
      <c r="Q738" s="54">
        <v>730</v>
      </c>
      <c r="R738" s="54">
        <v>293</v>
      </c>
      <c r="S738" s="54">
        <v>216</v>
      </c>
      <c r="T738" s="54">
        <v>236</v>
      </c>
      <c r="U738" s="54">
        <v>67</v>
      </c>
      <c r="V738" s="54">
        <v>563</v>
      </c>
      <c r="W738" s="54">
        <v>716</v>
      </c>
      <c r="X738" s="54">
        <v>62</v>
      </c>
    </row>
    <row r="739" spans="1:24">
      <c r="A739" s="52">
        <v>46206</v>
      </c>
      <c r="B739" s="53" t="s">
        <v>336</v>
      </c>
      <c r="C739" s="54">
        <v>280</v>
      </c>
      <c r="D739" s="54">
        <v>336</v>
      </c>
      <c r="E739" s="54">
        <v>308</v>
      </c>
      <c r="F739" s="54">
        <v>447</v>
      </c>
      <c r="G739" s="54">
        <v>308</v>
      </c>
      <c r="H739" s="54">
        <v>419</v>
      </c>
      <c r="I739" s="54">
        <v>224</v>
      </c>
      <c r="J739" s="54">
        <v>84</v>
      </c>
      <c r="K739" s="54">
        <v>280</v>
      </c>
      <c r="L739" s="54">
        <v>112</v>
      </c>
      <c r="M739" s="54">
        <f t="shared" si="11"/>
        <v>145</v>
      </c>
      <c r="N739" s="55">
        <v>2943</v>
      </c>
      <c r="O739" s="54">
        <v>60</v>
      </c>
      <c r="P739" s="54">
        <v>0</v>
      </c>
      <c r="Q739" s="54">
        <v>730</v>
      </c>
      <c r="R739" s="54">
        <v>293</v>
      </c>
      <c r="S739" s="54">
        <v>216</v>
      </c>
      <c r="T739" s="54">
        <v>236</v>
      </c>
      <c r="U739" s="54">
        <v>67</v>
      </c>
      <c r="V739" s="54">
        <v>563</v>
      </c>
      <c r="W739" s="54">
        <v>716</v>
      </c>
      <c r="X739" s="54">
        <v>62</v>
      </c>
    </row>
    <row r="740" spans="1:24">
      <c r="A740" s="52">
        <v>46207</v>
      </c>
      <c r="B740" s="53" t="s">
        <v>336</v>
      </c>
      <c r="C740" s="54">
        <v>322</v>
      </c>
      <c r="D740" s="54">
        <v>386</v>
      </c>
      <c r="E740" s="54">
        <v>354</v>
      </c>
      <c r="F740" s="54">
        <v>515</v>
      </c>
      <c r="G740" s="54">
        <v>354</v>
      </c>
      <c r="H740" s="54">
        <v>483</v>
      </c>
      <c r="I740" s="54">
        <v>257</v>
      </c>
      <c r="J740" s="54">
        <v>97</v>
      </c>
      <c r="K740" s="54">
        <v>322</v>
      </c>
      <c r="L740" s="54">
        <v>129</v>
      </c>
      <c r="M740" s="54">
        <f t="shared" si="11"/>
        <v>169</v>
      </c>
      <c r="N740" s="55">
        <v>3388</v>
      </c>
      <c r="O740" s="54">
        <v>69</v>
      </c>
      <c r="P740" s="54">
        <v>0</v>
      </c>
      <c r="Q740" s="54">
        <v>840</v>
      </c>
      <c r="R740" s="54">
        <v>337</v>
      </c>
      <c r="S740" s="54">
        <v>248</v>
      </c>
      <c r="T740" s="54">
        <v>272</v>
      </c>
      <c r="U740" s="54">
        <v>78</v>
      </c>
      <c r="V740" s="54">
        <v>648</v>
      </c>
      <c r="W740" s="54">
        <v>824</v>
      </c>
      <c r="X740" s="54">
        <v>72</v>
      </c>
    </row>
    <row r="741" spans="1:24">
      <c r="A741" s="52">
        <v>46208</v>
      </c>
      <c r="B741" s="53" t="s">
        <v>336</v>
      </c>
      <c r="C741" s="54">
        <v>322</v>
      </c>
      <c r="D741" s="54">
        <v>386</v>
      </c>
      <c r="E741" s="54">
        <v>354</v>
      </c>
      <c r="F741" s="54">
        <v>515</v>
      </c>
      <c r="G741" s="54">
        <v>354</v>
      </c>
      <c r="H741" s="54">
        <v>483</v>
      </c>
      <c r="I741" s="54">
        <v>258</v>
      </c>
      <c r="J741" s="54">
        <v>97</v>
      </c>
      <c r="K741" s="54">
        <v>322</v>
      </c>
      <c r="L741" s="54">
        <v>129</v>
      </c>
      <c r="M741" s="54">
        <f t="shared" si="11"/>
        <v>169</v>
      </c>
      <c r="N741" s="55">
        <v>3389</v>
      </c>
      <c r="O741" s="54">
        <v>69</v>
      </c>
      <c r="P741" s="54">
        <v>0</v>
      </c>
      <c r="Q741" s="54">
        <v>840</v>
      </c>
      <c r="R741" s="54">
        <v>338</v>
      </c>
      <c r="S741" s="54">
        <v>248</v>
      </c>
      <c r="T741" s="54">
        <v>272</v>
      </c>
      <c r="U741" s="54">
        <v>78</v>
      </c>
      <c r="V741" s="54">
        <v>648</v>
      </c>
      <c r="W741" s="54">
        <v>824</v>
      </c>
      <c r="X741" s="54">
        <v>72</v>
      </c>
    </row>
    <row r="742" spans="1:24">
      <c r="A742" s="52">
        <v>46209</v>
      </c>
      <c r="B742" s="53" t="s">
        <v>336</v>
      </c>
      <c r="C742" s="54">
        <v>280</v>
      </c>
      <c r="D742" s="54">
        <v>336</v>
      </c>
      <c r="E742" s="54">
        <v>308</v>
      </c>
      <c r="F742" s="54">
        <v>448</v>
      </c>
      <c r="G742" s="54">
        <v>308</v>
      </c>
      <c r="H742" s="54">
        <v>420</v>
      </c>
      <c r="I742" s="54">
        <v>224</v>
      </c>
      <c r="J742" s="54">
        <v>84</v>
      </c>
      <c r="K742" s="54">
        <v>280</v>
      </c>
      <c r="L742" s="54">
        <v>112</v>
      </c>
      <c r="M742" s="54">
        <f t="shared" si="11"/>
        <v>147</v>
      </c>
      <c r="N742" s="55">
        <v>2947</v>
      </c>
      <c r="O742" s="54">
        <v>60</v>
      </c>
      <c r="P742" s="54">
        <v>0</v>
      </c>
      <c r="Q742" s="54">
        <v>730</v>
      </c>
      <c r="R742" s="54">
        <v>294</v>
      </c>
      <c r="S742" s="54">
        <v>216</v>
      </c>
      <c r="T742" s="54">
        <v>236</v>
      </c>
      <c r="U742" s="54">
        <v>67</v>
      </c>
      <c r="V742" s="54">
        <v>564</v>
      </c>
      <c r="W742" s="54">
        <v>717</v>
      </c>
      <c r="X742" s="54">
        <v>63</v>
      </c>
    </row>
    <row r="743" spans="1:24">
      <c r="A743" s="52">
        <v>46210</v>
      </c>
      <c r="B743" s="53" t="s">
        <v>336</v>
      </c>
      <c r="C743" s="54">
        <v>280</v>
      </c>
      <c r="D743" s="54">
        <v>336</v>
      </c>
      <c r="E743" s="54">
        <v>308</v>
      </c>
      <c r="F743" s="54">
        <v>448</v>
      </c>
      <c r="G743" s="54">
        <v>308</v>
      </c>
      <c r="H743" s="54">
        <v>420</v>
      </c>
      <c r="I743" s="54">
        <v>224</v>
      </c>
      <c r="J743" s="54">
        <v>84</v>
      </c>
      <c r="K743" s="54">
        <v>280</v>
      </c>
      <c r="L743" s="54">
        <v>112</v>
      </c>
      <c r="M743" s="54">
        <f t="shared" si="11"/>
        <v>148</v>
      </c>
      <c r="N743" s="55">
        <v>2948</v>
      </c>
      <c r="O743" s="54">
        <v>60</v>
      </c>
      <c r="P743" s="54">
        <v>0</v>
      </c>
      <c r="Q743" s="54">
        <v>730</v>
      </c>
      <c r="R743" s="54">
        <v>294</v>
      </c>
      <c r="S743" s="54">
        <v>217</v>
      </c>
      <c r="T743" s="54">
        <v>236</v>
      </c>
      <c r="U743" s="54">
        <v>67</v>
      </c>
      <c r="V743" s="54">
        <v>564</v>
      </c>
      <c r="W743" s="54">
        <v>717</v>
      </c>
      <c r="X743" s="54">
        <v>63</v>
      </c>
    </row>
    <row r="744" spans="1:24">
      <c r="A744" s="52">
        <v>46211</v>
      </c>
      <c r="B744" s="53" t="s">
        <v>336</v>
      </c>
      <c r="C744" s="54">
        <v>280</v>
      </c>
      <c r="D744" s="54">
        <v>336</v>
      </c>
      <c r="E744" s="54">
        <v>308</v>
      </c>
      <c r="F744" s="54">
        <v>448</v>
      </c>
      <c r="G744" s="54">
        <v>308</v>
      </c>
      <c r="H744" s="54">
        <v>420</v>
      </c>
      <c r="I744" s="54">
        <v>224</v>
      </c>
      <c r="J744" s="54">
        <v>84</v>
      </c>
      <c r="K744" s="54">
        <v>280</v>
      </c>
      <c r="L744" s="54">
        <v>112</v>
      </c>
      <c r="M744" s="54">
        <f t="shared" si="11"/>
        <v>148</v>
      </c>
      <c r="N744" s="55">
        <v>2948</v>
      </c>
      <c r="O744" s="54">
        <v>60</v>
      </c>
      <c r="P744" s="54">
        <v>0</v>
      </c>
      <c r="Q744" s="54">
        <v>730</v>
      </c>
      <c r="R744" s="54">
        <v>294</v>
      </c>
      <c r="S744" s="54">
        <v>217</v>
      </c>
      <c r="T744" s="54">
        <v>236</v>
      </c>
      <c r="U744" s="54">
        <v>67</v>
      </c>
      <c r="V744" s="54">
        <v>564</v>
      </c>
      <c r="W744" s="54">
        <v>717</v>
      </c>
      <c r="X744" s="54">
        <v>63</v>
      </c>
    </row>
    <row r="745" spans="1:24">
      <c r="A745" s="52">
        <v>46212</v>
      </c>
      <c r="B745" s="53" t="s">
        <v>336</v>
      </c>
      <c r="C745" s="54">
        <v>280</v>
      </c>
      <c r="D745" s="54">
        <v>336</v>
      </c>
      <c r="E745" s="54">
        <v>308</v>
      </c>
      <c r="F745" s="54">
        <v>448</v>
      </c>
      <c r="G745" s="54">
        <v>308</v>
      </c>
      <c r="H745" s="54">
        <v>420</v>
      </c>
      <c r="I745" s="54">
        <v>224</v>
      </c>
      <c r="J745" s="54">
        <v>84</v>
      </c>
      <c r="K745" s="54">
        <v>280</v>
      </c>
      <c r="L745" s="54">
        <v>112</v>
      </c>
      <c r="M745" s="54">
        <f t="shared" si="11"/>
        <v>148</v>
      </c>
      <c r="N745" s="55">
        <v>2948</v>
      </c>
      <c r="O745" s="54">
        <v>60</v>
      </c>
      <c r="P745" s="54">
        <v>0</v>
      </c>
      <c r="Q745" s="54">
        <v>730</v>
      </c>
      <c r="R745" s="54">
        <v>294</v>
      </c>
      <c r="S745" s="54">
        <v>217</v>
      </c>
      <c r="T745" s="54">
        <v>236</v>
      </c>
      <c r="U745" s="54">
        <v>67</v>
      </c>
      <c r="V745" s="54">
        <v>564</v>
      </c>
      <c r="W745" s="54">
        <v>717</v>
      </c>
      <c r="X745" s="54">
        <v>63</v>
      </c>
    </row>
    <row r="746" spans="1:24">
      <c r="A746" s="52">
        <v>46213</v>
      </c>
      <c r="B746" s="53" t="s">
        <v>336</v>
      </c>
      <c r="C746" s="54">
        <v>280</v>
      </c>
      <c r="D746" s="54">
        <v>336</v>
      </c>
      <c r="E746" s="54">
        <v>308</v>
      </c>
      <c r="F746" s="54">
        <v>448</v>
      </c>
      <c r="G746" s="54">
        <v>308</v>
      </c>
      <c r="H746" s="54">
        <v>420</v>
      </c>
      <c r="I746" s="54">
        <v>224</v>
      </c>
      <c r="J746" s="54">
        <v>84</v>
      </c>
      <c r="K746" s="54">
        <v>280</v>
      </c>
      <c r="L746" s="54">
        <v>112</v>
      </c>
      <c r="M746" s="54">
        <f t="shared" si="11"/>
        <v>148</v>
      </c>
      <c r="N746" s="55">
        <v>2948</v>
      </c>
      <c r="O746" s="54">
        <v>60</v>
      </c>
      <c r="P746" s="54">
        <v>0</v>
      </c>
      <c r="Q746" s="54">
        <v>730</v>
      </c>
      <c r="R746" s="54">
        <v>294</v>
      </c>
      <c r="S746" s="54">
        <v>217</v>
      </c>
      <c r="T746" s="54">
        <v>236</v>
      </c>
      <c r="U746" s="54">
        <v>67</v>
      </c>
      <c r="V746" s="54">
        <v>564</v>
      </c>
      <c r="W746" s="54">
        <v>717</v>
      </c>
      <c r="X746" s="54">
        <v>63</v>
      </c>
    </row>
    <row r="747" spans="1:24">
      <c r="A747" s="52">
        <v>46214</v>
      </c>
      <c r="B747" s="53" t="s">
        <v>336</v>
      </c>
      <c r="C747" s="54">
        <v>322</v>
      </c>
      <c r="D747" s="54">
        <v>387</v>
      </c>
      <c r="E747" s="54">
        <v>354</v>
      </c>
      <c r="F747" s="54">
        <v>515</v>
      </c>
      <c r="G747" s="54">
        <v>354</v>
      </c>
      <c r="H747" s="54">
        <v>483</v>
      </c>
      <c r="I747" s="54">
        <v>258</v>
      </c>
      <c r="J747" s="54">
        <v>97</v>
      </c>
      <c r="K747" s="54">
        <v>322</v>
      </c>
      <c r="L747" s="54">
        <v>129</v>
      </c>
      <c r="M747" s="54">
        <f t="shared" si="11"/>
        <v>170</v>
      </c>
      <c r="N747" s="55">
        <v>3391</v>
      </c>
      <c r="O747" s="54">
        <v>69</v>
      </c>
      <c r="P747" s="54">
        <v>0</v>
      </c>
      <c r="Q747" s="54">
        <v>840</v>
      </c>
      <c r="R747" s="54">
        <v>338</v>
      </c>
      <c r="S747" s="54">
        <v>249</v>
      </c>
      <c r="T747" s="54">
        <v>272</v>
      </c>
      <c r="U747" s="54">
        <v>78</v>
      </c>
      <c r="V747" s="54">
        <v>649</v>
      </c>
      <c r="W747" s="54">
        <v>824</v>
      </c>
      <c r="X747" s="54">
        <v>72</v>
      </c>
    </row>
    <row r="748" spans="1:24">
      <c r="A748" s="52">
        <v>46215</v>
      </c>
      <c r="B748" s="53" t="s">
        <v>336</v>
      </c>
      <c r="C748" s="54">
        <v>322</v>
      </c>
      <c r="D748" s="54">
        <v>387</v>
      </c>
      <c r="E748" s="54">
        <v>354</v>
      </c>
      <c r="F748" s="54">
        <v>515</v>
      </c>
      <c r="G748" s="54">
        <v>354</v>
      </c>
      <c r="H748" s="54">
        <v>483</v>
      </c>
      <c r="I748" s="54">
        <v>258</v>
      </c>
      <c r="J748" s="54">
        <v>97</v>
      </c>
      <c r="K748" s="54">
        <v>322</v>
      </c>
      <c r="L748" s="54">
        <v>129</v>
      </c>
      <c r="M748" s="54">
        <f t="shared" si="11"/>
        <v>170</v>
      </c>
      <c r="N748" s="55">
        <v>3391</v>
      </c>
      <c r="O748" s="54">
        <v>69</v>
      </c>
      <c r="P748" s="54">
        <v>0</v>
      </c>
      <c r="Q748" s="54">
        <v>840</v>
      </c>
      <c r="R748" s="54">
        <v>338</v>
      </c>
      <c r="S748" s="54">
        <v>249</v>
      </c>
      <c r="T748" s="54">
        <v>272</v>
      </c>
      <c r="U748" s="54">
        <v>78</v>
      </c>
      <c r="V748" s="54">
        <v>649</v>
      </c>
      <c r="W748" s="54">
        <v>824</v>
      </c>
      <c r="X748" s="54">
        <v>72</v>
      </c>
    </row>
    <row r="749" spans="1:24">
      <c r="A749" s="52">
        <v>46216</v>
      </c>
      <c r="B749" s="53" t="s">
        <v>336</v>
      </c>
      <c r="C749" s="54">
        <v>280</v>
      </c>
      <c r="D749" s="54">
        <v>336</v>
      </c>
      <c r="E749" s="54">
        <v>308</v>
      </c>
      <c r="F749" s="54">
        <v>448</v>
      </c>
      <c r="G749" s="54">
        <v>308</v>
      </c>
      <c r="H749" s="54">
        <v>420</v>
      </c>
      <c r="I749" s="54">
        <v>224</v>
      </c>
      <c r="J749" s="54">
        <v>84</v>
      </c>
      <c r="K749" s="54">
        <v>280</v>
      </c>
      <c r="L749" s="54">
        <v>112</v>
      </c>
      <c r="M749" s="54">
        <f t="shared" si="11"/>
        <v>148</v>
      </c>
      <c r="N749" s="55">
        <v>2948</v>
      </c>
      <c r="O749" s="54">
        <v>60</v>
      </c>
      <c r="P749" s="54">
        <v>0</v>
      </c>
      <c r="Q749" s="54">
        <v>730</v>
      </c>
      <c r="R749" s="54">
        <v>294</v>
      </c>
      <c r="S749" s="54">
        <v>217</v>
      </c>
      <c r="T749" s="54">
        <v>236</v>
      </c>
      <c r="U749" s="54">
        <v>67</v>
      </c>
      <c r="V749" s="54">
        <v>564</v>
      </c>
      <c r="W749" s="54">
        <v>717</v>
      </c>
      <c r="X749" s="54">
        <v>63</v>
      </c>
    </row>
    <row r="750" spans="1:24">
      <c r="A750" s="52">
        <v>46217</v>
      </c>
      <c r="B750" s="53" t="s">
        <v>336</v>
      </c>
      <c r="C750" s="54">
        <v>280</v>
      </c>
      <c r="D750" s="54">
        <v>336</v>
      </c>
      <c r="E750" s="54">
        <v>308</v>
      </c>
      <c r="F750" s="54">
        <v>448</v>
      </c>
      <c r="G750" s="54">
        <v>308</v>
      </c>
      <c r="H750" s="54">
        <v>420</v>
      </c>
      <c r="I750" s="54">
        <v>224</v>
      </c>
      <c r="J750" s="54">
        <v>84</v>
      </c>
      <c r="K750" s="54">
        <v>280</v>
      </c>
      <c r="L750" s="54">
        <v>112</v>
      </c>
      <c r="M750" s="54">
        <f t="shared" si="11"/>
        <v>148</v>
      </c>
      <c r="N750" s="55">
        <v>2948</v>
      </c>
      <c r="O750" s="54">
        <v>60</v>
      </c>
      <c r="P750" s="54">
        <v>0</v>
      </c>
      <c r="Q750" s="54">
        <v>730</v>
      </c>
      <c r="R750" s="54">
        <v>294</v>
      </c>
      <c r="S750" s="54">
        <v>217</v>
      </c>
      <c r="T750" s="54">
        <v>236</v>
      </c>
      <c r="U750" s="54">
        <v>67</v>
      </c>
      <c r="V750" s="54">
        <v>564</v>
      </c>
      <c r="W750" s="54">
        <v>717</v>
      </c>
      <c r="X750" s="54">
        <v>63</v>
      </c>
    </row>
    <row r="751" spans="1:24">
      <c r="A751" s="52">
        <v>46218</v>
      </c>
      <c r="B751" s="53" t="s">
        <v>336</v>
      </c>
      <c r="C751" s="54">
        <v>280</v>
      </c>
      <c r="D751" s="54">
        <v>336</v>
      </c>
      <c r="E751" s="54">
        <v>308</v>
      </c>
      <c r="F751" s="54">
        <v>448</v>
      </c>
      <c r="G751" s="54">
        <v>308</v>
      </c>
      <c r="H751" s="54">
        <v>420</v>
      </c>
      <c r="I751" s="54">
        <v>224</v>
      </c>
      <c r="J751" s="54">
        <v>84</v>
      </c>
      <c r="K751" s="54">
        <v>280</v>
      </c>
      <c r="L751" s="54">
        <v>112</v>
      </c>
      <c r="M751" s="54">
        <f t="shared" si="11"/>
        <v>148</v>
      </c>
      <c r="N751" s="55">
        <v>2948</v>
      </c>
      <c r="O751" s="54">
        <v>60</v>
      </c>
      <c r="P751" s="54">
        <v>0</v>
      </c>
      <c r="Q751" s="54">
        <v>730</v>
      </c>
      <c r="R751" s="54">
        <v>294</v>
      </c>
      <c r="S751" s="54">
        <v>217</v>
      </c>
      <c r="T751" s="54">
        <v>236</v>
      </c>
      <c r="U751" s="54">
        <v>67</v>
      </c>
      <c r="V751" s="54">
        <v>564</v>
      </c>
      <c r="W751" s="54">
        <v>717</v>
      </c>
      <c r="X751" s="54">
        <v>63</v>
      </c>
    </row>
    <row r="752" spans="1:24">
      <c r="A752" s="52">
        <v>46219</v>
      </c>
      <c r="B752" s="53" t="s">
        <v>336</v>
      </c>
      <c r="C752" s="54">
        <v>280</v>
      </c>
      <c r="D752" s="54">
        <v>336</v>
      </c>
      <c r="E752" s="54">
        <v>308</v>
      </c>
      <c r="F752" s="54">
        <v>448</v>
      </c>
      <c r="G752" s="54">
        <v>308</v>
      </c>
      <c r="H752" s="54">
        <v>420</v>
      </c>
      <c r="I752" s="54">
        <v>224</v>
      </c>
      <c r="J752" s="54">
        <v>84</v>
      </c>
      <c r="K752" s="54">
        <v>280</v>
      </c>
      <c r="L752" s="54">
        <v>112</v>
      </c>
      <c r="M752" s="54">
        <f t="shared" si="11"/>
        <v>148</v>
      </c>
      <c r="N752" s="55">
        <v>2948</v>
      </c>
      <c r="O752" s="54">
        <v>60</v>
      </c>
      <c r="P752" s="54">
        <v>0</v>
      </c>
      <c r="Q752" s="54">
        <v>730</v>
      </c>
      <c r="R752" s="54">
        <v>294</v>
      </c>
      <c r="S752" s="54">
        <v>217</v>
      </c>
      <c r="T752" s="54">
        <v>236</v>
      </c>
      <c r="U752" s="54">
        <v>67</v>
      </c>
      <c r="V752" s="54">
        <v>564</v>
      </c>
      <c r="W752" s="54">
        <v>717</v>
      </c>
      <c r="X752" s="54">
        <v>63</v>
      </c>
    </row>
    <row r="753" spans="1:24">
      <c r="A753" s="52">
        <v>46220</v>
      </c>
      <c r="B753" s="53" t="s">
        <v>336</v>
      </c>
      <c r="C753" s="54">
        <v>280</v>
      </c>
      <c r="D753" s="54">
        <v>336</v>
      </c>
      <c r="E753" s="54">
        <v>308</v>
      </c>
      <c r="F753" s="54">
        <v>448</v>
      </c>
      <c r="G753" s="54">
        <v>308</v>
      </c>
      <c r="H753" s="54">
        <v>420</v>
      </c>
      <c r="I753" s="54">
        <v>224</v>
      </c>
      <c r="J753" s="54">
        <v>84</v>
      </c>
      <c r="K753" s="54">
        <v>280</v>
      </c>
      <c r="L753" s="54">
        <v>112</v>
      </c>
      <c r="M753" s="54">
        <f t="shared" si="11"/>
        <v>148</v>
      </c>
      <c r="N753" s="55">
        <v>2948</v>
      </c>
      <c r="O753" s="54">
        <v>60</v>
      </c>
      <c r="P753" s="54">
        <v>0</v>
      </c>
      <c r="Q753" s="54">
        <v>730</v>
      </c>
      <c r="R753" s="54">
        <v>294</v>
      </c>
      <c r="S753" s="54">
        <v>217</v>
      </c>
      <c r="T753" s="54">
        <v>236</v>
      </c>
      <c r="U753" s="54">
        <v>67</v>
      </c>
      <c r="V753" s="54">
        <v>564</v>
      </c>
      <c r="W753" s="54">
        <v>717</v>
      </c>
      <c r="X753" s="54">
        <v>63</v>
      </c>
    </row>
    <row r="754" spans="1:24">
      <c r="A754" s="52">
        <v>46221</v>
      </c>
      <c r="B754" s="53" t="s">
        <v>336</v>
      </c>
      <c r="C754" s="54">
        <v>322</v>
      </c>
      <c r="D754" s="54">
        <v>387</v>
      </c>
      <c r="E754" s="54">
        <v>354</v>
      </c>
      <c r="F754" s="54">
        <v>515</v>
      </c>
      <c r="G754" s="54">
        <v>354</v>
      </c>
      <c r="H754" s="54">
        <v>483</v>
      </c>
      <c r="I754" s="54">
        <v>258</v>
      </c>
      <c r="J754" s="54">
        <v>97</v>
      </c>
      <c r="K754" s="54">
        <v>322</v>
      </c>
      <c r="L754" s="54">
        <v>129</v>
      </c>
      <c r="M754" s="54">
        <f t="shared" si="11"/>
        <v>170</v>
      </c>
      <c r="N754" s="55">
        <v>3391</v>
      </c>
      <c r="O754" s="54">
        <v>69</v>
      </c>
      <c r="P754" s="54">
        <v>0</v>
      </c>
      <c r="Q754" s="54">
        <v>840</v>
      </c>
      <c r="R754" s="54">
        <v>338</v>
      </c>
      <c r="S754" s="54">
        <v>249</v>
      </c>
      <c r="T754" s="54">
        <v>272</v>
      </c>
      <c r="U754" s="54">
        <v>78</v>
      </c>
      <c r="V754" s="54">
        <v>649</v>
      </c>
      <c r="W754" s="54">
        <v>824</v>
      </c>
      <c r="X754" s="54">
        <v>72</v>
      </c>
    </row>
    <row r="755" spans="1:24">
      <c r="A755" s="52">
        <v>46222</v>
      </c>
      <c r="B755" s="53" t="s">
        <v>336</v>
      </c>
      <c r="C755" s="54">
        <v>322</v>
      </c>
      <c r="D755" s="54">
        <v>387</v>
      </c>
      <c r="E755" s="54">
        <v>354</v>
      </c>
      <c r="F755" s="54">
        <v>515</v>
      </c>
      <c r="G755" s="54">
        <v>354</v>
      </c>
      <c r="H755" s="54">
        <v>483</v>
      </c>
      <c r="I755" s="54">
        <v>258</v>
      </c>
      <c r="J755" s="54">
        <v>97</v>
      </c>
      <c r="K755" s="54">
        <v>322</v>
      </c>
      <c r="L755" s="54">
        <v>129</v>
      </c>
      <c r="M755" s="54">
        <f t="shared" si="11"/>
        <v>170</v>
      </c>
      <c r="N755" s="55">
        <v>3391</v>
      </c>
      <c r="O755" s="54">
        <v>69</v>
      </c>
      <c r="P755" s="54">
        <v>0</v>
      </c>
      <c r="Q755" s="54">
        <v>840</v>
      </c>
      <c r="R755" s="54">
        <v>338</v>
      </c>
      <c r="S755" s="54">
        <v>249</v>
      </c>
      <c r="T755" s="54">
        <v>272</v>
      </c>
      <c r="U755" s="54">
        <v>78</v>
      </c>
      <c r="V755" s="54">
        <v>649</v>
      </c>
      <c r="W755" s="54">
        <v>824</v>
      </c>
      <c r="X755" s="54">
        <v>72</v>
      </c>
    </row>
    <row r="756" spans="1:24">
      <c r="A756" s="52">
        <v>46223</v>
      </c>
      <c r="B756" s="53" t="s">
        <v>336</v>
      </c>
      <c r="C756" s="54">
        <v>280</v>
      </c>
      <c r="D756" s="54">
        <v>336</v>
      </c>
      <c r="E756" s="54">
        <v>308</v>
      </c>
      <c r="F756" s="54">
        <v>448</v>
      </c>
      <c r="G756" s="54">
        <v>308</v>
      </c>
      <c r="H756" s="54">
        <v>420</v>
      </c>
      <c r="I756" s="54">
        <v>224</v>
      </c>
      <c r="J756" s="54">
        <v>84</v>
      </c>
      <c r="K756" s="54">
        <v>280</v>
      </c>
      <c r="L756" s="54">
        <v>113</v>
      </c>
      <c r="M756" s="54">
        <f t="shared" si="11"/>
        <v>147</v>
      </c>
      <c r="N756" s="55">
        <v>2948</v>
      </c>
      <c r="O756" s="54">
        <v>60</v>
      </c>
      <c r="P756" s="54">
        <v>0</v>
      </c>
      <c r="Q756" s="54">
        <v>730</v>
      </c>
      <c r="R756" s="54">
        <v>294</v>
      </c>
      <c r="S756" s="54">
        <v>217</v>
      </c>
      <c r="T756" s="54">
        <v>236</v>
      </c>
      <c r="U756" s="54">
        <v>67</v>
      </c>
      <c r="V756" s="54">
        <v>564</v>
      </c>
      <c r="W756" s="54">
        <v>717</v>
      </c>
      <c r="X756" s="54">
        <v>63</v>
      </c>
    </row>
    <row r="757" spans="1:24">
      <c r="A757" s="52">
        <v>46224</v>
      </c>
      <c r="B757" s="53" t="s">
        <v>336</v>
      </c>
      <c r="C757" s="54">
        <v>280</v>
      </c>
      <c r="D757" s="54">
        <v>336</v>
      </c>
      <c r="E757" s="54">
        <v>308</v>
      </c>
      <c r="F757" s="54">
        <v>448</v>
      </c>
      <c r="G757" s="54">
        <v>308</v>
      </c>
      <c r="H757" s="54">
        <v>420</v>
      </c>
      <c r="I757" s="54">
        <v>224</v>
      </c>
      <c r="J757" s="54">
        <v>84</v>
      </c>
      <c r="K757" s="54">
        <v>280</v>
      </c>
      <c r="L757" s="54">
        <v>113</v>
      </c>
      <c r="M757" s="54">
        <f t="shared" si="11"/>
        <v>147</v>
      </c>
      <c r="N757" s="55">
        <v>2948</v>
      </c>
      <c r="O757" s="54">
        <v>60</v>
      </c>
      <c r="P757" s="54">
        <v>0</v>
      </c>
      <c r="Q757" s="54">
        <v>730</v>
      </c>
      <c r="R757" s="54">
        <v>294</v>
      </c>
      <c r="S757" s="54">
        <v>217</v>
      </c>
      <c r="T757" s="54">
        <v>236</v>
      </c>
      <c r="U757" s="54">
        <v>67</v>
      </c>
      <c r="V757" s="54">
        <v>564</v>
      </c>
      <c r="W757" s="54">
        <v>717</v>
      </c>
      <c r="X757" s="54">
        <v>63</v>
      </c>
    </row>
    <row r="758" spans="1:24">
      <c r="A758" s="52">
        <v>46225</v>
      </c>
      <c r="B758" s="53" t="s">
        <v>336</v>
      </c>
      <c r="C758" s="54">
        <v>280</v>
      </c>
      <c r="D758" s="54">
        <v>336</v>
      </c>
      <c r="E758" s="54">
        <v>308</v>
      </c>
      <c r="F758" s="54">
        <v>448</v>
      </c>
      <c r="G758" s="54">
        <v>308</v>
      </c>
      <c r="H758" s="54">
        <v>420</v>
      </c>
      <c r="I758" s="54">
        <v>224</v>
      </c>
      <c r="J758" s="54">
        <v>84</v>
      </c>
      <c r="K758" s="54">
        <v>280</v>
      </c>
      <c r="L758" s="54">
        <v>113</v>
      </c>
      <c r="M758" s="54">
        <f t="shared" si="11"/>
        <v>148</v>
      </c>
      <c r="N758" s="55">
        <v>2949</v>
      </c>
      <c r="O758" s="54">
        <v>60</v>
      </c>
      <c r="P758" s="54">
        <v>1</v>
      </c>
      <c r="Q758" s="54">
        <v>730</v>
      </c>
      <c r="R758" s="54">
        <v>294</v>
      </c>
      <c r="S758" s="54">
        <v>217</v>
      </c>
      <c r="T758" s="54">
        <v>236</v>
      </c>
      <c r="U758" s="54">
        <v>67</v>
      </c>
      <c r="V758" s="54">
        <v>564</v>
      </c>
      <c r="W758" s="54">
        <v>717</v>
      </c>
      <c r="X758" s="54">
        <v>63</v>
      </c>
    </row>
    <row r="759" spans="1:24">
      <c r="A759" s="52">
        <v>46226</v>
      </c>
      <c r="B759" s="53" t="s">
        <v>336</v>
      </c>
      <c r="C759" s="54">
        <v>280</v>
      </c>
      <c r="D759" s="54">
        <v>336</v>
      </c>
      <c r="E759" s="54">
        <v>308</v>
      </c>
      <c r="F759" s="54">
        <v>448</v>
      </c>
      <c r="G759" s="54">
        <v>308</v>
      </c>
      <c r="H759" s="54">
        <v>420</v>
      </c>
      <c r="I759" s="54">
        <v>224</v>
      </c>
      <c r="J759" s="54">
        <v>84</v>
      </c>
      <c r="K759" s="54">
        <v>280</v>
      </c>
      <c r="L759" s="54">
        <v>113</v>
      </c>
      <c r="M759" s="54">
        <f t="shared" si="11"/>
        <v>148</v>
      </c>
      <c r="N759" s="55">
        <v>2949</v>
      </c>
      <c r="O759" s="54">
        <v>60</v>
      </c>
      <c r="P759" s="54">
        <v>1</v>
      </c>
      <c r="Q759" s="54">
        <v>730</v>
      </c>
      <c r="R759" s="54">
        <v>294</v>
      </c>
      <c r="S759" s="54">
        <v>217</v>
      </c>
      <c r="T759" s="54">
        <v>236</v>
      </c>
      <c r="U759" s="54">
        <v>67</v>
      </c>
      <c r="V759" s="54">
        <v>564</v>
      </c>
      <c r="W759" s="54">
        <v>717</v>
      </c>
      <c r="X759" s="54">
        <v>63</v>
      </c>
    </row>
    <row r="760" spans="1:24">
      <c r="A760" s="52">
        <v>46227</v>
      </c>
      <c r="B760" s="53" t="s">
        <v>336</v>
      </c>
      <c r="C760" s="54">
        <v>280</v>
      </c>
      <c r="D760" s="54">
        <v>336</v>
      </c>
      <c r="E760" s="54">
        <v>308</v>
      </c>
      <c r="F760" s="54">
        <v>448</v>
      </c>
      <c r="G760" s="54">
        <v>308</v>
      </c>
      <c r="H760" s="54">
        <v>420</v>
      </c>
      <c r="I760" s="54">
        <v>224</v>
      </c>
      <c r="J760" s="54">
        <v>84</v>
      </c>
      <c r="K760" s="54">
        <v>280</v>
      </c>
      <c r="L760" s="54">
        <v>113</v>
      </c>
      <c r="M760" s="54">
        <f t="shared" si="11"/>
        <v>148</v>
      </c>
      <c r="N760" s="55">
        <v>2949</v>
      </c>
      <c r="O760" s="54">
        <v>60</v>
      </c>
      <c r="P760" s="54">
        <v>1</v>
      </c>
      <c r="Q760" s="54">
        <v>730</v>
      </c>
      <c r="R760" s="54">
        <v>294</v>
      </c>
      <c r="S760" s="54">
        <v>217</v>
      </c>
      <c r="T760" s="54">
        <v>236</v>
      </c>
      <c r="U760" s="54">
        <v>67</v>
      </c>
      <c r="V760" s="54">
        <v>564</v>
      </c>
      <c r="W760" s="54">
        <v>717</v>
      </c>
      <c r="X760" s="54">
        <v>63</v>
      </c>
    </row>
    <row r="761" spans="1:24">
      <c r="A761" s="52">
        <v>46228</v>
      </c>
      <c r="B761" s="53" t="s">
        <v>336</v>
      </c>
      <c r="C761" s="54">
        <v>322</v>
      </c>
      <c r="D761" s="54">
        <v>387</v>
      </c>
      <c r="E761" s="54">
        <v>355</v>
      </c>
      <c r="F761" s="54">
        <v>516</v>
      </c>
      <c r="G761" s="54">
        <v>355</v>
      </c>
      <c r="H761" s="54">
        <v>484</v>
      </c>
      <c r="I761" s="54">
        <v>258</v>
      </c>
      <c r="J761" s="54">
        <v>97</v>
      </c>
      <c r="K761" s="54">
        <v>322</v>
      </c>
      <c r="L761" s="54">
        <v>129</v>
      </c>
      <c r="M761" s="54">
        <f t="shared" si="11"/>
        <v>168</v>
      </c>
      <c r="N761" s="55">
        <v>3393</v>
      </c>
      <c r="O761" s="54">
        <v>69</v>
      </c>
      <c r="P761" s="54">
        <v>1</v>
      </c>
      <c r="Q761" s="54">
        <v>840</v>
      </c>
      <c r="R761" s="54">
        <v>338</v>
      </c>
      <c r="S761" s="54">
        <v>249</v>
      </c>
      <c r="T761" s="54">
        <v>272</v>
      </c>
      <c r="U761" s="54">
        <v>79</v>
      </c>
      <c r="V761" s="54">
        <v>649</v>
      </c>
      <c r="W761" s="54">
        <v>824</v>
      </c>
      <c r="X761" s="54">
        <v>72</v>
      </c>
    </row>
    <row r="762" spans="1:24">
      <c r="A762" s="52">
        <v>46229</v>
      </c>
      <c r="B762" s="53" t="s">
        <v>336</v>
      </c>
      <c r="C762" s="54">
        <v>322</v>
      </c>
      <c r="D762" s="54">
        <v>387</v>
      </c>
      <c r="E762" s="54">
        <v>355</v>
      </c>
      <c r="F762" s="54">
        <v>516</v>
      </c>
      <c r="G762" s="54">
        <v>355</v>
      </c>
      <c r="H762" s="54">
        <v>484</v>
      </c>
      <c r="I762" s="54">
        <v>258</v>
      </c>
      <c r="J762" s="54">
        <v>97</v>
      </c>
      <c r="K762" s="54">
        <v>322</v>
      </c>
      <c r="L762" s="54">
        <v>129</v>
      </c>
      <c r="M762" s="54">
        <f t="shared" si="11"/>
        <v>169</v>
      </c>
      <c r="N762" s="55">
        <v>3394</v>
      </c>
      <c r="O762" s="54">
        <v>70</v>
      </c>
      <c r="P762" s="54">
        <v>1</v>
      </c>
      <c r="Q762" s="54">
        <v>840</v>
      </c>
      <c r="R762" s="54">
        <v>338</v>
      </c>
      <c r="S762" s="54">
        <v>249</v>
      </c>
      <c r="T762" s="54">
        <v>272</v>
      </c>
      <c r="U762" s="54">
        <v>79</v>
      </c>
      <c r="V762" s="54">
        <v>649</v>
      </c>
      <c r="W762" s="54">
        <v>824</v>
      </c>
      <c r="X762" s="54">
        <v>72</v>
      </c>
    </row>
    <row r="763" spans="1:24">
      <c r="A763" s="52">
        <v>46230</v>
      </c>
      <c r="B763" s="53" t="s">
        <v>336</v>
      </c>
      <c r="C763" s="54">
        <v>280</v>
      </c>
      <c r="D763" s="54">
        <v>336</v>
      </c>
      <c r="E763" s="54">
        <v>308</v>
      </c>
      <c r="F763" s="54">
        <v>449</v>
      </c>
      <c r="G763" s="54">
        <v>308</v>
      </c>
      <c r="H763" s="54">
        <v>421</v>
      </c>
      <c r="I763" s="54">
        <v>224</v>
      </c>
      <c r="J763" s="54">
        <v>84</v>
      </c>
      <c r="K763" s="54">
        <v>280</v>
      </c>
      <c r="L763" s="54">
        <v>113</v>
      </c>
      <c r="M763" s="54">
        <f t="shared" si="11"/>
        <v>148</v>
      </c>
      <c r="N763" s="55">
        <v>2951</v>
      </c>
      <c r="O763" s="54">
        <v>61</v>
      </c>
      <c r="P763" s="54">
        <v>1</v>
      </c>
      <c r="Q763" s="54">
        <v>730</v>
      </c>
      <c r="R763" s="54">
        <v>294</v>
      </c>
      <c r="S763" s="54">
        <v>217</v>
      </c>
      <c r="T763" s="54">
        <v>236</v>
      </c>
      <c r="U763" s="54">
        <v>68</v>
      </c>
      <c r="V763" s="54">
        <v>564</v>
      </c>
      <c r="W763" s="54">
        <v>717</v>
      </c>
      <c r="X763" s="54">
        <v>63</v>
      </c>
    </row>
    <row r="764" spans="1:24">
      <c r="A764" s="52">
        <v>46231</v>
      </c>
      <c r="B764" s="53" t="s">
        <v>336</v>
      </c>
      <c r="C764" s="54">
        <v>280</v>
      </c>
      <c r="D764" s="54">
        <v>336</v>
      </c>
      <c r="E764" s="54">
        <v>308</v>
      </c>
      <c r="F764" s="54">
        <v>449</v>
      </c>
      <c r="G764" s="54">
        <v>308</v>
      </c>
      <c r="H764" s="54">
        <v>421</v>
      </c>
      <c r="I764" s="54">
        <v>224</v>
      </c>
      <c r="J764" s="54">
        <v>84</v>
      </c>
      <c r="K764" s="54">
        <v>280</v>
      </c>
      <c r="L764" s="54">
        <v>113</v>
      </c>
      <c r="M764" s="54">
        <f t="shared" si="11"/>
        <v>148</v>
      </c>
      <c r="N764" s="55">
        <v>2951</v>
      </c>
      <c r="O764" s="54">
        <v>61</v>
      </c>
      <c r="P764" s="54">
        <v>1</v>
      </c>
      <c r="Q764" s="54">
        <v>730</v>
      </c>
      <c r="R764" s="54">
        <v>294</v>
      </c>
      <c r="S764" s="54">
        <v>217</v>
      </c>
      <c r="T764" s="54">
        <v>236</v>
      </c>
      <c r="U764" s="54">
        <v>68</v>
      </c>
      <c r="V764" s="54">
        <v>564</v>
      </c>
      <c r="W764" s="54">
        <v>717</v>
      </c>
      <c r="X764" s="54">
        <v>63</v>
      </c>
    </row>
    <row r="765" spans="1:24">
      <c r="A765" s="52">
        <v>46232</v>
      </c>
      <c r="B765" s="53" t="s">
        <v>336</v>
      </c>
      <c r="C765" s="54">
        <v>280</v>
      </c>
      <c r="D765" s="54">
        <v>337</v>
      </c>
      <c r="E765" s="54">
        <v>308</v>
      </c>
      <c r="F765" s="54">
        <v>449</v>
      </c>
      <c r="G765" s="54">
        <v>308</v>
      </c>
      <c r="H765" s="54">
        <v>421</v>
      </c>
      <c r="I765" s="54">
        <v>224</v>
      </c>
      <c r="J765" s="54">
        <v>84</v>
      </c>
      <c r="K765" s="54">
        <v>280</v>
      </c>
      <c r="L765" s="54">
        <v>113</v>
      </c>
      <c r="M765" s="54">
        <f t="shared" si="11"/>
        <v>148</v>
      </c>
      <c r="N765" s="55">
        <v>2952</v>
      </c>
      <c r="O765" s="54">
        <v>61</v>
      </c>
      <c r="P765" s="54">
        <v>1</v>
      </c>
      <c r="Q765" s="54">
        <v>731</v>
      </c>
      <c r="R765" s="54">
        <v>294</v>
      </c>
      <c r="S765" s="54">
        <v>217</v>
      </c>
      <c r="T765" s="54">
        <v>236</v>
      </c>
      <c r="U765" s="54">
        <v>68</v>
      </c>
      <c r="V765" s="54">
        <v>564</v>
      </c>
      <c r="W765" s="54">
        <v>717</v>
      </c>
      <c r="X765" s="54">
        <v>63</v>
      </c>
    </row>
    <row r="766" spans="1:24">
      <c r="A766" s="52">
        <v>46233</v>
      </c>
      <c r="B766" s="53" t="s">
        <v>336</v>
      </c>
      <c r="C766" s="54">
        <v>280</v>
      </c>
      <c r="D766" s="54">
        <v>337</v>
      </c>
      <c r="E766" s="54">
        <v>308</v>
      </c>
      <c r="F766" s="54">
        <v>449</v>
      </c>
      <c r="G766" s="54">
        <v>308</v>
      </c>
      <c r="H766" s="54">
        <v>421</v>
      </c>
      <c r="I766" s="54">
        <v>224</v>
      </c>
      <c r="J766" s="54">
        <v>84</v>
      </c>
      <c r="K766" s="54">
        <v>280</v>
      </c>
      <c r="L766" s="54">
        <v>113</v>
      </c>
      <c r="M766" s="54">
        <f t="shared" si="11"/>
        <v>148</v>
      </c>
      <c r="N766" s="55">
        <v>2952</v>
      </c>
      <c r="O766" s="54">
        <v>61</v>
      </c>
      <c r="P766" s="54">
        <v>1</v>
      </c>
      <c r="Q766" s="54">
        <v>731</v>
      </c>
      <c r="R766" s="54">
        <v>294</v>
      </c>
      <c r="S766" s="54">
        <v>217</v>
      </c>
      <c r="T766" s="54">
        <v>236</v>
      </c>
      <c r="U766" s="54">
        <v>68</v>
      </c>
      <c r="V766" s="54">
        <v>564</v>
      </c>
      <c r="W766" s="54">
        <v>717</v>
      </c>
      <c r="X766" s="54">
        <v>63</v>
      </c>
    </row>
    <row r="767" spans="1:24">
      <c r="A767" s="52">
        <v>46234</v>
      </c>
      <c r="B767" s="53" t="s">
        <v>336</v>
      </c>
      <c r="C767" s="54">
        <v>280</v>
      </c>
      <c r="D767" s="54">
        <v>337</v>
      </c>
      <c r="E767" s="54">
        <v>308</v>
      </c>
      <c r="F767" s="54">
        <v>449</v>
      </c>
      <c r="G767" s="54">
        <v>308</v>
      </c>
      <c r="H767" s="54">
        <v>421</v>
      </c>
      <c r="I767" s="54">
        <v>224</v>
      </c>
      <c r="J767" s="54">
        <v>84</v>
      </c>
      <c r="K767" s="54">
        <v>280</v>
      </c>
      <c r="L767" s="54">
        <v>113</v>
      </c>
      <c r="M767" s="54">
        <f t="shared" si="11"/>
        <v>148</v>
      </c>
      <c r="N767" s="55">
        <v>2952</v>
      </c>
      <c r="O767" s="54">
        <v>61</v>
      </c>
      <c r="P767" s="54">
        <v>1</v>
      </c>
      <c r="Q767" s="54">
        <v>731</v>
      </c>
      <c r="R767" s="54">
        <v>294</v>
      </c>
      <c r="S767" s="54">
        <v>217</v>
      </c>
      <c r="T767" s="54">
        <v>236</v>
      </c>
      <c r="U767" s="54">
        <v>68</v>
      </c>
      <c r="V767" s="54">
        <v>564</v>
      </c>
      <c r="W767" s="54">
        <v>717</v>
      </c>
      <c r="X767" s="54">
        <v>63</v>
      </c>
    </row>
    <row r="768" spans="1:24">
      <c r="A768" s="52">
        <v>46235</v>
      </c>
      <c r="B768" s="53" t="s">
        <v>336</v>
      </c>
      <c r="C768" s="54">
        <v>261</v>
      </c>
      <c r="D768" s="54">
        <v>348</v>
      </c>
      <c r="E768" s="54">
        <v>348</v>
      </c>
      <c r="F768" s="54">
        <v>463</v>
      </c>
      <c r="G768" s="54">
        <v>348</v>
      </c>
      <c r="H768" s="54">
        <v>377</v>
      </c>
      <c r="I768" s="54">
        <v>232</v>
      </c>
      <c r="J768" s="54">
        <v>87</v>
      </c>
      <c r="K768" s="54">
        <v>319</v>
      </c>
      <c r="L768" s="54">
        <v>116</v>
      </c>
      <c r="M768" s="54">
        <f t="shared" si="11"/>
        <v>249</v>
      </c>
      <c r="N768" s="55">
        <v>3148</v>
      </c>
      <c r="O768" s="54">
        <v>55</v>
      </c>
      <c r="P768" s="54">
        <v>0</v>
      </c>
      <c r="Q768" s="54">
        <v>889</v>
      </c>
      <c r="R768" s="54">
        <v>387</v>
      </c>
      <c r="S768" s="54">
        <v>219</v>
      </c>
      <c r="T768" s="54">
        <v>279</v>
      </c>
      <c r="U768" s="54">
        <v>96</v>
      </c>
      <c r="V768" s="54">
        <v>680</v>
      </c>
      <c r="W768" s="54">
        <v>543</v>
      </c>
      <c r="X768" s="54">
        <v>0</v>
      </c>
    </row>
    <row r="769" spans="1:24">
      <c r="A769" s="52">
        <v>46236</v>
      </c>
      <c r="B769" s="53" t="s">
        <v>336</v>
      </c>
      <c r="C769" s="54">
        <v>261</v>
      </c>
      <c r="D769" s="54">
        <v>348</v>
      </c>
      <c r="E769" s="54">
        <v>348</v>
      </c>
      <c r="F769" s="54">
        <v>464</v>
      </c>
      <c r="G769" s="54">
        <v>348</v>
      </c>
      <c r="H769" s="54">
        <v>377</v>
      </c>
      <c r="I769" s="54">
        <v>232</v>
      </c>
      <c r="J769" s="54">
        <v>87</v>
      </c>
      <c r="K769" s="54">
        <v>319</v>
      </c>
      <c r="L769" s="54">
        <v>116</v>
      </c>
      <c r="M769" s="54">
        <f t="shared" si="11"/>
        <v>254</v>
      </c>
      <c r="N769" s="55">
        <v>3154</v>
      </c>
      <c r="O769" s="54">
        <v>55</v>
      </c>
      <c r="P769" s="54">
        <v>0</v>
      </c>
      <c r="Q769" s="54">
        <v>889</v>
      </c>
      <c r="R769" s="54">
        <v>387</v>
      </c>
      <c r="S769" s="54">
        <v>219</v>
      </c>
      <c r="T769" s="54">
        <v>279</v>
      </c>
      <c r="U769" s="54">
        <v>96</v>
      </c>
      <c r="V769" s="54">
        <v>680</v>
      </c>
      <c r="W769" s="54">
        <v>549</v>
      </c>
      <c r="X769" s="54">
        <v>0</v>
      </c>
    </row>
    <row r="770" spans="1:24">
      <c r="A770" s="52">
        <v>46237</v>
      </c>
      <c r="B770" s="53" t="s">
        <v>336</v>
      </c>
      <c r="C770" s="54">
        <v>241</v>
      </c>
      <c r="D770" s="54">
        <v>322</v>
      </c>
      <c r="E770" s="54">
        <v>322</v>
      </c>
      <c r="F770" s="54">
        <v>429</v>
      </c>
      <c r="G770" s="54">
        <v>322</v>
      </c>
      <c r="H770" s="54">
        <v>349</v>
      </c>
      <c r="I770" s="54">
        <v>215</v>
      </c>
      <c r="J770" s="54">
        <v>80</v>
      </c>
      <c r="K770" s="54">
        <v>295</v>
      </c>
      <c r="L770" s="54">
        <v>107</v>
      </c>
      <c r="M770" s="54">
        <f t="shared" si="11"/>
        <v>234</v>
      </c>
      <c r="N770" s="55">
        <v>2916</v>
      </c>
      <c r="O770" s="54">
        <v>48</v>
      </c>
      <c r="P770" s="54">
        <v>0</v>
      </c>
      <c r="Q770" s="54">
        <v>773</v>
      </c>
      <c r="R770" s="54">
        <v>337</v>
      </c>
      <c r="S770" s="54">
        <v>190</v>
      </c>
      <c r="T770" s="54">
        <v>242</v>
      </c>
      <c r="U770" s="54">
        <v>84</v>
      </c>
      <c r="V770" s="54">
        <v>591</v>
      </c>
      <c r="W770" s="54">
        <v>527</v>
      </c>
      <c r="X770" s="54">
        <v>124</v>
      </c>
    </row>
    <row r="771" spans="1:24">
      <c r="A771" s="52">
        <v>46238</v>
      </c>
      <c r="B771" s="53" t="s">
        <v>336</v>
      </c>
      <c r="C771" s="54">
        <v>243</v>
      </c>
      <c r="D771" s="54">
        <v>323</v>
      </c>
      <c r="E771" s="54">
        <v>323</v>
      </c>
      <c r="F771" s="54">
        <v>431</v>
      </c>
      <c r="G771" s="54">
        <v>323</v>
      </c>
      <c r="H771" s="54">
        <v>350</v>
      </c>
      <c r="I771" s="54">
        <v>216</v>
      </c>
      <c r="J771" s="54">
        <v>81</v>
      </c>
      <c r="K771" s="54">
        <v>297</v>
      </c>
      <c r="L771" s="54">
        <v>108</v>
      </c>
      <c r="M771" s="54">
        <f t="shared" ref="M771:M834" si="12">N771-SUM(C771:L771)</f>
        <v>235</v>
      </c>
      <c r="N771" s="55">
        <v>2930</v>
      </c>
      <c r="O771" s="54">
        <v>48</v>
      </c>
      <c r="P771" s="54">
        <v>0</v>
      </c>
      <c r="Q771" s="54">
        <v>773</v>
      </c>
      <c r="R771" s="54">
        <v>337</v>
      </c>
      <c r="S771" s="54">
        <v>190</v>
      </c>
      <c r="T771" s="54">
        <v>242</v>
      </c>
      <c r="U771" s="54">
        <v>84</v>
      </c>
      <c r="V771" s="54">
        <v>591</v>
      </c>
      <c r="W771" s="54">
        <v>541</v>
      </c>
      <c r="X771" s="54">
        <v>124</v>
      </c>
    </row>
    <row r="772" spans="1:24">
      <c r="A772" s="52">
        <v>46239</v>
      </c>
      <c r="B772" s="53" t="s">
        <v>336</v>
      </c>
      <c r="C772" s="54">
        <v>243</v>
      </c>
      <c r="D772" s="54">
        <v>324</v>
      </c>
      <c r="E772" s="54">
        <v>324</v>
      </c>
      <c r="F772" s="54">
        <v>432</v>
      </c>
      <c r="G772" s="54">
        <v>324</v>
      </c>
      <c r="H772" s="54">
        <v>351</v>
      </c>
      <c r="I772" s="54">
        <v>216</v>
      </c>
      <c r="J772" s="54">
        <v>81</v>
      </c>
      <c r="K772" s="54">
        <v>297</v>
      </c>
      <c r="L772" s="54">
        <v>108</v>
      </c>
      <c r="M772" s="54">
        <f t="shared" si="12"/>
        <v>237</v>
      </c>
      <c r="N772" s="55">
        <v>2937</v>
      </c>
      <c r="O772" s="54">
        <v>48</v>
      </c>
      <c r="P772" s="54">
        <v>0</v>
      </c>
      <c r="Q772" s="54">
        <v>773</v>
      </c>
      <c r="R772" s="54">
        <v>337</v>
      </c>
      <c r="S772" s="54">
        <v>190</v>
      </c>
      <c r="T772" s="54">
        <v>242</v>
      </c>
      <c r="U772" s="54">
        <v>84</v>
      </c>
      <c r="V772" s="54">
        <v>591</v>
      </c>
      <c r="W772" s="54">
        <v>549</v>
      </c>
      <c r="X772" s="54">
        <v>123</v>
      </c>
    </row>
    <row r="773" spans="1:24">
      <c r="A773" s="52">
        <v>46240</v>
      </c>
      <c r="B773" s="53" t="s">
        <v>336</v>
      </c>
      <c r="C773" s="54">
        <v>242</v>
      </c>
      <c r="D773" s="54">
        <v>323</v>
      </c>
      <c r="E773" s="54">
        <v>323</v>
      </c>
      <c r="F773" s="54">
        <v>431</v>
      </c>
      <c r="G773" s="54">
        <v>323</v>
      </c>
      <c r="H773" s="54">
        <v>350</v>
      </c>
      <c r="I773" s="54">
        <v>216</v>
      </c>
      <c r="J773" s="54">
        <v>81</v>
      </c>
      <c r="K773" s="54">
        <v>296</v>
      </c>
      <c r="L773" s="54">
        <v>108</v>
      </c>
      <c r="M773" s="54">
        <f t="shared" si="12"/>
        <v>235</v>
      </c>
      <c r="N773" s="55">
        <v>2928</v>
      </c>
      <c r="O773" s="54">
        <v>48</v>
      </c>
      <c r="P773" s="54">
        <v>0</v>
      </c>
      <c r="Q773" s="54">
        <v>774</v>
      </c>
      <c r="R773" s="54">
        <v>337</v>
      </c>
      <c r="S773" s="54">
        <v>190</v>
      </c>
      <c r="T773" s="54">
        <v>242</v>
      </c>
      <c r="U773" s="54">
        <v>84</v>
      </c>
      <c r="V773" s="54">
        <v>591</v>
      </c>
      <c r="W773" s="54">
        <v>539</v>
      </c>
      <c r="X773" s="54">
        <v>123</v>
      </c>
    </row>
    <row r="774" spans="1:24">
      <c r="A774" s="52">
        <v>46241</v>
      </c>
      <c r="B774" s="53" t="s">
        <v>336</v>
      </c>
      <c r="C774" s="54">
        <v>244</v>
      </c>
      <c r="D774" s="54">
        <v>325</v>
      </c>
      <c r="E774" s="54">
        <v>325</v>
      </c>
      <c r="F774" s="54">
        <v>434</v>
      </c>
      <c r="G774" s="54">
        <v>325</v>
      </c>
      <c r="H774" s="54">
        <v>352</v>
      </c>
      <c r="I774" s="54">
        <v>217</v>
      </c>
      <c r="J774" s="54">
        <v>81</v>
      </c>
      <c r="K774" s="54">
        <v>298</v>
      </c>
      <c r="L774" s="54">
        <v>108</v>
      </c>
      <c r="M774" s="54">
        <f t="shared" si="12"/>
        <v>236</v>
      </c>
      <c r="N774" s="55">
        <v>2945</v>
      </c>
      <c r="O774" s="54">
        <v>48</v>
      </c>
      <c r="P774" s="54">
        <v>0</v>
      </c>
      <c r="Q774" s="54">
        <v>774</v>
      </c>
      <c r="R774" s="54">
        <v>337</v>
      </c>
      <c r="S774" s="54">
        <v>190</v>
      </c>
      <c r="T774" s="54">
        <v>242</v>
      </c>
      <c r="U774" s="54">
        <v>84</v>
      </c>
      <c r="V774" s="54">
        <v>591</v>
      </c>
      <c r="W774" s="54">
        <v>556</v>
      </c>
      <c r="X774" s="54">
        <v>123</v>
      </c>
    </row>
    <row r="775" spans="1:24">
      <c r="A775" s="52">
        <v>46242</v>
      </c>
      <c r="B775" s="53" t="s">
        <v>336</v>
      </c>
      <c r="C775" s="54">
        <v>267</v>
      </c>
      <c r="D775" s="54">
        <v>356</v>
      </c>
      <c r="E775" s="54">
        <v>356</v>
      </c>
      <c r="F775" s="54">
        <v>475</v>
      </c>
      <c r="G775" s="54">
        <v>356</v>
      </c>
      <c r="H775" s="54">
        <v>386</v>
      </c>
      <c r="I775" s="54">
        <v>237</v>
      </c>
      <c r="J775" s="54">
        <v>89</v>
      </c>
      <c r="K775" s="54">
        <v>326</v>
      </c>
      <c r="L775" s="54">
        <v>119</v>
      </c>
      <c r="M775" s="54">
        <f t="shared" si="12"/>
        <v>257</v>
      </c>
      <c r="N775" s="55">
        <v>3224</v>
      </c>
      <c r="O775" s="54">
        <v>55</v>
      </c>
      <c r="P775" s="54">
        <v>0</v>
      </c>
      <c r="Q775" s="54">
        <v>890</v>
      </c>
      <c r="R775" s="54">
        <v>387</v>
      </c>
      <c r="S775" s="54">
        <v>219</v>
      </c>
      <c r="T775" s="54">
        <v>279</v>
      </c>
      <c r="U775" s="54">
        <v>97</v>
      </c>
      <c r="V775" s="54">
        <v>680</v>
      </c>
      <c r="W775" s="54">
        <v>617</v>
      </c>
      <c r="X775" s="54">
        <v>0</v>
      </c>
    </row>
    <row r="776" spans="1:24">
      <c r="A776" s="52">
        <v>46243</v>
      </c>
      <c r="B776" s="53" t="s">
        <v>336</v>
      </c>
      <c r="C776" s="54">
        <v>267</v>
      </c>
      <c r="D776" s="54">
        <v>356</v>
      </c>
      <c r="E776" s="54">
        <v>356</v>
      </c>
      <c r="F776" s="54">
        <v>475</v>
      </c>
      <c r="G776" s="54">
        <v>356</v>
      </c>
      <c r="H776" s="54">
        <v>386</v>
      </c>
      <c r="I776" s="54">
        <v>237</v>
      </c>
      <c r="J776" s="54">
        <v>89</v>
      </c>
      <c r="K776" s="54">
        <v>326</v>
      </c>
      <c r="L776" s="54">
        <v>119</v>
      </c>
      <c r="M776" s="54">
        <f t="shared" si="12"/>
        <v>258</v>
      </c>
      <c r="N776" s="55">
        <v>3225</v>
      </c>
      <c r="O776" s="54">
        <v>55</v>
      </c>
      <c r="P776" s="54">
        <v>0</v>
      </c>
      <c r="Q776" s="54">
        <v>891</v>
      </c>
      <c r="R776" s="54">
        <v>387</v>
      </c>
      <c r="S776" s="54">
        <v>219</v>
      </c>
      <c r="T776" s="54">
        <v>279</v>
      </c>
      <c r="U776" s="54">
        <v>97</v>
      </c>
      <c r="V776" s="54">
        <v>680</v>
      </c>
      <c r="W776" s="54">
        <v>617</v>
      </c>
      <c r="X776" s="54">
        <v>0</v>
      </c>
    </row>
    <row r="777" spans="1:24">
      <c r="A777" s="52">
        <v>46244</v>
      </c>
      <c r="B777" s="53" t="s">
        <v>336</v>
      </c>
      <c r="C777" s="54">
        <v>326</v>
      </c>
      <c r="D777" s="54">
        <v>434</v>
      </c>
      <c r="E777" s="54">
        <v>434</v>
      </c>
      <c r="F777" s="54">
        <v>579</v>
      </c>
      <c r="G777" s="54">
        <v>434</v>
      </c>
      <c r="H777" s="54">
        <v>470</v>
      </c>
      <c r="I777" s="54">
        <v>289</v>
      </c>
      <c r="J777" s="54">
        <v>109</v>
      </c>
      <c r="K777" s="54">
        <v>398</v>
      </c>
      <c r="L777" s="54">
        <v>145</v>
      </c>
      <c r="M777" s="54">
        <f t="shared" si="12"/>
        <v>315</v>
      </c>
      <c r="N777" s="55">
        <v>3933</v>
      </c>
      <c r="O777" s="54">
        <v>63</v>
      </c>
      <c r="P777" s="54">
        <v>0</v>
      </c>
      <c r="Q777" s="54">
        <v>1025</v>
      </c>
      <c r="R777" s="54">
        <v>446</v>
      </c>
      <c r="S777" s="54">
        <v>252</v>
      </c>
      <c r="T777" s="54">
        <v>320</v>
      </c>
      <c r="U777" s="54">
        <v>112</v>
      </c>
      <c r="V777" s="54">
        <v>783</v>
      </c>
      <c r="W777" s="54">
        <v>767</v>
      </c>
      <c r="X777" s="54">
        <v>165</v>
      </c>
    </row>
    <row r="778" spans="1:24">
      <c r="A778" s="52">
        <v>46245</v>
      </c>
      <c r="B778" s="53" t="s">
        <v>336</v>
      </c>
      <c r="C778" s="54">
        <v>325</v>
      </c>
      <c r="D778" s="54">
        <v>433</v>
      </c>
      <c r="E778" s="54">
        <v>433</v>
      </c>
      <c r="F778" s="54">
        <v>577</v>
      </c>
      <c r="G778" s="54">
        <v>433</v>
      </c>
      <c r="H778" s="54">
        <v>469</v>
      </c>
      <c r="I778" s="54">
        <v>289</v>
      </c>
      <c r="J778" s="54">
        <v>108</v>
      </c>
      <c r="K778" s="54">
        <v>397</v>
      </c>
      <c r="L778" s="54">
        <v>144</v>
      </c>
      <c r="M778" s="54">
        <f t="shared" si="12"/>
        <v>313</v>
      </c>
      <c r="N778" s="55">
        <v>3921</v>
      </c>
      <c r="O778" s="54">
        <v>63</v>
      </c>
      <c r="P778" s="54">
        <v>0</v>
      </c>
      <c r="Q778" s="54">
        <v>1025</v>
      </c>
      <c r="R778" s="54">
        <v>446</v>
      </c>
      <c r="S778" s="54">
        <v>252</v>
      </c>
      <c r="T778" s="54">
        <v>320</v>
      </c>
      <c r="U778" s="54">
        <v>112</v>
      </c>
      <c r="V778" s="54">
        <v>783</v>
      </c>
      <c r="W778" s="54">
        <v>755</v>
      </c>
      <c r="X778" s="54">
        <v>165</v>
      </c>
    </row>
    <row r="779" spans="1:24">
      <c r="A779" s="52">
        <v>46246</v>
      </c>
      <c r="B779" s="53" t="s">
        <v>336</v>
      </c>
      <c r="C779" s="54">
        <v>326</v>
      </c>
      <c r="D779" s="54">
        <v>434</v>
      </c>
      <c r="E779" s="54">
        <v>434</v>
      </c>
      <c r="F779" s="54">
        <v>579</v>
      </c>
      <c r="G779" s="54">
        <v>434</v>
      </c>
      <c r="H779" s="54">
        <v>471</v>
      </c>
      <c r="I779" s="54">
        <v>290</v>
      </c>
      <c r="J779" s="54">
        <v>109</v>
      </c>
      <c r="K779" s="54">
        <v>398</v>
      </c>
      <c r="L779" s="54">
        <v>145</v>
      </c>
      <c r="M779" s="54">
        <f t="shared" si="12"/>
        <v>314</v>
      </c>
      <c r="N779" s="55">
        <v>3934</v>
      </c>
      <c r="O779" s="54">
        <v>63</v>
      </c>
      <c r="P779" s="54">
        <v>0</v>
      </c>
      <c r="Q779" s="54">
        <v>1025</v>
      </c>
      <c r="R779" s="54">
        <v>446</v>
      </c>
      <c r="S779" s="54">
        <v>252</v>
      </c>
      <c r="T779" s="54">
        <v>320</v>
      </c>
      <c r="U779" s="54">
        <v>112</v>
      </c>
      <c r="V779" s="54">
        <v>783</v>
      </c>
      <c r="W779" s="54">
        <v>768</v>
      </c>
      <c r="X779" s="54">
        <v>165</v>
      </c>
    </row>
    <row r="780" spans="1:24">
      <c r="A780" s="52">
        <v>46247</v>
      </c>
      <c r="B780" s="53" t="s">
        <v>336</v>
      </c>
      <c r="C780" s="54">
        <v>323</v>
      </c>
      <c r="D780" s="54">
        <v>431</v>
      </c>
      <c r="E780" s="54">
        <v>431</v>
      </c>
      <c r="F780" s="54">
        <v>575</v>
      </c>
      <c r="G780" s="54">
        <v>431</v>
      </c>
      <c r="H780" s="54">
        <v>467</v>
      </c>
      <c r="I780" s="54">
        <v>287</v>
      </c>
      <c r="J780" s="54">
        <v>108</v>
      </c>
      <c r="K780" s="54">
        <v>395</v>
      </c>
      <c r="L780" s="54">
        <v>144</v>
      </c>
      <c r="M780" s="54">
        <f t="shared" si="12"/>
        <v>314</v>
      </c>
      <c r="N780" s="55">
        <v>3906</v>
      </c>
      <c r="O780" s="54">
        <v>63</v>
      </c>
      <c r="P780" s="54">
        <v>0</v>
      </c>
      <c r="Q780" s="54">
        <v>1025</v>
      </c>
      <c r="R780" s="54">
        <v>446</v>
      </c>
      <c r="S780" s="54">
        <v>252</v>
      </c>
      <c r="T780" s="54">
        <v>320</v>
      </c>
      <c r="U780" s="54">
        <v>112</v>
      </c>
      <c r="V780" s="54">
        <v>783</v>
      </c>
      <c r="W780" s="54">
        <v>740</v>
      </c>
      <c r="X780" s="54">
        <v>165</v>
      </c>
    </row>
    <row r="781" spans="1:24">
      <c r="A781" s="52">
        <v>46248</v>
      </c>
      <c r="B781" s="53" t="s">
        <v>336</v>
      </c>
      <c r="C781" s="54">
        <v>313</v>
      </c>
      <c r="D781" s="54">
        <v>418</v>
      </c>
      <c r="E781" s="54">
        <v>418</v>
      </c>
      <c r="F781" s="54">
        <v>557</v>
      </c>
      <c r="G781" s="54">
        <v>418</v>
      </c>
      <c r="H781" s="54">
        <v>453</v>
      </c>
      <c r="I781" s="54">
        <v>279</v>
      </c>
      <c r="J781" s="54">
        <v>104</v>
      </c>
      <c r="K781" s="54">
        <v>383</v>
      </c>
      <c r="L781" s="54">
        <v>139</v>
      </c>
      <c r="M781" s="54">
        <f t="shared" si="12"/>
        <v>304</v>
      </c>
      <c r="N781" s="55">
        <v>3786</v>
      </c>
      <c r="O781" s="54">
        <v>63</v>
      </c>
      <c r="P781" s="54">
        <v>0</v>
      </c>
      <c r="Q781" s="54">
        <v>1025</v>
      </c>
      <c r="R781" s="54">
        <v>446</v>
      </c>
      <c r="S781" s="54">
        <v>252</v>
      </c>
      <c r="T781" s="54">
        <v>320</v>
      </c>
      <c r="U781" s="54">
        <v>112</v>
      </c>
      <c r="V781" s="54">
        <v>783</v>
      </c>
      <c r="W781" s="54">
        <v>785</v>
      </c>
      <c r="X781" s="54">
        <v>0</v>
      </c>
    </row>
    <row r="782" spans="1:24">
      <c r="A782" s="52">
        <v>46249</v>
      </c>
      <c r="B782" s="53" t="s">
        <v>336</v>
      </c>
      <c r="C782" s="54">
        <v>359</v>
      </c>
      <c r="D782" s="54">
        <v>479</v>
      </c>
      <c r="E782" s="54">
        <v>479</v>
      </c>
      <c r="F782" s="54">
        <v>639</v>
      </c>
      <c r="G782" s="54">
        <v>479</v>
      </c>
      <c r="H782" s="54">
        <v>519</v>
      </c>
      <c r="I782" s="54">
        <v>319</v>
      </c>
      <c r="J782" s="54">
        <v>120</v>
      </c>
      <c r="K782" s="54">
        <v>439</v>
      </c>
      <c r="L782" s="54">
        <v>160</v>
      </c>
      <c r="M782" s="54">
        <f t="shared" si="12"/>
        <v>346</v>
      </c>
      <c r="N782" s="55">
        <v>4338</v>
      </c>
      <c r="O782" s="54">
        <v>73</v>
      </c>
      <c r="P782" s="54">
        <v>0</v>
      </c>
      <c r="Q782" s="54">
        <v>1179</v>
      </c>
      <c r="R782" s="54">
        <v>513</v>
      </c>
      <c r="S782" s="54">
        <v>289</v>
      </c>
      <c r="T782" s="54">
        <v>369</v>
      </c>
      <c r="U782" s="54">
        <v>128</v>
      </c>
      <c r="V782" s="54">
        <v>900</v>
      </c>
      <c r="W782" s="54">
        <v>887</v>
      </c>
      <c r="X782" s="54">
        <v>0</v>
      </c>
    </row>
    <row r="783" spans="1:24">
      <c r="A783" s="52">
        <v>46250</v>
      </c>
      <c r="B783" s="53" t="s">
        <v>336</v>
      </c>
      <c r="C783" s="54">
        <v>375</v>
      </c>
      <c r="D783" s="54">
        <v>500</v>
      </c>
      <c r="E783" s="54">
        <v>500</v>
      </c>
      <c r="F783" s="54">
        <v>666</v>
      </c>
      <c r="G783" s="54">
        <v>500</v>
      </c>
      <c r="H783" s="54">
        <v>541</v>
      </c>
      <c r="I783" s="54">
        <v>333</v>
      </c>
      <c r="J783" s="54">
        <v>125</v>
      </c>
      <c r="K783" s="54">
        <v>458</v>
      </c>
      <c r="L783" s="54">
        <v>167</v>
      </c>
      <c r="M783" s="54">
        <f t="shared" si="12"/>
        <v>361</v>
      </c>
      <c r="N783" s="55">
        <v>4526</v>
      </c>
      <c r="O783" s="54">
        <v>73</v>
      </c>
      <c r="P783" s="54">
        <v>0</v>
      </c>
      <c r="Q783" s="54">
        <v>1179</v>
      </c>
      <c r="R783" s="54">
        <v>513</v>
      </c>
      <c r="S783" s="54">
        <v>289</v>
      </c>
      <c r="T783" s="54">
        <v>369</v>
      </c>
      <c r="U783" s="54">
        <v>128</v>
      </c>
      <c r="V783" s="54">
        <v>900</v>
      </c>
      <c r="W783" s="54">
        <v>910</v>
      </c>
      <c r="X783" s="54">
        <v>165</v>
      </c>
    </row>
    <row r="784" spans="1:24">
      <c r="A784" s="52">
        <v>46251</v>
      </c>
      <c r="B784" s="53" t="s">
        <v>336</v>
      </c>
      <c r="C784" s="54">
        <v>330</v>
      </c>
      <c r="D784" s="54">
        <v>440</v>
      </c>
      <c r="E784" s="54">
        <v>440</v>
      </c>
      <c r="F784" s="54">
        <v>587</v>
      </c>
      <c r="G784" s="54">
        <v>440</v>
      </c>
      <c r="H784" s="54">
        <v>477</v>
      </c>
      <c r="I784" s="54">
        <v>294</v>
      </c>
      <c r="J784" s="54">
        <v>110</v>
      </c>
      <c r="K784" s="54">
        <v>404</v>
      </c>
      <c r="L784" s="54">
        <v>147</v>
      </c>
      <c r="M784" s="54">
        <f t="shared" si="12"/>
        <v>321</v>
      </c>
      <c r="N784" s="55">
        <v>3990</v>
      </c>
      <c r="O784" s="54">
        <v>63</v>
      </c>
      <c r="P784" s="54">
        <v>0</v>
      </c>
      <c r="Q784" s="54">
        <v>1025</v>
      </c>
      <c r="R784" s="54">
        <v>446</v>
      </c>
      <c r="S784" s="54">
        <v>252</v>
      </c>
      <c r="T784" s="54">
        <v>320</v>
      </c>
      <c r="U784" s="54">
        <v>112</v>
      </c>
      <c r="V784" s="54">
        <v>783</v>
      </c>
      <c r="W784" s="54">
        <v>824</v>
      </c>
      <c r="X784" s="54">
        <v>165</v>
      </c>
    </row>
    <row r="785" spans="1:24">
      <c r="A785" s="52">
        <v>46252</v>
      </c>
      <c r="B785" s="53" t="s">
        <v>336</v>
      </c>
      <c r="C785" s="54">
        <v>328</v>
      </c>
      <c r="D785" s="54">
        <v>437</v>
      </c>
      <c r="E785" s="54">
        <v>437</v>
      </c>
      <c r="F785" s="54">
        <v>583</v>
      </c>
      <c r="G785" s="54">
        <v>437</v>
      </c>
      <c r="H785" s="54">
        <v>474</v>
      </c>
      <c r="I785" s="54">
        <v>292</v>
      </c>
      <c r="J785" s="54">
        <v>109</v>
      </c>
      <c r="K785" s="54">
        <v>401</v>
      </c>
      <c r="L785" s="54">
        <v>146</v>
      </c>
      <c r="M785" s="54">
        <f t="shared" si="12"/>
        <v>317</v>
      </c>
      <c r="N785" s="55">
        <v>3961</v>
      </c>
      <c r="O785" s="54">
        <v>63</v>
      </c>
      <c r="P785" s="54">
        <v>0</v>
      </c>
      <c r="Q785" s="54">
        <v>1025</v>
      </c>
      <c r="R785" s="54">
        <v>446</v>
      </c>
      <c r="S785" s="54">
        <v>252</v>
      </c>
      <c r="T785" s="54">
        <v>320</v>
      </c>
      <c r="U785" s="54">
        <v>112</v>
      </c>
      <c r="V785" s="54">
        <v>783</v>
      </c>
      <c r="W785" s="54">
        <v>795</v>
      </c>
      <c r="X785" s="54">
        <v>165</v>
      </c>
    </row>
    <row r="786" spans="1:24">
      <c r="A786" s="52">
        <v>46253</v>
      </c>
      <c r="B786" s="53" t="s">
        <v>336</v>
      </c>
      <c r="C786" s="54">
        <v>327</v>
      </c>
      <c r="D786" s="54">
        <v>436</v>
      </c>
      <c r="E786" s="54">
        <v>436</v>
      </c>
      <c r="F786" s="54">
        <v>581</v>
      </c>
      <c r="G786" s="54">
        <v>436</v>
      </c>
      <c r="H786" s="54">
        <v>472</v>
      </c>
      <c r="I786" s="54">
        <v>291</v>
      </c>
      <c r="J786" s="54">
        <v>109</v>
      </c>
      <c r="K786" s="54">
        <v>400</v>
      </c>
      <c r="L786" s="54">
        <v>145</v>
      </c>
      <c r="M786" s="54">
        <f t="shared" si="12"/>
        <v>315</v>
      </c>
      <c r="N786" s="55">
        <v>3948</v>
      </c>
      <c r="O786" s="54">
        <v>63</v>
      </c>
      <c r="P786" s="54">
        <v>0</v>
      </c>
      <c r="Q786" s="54">
        <v>1025</v>
      </c>
      <c r="R786" s="54">
        <v>446</v>
      </c>
      <c r="S786" s="54">
        <v>252</v>
      </c>
      <c r="T786" s="54">
        <v>320</v>
      </c>
      <c r="U786" s="54">
        <v>112</v>
      </c>
      <c r="V786" s="54">
        <v>783</v>
      </c>
      <c r="W786" s="54">
        <v>782</v>
      </c>
      <c r="X786" s="54">
        <v>165</v>
      </c>
    </row>
    <row r="787" spans="1:24">
      <c r="A787" s="52">
        <v>46254</v>
      </c>
      <c r="B787" s="53" t="s">
        <v>336</v>
      </c>
      <c r="C787" s="54">
        <v>333</v>
      </c>
      <c r="D787" s="54">
        <v>444</v>
      </c>
      <c r="E787" s="54">
        <v>444</v>
      </c>
      <c r="F787" s="54">
        <v>591</v>
      </c>
      <c r="G787" s="54">
        <v>444</v>
      </c>
      <c r="H787" s="54">
        <v>481</v>
      </c>
      <c r="I787" s="54">
        <v>296</v>
      </c>
      <c r="J787" s="54">
        <v>111</v>
      </c>
      <c r="K787" s="54">
        <v>407</v>
      </c>
      <c r="L787" s="54">
        <v>148</v>
      </c>
      <c r="M787" s="54">
        <f t="shared" si="12"/>
        <v>319</v>
      </c>
      <c r="N787" s="55">
        <v>4018</v>
      </c>
      <c r="O787" s="54">
        <v>63</v>
      </c>
      <c r="P787" s="54">
        <v>0</v>
      </c>
      <c r="Q787" s="54">
        <v>1025</v>
      </c>
      <c r="R787" s="54">
        <v>446</v>
      </c>
      <c r="S787" s="54">
        <v>252</v>
      </c>
      <c r="T787" s="54">
        <v>322</v>
      </c>
      <c r="U787" s="54">
        <v>112</v>
      </c>
      <c r="V787" s="54">
        <v>783</v>
      </c>
      <c r="W787" s="54">
        <v>850</v>
      </c>
      <c r="X787" s="54">
        <v>165</v>
      </c>
    </row>
    <row r="788" spans="1:24">
      <c r="A788" s="52">
        <v>46255</v>
      </c>
      <c r="B788" s="53" t="s">
        <v>336</v>
      </c>
      <c r="C788" s="54">
        <v>326</v>
      </c>
      <c r="D788" s="54">
        <v>435</v>
      </c>
      <c r="E788" s="54">
        <v>435</v>
      </c>
      <c r="F788" s="54">
        <v>580</v>
      </c>
      <c r="G788" s="54">
        <v>435</v>
      </c>
      <c r="H788" s="54">
        <v>471</v>
      </c>
      <c r="I788" s="54">
        <v>290</v>
      </c>
      <c r="J788" s="54">
        <v>109</v>
      </c>
      <c r="K788" s="54">
        <v>399</v>
      </c>
      <c r="L788" s="54">
        <v>145</v>
      </c>
      <c r="M788" s="54">
        <f t="shared" si="12"/>
        <v>315</v>
      </c>
      <c r="N788" s="55">
        <v>3940</v>
      </c>
      <c r="O788" s="54">
        <v>63</v>
      </c>
      <c r="P788" s="54">
        <v>1</v>
      </c>
      <c r="Q788" s="54">
        <v>1025</v>
      </c>
      <c r="R788" s="54">
        <v>446</v>
      </c>
      <c r="S788" s="54">
        <v>252</v>
      </c>
      <c r="T788" s="54">
        <v>322</v>
      </c>
      <c r="U788" s="54">
        <v>112</v>
      </c>
      <c r="V788" s="54">
        <v>783</v>
      </c>
      <c r="W788" s="54">
        <v>936</v>
      </c>
      <c r="X788" s="54">
        <v>0</v>
      </c>
    </row>
    <row r="789" spans="1:24">
      <c r="A789" s="52">
        <v>46256</v>
      </c>
      <c r="B789" s="53" t="s">
        <v>336</v>
      </c>
      <c r="C789" s="54">
        <v>366</v>
      </c>
      <c r="D789" s="54">
        <v>488</v>
      </c>
      <c r="E789" s="54">
        <v>488</v>
      </c>
      <c r="F789" s="54">
        <v>650</v>
      </c>
      <c r="G789" s="54">
        <v>488</v>
      </c>
      <c r="H789" s="54">
        <v>528</v>
      </c>
      <c r="I789" s="54">
        <v>325</v>
      </c>
      <c r="J789" s="54">
        <v>122</v>
      </c>
      <c r="K789" s="54">
        <v>447</v>
      </c>
      <c r="L789" s="54">
        <v>163</v>
      </c>
      <c r="M789" s="54">
        <f t="shared" si="12"/>
        <v>352</v>
      </c>
      <c r="N789" s="55">
        <v>4417</v>
      </c>
      <c r="O789" s="54">
        <v>73</v>
      </c>
      <c r="P789" s="54">
        <v>1</v>
      </c>
      <c r="Q789" s="54">
        <v>1179</v>
      </c>
      <c r="R789" s="54">
        <v>513</v>
      </c>
      <c r="S789" s="54">
        <v>289</v>
      </c>
      <c r="T789" s="54">
        <v>370</v>
      </c>
      <c r="U789" s="54">
        <v>128</v>
      </c>
      <c r="V789" s="54">
        <v>900</v>
      </c>
      <c r="W789" s="54">
        <v>964</v>
      </c>
      <c r="X789" s="54">
        <v>0</v>
      </c>
    </row>
    <row r="790" spans="1:24">
      <c r="A790" s="52">
        <v>46257</v>
      </c>
      <c r="B790" s="53" t="s">
        <v>336</v>
      </c>
      <c r="C790" s="54">
        <v>388</v>
      </c>
      <c r="D790" s="54">
        <v>518</v>
      </c>
      <c r="E790" s="54">
        <v>518</v>
      </c>
      <c r="F790" s="54">
        <v>691</v>
      </c>
      <c r="G790" s="54">
        <v>518</v>
      </c>
      <c r="H790" s="54">
        <v>561</v>
      </c>
      <c r="I790" s="54">
        <v>345</v>
      </c>
      <c r="J790" s="54">
        <v>129</v>
      </c>
      <c r="K790" s="54">
        <v>475</v>
      </c>
      <c r="L790" s="54">
        <v>173</v>
      </c>
      <c r="M790" s="54">
        <f t="shared" si="12"/>
        <v>376</v>
      </c>
      <c r="N790" s="55">
        <v>4692</v>
      </c>
      <c r="O790" s="54">
        <v>73</v>
      </c>
      <c r="P790" s="54">
        <v>1</v>
      </c>
      <c r="Q790" s="54">
        <v>1179</v>
      </c>
      <c r="R790" s="54">
        <v>513</v>
      </c>
      <c r="S790" s="54">
        <v>289</v>
      </c>
      <c r="T790" s="54">
        <v>370</v>
      </c>
      <c r="U790" s="54">
        <v>128</v>
      </c>
      <c r="V790" s="54">
        <v>900</v>
      </c>
      <c r="W790" s="54">
        <v>1074</v>
      </c>
      <c r="X790" s="54">
        <v>165</v>
      </c>
    </row>
    <row r="791" spans="1:24">
      <c r="A791" s="52">
        <v>46258</v>
      </c>
      <c r="B791" s="53" t="s">
        <v>336</v>
      </c>
      <c r="C791" s="54">
        <v>354</v>
      </c>
      <c r="D791" s="54">
        <v>472</v>
      </c>
      <c r="E791" s="54">
        <v>472</v>
      </c>
      <c r="F791" s="54">
        <v>629</v>
      </c>
      <c r="G791" s="54">
        <v>472</v>
      </c>
      <c r="H791" s="54">
        <v>511</v>
      </c>
      <c r="I791" s="54">
        <v>315</v>
      </c>
      <c r="J791" s="54">
        <v>118</v>
      </c>
      <c r="K791" s="54">
        <v>433</v>
      </c>
      <c r="L791" s="54">
        <v>157</v>
      </c>
      <c r="M791" s="54">
        <f t="shared" si="12"/>
        <v>343</v>
      </c>
      <c r="N791" s="55">
        <v>4276</v>
      </c>
      <c r="O791" s="54">
        <v>65</v>
      </c>
      <c r="P791" s="54">
        <v>1</v>
      </c>
      <c r="Q791" s="54">
        <v>1025</v>
      </c>
      <c r="R791" s="54">
        <v>446</v>
      </c>
      <c r="S791" s="54">
        <v>252</v>
      </c>
      <c r="T791" s="54">
        <v>322</v>
      </c>
      <c r="U791" s="54">
        <v>112</v>
      </c>
      <c r="V791" s="54">
        <v>784</v>
      </c>
      <c r="W791" s="54">
        <v>1104</v>
      </c>
      <c r="X791" s="54">
        <v>165</v>
      </c>
    </row>
    <row r="792" spans="1:24">
      <c r="A792" s="52">
        <v>46259</v>
      </c>
      <c r="B792" s="53" t="s">
        <v>336</v>
      </c>
      <c r="C792" s="54">
        <v>355</v>
      </c>
      <c r="D792" s="54">
        <v>474</v>
      </c>
      <c r="E792" s="54">
        <v>474</v>
      </c>
      <c r="F792" s="54">
        <v>632</v>
      </c>
      <c r="G792" s="54">
        <v>474</v>
      </c>
      <c r="H792" s="54">
        <v>513</v>
      </c>
      <c r="I792" s="54">
        <v>316</v>
      </c>
      <c r="J792" s="54">
        <v>118</v>
      </c>
      <c r="K792" s="54">
        <v>434</v>
      </c>
      <c r="L792" s="54">
        <v>158</v>
      </c>
      <c r="M792" s="54">
        <f t="shared" si="12"/>
        <v>344</v>
      </c>
      <c r="N792" s="55">
        <v>4292</v>
      </c>
      <c r="O792" s="54">
        <v>65</v>
      </c>
      <c r="P792" s="54">
        <v>1</v>
      </c>
      <c r="Q792" s="54">
        <v>1025</v>
      </c>
      <c r="R792" s="54">
        <v>446</v>
      </c>
      <c r="S792" s="54">
        <v>252</v>
      </c>
      <c r="T792" s="54">
        <v>322</v>
      </c>
      <c r="U792" s="54">
        <v>112</v>
      </c>
      <c r="V792" s="54">
        <v>784</v>
      </c>
      <c r="W792" s="54">
        <v>1120</v>
      </c>
      <c r="X792" s="54">
        <v>165</v>
      </c>
    </row>
    <row r="793" spans="1:24">
      <c r="A793" s="52">
        <v>46260</v>
      </c>
      <c r="B793" s="53" t="s">
        <v>336</v>
      </c>
      <c r="C793" s="54">
        <v>334</v>
      </c>
      <c r="D793" s="54">
        <v>445</v>
      </c>
      <c r="E793" s="54">
        <v>445</v>
      </c>
      <c r="F793" s="54">
        <v>593</v>
      </c>
      <c r="G793" s="54">
        <v>445</v>
      </c>
      <c r="H793" s="54">
        <v>482</v>
      </c>
      <c r="I793" s="54">
        <v>297</v>
      </c>
      <c r="J793" s="54">
        <v>111</v>
      </c>
      <c r="K793" s="54">
        <v>408</v>
      </c>
      <c r="L793" s="54">
        <v>148</v>
      </c>
      <c r="M793" s="54">
        <f t="shared" si="12"/>
        <v>323</v>
      </c>
      <c r="N793" s="55">
        <v>4031</v>
      </c>
      <c r="O793" s="54">
        <v>65</v>
      </c>
      <c r="P793" s="54">
        <v>1</v>
      </c>
      <c r="Q793" s="54">
        <v>1025</v>
      </c>
      <c r="R793" s="54">
        <v>446</v>
      </c>
      <c r="S793" s="54">
        <v>252</v>
      </c>
      <c r="T793" s="54">
        <v>322</v>
      </c>
      <c r="U793" s="54">
        <v>112</v>
      </c>
      <c r="V793" s="54">
        <v>784</v>
      </c>
      <c r="W793" s="54">
        <v>859</v>
      </c>
      <c r="X793" s="54">
        <v>165</v>
      </c>
    </row>
    <row r="794" spans="1:24">
      <c r="A794" s="52">
        <v>46261</v>
      </c>
      <c r="B794" s="53" t="s">
        <v>336</v>
      </c>
      <c r="C794" s="54">
        <v>335</v>
      </c>
      <c r="D794" s="54">
        <v>446</v>
      </c>
      <c r="E794" s="54">
        <v>446</v>
      </c>
      <c r="F794" s="54">
        <v>595</v>
      </c>
      <c r="G794" s="54">
        <v>446</v>
      </c>
      <c r="H794" s="54">
        <v>483</v>
      </c>
      <c r="I794" s="54">
        <v>297</v>
      </c>
      <c r="J794" s="54">
        <v>112</v>
      </c>
      <c r="K794" s="54">
        <v>409</v>
      </c>
      <c r="L794" s="54">
        <v>149</v>
      </c>
      <c r="M794" s="54">
        <f t="shared" si="12"/>
        <v>323</v>
      </c>
      <c r="N794" s="55">
        <v>4041</v>
      </c>
      <c r="O794" s="54">
        <v>65</v>
      </c>
      <c r="P794" s="54">
        <v>1</v>
      </c>
      <c r="Q794" s="54">
        <v>1025</v>
      </c>
      <c r="R794" s="54">
        <v>446</v>
      </c>
      <c r="S794" s="54">
        <v>252</v>
      </c>
      <c r="T794" s="54">
        <v>322</v>
      </c>
      <c r="U794" s="54">
        <v>112</v>
      </c>
      <c r="V794" s="54">
        <v>784</v>
      </c>
      <c r="W794" s="54">
        <v>869</v>
      </c>
      <c r="X794" s="54">
        <v>165</v>
      </c>
    </row>
    <row r="795" spans="1:24">
      <c r="A795" s="52">
        <v>46262</v>
      </c>
      <c r="B795" s="53" t="s">
        <v>336</v>
      </c>
      <c r="C795" s="54">
        <v>315</v>
      </c>
      <c r="D795" s="54">
        <v>421</v>
      </c>
      <c r="E795" s="54">
        <v>421</v>
      </c>
      <c r="F795" s="54">
        <v>561</v>
      </c>
      <c r="G795" s="54">
        <v>421</v>
      </c>
      <c r="H795" s="54">
        <v>456</v>
      </c>
      <c r="I795" s="54">
        <v>280</v>
      </c>
      <c r="J795" s="54">
        <v>105</v>
      </c>
      <c r="K795" s="54">
        <v>386</v>
      </c>
      <c r="L795" s="54">
        <v>140</v>
      </c>
      <c r="M795" s="54">
        <f t="shared" si="12"/>
        <v>304</v>
      </c>
      <c r="N795" s="55">
        <v>3810</v>
      </c>
      <c r="O795" s="54">
        <v>65</v>
      </c>
      <c r="P795" s="54">
        <v>1</v>
      </c>
      <c r="Q795" s="54">
        <v>1025</v>
      </c>
      <c r="R795" s="54">
        <v>446</v>
      </c>
      <c r="S795" s="54">
        <v>252</v>
      </c>
      <c r="T795" s="54">
        <v>322</v>
      </c>
      <c r="U795" s="54">
        <v>112</v>
      </c>
      <c r="V795" s="54">
        <v>784</v>
      </c>
      <c r="W795" s="54">
        <v>803</v>
      </c>
      <c r="X795" s="54">
        <v>0</v>
      </c>
    </row>
    <row r="796" spans="1:24">
      <c r="A796" s="52">
        <v>46263</v>
      </c>
      <c r="B796" s="53" t="s">
        <v>336</v>
      </c>
      <c r="C796" s="54">
        <v>356</v>
      </c>
      <c r="D796" s="54">
        <v>474</v>
      </c>
      <c r="E796" s="54">
        <v>474</v>
      </c>
      <c r="F796" s="54">
        <v>632</v>
      </c>
      <c r="G796" s="54">
        <v>474</v>
      </c>
      <c r="H796" s="54">
        <v>514</v>
      </c>
      <c r="I796" s="54">
        <v>316</v>
      </c>
      <c r="J796" s="54">
        <v>119</v>
      </c>
      <c r="K796" s="54">
        <v>435</v>
      </c>
      <c r="L796" s="54">
        <v>158</v>
      </c>
      <c r="M796" s="54">
        <f t="shared" si="12"/>
        <v>344</v>
      </c>
      <c r="N796" s="55">
        <v>4296</v>
      </c>
      <c r="O796" s="54">
        <v>74</v>
      </c>
      <c r="P796" s="54">
        <v>1</v>
      </c>
      <c r="Q796" s="54">
        <v>1179</v>
      </c>
      <c r="R796" s="54">
        <v>513</v>
      </c>
      <c r="S796" s="54">
        <v>289</v>
      </c>
      <c r="T796" s="54">
        <v>370</v>
      </c>
      <c r="U796" s="54">
        <v>128</v>
      </c>
      <c r="V796" s="54">
        <v>901</v>
      </c>
      <c r="W796" s="54">
        <v>841</v>
      </c>
      <c r="X796" s="54">
        <v>0</v>
      </c>
    </row>
    <row r="797" spans="1:24">
      <c r="A797" s="52">
        <v>46264</v>
      </c>
      <c r="B797" s="53" t="s">
        <v>336</v>
      </c>
      <c r="C797" s="54">
        <v>361</v>
      </c>
      <c r="D797" s="54">
        <v>481</v>
      </c>
      <c r="E797" s="54">
        <v>481</v>
      </c>
      <c r="F797" s="54">
        <v>641</v>
      </c>
      <c r="G797" s="54">
        <v>481</v>
      </c>
      <c r="H797" s="54">
        <v>521</v>
      </c>
      <c r="I797" s="54">
        <v>321</v>
      </c>
      <c r="J797" s="54">
        <v>120</v>
      </c>
      <c r="K797" s="54">
        <v>441</v>
      </c>
      <c r="L797" s="54">
        <v>160</v>
      </c>
      <c r="M797" s="54">
        <f t="shared" si="12"/>
        <v>349</v>
      </c>
      <c r="N797" s="55">
        <v>4357</v>
      </c>
      <c r="O797" s="54">
        <v>74</v>
      </c>
      <c r="P797" s="54">
        <v>1</v>
      </c>
      <c r="Q797" s="54">
        <v>1179</v>
      </c>
      <c r="R797" s="54">
        <v>513</v>
      </c>
      <c r="S797" s="54">
        <v>289</v>
      </c>
      <c r="T797" s="54">
        <v>370</v>
      </c>
      <c r="U797" s="54">
        <v>129</v>
      </c>
      <c r="V797" s="54">
        <v>901</v>
      </c>
      <c r="W797" s="54">
        <v>736</v>
      </c>
      <c r="X797" s="54">
        <v>165</v>
      </c>
    </row>
    <row r="798" spans="1:24">
      <c r="A798" s="52">
        <v>46265</v>
      </c>
      <c r="B798" s="53" t="s">
        <v>336</v>
      </c>
      <c r="C798" s="54">
        <v>317</v>
      </c>
      <c r="D798" s="54">
        <v>423</v>
      </c>
      <c r="E798" s="54">
        <v>423</v>
      </c>
      <c r="F798" s="54">
        <v>563</v>
      </c>
      <c r="G798" s="54">
        <v>423</v>
      </c>
      <c r="H798" s="54">
        <v>458</v>
      </c>
      <c r="I798" s="54">
        <v>282</v>
      </c>
      <c r="J798" s="54">
        <v>106</v>
      </c>
      <c r="K798" s="54">
        <v>387</v>
      </c>
      <c r="L798" s="54">
        <v>140</v>
      </c>
      <c r="M798" s="54">
        <f t="shared" si="12"/>
        <v>305</v>
      </c>
      <c r="N798" s="55">
        <v>3827</v>
      </c>
      <c r="O798" s="54">
        <v>72</v>
      </c>
      <c r="P798" s="54">
        <v>1</v>
      </c>
      <c r="Q798" s="54">
        <v>1093</v>
      </c>
      <c r="R798" s="54">
        <v>484</v>
      </c>
      <c r="S798" s="54">
        <v>264</v>
      </c>
      <c r="T798" s="54">
        <v>342</v>
      </c>
      <c r="U798" s="54">
        <v>117</v>
      </c>
      <c r="V798" s="54">
        <v>839</v>
      </c>
      <c r="W798" s="54">
        <v>497</v>
      </c>
      <c r="X798" s="54">
        <v>118</v>
      </c>
    </row>
    <row r="799" spans="1:24">
      <c r="A799" s="52">
        <v>46266</v>
      </c>
      <c r="B799" s="53" t="s">
        <v>336</v>
      </c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>
        <f t="shared" si="12"/>
        <v>0</v>
      </c>
      <c r="N799" s="55">
        <v>0</v>
      </c>
      <c r="O799" s="54"/>
      <c r="P799" s="54"/>
      <c r="Q799" s="54"/>
      <c r="R799" s="54"/>
      <c r="S799" s="54"/>
      <c r="T799" s="54"/>
      <c r="U799" s="54"/>
      <c r="V799" s="54"/>
      <c r="W799" s="54"/>
      <c r="X799" s="54"/>
    </row>
    <row r="800" spans="1:24">
      <c r="A800" s="52">
        <v>46267</v>
      </c>
      <c r="B800" s="53" t="s">
        <v>336</v>
      </c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>
        <f t="shared" si="12"/>
        <v>0</v>
      </c>
      <c r="N800" s="55">
        <v>0</v>
      </c>
      <c r="O800" s="54"/>
      <c r="P800" s="54"/>
      <c r="Q800" s="54"/>
      <c r="R800" s="54"/>
      <c r="S800" s="54"/>
      <c r="T800" s="54"/>
      <c r="U800" s="54"/>
      <c r="V800" s="54"/>
      <c r="W800" s="54"/>
      <c r="X800" s="54"/>
    </row>
    <row r="801" spans="1:24">
      <c r="A801" s="52">
        <v>46268</v>
      </c>
      <c r="B801" s="53" t="s">
        <v>336</v>
      </c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>
        <f t="shared" si="12"/>
        <v>0</v>
      </c>
      <c r="N801" s="55">
        <v>0</v>
      </c>
      <c r="O801" s="54"/>
      <c r="P801" s="54"/>
      <c r="Q801" s="54"/>
      <c r="R801" s="54"/>
      <c r="S801" s="54"/>
      <c r="T801" s="54"/>
      <c r="U801" s="54"/>
      <c r="V801" s="54"/>
      <c r="W801" s="54"/>
      <c r="X801" s="54"/>
    </row>
    <row r="802" spans="1:24">
      <c r="A802" s="52">
        <v>46269</v>
      </c>
      <c r="B802" s="53" t="s">
        <v>336</v>
      </c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>
        <f t="shared" si="12"/>
        <v>0</v>
      </c>
      <c r="N802" s="55">
        <v>0</v>
      </c>
      <c r="O802" s="54"/>
      <c r="P802" s="54"/>
      <c r="Q802" s="54"/>
      <c r="R802" s="54"/>
      <c r="S802" s="54"/>
      <c r="T802" s="54"/>
      <c r="U802" s="54"/>
      <c r="V802" s="54"/>
      <c r="W802" s="54"/>
      <c r="X802" s="54"/>
    </row>
    <row r="803" spans="1:24">
      <c r="A803" s="52">
        <v>46270</v>
      </c>
      <c r="B803" s="53" t="s">
        <v>336</v>
      </c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>
        <f t="shared" si="12"/>
        <v>0</v>
      </c>
      <c r="N803" s="55">
        <v>0</v>
      </c>
      <c r="O803" s="54"/>
      <c r="P803" s="54"/>
      <c r="Q803" s="54"/>
      <c r="R803" s="54"/>
      <c r="S803" s="54"/>
      <c r="T803" s="54"/>
      <c r="U803" s="54"/>
      <c r="V803" s="54"/>
      <c r="W803" s="54"/>
      <c r="X803" s="54"/>
    </row>
    <row r="804" spans="1:24">
      <c r="A804" s="52">
        <v>46271</v>
      </c>
      <c r="B804" s="53" t="s">
        <v>336</v>
      </c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>
        <f t="shared" si="12"/>
        <v>0</v>
      </c>
      <c r="N804" s="55">
        <v>0</v>
      </c>
      <c r="O804" s="54"/>
      <c r="P804" s="54"/>
      <c r="Q804" s="54"/>
      <c r="R804" s="54"/>
      <c r="S804" s="54"/>
      <c r="T804" s="54"/>
      <c r="U804" s="54"/>
      <c r="V804" s="54"/>
      <c r="W804" s="54"/>
      <c r="X804" s="54"/>
    </row>
    <row r="805" spans="1:24">
      <c r="A805" s="52">
        <v>46272</v>
      </c>
      <c r="B805" s="53" t="s">
        <v>336</v>
      </c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>
        <f t="shared" si="12"/>
        <v>0</v>
      </c>
      <c r="N805" s="55">
        <v>0</v>
      </c>
      <c r="O805" s="54"/>
      <c r="P805" s="54"/>
      <c r="Q805" s="54"/>
      <c r="R805" s="54"/>
      <c r="S805" s="54"/>
      <c r="T805" s="54"/>
      <c r="U805" s="54"/>
      <c r="V805" s="54"/>
      <c r="W805" s="54"/>
      <c r="X805" s="54"/>
    </row>
    <row r="806" spans="1:24">
      <c r="A806" s="52">
        <v>46273</v>
      </c>
      <c r="B806" s="53" t="s">
        <v>336</v>
      </c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>
        <f t="shared" si="12"/>
        <v>0</v>
      </c>
      <c r="N806" s="55">
        <v>0</v>
      </c>
      <c r="O806" s="54"/>
      <c r="P806" s="54"/>
      <c r="Q806" s="54"/>
      <c r="R806" s="54"/>
      <c r="S806" s="54"/>
      <c r="T806" s="54"/>
      <c r="U806" s="54"/>
      <c r="V806" s="54"/>
      <c r="W806" s="54"/>
      <c r="X806" s="54"/>
    </row>
    <row r="807" spans="1:24">
      <c r="A807" s="52">
        <v>46274</v>
      </c>
      <c r="B807" s="53" t="s">
        <v>336</v>
      </c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>
        <f t="shared" si="12"/>
        <v>0</v>
      </c>
      <c r="N807" s="55">
        <v>0</v>
      </c>
      <c r="O807" s="54"/>
      <c r="P807" s="54"/>
      <c r="Q807" s="54"/>
      <c r="R807" s="54"/>
      <c r="S807" s="54"/>
      <c r="T807" s="54"/>
      <c r="U807" s="54"/>
      <c r="V807" s="54"/>
      <c r="W807" s="54"/>
      <c r="X807" s="54"/>
    </row>
    <row r="808" spans="1:24">
      <c r="A808" s="52">
        <v>46275</v>
      </c>
      <c r="B808" s="53" t="s">
        <v>336</v>
      </c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>
        <f t="shared" si="12"/>
        <v>0</v>
      </c>
      <c r="N808" s="55">
        <v>0</v>
      </c>
      <c r="O808" s="54"/>
      <c r="P808" s="54"/>
      <c r="Q808" s="54"/>
      <c r="R808" s="54"/>
      <c r="S808" s="54"/>
      <c r="T808" s="54"/>
      <c r="U808" s="54"/>
      <c r="V808" s="54"/>
      <c r="W808" s="54"/>
      <c r="X808" s="54"/>
    </row>
    <row r="809" spans="1:24">
      <c r="A809" s="52">
        <v>46276</v>
      </c>
      <c r="B809" s="53" t="s">
        <v>336</v>
      </c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>
        <f t="shared" si="12"/>
        <v>0</v>
      </c>
      <c r="N809" s="55">
        <v>0</v>
      </c>
      <c r="O809" s="54"/>
      <c r="P809" s="54"/>
      <c r="Q809" s="54"/>
      <c r="R809" s="54"/>
      <c r="S809" s="54"/>
      <c r="T809" s="54"/>
      <c r="U809" s="54"/>
      <c r="V809" s="54"/>
      <c r="W809" s="54"/>
      <c r="X809" s="54"/>
    </row>
    <row r="810" spans="1:24">
      <c r="A810" s="52">
        <v>46277</v>
      </c>
      <c r="B810" s="53" t="s">
        <v>336</v>
      </c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>
        <f t="shared" si="12"/>
        <v>0</v>
      </c>
      <c r="N810" s="55">
        <v>0</v>
      </c>
      <c r="O810" s="54"/>
      <c r="P810" s="54"/>
      <c r="Q810" s="54"/>
      <c r="R810" s="54"/>
      <c r="S810" s="54"/>
      <c r="T810" s="54"/>
      <c r="U810" s="54"/>
      <c r="V810" s="54"/>
      <c r="W810" s="54"/>
      <c r="X810" s="54"/>
    </row>
    <row r="811" spans="1:24">
      <c r="A811" s="52">
        <v>46278</v>
      </c>
      <c r="B811" s="53" t="s">
        <v>336</v>
      </c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>
        <f t="shared" si="12"/>
        <v>0</v>
      </c>
      <c r="N811" s="55">
        <v>0</v>
      </c>
      <c r="O811" s="54"/>
      <c r="P811" s="54"/>
      <c r="Q811" s="54"/>
      <c r="R811" s="54"/>
      <c r="S811" s="54"/>
      <c r="T811" s="54"/>
      <c r="U811" s="54"/>
      <c r="V811" s="54"/>
      <c r="W811" s="54"/>
      <c r="X811" s="54"/>
    </row>
    <row r="812" spans="1:24">
      <c r="A812" s="52">
        <v>46279</v>
      </c>
      <c r="B812" s="53" t="s">
        <v>336</v>
      </c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>
        <f t="shared" si="12"/>
        <v>0</v>
      </c>
      <c r="N812" s="55">
        <v>0</v>
      </c>
      <c r="O812" s="54"/>
      <c r="P812" s="54"/>
      <c r="Q812" s="54"/>
      <c r="R812" s="54"/>
      <c r="S812" s="54"/>
      <c r="T812" s="54"/>
      <c r="U812" s="54"/>
      <c r="V812" s="54"/>
      <c r="W812" s="54"/>
      <c r="X812" s="54"/>
    </row>
    <row r="813" spans="1:24">
      <c r="A813" s="52">
        <v>46280</v>
      </c>
      <c r="B813" s="53" t="s">
        <v>336</v>
      </c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>
        <f t="shared" si="12"/>
        <v>0</v>
      </c>
      <c r="N813" s="55">
        <v>0</v>
      </c>
      <c r="O813" s="54"/>
      <c r="P813" s="54"/>
      <c r="Q813" s="54"/>
      <c r="R813" s="54"/>
      <c r="S813" s="54"/>
      <c r="T813" s="54"/>
      <c r="U813" s="54"/>
      <c r="V813" s="54"/>
      <c r="W813" s="54"/>
      <c r="X813" s="54"/>
    </row>
    <row r="814" spans="1:24">
      <c r="A814" s="52">
        <v>46281</v>
      </c>
      <c r="B814" s="53" t="s">
        <v>336</v>
      </c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>
        <f t="shared" si="12"/>
        <v>0</v>
      </c>
      <c r="N814" s="55">
        <v>0</v>
      </c>
      <c r="O814" s="54"/>
      <c r="P814" s="54"/>
      <c r="Q814" s="54"/>
      <c r="R814" s="54"/>
      <c r="S814" s="54"/>
      <c r="T814" s="54"/>
      <c r="U814" s="54"/>
      <c r="V814" s="54"/>
      <c r="W814" s="54"/>
      <c r="X814" s="54"/>
    </row>
    <row r="815" spans="1:24">
      <c r="A815" s="52">
        <v>46282</v>
      </c>
      <c r="B815" s="53" t="s">
        <v>336</v>
      </c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>
        <f t="shared" si="12"/>
        <v>0</v>
      </c>
      <c r="N815" s="55">
        <v>0</v>
      </c>
      <c r="O815" s="54"/>
      <c r="P815" s="54"/>
      <c r="Q815" s="54"/>
      <c r="R815" s="54"/>
      <c r="S815" s="54"/>
      <c r="T815" s="54"/>
      <c r="U815" s="54"/>
      <c r="V815" s="54"/>
      <c r="W815" s="54"/>
      <c r="X815" s="54"/>
    </row>
    <row r="816" spans="1:24">
      <c r="A816" s="52">
        <v>46283</v>
      </c>
      <c r="B816" s="53" t="s">
        <v>336</v>
      </c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>
        <f t="shared" si="12"/>
        <v>0</v>
      </c>
      <c r="N816" s="55">
        <v>0</v>
      </c>
      <c r="O816" s="54"/>
      <c r="P816" s="54"/>
      <c r="Q816" s="54"/>
      <c r="R816" s="54"/>
      <c r="S816" s="54"/>
      <c r="T816" s="54"/>
      <c r="U816" s="54"/>
      <c r="V816" s="54"/>
      <c r="W816" s="54"/>
      <c r="X816" s="54"/>
    </row>
    <row r="817" spans="1:24">
      <c r="A817" s="52">
        <v>46284</v>
      </c>
      <c r="B817" s="53" t="s">
        <v>336</v>
      </c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>
        <f t="shared" si="12"/>
        <v>0</v>
      </c>
      <c r="N817" s="55">
        <v>0</v>
      </c>
      <c r="O817" s="54"/>
      <c r="P817" s="54"/>
      <c r="Q817" s="54"/>
      <c r="R817" s="54"/>
      <c r="S817" s="54"/>
      <c r="T817" s="54"/>
      <c r="U817" s="54"/>
      <c r="V817" s="54"/>
      <c r="W817" s="54"/>
      <c r="X817" s="54"/>
    </row>
    <row r="818" spans="1:24">
      <c r="A818" s="52">
        <v>46285</v>
      </c>
      <c r="B818" s="53" t="s">
        <v>336</v>
      </c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>
        <f t="shared" si="12"/>
        <v>0</v>
      </c>
      <c r="N818" s="55">
        <v>0</v>
      </c>
      <c r="O818" s="54"/>
      <c r="P818" s="54"/>
      <c r="Q818" s="54"/>
      <c r="R818" s="54"/>
      <c r="S818" s="54"/>
      <c r="T818" s="54"/>
      <c r="U818" s="54"/>
      <c r="V818" s="54"/>
      <c r="W818" s="54"/>
      <c r="X818" s="54"/>
    </row>
    <row r="819" spans="1:24">
      <c r="A819" s="52">
        <v>46286</v>
      </c>
      <c r="B819" s="53" t="s">
        <v>336</v>
      </c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>
        <f t="shared" si="12"/>
        <v>0</v>
      </c>
      <c r="N819" s="55">
        <v>0</v>
      </c>
      <c r="O819" s="54"/>
      <c r="P819" s="54"/>
      <c r="Q819" s="54"/>
      <c r="R819" s="54"/>
      <c r="S819" s="54"/>
      <c r="T819" s="54"/>
      <c r="U819" s="54"/>
      <c r="V819" s="54"/>
      <c r="W819" s="54"/>
      <c r="X819" s="54"/>
    </row>
    <row r="820" spans="1:24">
      <c r="A820" s="52">
        <v>46287</v>
      </c>
      <c r="B820" s="53" t="s">
        <v>336</v>
      </c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>
        <f t="shared" si="12"/>
        <v>0</v>
      </c>
      <c r="N820" s="55">
        <v>0</v>
      </c>
      <c r="O820" s="54"/>
      <c r="P820" s="54"/>
      <c r="Q820" s="54"/>
      <c r="R820" s="54"/>
      <c r="S820" s="54"/>
      <c r="T820" s="54"/>
      <c r="U820" s="54"/>
      <c r="V820" s="54"/>
      <c r="W820" s="54"/>
      <c r="X820" s="54"/>
    </row>
    <row r="821" spans="1:24">
      <c r="A821" s="52">
        <v>46288</v>
      </c>
      <c r="B821" s="53" t="s">
        <v>336</v>
      </c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>
        <f t="shared" si="12"/>
        <v>0</v>
      </c>
      <c r="N821" s="55">
        <v>0</v>
      </c>
      <c r="O821" s="54"/>
      <c r="P821" s="54"/>
      <c r="Q821" s="54"/>
      <c r="R821" s="54"/>
      <c r="S821" s="54"/>
      <c r="T821" s="54"/>
      <c r="U821" s="54"/>
      <c r="V821" s="54"/>
      <c r="W821" s="54"/>
      <c r="X821" s="54"/>
    </row>
    <row r="822" spans="1:24">
      <c r="A822" s="52">
        <v>46289</v>
      </c>
      <c r="B822" s="53" t="s">
        <v>336</v>
      </c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>
        <f t="shared" si="12"/>
        <v>0</v>
      </c>
      <c r="N822" s="55">
        <v>0</v>
      </c>
      <c r="O822" s="54"/>
      <c r="P822" s="54"/>
      <c r="Q822" s="54"/>
      <c r="R822" s="54"/>
      <c r="S822" s="54"/>
      <c r="T822" s="54"/>
      <c r="U822" s="54"/>
      <c r="V822" s="54"/>
      <c r="W822" s="54"/>
      <c r="X822" s="54"/>
    </row>
    <row r="823" spans="1:24">
      <c r="A823" s="52">
        <v>46290</v>
      </c>
      <c r="B823" s="53" t="s">
        <v>336</v>
      </c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>
        <f t="shared" si="12"/>
        <v>0</v>
      </c>
      <c r="N823" s="55">
        <v>0</v>
      </c>
      <c r="O823" s="54"/>
      <c r="P823" s="54"/>
      <c r="Q823" s="54"/>
      <c r="R823" s="54"/>
      <c r="S823" s="54"/>
      <c r="T823" s="54"/>
      <c r="U823" s="54"/>
      <c r="V823" s="54"/>
      <c r="W823" s="54"/>
      <c r="X823" s="54"/>
    </row>
    <row r="824" spans="1:24">
      <c r="A824" s="52">
        <v>46291</v>
      </c>
      <c r="B824" s="53" t="s">
        <v>336</v>
      </c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>
        <f t="shared" si="12"/>
        <v>0</v>
      </c>
      <c r="N824" s="55">
        <v>0</v>
      </c>
      <c r="O824" s="54"/>
      <c r="P824" s="54"/>
      <c r="Q824" s="54"/>
      <c r="R824" s="54"/>
      <c r="S824" s="54"/>
      <c r="T824" s="54"/>
      <c r="U824" s="54"/>
      <c r="V824" s="54"/>
      <c r="W824" s="54"/>
      <c r="X824" s="54"/>
    </row>
    <row r="825" spans="1:24">
      <c r="A825" s="52">
        <v>46292</v>
      </c>
      <c r="B825" s="53" t="s">
        <v>336</v>
      </c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>
        <f t="shared" si="12"/>
        <v>0</v>
      </c>
      <c r="N825" s="55">
        <v>0</v>
      </c>
      <c r="O825" s="54"/>
      <c r="P825" s="54"/>
      <c r="Q825" s="54"/>
      <c r="R825" s="54"/>
      <c r="S825" s="54"/>
      <c r="T825" s="54"/>
      <c r="U825" s="54"/>
      <c r="V825" s="54"/>
      <c r="W825" s="54"/>
      <c r="X825" s="54"/>
    </row>
    <row r="826" spans="1:24">
      <c r="A826" s="52">
        <v>46293</v>
      </c>
      <c r="B826" s="53" t="s">
        <v>336</v>
      </c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>
        <f t="shared" si="12"/>
        <v>0</v>
      </c>
      <c r="N826" s="55">
        <v>0</v>
      </c>
      <c r="O826" s="54"/>
      <c r="P826" s="54"/>
      <c r="Q826" s="54"/>
      <c r="R826" s="54"/>
      <c r="S826" s="54"/>
      <c r="T826" s="54"/>
      <c r="U826" s="54"/>
      <c r="V826" s="54"/>
      <c r="W826" s="54"/>
      <c r="X826" s="54"/>
    </row>
    <row r="827" spans="1:24">
      <c r="A827" s="52">
        <v>46294</v>
      </c>
      <c r="B827" s="53" t="s">
        <v>336</v>
      </c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>
        <f t="shared" si="12"/>
        <v>0</v>
      </c>
      <c r="N827" s="55">
        <v>0</v>
      </c>
      <c r="O827" s="54"/>
      <c r="P827" s="54"/>
      <c r="Q827" s="54"/>
      <c r="R827" s="54"/>
      <c r="S827" s="54"/>
      <c r="T827" s="54"/>
      <c r="U827" s="54"/>
      <c r="V827" s="54"/>
      <c r="W827" s="54"/>
      <c r="X827" s="54"/>
    </row>
    <row r="828" spans="1:24">
      <c r="A828" s="52">
        <v>46295</v>
      </c>
      <c r="B828" s="53" t="s">
        <v>336</v>
      </c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>
        <f t="shared" si="12"/>
        <v>0</v>
      </c>
      <c r="N828" s="55">
        <v>0</v>
      </c>
      <c r="O828" s="54"/>
      <c r="P828" s="54"/>
      <c r="Q828" s="54"/>
      <c r="R828" s="54"/>
      <c r="S828" s="54"/>
      <c r="T828" s="54"/>
      <c r="U828" s="54"/>
      <c r="V828" s="54"/>
      <c r="W828" s="54"/>
      <c r="X828" s="54"/>
    </row>
    <row r="829" spans="1:24">
      <c r="A829" s="52">
        <v>46296</v>
      </c>
      <c r="B829" s="53" t="s">
        <v>336</v>
      </c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>
        <f t="shared" si="12"/>
        <v>0</v>
      </c>
      <c r="N829" s="55">
        <v>0</v>
      </c>
      <c r="O829" s="54"/>
      <c r="P829" s="54"/>
      <c r="Q829" s="54"/>
      <c r="R829" s="54"/>
      <c r="S829" s="54"/>
      <c r="T829" s="54"/>
      <c r="U829" s="54"/>
      <c r="V829" s="54"/>
      <c r="W829" s="54"/>
      <c r="X829" s="54"/>
    </row>
    <row r="830" spans="1:24">
      <c r="A830" s="52">
        <v>46297</v>
      </c>
      <c r="B830" s="53" t="s">
        <v>336</v>
      </c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>
        <f t="shared" si="12"/>
        <v>0</v>
      </c>
      <c r="N830" s="55">
        <v>0</v>
      </c>
      <c r="O830" s="54"/>
      <c r="P830" s="54"/>
      <c r="Q830" s="54"/>
      <c r="R830" s="54"/>
      <c r="S830" s="54"/>
      <c r="T830" s="54"/>
      <c r="U830" s="54"/>
      <c r="V830" s="54"/>
      <c r="W830" s="54"/>
      <c r="X830" s="54"/>
    </row>
    <row r="831" spans="1:24">
      <c r="A831" s="52">
        <v>46298</v>
      </c>
      <c r="B831" s="53" t="s">
        <v>336</v>
      </c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>
        <f t="shared" si="12"/>
        <v>0</v>
      </c>
      <c r="N831" s="55">
        <v>0</v>
      </c>
      <c r="O831" s="54"/>
      <c r="P831" s="54"/>
      <c r="Q831" s="54"/>
      <c r="R831" s="54"/>
      <c r="S831" s="54"/>
      <c r="T831" s="54"/>
      <c r="U831" s="54"/>
      <c r="V831" s="54"/>
      <c r="W831" s="54"/>
      <c r="X831" s="54"/>
    </row>
    <row r="832" spans="1:24">
      <c r="A832" s="52">
        <v>46299</v>
      </c>
      <c r="B832" s="53" t="s">
        <v>336</v>
      </c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>
        <f t="shared" si="12"/>
        <v>0</v>
      </c>
      <c r="N832" s="55">
        <v>0</v>
      </c>
      <c r="O832" s="54"/>
      <c r="P832" s="54"/>
      <c r="Q832" s="54"/>
      <c r="R832" s="54"/>
      <c r="S832" s="54"/>
      <c r="T832" s="54"/>
      <c r="U832" s="54"/>
      <c r="V832" s="54"/>
      <c r="W832" s="54"/>
      <c r="X832" s="54"/>
    </row>
    <row r="833" spans="1:24">
      <c r="A833" s="52">
        <v>46300</v>
      </c>
      <c r="B833" s="53" t="s">
        <v>336</v>
      </c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>
        <f t="shared" si="12"/>
        <v>0</v>
      </c>
      <c r="N833" s="55">
        <v>0</v>
      </c>
      <c r="O833" s="54"/>
      <c r="P833" s="54"/>
      <c r="Q833" s="54"/>
      <c r="R833" s="54"/>
      <c r="S833" s="54"/>
      <c r="T833" s="54"/>
      <c r="U833" s="54"/>
      <c r="V833" s="54"/>
      <c r="W833" s="54"/>
      <c r="X833" s="54"/>
    </row>
    <row r="834" spans="1:24">
      <c r="A834" s="52">
        <v>46301</v>
      </c>
      <c r="B834" s="53" t="s">
        <v>336</v>
      </c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>
        <f t="shared" si="12"/>
        <v>0</v>
      </c>
      <c r="N834" s="55">
        <v>0</v>
      </c>
      <c r="O834" s="54"/>
      <c r="P834" s="54"/>
      <c r="Q834" s="54"/>
      <c r="R834" s="54"/>
      <c r="S834" s="54"/>
      <c r="T834" s="54"/>
      <c r="U834" s="54"/>
      <c r="V834" s="54"/>
      <c r="W834" s="54"/>
      <c r="X834" s="54"/>
    </row>
    <row r="835" spans="1:24">
      <c r="A835" s="52">
        <v>46302</v>
      </c>
      <c r="B835" s="53" t="s">
        <v>336</v>
      </c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>
        <f t="shared" ref="M835:M898" si="13">N835-SUM(C835:L835)</f>
        <v>0</v>
      </c>
      <c r="N835" s="55">
        <v>0</v>
      </c>
      <c r="O835" s="54"/>
      <c r="P835" s="54"/>
      <c r="Q835" s="54"/>
      <c r="R835" s="54"/>
      <c r="S835" s="54"/>
      <c r="T835" s="54"/>
      <c r="U835" s="54"/>
      <c r="V835" s="54"/>
      <c r="W835" s="54"/>
      <c r="X835" s="54"/>
    </row>
    <row r="836" spans="1:24">
      <c r="A836" s="52">
        <v>46303</v>
      </c>
      <c r="B836" s="53" t="s">
        <v>336</v>
      </c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>
        <f t="shared" si="13"/>
        <v>0</v>
      </c>
      <c r="N836" s="55">
        <v>0</v>
      </c>
      <c r="O836" s="54"/>
      <c r="P836" s="54"/>
      <c r="Q836" s="54"/>
      <c r="R836" s="54"/>
      <c r="S836" s="54"/>
      <c r="T836" s="54"/>
      <c r="U836" s="54"/>
      <c r="V836" s="54"/>
      <c r="W836" s="54"/>
      <c r="X836" s="54"/>
    </row>
    <row r="837" spans="1:24">
      <c r="A837" s="52">
        <v>46304</v>
      </c>
      <c r="B837" s="53" t="s">
        <v>336</v>
      </c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>
        <f t="shared" si="13"/>
        <v>0</v>
      </c>
      <c r="N837" s="55">
        <v>0</v>
      </c>
      <c r="O837" s="54"/>
      <c r="P837" s="54"/>
      <c r="Q837" s="54"/>
      <c r="R837" s="54"/>
      <c r="S837" s="54"/>
      <c r="T837" s="54"/>
      <c r="U837" s="54"/>
      <c r="V837" s="54"/>
      <c r="W837" s="54"/>
      <c r="X837" s="54"/>
    </row>
    <row r="838" spans="1:24">
      <c r="A838" s="52">
        <v>46305</v>
      </c>
      <c r="B838" s="53" t="s">
        <v>336</v>
      </c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>
        <f t="shared" si="13"/>
        <v>0</v>
      </c>
      <c r="N838" s="55">
        <v>0</v>
      </c>
      <c r="O838" s="54"/>
      <c r="P838" s="54"/>
      <c r="Q838" s="54"/>
      <c r="R838" s="54"/>
      <c r="S838" s="54"/>
      <c r="T838" s="54"/>
      <c r="U838" s="54"/>
      <c r="V838" s="54"/>
      <c r="W838" s="54"/>
      <c r="X838" s="54"/>
    </row>
    <row r="839" spans="1:24">
      <c r="A839" s="52">
        <v>46306</v>
      </c>
      <c r="B839" s="53" t="s">
        <v>336</v>
      </c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>
        <f t="shared" si="13"/>
        <v>0</v>
      </c>
      <c r="N839" s="55">
        <v>0</v>
      </c>
      <c r="O839" s="54"/>
      <c r="P839" s="54"/>
      <c r="Q839" s="54"/>
      <c r="R839" s="54"/>
      <c r="S839" s="54"/>
      <c r="T839" s="54"/>
      <c r="U839" s="54"/>
      <c r="V839" s="54"/>
      <c r="W839" s="54"/>
      <c r="X839" s="54"/>
    </row>
    <row r="840" spans="1:24">
      <c r="A840" s="52">
        <v>46307</v>
      </c>
      <c r="B840" s="53" t="s">
        <v>336</v>
      </c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>
        <f t="shared" si="13"/>
        <v>0</v>
      </c>
      <c r="N840" s="55">
        <v>0</v>
      </c>
      <c r="O840" s="54"/>
      <c r="P840" s="54"/>
      <c r="Q840" s="54"/>
      <c r="R840" s="54"/>
      <c r="S840" s="54"/>
      <c r="T840" s="54"/>
      <c r="U840" s="54"/>
      <c r="V840" s="54"/>
      <c r="W840" s="54"/>
      <c r="X840" s="54"/>
    </row>
    <row r="841" spans="1:24">
      <c r="A841" s="52">
        <v>46308</v>
      </c>
      <c r="B841" s="53" t="s">
        <v>336</v>
      </c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>
        <f t="shared" si="13"/>
        <v>0</v>
      </c>
      <c r="N841" s="55">
        <v>0</v>
      </c>
      <c r="O841" s="54"/>
      <c r="P841" s="54"/>
      <c r="Q841" s="54"/>
      <c r="R841" s="54"/>
      <c r="S841" s="54"/>
      <c r="T841" s="54"/>
      <c r="U841" s="54"/>
      <c r="V841" s="54"/>
      <c r="W841" s="54"/>
      <c r="X841" s="54"/>
    </row>
    <row r="842" spans="1:24">
      <c r="A842" s="52">
        <v>46309</v>
      </c>
      <c r="B842" s="53" t="s">
        <v>336</v>
      </c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>
        <f t="shared" si="13"/>
        <v>0</v>
      </c>
      <c r="N842" s="55">
        <v>0</v>
      </c>
      <c r="O842" s="54"/>
      <c r="P842" s="54"/>
      <c r="Q842" s="54"/>
      <c r="R842" s="54"/>
      <c r="S842" s="54"/>
      <c r="T842" s="54"/>
      <c r="U842" s="54"/>
      <c r="V842" s="54"/>
      <c r="W842" s="54"/>
      <c r="X842" s="54"/>
    </row>
    <row r="843" spans="1:24">
      <c r="A843" s="52">
        <v>46310</v>
      </c>
      <c r="B843" s="53" t="s">
        <v>336</v>
      </c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>
        <f t="shared" si="13"/>
        <v>0</v>
      </c>
      <c r="N843" s="55">
        <v>0</v>
      </c>
      <c r="O843" s="54"/>
      <c r="P843" s="54"/>
      <c r="Q843" s="54"/>
      <c r="R843" s="54"/>
      <c r="S843" s="54"/>
      <c r="T843" s="54"/>
      <c r="U843" s="54"/>
      <c r="V843" s="54"/>
      <c r="W843" s="54"/>
      <c r="X843" s="54"/>
    </row>
    <row r="844" spans="1:24">
      <c r="A844" s="52">
        <v>46311</v>
      </c>
      <c r="B844" s="53" t="s">
        <v>336</v>
      </c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>
        <f t="shared" si="13"/>
        <v>0</v>
      </c>
      <c r="N844" s="55">
        <v>0</v>
      </c>
      <c r="O844" s="54"/>
      <c r="P844" s="54"/>
      <c r="Q844" s="54"/>
      <c r="R844" s="54"/>
      <c r="S844" s="54"/>
      <c r="T844" s="54"/>
      <c r="U844" s="54"/>
      <c r="V844" s="54"/>
      <c r="W844" s="54"/>
      <c r="X844" s="54"/>
    </row>
    <row r="845" spans="1:24">
      <c r="A845" s="52">
        <v>46312</v>
      </c>
      <c r="B845" s="53" t="s">
        <v>336</v>
      </c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>
        <f t="shared" si="13"/>
        <v>0</v>
      </c>
      <c r="N845" s="55">
        <v>0</v>
      </c>
      <c r="O845" s="54"/>
      <c r="P845" s="54"/>
      <c r="Q845" s="54"/>
      <c r="R845" s="54"/>
      <c r="S845" s="54"/>
      <c r="T845" s="54"/>
      <c r="U845" s="54"/>
      <c r="V845" s="54"/>
      <c r="W845" s="54"/>
      <c r="X845" s="54"/>
    </row>
    <row r="846" spans="1:24">
      <c r="A846" s="52">
        <v>46313</v>
      </c>
      <c r="B846" s="53" t="s">
        <v>336</v>
      </c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>
        <f t="shared" si="13"/>
        <v>0</v>
      </c>
      <c r="N846" s="55">
        <v>0</v>
      </c>
      <c r="O846" s="54"/>
      <c r="P846" s="54"/>
      <c r="Q846" s="54"/>
      <c r="R846" s="54"/>
      <c r="S846" s="54"/>
      <c r="T846" s="54"/>
      <c r="U846" s="54"/>
      <c r="V846" s="54"/>
      <c r="W846" s="54"/>
      <c r="X846" s="54"/>
    </row>
    <row r="847" spans="1:24">
      <c r="A847" s="52">
        <v>46314</v>
      </c>
      <c r="B847" s="53" t="s">
        <v>336</v>
      </c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>
        <f t="shared" si="13"/>
        <v>0</v>
      </c>
      <c r="N847" s="55">
        <v>0</v>
      </c>
      <c r="O847" s="54"/>
      <c r="P847" s="54"/>
      <c r="Q847" s="54"/>
      <c r="R847" s="54"/>
      <c r="S847" s="54"/>
      <c r="T847" s="54"/>
      <c r="U847" s="54"/>
      <c r="V847" s="54"/>
      <c r="W847" s="54"/>
      <c r="X847" s="54"/>
    </row>
    <row r="848" spans="1:24">
      <c r="A848" s="52">
        <v>46315</v>
      </c>
      <c r="B848" s="53" t="s">
        <v>336</v>
      </c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>
        <f t="shared" si="13"/>
        <v>0</v>
      </c>
      <c r="N848" s="55">
        <v>0</v>
      </c>
      <c r="O848" s="54"/>
      <c r="P848" s="54"/>
      <c r="Q848" s="54"/>
      <c r="R848" s="54"/>
      <c r="S848" s="54"/>
      <c r="T848" s="54"/>
      <c r="U848" s="54"/>
      <c r="V848" s="54"/>
      <c r="W848" s="54"/>
      <c r="X848" s="54"/>
    </row>
    <row r="849" spans="1:24">
      <c r="A849" s="52">
        <v>46316</v>
      </c>
      <c r="B849" s="53" t="s">
        <v>336</v>
      </c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>
        <f t="shared" si="13"/>
        <v>0</v>
      </c>
      <c r="N849" s="55">
        <v>0</v>
      </c>
      <c r="O849" s="54"/>
      <c r="P849" s="54"/>
      <c r="Q849" s="54"/>
      <c r="R849" s="54"/>
      <c r="S849" s="54"/>
      <c r="T849" s="54"/>
      <c r="U849" s="54"/>
      <c r="V849" s="54"/>
      <c r="W849" s="54"/>
      <c r="X849" s="54"/>
    </row>
    <row r="850" spans="1:24">
      <c r="A850" s="52">
        <v>46317</v>
      </c>
      <c r="B850" s="53" t="s">
        <v>336</v>
      </c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>
        <f t="shared" si="13"/>
        <v>0</v>
      </c>
      <c r="N850" s="55">
        <v>0</v>
      </c>
      <c r="O850" s="54"/>
      <c r="P850" s="54"/>
      <c r="Q850" s="54"/>
      <c r="R850" s="54"/>
      <c r="S850" s="54"/>
      <c r="T850" s="54"/>
      <c r="U850" s="54"/>
      <c r="V850" s="54"/>
      <c r="W850" s="54"/>
      <c r="X850" s="54"/>
    </row>
    <row r="851" spans="1:24">
      <c r="A851" s="52">
        <v>46318</v>
      </c>
      <c r="B851" s="53" t="s">
        <v>336</v>
      </c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>
        <f t="shared" si="13"/>
        <v>0</v>
      </c>
      <c r="N851" s="55">
        <v>0</v>
      </c>
      <c r="O851" s="54"/>
      <c r="P851" s="54"/>
      <c r="Q851" s="54"/>
      <c r="R851" s="54"/>
      <c r="S851" s="54"/>
      <c r="T851" s="54"/>
      <c r="U851" s="54"/>
      <c r="V851" s="54"/>
      <c r="W851" s="54"/>
      <c r="X851" s="54"/>
    </row>
    <row r="852" spans="1:24">
      <c r="A852" s="52">
        <v>46319</v>
      </c>
      <c r="B852" s="53" t="s">
        <v>336</v>
      </c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>
        <f t="shared" si="13"/>
        <v>0</v>
      </c>
      <c r="N852" s="55">
        <v>0</v>
      </c>
      <c r="O852" s="54"/>
      <c r="P852" s="54"/>
      <c r="Q852" s="54"/>
      <c r="R852" s="54"/>
      <c r="S852" s="54"/>
      <c r="T852" s="54"/>
      <c r="U852" s="54"/>
      <c r="V852" s="54"/>
      <c r="W852" s="54"/>
      <c r="X852" s="54"/>
    </row>
    <row r="853" spans="1:24">
      <c r="A853" s="52">
        <v>46320</v>
      </c>
      <c r="B853" s="53" t="s">
        <v>336</v>
      </c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>
        <f t="shared" si="13"/>
        <v>0</v>
      </c>
      <c r="N853" s="55">
        <v>0</v>
      </c>
      <c r="O853" s="54"/>
      <c r="P853" s="54"/>
      <c r="Q853" s="54"/>
      <c r="R853" s="54"/>
      <c r="S853" s="54"/>
      <c r="T853" s="54"/>
      <c r="U853" s="54"/>
      <c r="V853" s="54"/>
      <c r="W853" s="54"/>
      <c r="X853" s="54"/>
    </row>
    <row r="854" spans="1:24">
      <c r="A854" s="52">
        <v>46321</v>
      </c>
      <c r="B854" s="53" t="s">
        <v>336</v>
      </c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>
        <f t="shared" si="13"/>
        <v>0</v>
      </c>
      <c r="N854" s="55">
        <v>0</v>
      </c>
      <c r="O854" s="54"/>
      <c r="P854" s="54"/>
      <c r="Q854" s="54"/>
      <c r="R854" s="54"/>
      <c r="S854" s="54"/>
      <c r="T854" s="54"/>
      <c r="U854" s="54"/>
      <c r="V854" s="54"/>
      <c r="W854" s="54"/>
      <c r="X854" s="54"/>
    </row>
    <row r="855" spans="1:24">
      <c r="A855" s="52">
        <v>46322</v>
      </c>
      <c r="B855" s="53" t="s">
        <v>336</v>
      </c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>
        <f t="shared" si="13"/>
        <v>0</v>
      </c>
      <c r="N855" s="55">
        <v>0</v>
      </c>
      <c r="O855" s="54"/>
      <c r="P855" s="54"/>
      <c r="Q855" s="54"/>
      <c r="R855" s="54"/>
      <c r="S855" s="54"/>
      <c r="T855" s="54"/>
      <c r="U855" s="54"/>
      <c r="V855" s="54"/>
      <c r="W855" s="54"/>
      <c r="X855" s="54"/>
    </row>
    <row r="856" spans="1:24">
      <c r="A856" s="52">
        <v>46323</v>
      </c>
      <c r="B856" s="53" t="s">
        <v>336</v>
      </c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>
        <f t="shared" si="13"/>
        <v>0</v>
      </c>
      <c r="N856" s="55">
        <v>0</v>
      </c>
      <c r="O856" s="54"/>
      <c r="P856" s="54"/>
      <c r="Q856" s="54"/>
      <c r="R856" s="54"/>
      <c r="S856" s="54"/>
      <c r="T856" s="54"/>
      <c r="U856" s="54"/>
      <c r="V856" s="54"/>
      <c r="W856" s="54"/>
      <c r="X856" s="54"/>
    </row>
    <row r="857" spans="1:24">
      <c r="A857" s="52">
        <v>46324</v>
      </c>
      <c r="B857" s="53" t="s">
        <v>336</v>
      </c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>
        <f t="shared" si="13"/>
        <v>0</v>
      </c>
      <c r="N857" s="55">
        <v>0</v>
      </c>
      <c r="O857" s="54"/>
      <c r="P857" s="54"/>
      <c r="Q857" s="54"/>
      <c r="R857" s="54"/>
      <c r="S857" s="54"/>
      <c r="T857" s="54"/>
      <c r="U857" s="54"/>
      <c r="V857" s="54"/>
      <c r="W857" s="54"/>
      <c r="X857" s="54"/>
    </row>
    <row r="858" spans="1:24">
      <c r="A858" s="52">
        <v>46325</v>
      </c>
      <c r="B858" s="53" t="s">
        <v>336</v>
      </c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>
        <f t="shared" si="13"/>
        <v>0</v>
      </c>
      <c r="N858" s="55">
        <v>0</v>
      </c>
      <c r="O858" s="54"/>
      <c r="P858" s="54"/>
      <c r="Q858" s="54"/>
      <c r="R858" s="54"/>
      <c r="S858" s="54"/>
      <c r="T858" s="54"/>
      <c r="U858" s="54"/>
      <c r="V858" s="54"/>
      <c r="W858" s="54"/>
      <c r="X858" s="54"/>
    </row>
    <row r="859" spans="1:24">
      <c r="A859" s="52">
        <v>46326</v>
      </c>
      <c r="B859" s="53" t="s">
        <v>336</v>
      </c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>
        <f t="shared" si="13"/>
        <v>0</v>
      </c>
      <c r="N859" s="55">
        <v>0</v>
      </c>
      <c r="O859" s="54"/>
      <c r="P859" s="54"/>
      <c r="Q859" s="54"/>
      <c r="R859" s="54"/>
      <c r="S859" s="54"/>
      <c r="T859" s="54"/>
      <c r="U859" s="54"/>
      <c r="V859" s="54"/>
      <c r="W859" s="54"/>
      <c r="X859" s="54"/>
    </row>
    <row r="860" spans="1:24">
      <c r="A860" s="52">
        <v>46327</v>
      </c>
      <c r="B860" s="53" t="s">
        <v>336</v>
      </c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>
        <f t="shared" si="13"/>
        <v>0</v>
      </c>
      <c r="N860" s="55">
        <v>0</v>
      </c>
      <c r="O860" s="54"/>
      <c r="P860" s="54"/>
      <c r="Q860" s="54"/>
      <c r="R860" s="54"/>
      <c r="S860" s="54"/>
      <c r="T860" s="54"/>
      <c r="U860" s="54"/>
      <c r="V860" s="54"/>
      <c r="W860" s="54"/>
      <c r="X860" s="54"/>
    </row>
    <row r="861" spans="1:24">
      <c r="A861" s="52">
        <v>46328</v>
      </c>
      <c r="B861" s="53" t="s">
        <v>336</v>
      </c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>
        <f t="shared" si="13"/>
        <v>0</v>
      </c>
      <c r="N861" s="55">
        <v>0</v>
      </c>
      <c r="O861" s="54"/>
      <c r="P861" s="54"/>
      <c r="Q861" s="54"/>
      <c r="R861" s="54"/>
      <c r="S861" s="54"/>
      <c r="T861" s="54"/>
      <c r="U861" s="54"/>
      <c r="V861" s="54"/>
      <c r="W861" s="54"/>
      <c r="X861" s="54"/>
    </row>
    <row r="862" spans="1:24">
      <c r="A862" s="52">
        <v>46329</v>
      </c>
      <c r="B862" s="53" t="s">
        <v>336</v>
      </c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>
        <f t="shared" si="13"/>
        <v>0</v>
      </c>
      <c r="N862" s="55">
        <v>0</v>
      </c>
      <c r="O862" s="54"/>
      <c r="P862" s="54"/>
      <c r="Q862" s="54"/>
      <c r="R862" s="54"/>
      <c r="S862" s="54"/>
      <c r="T862" s="54"/>
      <c r="U862" s="54"/>
      <c r="V862" s="54"/>
      <c r="W862" s="54"/>
      <c r="X862" s="54"/>
    </row>
    <row r="863" spans="1:24">
      <c r="A863" s="52">
        <v>46330</v>
      </c>
      <c r="B863" s="53" t="s">
        <v>336</v>
      </c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>
        <f t="shared" si="13"/>
        <v>0</v>
      </c>
      <c r="N863" s="55">
        <v>0</v>
      </c>
      <c r="O863" s="54"/>
      <c r="P863" s="54"/>
      <c r="Q863" s="54"/>
      <c r="R863" s="54"/>
      <c r="S863" s="54"/>
      <c r="T863" s="54"/>
      <c r="U863" s="54"/>
      <c r="V863" s="54"/>
      <c r="W863" s="54"/>
      <c r="X863" s="54"/>
    </row>
    <row r="864" spans="1:24">
      <c r="A864" s="52">
        <v>46331</v>
      </c>
      <c r="B864" s="53" t="s">
        <v>336</v>
      </c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>
        <f t="shared" si="13"/>
        <v>0</v>
      </c>
      <c r="N864" s="55">
        <v>0</v>
      </c>
      <c r="O864" s="54"/>
      <c r="P864" s="54"/>
      <c r="Q864" s="54"/>
      <c r="R864" s="54"/>
      <c r="S864" s="54"/>
      <c r="T864" s="54"/>
      <c r="U864" s="54"/>
      <c r="V864" s="54"/>
      <c r="W864" s="54"/>
      <c r="X864" s="54"/>
    </row>
    <row r="865" spans="1:24">
      <c r="A865" s="52">
        <v>46332</v>
      </c>
      <c r="B865" s="53" t="s">
        <v>336</v>
      </c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>
        <f t="shared" si="13"/>
        <v>0</v>
      </c>
      <c r="N865" s="55">
        <v>0</v>
      </c>
      <c r="O865" s="54"/>
      <c r="P865" s="54"/>
      <c r="Q865" s="54"/>
      <c r="R865" s="54"/>
      <c r="S865" s="54"/>
      <c r="T865" s="54"/>
      <c r="U865" s="54"/>
      <c r="V865" s="54"/>
      <c r="W865" s="54"/>
      <c r="X865" s="54"/>
    </row>
    <row r="866" spans="1:24">
      <c r="A866" s="52">
        <v>46333</v>
      </c>
      <c r="B866" s="53" t="s">
        <v>336</v>
      </c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>
        <f t="shared" si="13"/>
        <v>0</v>
      </c>
      <c r="N866" s="55">
        <v>0</v>
      </c>
      <c r="O866" s="54"/>
      <c r="P866" s="54"/>
      <c r="Q866" s="54"/>
      <c r="R866" s="54"/>
      <c r="S866" s="54"/>
      <c r="T866" s="54"/>
      <c r="U866" s="54"/>
      <c r="V866" s="54"/>
      <c r="W866" s="54"/>
      <c r="X866" s="54"/>
    </row>
    <row r="867" spans="1:24">
      <c r="A867" s="52">
        <v>46334</v>
      </c>
      <c r="B867" s="53" t="s">
        <v>336</v>
      </c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>
        <f t="shared" si="13"/>
        <v>0</v>
      </c>
      <c r="N867" s="55">
        <v>0</v>
      </c>
      <c r="O867" s="54"/>
      <c r="P867" s="54"/>
      <c r="Q867" s="54"/>
      <c r="R867" s="54"/>
      <c r="S867" s="54"/>
      <c r="T867" s="54"/>
      <c r="U867" s="54"/>
      <c r="V867" s="54"/>
      <c r="W867" s="54"/>
      <c r="X867" s="54"/>
    </row>
    <row r="868" spans="1:24">
      <c r="A868" s="52">
        <v>46335</v>
      </c>
      <c r="B868" s="53" t="s">
        <v>336</v>
      </c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>
        <f t="shared" si="13"/>
        <v>0</v>
      </c>
      <c r="N868" s="55">
        <v>0</v>
      </c>
      <c r="O868" s="54"/>
      <c r="P868" s="54"/>
      <c r="Q868" s="54"/>
      <c r="R868" s="54"/>
      <c r="S868" s="54"/>
      <c r="T868" s="54"/>
      <c r="U868" s="54"/>
      <c r="V868" s="54"/>
      <c r="W868" s="54"/>
      <c r="X868" s="54"/>
    </row>
    <row r="869" spans="1:24">
      <c r="A869" s="52">
        <v>46336</v>
      </c>
      <c r="B869" s="53" t="s">
        <v>336</v>
      </c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>
        <f t="shared" si="13"/>
        <v>0</v>
      </c>
      <c r="N869" s="55">
        <v>0</v>
      </c>
      <c r="O869" s="54"/>
      <c r="P869" s="54"/>
      <c r="Q869" s="54"/>
      <c r="R869" s="54"/>
      <c r="S869" s="54"/>
      <c r="T869" s="54"/>
      <c r="U869" s="54"/>
      <c r="V869" s="54"/>
      <c r="W869" s="54"/>
      <c r="X869" s="54"/>
    </row>
    <row r="870" spans="1:24">
      <c r="A870" s="52">
        <v>46337</v>
      </c>
      <c r="B870" s="53" t="s">
        <v>336</v>
      </c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>
        <f t="shared" si="13"/>
        <v>0</v>
      </c>
      <c r="N870" s="55">
        <v>0</v>
      </c>
      <c r="O870" s="54"/>
      <c r="P870" s="54"/>
      <c r="Q870" s="54"/>
      <c r="R870" s="54"/>
      <c r="S870" s="54"/>
      <c r="T870" s="54"/>
      <c r="U870" s="54"/>
      <c r="V870" s="54"/>
      <c r="W870" s="54"/>
      <c r="X870" s="54"/>
    </row>
    <row r="871" spans="1:24">
      <c r="A871" s="52">
        <v>46338</v>
      </c>
      <c r="B871" s="53" t="s">
        <v>336</v>
      </c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>
        <f t="shared" si="13"/>
        <v>0</v>
      </c>
      <c r="N871" s="55">
        <v>0</v>
      </c>
      <c r="O871" s="54"/>
      <c r="P871" s="54"/>
      <c r="Q871" s="54"/>
      <c r="R871" s="54"/>
      <c r="S871" s="54"/>
      <c r="T871" s="54"/>
      <c r="U871" s="54"/>
      <c r="V871" s="54"/>
      <c r="W871" s="54"/>
      <c r="X871" s="54"/>
    </row>
    <row r="872" spans="1:24">
      <c r="A872" s="52">
        <v>46339</v>
      </c>
      <c r="B872" s="53" t="s">
        <v>336</v>
      </c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>
        <f t="shared" si="13"/>
        <v>0</v>
      </c>
      <c r="N872" s="55">
        <v>0</v>
      </c>
      <c r="O872" s="54"/>
      <c r="P872" s="54"/>
      <c r="Q872" s="54"/>
      <c r="R872" s="54"/>
      <c r="S872" s="54"/>
      <c r="T872" s="54"/>
      <c r="U872" s="54"/>
      <c r="V872" s="54"/>
      <c r="W872" s="54"/>
      <c r="X872" s="54"/>
    </row>
    <row r="873" spans="1:24">
      <c r="A873" s="52">
        <v>46340</v>
      </c>
      <c r="B873" s="53" t="s">
        <v>336</v>
      </c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>
        <f t="shared" si="13"/>
        <v>0</v>
      </c>
      <c r="N873" s="55">
        <v>0</v>
      </c>
      <c r="O873" s="54"/>
      <c r="P873" s="54"/>
      <c r="Q873" s="54"/>
      <c r="R873" s="54"/>
      <c r="S873" s="54"/>
      <c r="T873" s="54"/>
      <c r="U873" s="54"/>
      <c r="V873" s="54"/>
      <c r="W873" s="54"/>
      <c r="X873" s="54"/>
    </row>
    <row r="874" spans="1:24">
      <c r="A874" s="52">
        <v>46341</v>
      </c>
      <c r="B874" s="53" t="s">
        <v>336</v>
      </c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>
        <f t="shared" si="13"/>
        <v>0</v>
      </c>
      <c r="N874" s="55">
        <v>0</v>
      </c>
      <c r="O874" s="54"/>
      <c r="P874" s="54"/>
      <c r="Q874" s="54"/>
      <c r="R874" s="54"/>
      <c r="S874" s="54"/>
      <c r="T874" s="54"/>
      <c r="U874" s="54"/>
      <c r="V874" s="54"/>
      <c r="W874" s="54"/>
      <c r="X874" s="54"/>
    </row>
    <row r="875" spans="1:24">
      <c r="A875" s="52">
        <v>46342</v>
      </c>
      <c r="B875" s="53" t="s">
        <v>336</v>
      </c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>
        <f t="shared" si="13"/>
        <v>0</v>
      </c>
      <c r="N875" s="55">
        <v>0</v>
      </c>
      <c r="O875" s="54"/>
      <c r="P875" s="54"/>
      <c r="Q875" s="54"/>
      <c r="R875" s="54"/>
      <c r="S875" s="54"/>
      <c r="T875" s="54"/>
      <c r="U875" s="54"/>
      <c r="V875" s="54"/>
      <c r="W875" s="54"/>
      <c r="X875" s="54"/>
    </row>
    <row r="876" spans="1:24">
      <c r="A876" s="52">
        <v>46343</v>
      </c>
      <c r="B876" s="53" t="s">
        <v>336</v>
      </c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>
        <f t="shared" si="13"/>
        <v>0</v>
      </c>
      <c r="N876" s="55">
        <v>0</v>
      </c>
      <c r="O876" s="54"/>
      <c r="P876" s="54"/>
      <c r="Q876" s="54"/>
      <c r="R876" s="54"/>
      <c r="S876" s="54"/>
      <c r="T876" s="54"/>
      <c r="U876" s="54"/>
      <c r="V876" s="54"/>
      <c r="W876" s="54"/>
      <c r="X876" s="54"/>
    </row>
    <row r="877" spans="1:24">
      <c r="A877" s="52">
        <v>46344</v>
      </c>
      <c r="B877" s="53" t="s">
        <v>336</v>
      </c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>
        <f t="shared" si="13"/>
        <v>0</v>
      </c>
      <c r="N877" s="55">
        <v>0</v>
      </c>
      <c r="O877" s="54"/>
      <c r="P877" s="54"/>
      <c r="Q877" s="54"/>
      <c r="R877" s="54"/>
      <c r="S877" s="54"/>
      <c r="T877" s="54"/>
      <c r="U877" s="54"/>
      <c r="V877" s="54"/>
      <c r="W877" s="54"/>
      <c r="X877" s="54"/>
    </row>
    <row r="878" spans="1:24">
      <c r="A878" s="52">
        <v>46345</v>
      </c>
      <c r="B878" s="53" t="s">
        <v>336</v>
      </c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>
        <f t="shared" si="13"/>
        <v>0</v>
      </c>
      <c r="N878" s="55">
        <v>0</v>
      </c>
      <c r="O878" s="54"/>
      <c r="P878" s="54"/>
      <c r="Q878" s="54"/>
      <c r="R878" s="54"/>
      <c r="S878" s="54"/>
      <c r="T878" s="54"/>
      <c r="U878" s="54"/>
      <c r="V878" s="54"/>
      <c r="W878" s="54"/>
      <c r="X878" s="54"/>
    </row>
    <row r="879" spans="1:24">
      <c r="A879" s="52">
        <v>46346</v>
      </c>
      <c r="B879" s="53" t="s">
        <v>336</v>
      </c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>
        <f t="shared" si="13"/>
        <v>0</v>
      </c>
      <c r="N879" s="55">
        <v>0</v>
      </c>
      <c r="O879" s="54"/>
      <c r="P879" s="54"/>
      <c r="Q879" s="54"/>
      <c r="R879" s="54"/>
      <c r="S879" s="54"/>
      <c r="T879" s="54"/>
      <c r="U879" s="54"/>
      <c r="V879" s="54"/>
      <c r="W879" s="54"/>
      <c r="X879" s="54"/>
    </row>
    <row r="880" spans="1:24">
      <c r="A880" s="52">
        <v>46347</v>
      </c>
      <c r="B880" s="53" t="s">
        <v>336</v>
      </c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>
        <f t="shared" si="13"/>
        <v>0</v>
      </c>
      <c r="N880" s="55">
        <v>0</v>
      </c>
      <c r="O880" s="54"/>
      <c r="P880" s="54"/>
      <c r="Q880" s="54"/>
      <c r="R880" s="54"/>
      <c r="S880" s="54"/>
      <c r="T880" s="54"/>
      <c r="U880" s="54"/>
      <c r="V880" s="54"/>
      <c r="W880" s="54"/>
      <c r="X880" s="54"/>
    </row>
    <row r="881" spans="1:24">
      <c r="A881" s="52">
        <v>46348</v>
      </c>
      <c r="B881" s="53" t="s">
        <v>336</v>
      </c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>
        <f t="shared" si="13"/>
        <v>0</v>
      </c>
      <c r="N881" s="55">
        <v>0</v>
      </c>
      <c r="O881" s="54"/>
      <c r="P881" s="54"/>
      <c r="Q881" s="54"/>
      <c r="R881" s="54"/>
      <c r="S881" s="54"/>
      <c r="T881" s="54"/>
      <c r="U881" s="54"/>
      <c r="V881" s="54"/>
      <c r="W881" s="54"/>
      <c r="X881" s="54"/>
    </row>
    <row r="882" spans="1:24">
      <c r="A882" s="52">
        <v>46349</v>
      </c>
      <c r="B882" s="53" t="s">
        <v>336</v>
      </c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>
        <f t="shared" si="13"/>
        <v>0</v>
      </c>
      <c r="N882" s="55">
        <v>0</v>
      </c>
      <c r="O882" s="54"/>
      <c r="P882" s="54"/>
      <c r="Q882" s="54"/>
      <c r="R882" s="54"/>
      <c r="S882" s="54"/>
      <c r="T882" s="54"/>
      <c r="U882" s="54"/>
      <c r="V882" s="54"/>
      <c r="W882" s="54"/>
      <c r="X882" s="54"/>
    </row>
    <row r="883" spans="1:24">
      <c r="A883" s="52">
        <v>46350</v>
      </c>
      <c r="B883" s="53" t="s">
        <v>336</v>
      </c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>
        <f t="shared" si="13"/>
        <v>0</v>
      </c>
      <c r="N883" s="55">
        <v>0</v>
      </c>
      <c r="O883" s="54"/>
      <c r="P883" s="54"/>
      <c r="Q883" s="54"/>
      <c r="R883" s="54"/>
      <c r="S883" s="54"/>
      <c r="T883" s="54"/>
      <c r="U883" s="54"/>
      <c r="V883" s="54"/>
      <c r="W883" s="54"/>
      <c r="X883" s="54"/>
    </row>
    <row r="884" spans="1:24">
      <c r="A884" s="52">
        <v>46351</v>
      </c>
      <c r="B884" s="53" t="s">
        <v>336</v>
      </c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>
        <f t="shared" si="13"/>
        <v>0</v>
      </c>
      <c r="N884" s="55">
        <v>0</v>
      </c>
      <c r="O884" s="54"/>
      <c r="P884" s="54"/>
      <c r="Q884" s="54"/>
      <c r="R884" s="54"/>
      <c r="S884" s="54"/>
      <c r="T884" s="54"/>
      <c r="U884" s="54"/>
      <c r="V884" s="54"/>
      <c r="W884" s="54"/>
      <c r="X884" s="54"/>
    </row>
    <row r="885" spans="1:24">
      <c r="A885" s="52">
        <v>46352</v>
      </c>
      <c r="B885" s="53" t="s">
        <v>336</v>
      </c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>
        <f t="shared" si="13"/>
        <v>0</v>
      </c>
      <c r="N885" s="55">
        <v>0</v>
      </c>
      <c r="O885" s="54"/>
      <c r="P885" s="54"/>
      <c r="Q885" s="54"/>
      <c r="R885" s="54"/>
      <c r="S885" s="54"/>
      <c r="T885" s="54"/>
      <c r="U885" s="54"/>
      <c r="V885" s="54"/>
      <c r="W885" s="54"/>
      <c r="X885" s="54"/>
    </row>
    <row r="886" spans="1:24">
      <c r="A886" s="52">
        <v>46353</v>
      </c>
      <c r="B886" s="53" t="s">
        <v>336</v>
      </c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>
        <f t="shared" si="13"/>
        <v>0</v>
      </c>
      <c r="N886" s="55">
        <v>0</v>
      </c>
      <c r="O886" s="54"/>
      <c r="P886" s="54"/>
      <c r="Q886" s="54"/>
      <c r="R886" s="54"/>
      <c r="S886" s="54"/>
      <c r="T886" s="54"/>
      <c r="U886" s="54"/>
      <c r="V886" s="54"/>
      <c r="W886" s="54"/>
      <c r="X886" s="54"/>
    </row>
    <row r="887" spans="1:24">
      <c r="A887" s="52">
        <v>46354</v>
      </c>
      <c r="B887" s="53" t="s">
        <v>336</v>
      </c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>
        <f t="shared" si="13"/>
        <v>0</v>
      </c>
      <c r="N887" s="55">
        <v>0</v>
      </c>
      <c r="O887" s="54"/>
      <c r="P887" s="54"/>
      <c r="Q887" s="54"/>
      <c r="R887" s="54"/>
      <c r="S887" s="54"/>
      <c r="T887" s="54"/>
      <c r="U887" s="54"/>
      <c r="V887" s="54"/>
      <c r="W887" s="54"/>
      <c r="X887" s="54"/>
    </row>
    <row r="888" spans="1:24">
      <c r="A888" s="52">
        <v>46355</v>
      </c>
      <c r="B888" s="53" t="s">
        <v>336</v>
      </c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>
        <f t="shared" si="13"/>
        <v>0</v>
      </c>
      <c r="N888" s="55">
        <v>0</v>
      </c>
      <c r="O888" s="54"/>
      <c r="P888" s="54"/>
      <c r="Q888" s="54"/>
      <c r="R888" s="54"/>
      <c r="S888" s="54"/>
      <c r="T888" s="54"/>
      <c r="U888" s="54"/>
      <c r="V888" s="54"/>
      <c r="W888" s="54"/>
      <c r="X888" s="54"/>
    </row>
    <row r="889" spans="1:24">
      <c r="A889" s="52">
        <v>46356</v>
      </c>
      <c r="B889" s="53" t="s">
        <v>336</v>
      </c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>
        <f t="shared" si="13"/>
        <v>0</v>
      </c>
      <c r="N889" s="55">
        <v>0</v>
      </c>
      <c r="O889" s="54"/>
      <c r="P889" s="54"/>
      <c r="Q889" s="54"/>
      <c r="R889" s="54"/>
      <c r="S889" s="54"/>
      <c r="T889" s="54"/>
      <c r="U889" s="54"/>
      <c r="V889" s="54"/>
      <c r="W889" s="54"/>
      <c r="X889" s="54"/>
    </row>
    <row r="890" spans="1:24">
      <c r="A890" s="52">
        <v>46357</v>
      </c>
      <c r="B890" s="53" t="s">
        <v>336</v>
      </c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>
        <f t="shared" si="13"/>
        <v>0</v>
      </c>
      <c r="N890" s="55">
        <v>0</v>
      </c>
      <c r="O890" s="54"/>
      <c r="P890" s="54"/>
      <c r="Q890" s="54"/>
      <c r="R890" s="54"/>
      <c r="S890" s="54"/>
      <c r="T890" s="54"/>
      <c r="U890" s="54"/>
      <c r="V890" s="54"/>
      <c r="W890" s="54"/>
      <c r="X890" s="54"/>
    </row>
    <row r="891" spans="1:24">
      <c r="A891" s="52">
        <v>46358</v>
      </c>
      <c r="B891" s="53" t="s">
        <v>336</v>
      </c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>
        <f t="shared" si="13"/>
        <v>0</v>
      </c>
      <c r="N891" s="55">
        <v>0</v>
      </c>
      <c r="O891" s="54"/>
      <c r="P891" s="54"/>
      <c r="Q891" s="54"/>
      <c r="R891" s="54"/>
      <c r="S891" s="54"/>
      <c r="T891" s="54"/>
      <c r="U891" s="54"/>
      <c r="V891" s="54"/>
      <c r="W891" s="54"/>
      <c r="X891" s="54"/>
    </row>
    <row r="892" spans="1:24">
      <c r="A892" s="52">
        <v>46359</v>
      </c>
      <c r="B892" s="53" t="s">
        <v>336</v>
      </c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>
        <f t="shared" si="13"/>
        <v>0</v>
      </c>
      <c r="N892" s="55">
        <v>0</v>
      </c>
      <c r="O892" s="54"/>
      <c r="P892" s="54"/>
      <c r="Q892" s="54"/>
      <c r="R892" s="54"/>
      <c r="S892" s="54"/>
      <c r="T892" s="54"/>
      <c r="U892" s="54"/>
      <c r="V892" s="54"/>
      <c r="W892" s="54"/>
      <c r="X892" s="54"/>
    </row>
    <row r="893" spans="1:24">
      <c r="A893" s="52">
        <v>46360</v>
      </c>
      <c r="B893" s="53" t="s">
        <v>336</v>
      </c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>
        <f t="shared" si="13"/>
        <v>0</v>
      </c>
      <c r="N893" s="55">
        <v>0</v>
      </c>
      <c r="O893" s="54"/>
      <c r="P893" s="54"/>
      <c r="Q893" s="54"/>
      <c r="R893" s="54"/>
      <c r="S893" s="54"/>
      <c r="T893" s="54"/>
      <c r="U893" s="54"/>
      <c r="V893" s="54"/>
      <c r="W893" s="54"/>
      <c r="X893" s="54"/>
    </row>
    <row r="894" spans="1:24">
      <c r="A894" s="52">
        <v>46361</v>
      </c>
      <c r="B894" s="53" t="s">
        <v>336</v>
      </c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>
        <f t="shared" si="13"/>
        <v>0</v>
      </c>
      <c r="N894" s="55">
        <v>0</v>
      </c>
      <c r="O894" s="54"/>
      <c r="P894" s="54"/>
      <c r="Q894" s="54"/>
      <c r="R894" s="54"/>
      <c r="S894" s="54"/>
      <c r="T894" s="54"/>
      <c r="U894" s="54"/>
      <c r="V894" s="54"/>
      <c r="W894" s="54"/>
      <c r="X894" s="54"/>
    </row>
    <row r="895" spans="1:24">
      <c r="A895" s="52">
        <v>46362</v>
      </c>
      <c r="B895" s="53" t="s">
        <v>336</v>
      </c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>
        <f t="shared" si="13"/>
        <v>0</v>
      </c>
      <c r="N895" s="55">
        <v>0</v>
      </c>
      <c r="O895" s="54"/>
      <c r="P895" s="54"/>
      <c r="Q895" s="54"/>
      <c r="R895" s="54"/>
      <c r="S895" s="54"/>
      <c r="T895" s="54"/>
      <c r="U895" s="54"/>
      <c r="V895" s="54"/>
      <c r="W895" s="54"/>
      <c r="X895" s="54"/>
    </row>
    <row r="896" spans="1:24">
      <c r="A896" s="52">
        <v>46363</v>
      </c>
      <c r="B896" s="53" t="s">
        <v>336</v>
      </c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>
        <f t="shared" si="13"/>
        <v>0</v>
      </c>
      <c r="N896" s="55">
        <v>0</v>
      </c>
      <c r="O896" s="54"/>
      <c r="P896" s="54"/>
      <c r="Q896" s="54"/>
      <c r="R896" s="54"/>
      <c r="S896" s="54"/>
      <c r="T896" s="54"/>
      <c r="U896" s="54"/>
      <c r="V896" s="54"/>
      <c r="W896" s="54"/>
      <c r="X896" s="54"/>
    </row>
    <row r="897" spans="1:24">
      <c r="A897" s="52">
        <v>46364</v>
      </c>
      <c r="B897" s="53" t="s">
        <v>336</v>
      </c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>
        <f t="shared" si="13"/>
        <v>0</v>
      </c>
      <c r="N897" s="55">
        <v>0</v>
      </c>
      <c r="O897" s="54"/>
      <c r="P897" s="54"/>
      <c r="Q897" s="54"/>
      <c r="R897" s="54"/>
      <c r="S897" s="54"/>
      <c r="T897" s="54"/>
      <c r="U897" s="54"/>
      <c r="V897" s="54"/>
      <c r="W897" s="54"/>
      <c r="X897" s="54"/>
    </row>
    <row r="898" spans="1:24">
      <c r="A898" s="52">
        <v>46365</v>
      </c>
      <c r="B898" s="53" t="s">
        <v>336</v>
      </c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>
        <f t="shared" si="13"/>
        <v>0</v>
      </c>
      <c r="N898" s="55">
        <v>0</v>
      </c>
      <c r="O898" s="54"/>
      <c r="P898" s="54"/>
      <c r="Q898" s="54"/>
      <c r="R898" s="54"/>
      <c r="S898" s="54"/>
      <c r="T898" s="54"/>
      <c r="U898" s="54"/>
      <c r="V898" s="54"/>
      <c r="W898" s="54"/>
      <c r="X898" s="54"/>
    </row>
    <row r="899" spans="1:24">
      <c r="A899" s="52">
        <v>46366</v>
      </c>
      <c r="B899" s="53" t="s">
        <v>336</v>
      </c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>
        <f t="shared" ref="M899:M1131" si="14">N899-SUM(C899:L899)</f>
        <v>0</v>
      </c>
      <c r="N899" s="55">
        <v>0</v>
      </c>
      <c r="O899" s="54"/>
      <c r="P899" s="54"/>
      <c r="Q899" s="54"/>
      <c r="R899" s="54"/>
      <c r="S899" s="54"/>
      <c r="T899" s="54"/>
      <c r="U899" s="54"/>
      <c r="V899" s="54"/>
      <c r="W899" s="54"/>
      <c r="X899" s="54"/>
    </row>
    <row r="900" spans="1:24">
      <c r="A900" s="52">
        <v>46367</v>
      </c>
      <c r="B900" s="53" t="s">
        <v>336</v>
      </c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>
        <f t="shared" si="14"/>
        <v>0</v>
      </c>
      <c r="N900" s="55">
        <v>0</v>
      </c>
      <c r="O900" s="54"/>
      <c r="P900" s="54"/>
      <c r="Q900" s="54"/>
      <c r="R900" s="54"/>
      <c r="S900" s="54"/>
      <c r="T900" s="54"/>
      <c r="U900" s="54"/>
      <c r="V900" s="54"/>
      <c r="W900" s="54"/>
      <c r="X900" s="54"/>
    </row>
    <row r="901" spans="1:24">
      <c r="A901" s="52">
        <v>46368</v>
      </c>
      <c r="B901" s="53" t="s">
        <v>336</v>
      </c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>
        <f t="shared" si="14"/>
        <v>0</v>
      </c>
      <c r="N901" s="55">
        <v>0</v>
      </c>
      <c r="O901" s="54"/>
      <c r="P901" s="54"/>
      <c r="Q901" s="54"/>
      <c r="R901" s="54"/>
      <c r="S901" s="54"/>
      <c r="T901" s="54"/>
      <c r="U901" s="54"/>
      <c r="V901" s="54"/>
      <c r="W901" s="54"/>
      <c r="X901" s="54"/>
    </row>
    <row r="902" spans="1:24">
      <c r="A902" s="52">
        <v>46369</v>
      </c>
      <c r="B902" s="53" t="s">
        <v>336</v>
      </c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>
        <f t="shared" si="14"/>
        <v>0</v>
      </c>
      <c r="N902" s="55">
        <v>0</v>
      </c>
      <c r="O902" s="54"/>
      <c r="P902" s="54"/>
      <c r="Q902" s="54"/>
      <c r="R902" s="54"/>
      <c r="S902" s="54"/>
      <c r="T902" s="54"/>
      <c r="U902" s="54"/>
      <c r="V902" s="54"/>
      <c r="W902" s="54"/>
      <c r="X902" s="54"/>
    </row>
    <row r="903" spans="1:24">
      <c r="A903" s="52">
        <v>46370</v>
      </c>
      <c r="B903" s="53" t="s">
        <v>336</v>
      </c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>
        <f t="shared" si="14"/>
        <v>0</v>
      </c>
      <c r="N903" s="55">
        <v>0</v>
      </c>
      <c r="O903" s="54"/>
      <c r="P903" s="54"/>
      <c r="Q903" s="54"/>
      <c r="R903" s="54"/>
      <c r="S903" s="54"/>
      <c r="T903" s="54"/>
      <c r="U903" s="54"/>
      <c r="V903" s="54"/>
      <c r="W903" s="54"/>
      <c r="X903" s="54"/>
    </row>
    <row r="904" spans="1:24">
      <c r="A904" s="52">
        <v>46371</v>
      </c>
      <c r="B904" s="53" t="s">
        <v>336</v>
      </c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>
        <f t="shared" si="14"/>
        <v>0</v>
      </c>
      <c r="N904" s="55">
        <v>0</v>
      </c>
      <c r="O904" s="54"/>
      <c r="P904" s="54"/>
      <c r="Q904" s="54"/>
      <c r="R904" s="54"/>
      <c r="S904" s="54"/>
      <c r="T904" s="54"/>
      <c r="U904" s="54"/>
      <c r="V904" s="54"/>
      <c r="W904" s="54"/>
      <c r="X904" s="54"/>
    </row>
    <row r="905" spans="1:24">
      <c r="A905" s="52">
        <v>46372</v>
      </c>
      <c r="B905" s="53" t="s">
        <v>336</v>
      </c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>
        <f t="shared" si="14"/>
        <v>0</v>
      </c>
      <c r="N905" s="55">
        <v>0</v>
      </c>
      <c r="O905" s="54"/>
      <c r="P905" s="54"/>
      <c r="Q905" s="54"/>
      <c r="R905" s="54"/>
      <c r="S905" s="54"/>
      <c r="T905" s="54"/>
      <c r="U905" s="54"/>
      <c r="V905" s="54"/>
      <c r="W905" s="54"/>
      <c r="X905" s="54"/>
    </row>
    <row r="906" spans="1:24">
      <c r="A906" s="52">
        <v>46373</v>
      </c>
      <c r="B906" s="53" t="s">
        <v>336</v>
      </c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>
        <f t="shared" si="14"/>
        <v>0</v>
      </c>
      <c r="N906" s="55">
        <v>0</v>
      </c>
      <c r="O906" s="54"/>
      <c r="P906" s="54"/>
      <c r="Q906" s="54"/>
      <c r="R906" s="54"/>
      <c r="S906" s="54"/>
      <c r="T906" s="54"/>
      <c r="U906" s="54"/>
      <c r="V906" s="54"/>
      <c r="W906" s="54"/>
      <c r="X906" s="54"/>
    </row>
    <row r="907" spans="1:24">
      <c r="A907" s="52">
        <v>46374</v>
      </c>
      <c r="B907" s="53" t="s">
        <v>336</v>
      </c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>
        <f t="shared" si="14"/>
        <v>0</v>
      </c>
      <c r="N907" s="55">
        <v>0</v>
      </c>
      <c r="O907" s="54"/>
      <c r="P907" s="54"/>
      <c r="Q907" s="54"/>
      <c r="R907" s="54"/>
      <c r="S907" s="54"/>
      <c r="T907" s="54"/>
      <c r="U907" s="54"/>
      <c r="V907" s="54"/>
      <c r="W907" s="54"/>
      <c r="X907" s="54"/>
    </row>
    <row r="908" spans="1:24">
      <c r="A908" s="52">
        <v>46375</v>
      </c>
      <c r="B908" s="53" t="s">
        <v>336</v>
      </c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>
        <f t="shared" si="14"/>
        <v>0</v>
      </c>
      <c r="N908" s="55">
        <v>0</v>
      </c>
      <c r="O908" s="54"/>
      <c r="P908" s="54"/>
      <c r="Q908" s="54"/>
      <c r="R908" s="54"/>
      <c r="S908" s="54"/>
      <c r="T908" s="54"/>
      <c r="U908" s="54"/>
      <c r="V908" s="54"/>
      <c r="W908" s="54"/>
      <c r="X908" s="54"/>
    </row>
    <row r="909" spans="1:24">
      <c r="A909" s="52">
        <v>46376</v>
      </c>
      <c r="B909" s="53" t="s">
        <v>336</v>
      </c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>
        <f t="shared" si="14"/>
        <v>0</v>
      </c>
      <c r="N909" s="55">
        <v>0</v>
      </c>
      <c r="O909" s="54"/>
      <c r="P909" s="54"/>
      <c r="Q909" s="54"/>
      <c r="R909" s="54"/>
      <c r="S909" s="54"/>
      <c r="T909" s="54"/>
      <c r="U909" s="54"/>
      <c r="V909" s="54"/>
      <c r="W909" s="54"/>
      <c r="X909" s="54"/>
    </row>
    <row r="910" spans="1:24">
      <c r="A910" s="52">
        <v>46377</v>
      </c>
      <c r="B910" s="53" t="s">
        <v>336</v>
      </c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>
        <f t="shared" si="14"/>
        <v>0</v>
      </c>
      <c r="N910" s="55">
        <v>0</v>
      </c>
      <c r="O910" s="54"/>
      <c r="P910" s="54"/>
      <c r="Q910" s="54"/>
      <c r="R910" s="54"/>
      <c r="S910" s="54"/>
      <c r="T910" s="54"/>
      <c r="U910" s="54"/>
      <c r="V910" s="54"/>
      <c r="W910" s="54"/>
      <c r="X910" s="54"/>
    </row>
    <row r="911" spans="1:24">
      <c r="A911" s="52">
        <v>46378</v>
      </c>
      <c r="B911" s="53" t="s">
        <v>336</v>
      </c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>
        <f t="shared" si="14"/>
        <v>0</v>
      </c>
      <c r="N911" s="55">
        <v>0</v>
      </c>
      <c r="O911" s="54"/>
      <c r="P911" s="54"/>
      <c r="Q911" s="54"/>
      <c r="R911" s="54"/>
      <c r="S911" s="54"/>
      <c r="T911" s="54"/>
      <c r="U911" s="54"/>
      <c r="V911" s="54"/>
      <c r="W911" s="54"/>
      <c r="X911" s="54"/>
    </row>
    <row r="912" spans="1:24">
      <c r="A912" s="52">
        <v>46379</v>
      </c>
      <c r="B912" s="53" t="s">
        <v>336</v>
      </c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>
        <f t="shared" si="14"/>
        <v>0</v>
      </c>
      <c r="N912" s="55">
        <v>0</v>
      </c>
      <c r="O912" s="54"/>
      <c r="P912" s="54"/>
      <c r="Q912" s="54"/>
      <c r="R912" s="54"/>
      <c r="S912" s="54"/>
      <c r="T912" s="54"/>
      <c r="U912" s="54"/>
      <c r="V912" s="54"/>
      <c r="W912" s="54"/>
      <c r="X912" s="54"/>
    </row>
    <row r="913" spans="1:24">
      <c r="A913" s="52">
        <v>46380</v>
      </c>
      <c r="B913" s="53" t="s">
        <v>336</v>
      </c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>
        <f t="shared" si="14"/>
        <v>0</v>
      </c>
      <c r="N913" s="55">
        <v>0</v>
      </c>
      <c r="O913" s="54"/>
      <c r="P913" s="54"/>
      <c r="Q913" s="54"/>
      <c r="R913" s="54"/>
      <c r="S913" s="54"/>
      <c r="T913" s="54"/>
      <c r="U913" s="54"/>
      <c r="V913" s="54"/>
      <c r="W913" s="54"/>
      <c r="X913" s="54"/>
    </row>
    <row r="914" spans="1:24">
      <c r="A914" s="52">
        <v>46381</v>
      </c>
      <c r="B914" s="53" t="s">
        <v>336</v>
      </c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>
        <f t="shared" si="14"/>
        <v>0</v>
      </c>
      <c r="N914" s="55">
        <v>0</v>
      </c>
      <c r="O914" s="54"/>
      <c r="P914" s="54"/>
      <c r="Q914" s="54"/>
      <c r="R914" s="54"/>
      <c r="S914" s="54"/>
      <c r="T914" s="54"/>
      <c r="U914" s="54"/>
      <c r="V914" s="54"/>
      <c r="W914" s="54"/>
      <c r="X914" s="54"/>
    </row>
    <row r="915" spans="1:24">
      <c r="A915" s="52">
        <v>46382</v>
      </c>
      <c r="B915" s="53" t="s">
        <v>336</v>
      </c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>
        <f t="shared" si="14"/>
        <v>0</v>
      </c>
      <c r="N915" s="55">
        <v>0</v>
      </c>
      <c r="O915" s="54"/>
      <c r="P915" s="54"/>
      <c r="Q915" s="54"/>
      <c r="R915" s="54"/>
      <c r="S915" s="54"/>
      <c r="T915" s="54"/>
      <c r="U915" s="54"/>
      <c r="V915" s="54"/>
      <c r="W915" s="54"/>
      <c r="X915" s="54"/>
    </row>
    <row r="916" spans="1:24">
      <c r="A916" s="52">
        <v>46383</v>
      </c>
      <c r="B916" s="53" t="s">
        <v>336</v>
      </c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>
        <f t="shared" si="14"/>
        <v>0</v>
      </c>
      <c r="N916" s="55">
        <v>0</v>
      </c>
      <c r="O916" s="54"/>
      <c r="P916" s="54"/>
      <c r="Q916" s="54"/>
      <c r="R916" s="54"/>
      <c r="S916" s="54"/>
      <c r="T916" s="54"/>
      <c r="U916" s="54"/>
      <c r="V916" s="54"/>
      <c r="W916" s="54"/>
      <c r="X916" s="54"/>
    </row>
    <row r="917" spans="1:24">
      <c r="A917" s="52">
        <v>46384</v>
      </c>
      <c r="B917" s="53" t="s">
        <v>336</v>
      </c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>
        <f t="shared" si="14"/>
        <v>0</v>
      </c>
      <c r="N917" s="55">
        <v>0</v>
      </c>
      <c r="O917" s="54"/>
      <c r="P917" s="54"/>
      <c r="Q917" s="54"/>
      <c r="R917" s="54"/>
      <c r="S917" s="54"/>
      <c r="T917" s="54"/>
      <c r="U917" s="54"/>
      <c r="V917" s="54"/>
      <c r="W917" s="54"/>
      <c r="X917" s="54"/>
    </row>
    <row r="918" spans="1:24">
      <c r="A918" s="52">
        <v>46385</v>
      </c>
      <c r="B918" s="53" t="s">
        <v>336</v>
      </c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>
        <f t="shared" si="14"/>
        <v>0</v>
      </c>
      <c r="N918" s="55">
        <v>0</v>
      </c>
      <c r="O918" s="54"/>
      <c r="P918" s="54"/>
      <c r="Q918" s="54"/>
      <c r="R918" s="54"/>
      <c r="S918" s="54"/>
      <c r="T918" s="54"/>
      <c r="U918" s="54"/>
      <c r="V918" s="54"/>
      <c r="W918" s="54"/>
      <c r="X918" s="54"/>
    </row>
    <row r="919" spans="1:24">
      <c r="A919" s="52">
        <v>46386</v>
      </c>
      <c r="B919" s="53" t="s">
        <v>336</v>
      </c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>
        <f t="shared" si="14"/>
        <v>0</v>
      </c>
      <c r="N919" s="55">
        <v>0</v>
      </c>
      <c r="O919" s="54"/>
      <c r="P919" s="54"/>
      <c r="Q919" s="54"/>
      <c r="R919" s="54"/>
      <c r="S919" s="54"/>
      <c r="T919" s="54"/>
      <c r="U919" s="54"/>
      <c r="V919" s="54"/>
      <c r="W919" s="54"/>
      <c r="X919" s="54"/>
    </row>
    <row r="920" spans="1:24">
      <c r="A920" s="52">
        <v>46387</v>
      </c>
      <c r="B920" s="53" t="s">
        <v>336</v>
      </c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>
        <f t="shared" si="14"/>
        <v>0</v>
      </c>
      <c r="N920" s="55">
        <v>0</v>
      </c>
      <c r="O920" s="54"/>
      <c r="P920" s="54"/>
      <c r="Q920" s="54"/>
      <c r="R920" s="54"/>
      <c r="S920" s="54"/>
      <c r="T920" s="54"/>
      <c r="U920" s="54"/>
      <c r="V920" s="54"/>
      <c r="W920" s="54"/>
      <c r="X920" s="54"/>
    </row>
    <row r="921" spans="1:24" customFormat="1">
      <c r="A921" s="52">
        <v>46219</v>
      </c>
      <c r="B921" s="61" t="s">
        <v>997</v>
      </c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>
        <f t="shared" si="14"/>
        <v>464</v>
      </c>
      <c r="N921" s="55">
        <v>464</v>
      </c>
      <c r="O921" s="54">
        <v>8</v>
      </c>
      <c r="P921" s="54">
        <v>0</v>
      </c>
      <c r="Q921" s="54">
        <v>205</v>
      </c>
      <c r="R921" s="54">
        <v>158</v>
      </c>
      <c r="S921" s="54">
        <v>30</v>
      </c>
      <c r="T921" s="54">
        <v>3</v>
      </c>
      <c r="U921" s="54">
        <v>16</v>
      </c>
      <c r="V921" s="54">
        <v>1</v>
      </c>
      <c r="W921" s="54">
        <v>42</v>
      </c>
      <c r="X921" s="54">
        <v>1</v>
      </c>
    </row>
    <row r="922" spans="1:24" customFormat="1">
      <c r="A922" s="52">
        <v>46220</v>
      </c>
      <c r="B922" s="61" t="s">
        <v>997</v>
      </c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>
        <f t="shared" si="14"/>
        <v>465</v>
      </c>
      <c r="N922" s="55">
        <v>465</v>
      </c>
      <c r="O922" s="54">
        <v>8</v>
      </c>
      <c r="P922" s="54">
        <v>0</v>
      </c>
      <c r="Q922" s="54">
        <v>205</v>
      </c>
      <c r="R922" s="54">
        <v>158</v>
      </c>
      <c r="S922" s="54">
        <v>30</v>
      </c>
      <c r="T922" s="54">
        <v>4</v>
      </c>
      <c r="U922" s="54">
        <v>16</v>
      </c>
      <c r="V922" s="54">
        <v>1</v>
      </c>
      <c r="W922" s="54">
        <v>42</v>
      </c>
      <c r="X922" s="54">
        <v>1</v>
      </c>
    </row>
    <row r="923" spans="1:24" customFormat="1">
      <c r="A923" s="52">
        <v>46221</v>
      </c>
      <c r="B923" s="61" t="s">
        <v>997</v>
      </c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>
        <f t="shared" si="14"/>
        <v>536</v>
      </c>
      <c r="N923" s="55">
        <v>536</v>
      </c>
      <c r="O923" s="54">
        <v>9</v>
      </c>
      <c r="P923" s="54">
        <v>0</v>
      </c>
      <c r="Q923" s="54">
        <v>235</v>
      </c>
      <c r="R923" s="54">
        <v>182</v>
      </c>
      <c r="S923" s="54">
        <v>35</v>
      </c>
      <c r="T923" s="54">
        <v>4</v>
      </c>
      <c r="U923" s="54">
        <v>19</v>
      </c>
      <c r="V923" s="54">
        <v>1</v>
      </c>
      <c r="W923" s="54">
        <v>49</v>
      </c>
      <c r="X923" s="54">
        <v>2</v>
      </c>
    </row>
    <row r="924" spans="1:24" customFormat="1">
      <c r="A924" s="52">
        <v>46222</v>
      </c>
      <c r="B924" s="61" t="s">
        <v>997</v>
      </c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>
        <f t="shared" si="14"/>
        <v>537</v>
      </c>
      <c r="N924" s="55">
        <v>537</v>
      </c>
      <c r="O924" s="54">
        <v>9</v>
      </c>
      <c r="P924" s="54">
        <v>0</v>
      </c>
      <c r="Q924" s="54">
        <v>236</v>
      </c>
      <c r="R924" s="54">
        <v>182</v>
      </c>
      <c r="S924" s="54">
        <v>35</v>
      </c>
      <c r="T924" s="54">
        <v>4</v>
      </c>
      <c r="U924" s="54">
        <v>19</v>
      </c>
      <c r="V924" s="54">
        <v>1</v>
      </c>
      <c r="W924" s="54">
        <v>49</v>
      </c>
      <c r="X924" s="54">
        <v>2</v>
      </c>
    </row>
    <row r="925" spans="1:24" customFormat="1">
      <c r="A925" s="52">
        <v>46223</v>
      </c>
      <c r="B925" s="61" t="s">
        <v>997</v>
      </c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>
        <f t="shared" si="14"/>
        <v>466</v>
      </c>
      <c r="N925" s="55">
        <v>466</v>
      </c>
      <c r="O925" s="54">
        <v>8</v>
      </c>
      <c r="P925" s="54">
        <v>0</v>
      </c>
      <c r="Q925" s="54">
        <v>206</v>
      </c>
      <c r="R925" s="54">
        <v>158</v>
      </c>
      <c r="S925" s="54">
        <v>30</v>
      </c>
      <c r="T925" s="54">
        <v>4</v>
      </c>
      <c r="U925" s="54">
        <v>16</v>
      </c>
      <c r="V925" s="54">
        <v>1</v>
      </c>
      <c r="W925" s="54">
        <v>42</v>
      </c>
      <c r="X925" s="54">
        <v>1</v>
      </c>
    </row>
    <row r="926" spans="1:24" customFormat="1">
      <c r="A926" s="52">
        <v>46224</v>
      </c>
      <c r="B926" s="61" t="s">
        <v>997</v>
      </c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>
        <f t="shared" si="14"/>
        <v>467</v>
      </c>
      <c r="N926" s="55">
        <v>467</v>
      </c>
      <c r="O926" s="54">
        <v>8</v>
      </c>
      <c r="P926" s="54">
        <v>1</v>
      </c>
      <c r="Q926" s="54">
        <v>206</v>
      </c>
      <c r="R926" s="54">
        <v>158</v>
      </c>
      <c r="S926" s="54">
        <v>30</v>
      </c>
      <c r="T926" s="54">
        <v>4</v>
      </c>
      <c r="U926" s="54">
        <v>16</v>
      </c>
      <c r="V926" s="54">
        <v>1</v>
      </c>
      <c r="W926" s="54">
        <v>42</v>
      </c>
      <c r="X926" s="54">
        <v>1</v>
      </c>
    </row>
    <row r="927" spans="1:24" customFormat="1">
      <c r="A927" s="52">
        <v>46225</v>
      </c>
      <c r="B927" s="61" t="s">
        <v>997</v>
      </c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>
        <f t="shared" si="14"/>
        <v>467</v>
      </c>
      <c r="N927" s="55">
        <v>467</v>
      </c>
      <c r="O927" s="54">
        <v>8</v>
      </c>
      <c r="P927" s="54">
        <v>1</v>
      </c>
      <c r="Q927" s="54">
        <v>206</v>
      </c>
      <c r="R927" s="54">
        <v>158</v>
      </c>
      <c r="S927" s="54">
        <v>30</v>
      </c>
      <c r="T927" s="54">
        <v>4</v>
      </c>
      <c r="U927" s="54">
        <v>16</v>
      </c>
      <c r="V927" s="54">
        <v>1</v>
      </c>
      <c r="W927" s="54">
        <v>42</v>
      </c>
      <c r="X927" s="54">
        <v>1</v>
      </c>
    </row>
    <row r="928" spans="1:24" customFormat="1">
      <c r="A928" s="52">
        <v>46226</v>
      </c>
      <c r="B928" s="61" t="s">
        <v>997</v>
      </c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>
        <f t="shared" si="14"/>
        <v>467</v>
      </c>
      <c r="N928" s="55">
        <v>467</v>
      </c>
      <c r="O928" s="54">
        <v>8</v>
      </c>
      <c r="P928" s="54">
        <v>1</v>
      </c>
      <c r="Q928" s="54">
        <v>206</v>
      </c>
      <c r="R928" s="54">
        <v>158</v>
      </c>
      <c r="S928" s="54">
        <v>30</v>
      </c>
      <c r="T928" s="54">
        <v>4</v>
      </c>
      <c r="U928" s="54">
        <v>16</v>
      </c>
      <c r="V928" s="54">
        <v>1</v>
      </c>
      <c r="W928" s="54">
        <v>42</v>
      </c>
      <c r="X928" s="54">
        <v>1</v>
      </c>
    </row>
    <row r="929" spans="1:24" customFormat="1">
      <c r="A929" s="52">
        <v>46227</v>
      </c>
      <c r="B929" s="61" t="s">
        <v>997</v>
      </c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>
        <f t="shared" si="14"/>
        <v>467</v>
      </c>
      <c r="N929" s="55">
        <v>467</v>
      </c>
      <c r="O929" s="54">
        <v>8</v>
      </c>
      <c r="P929" s="54">
        <v>1</v>
      </c>
      <c r="Q929" s="54">
        <v>206</v>
      </c>
      <c r="R929" s="54">
        <v>158</v>
      </c>
      <c r="S929" s="54">
        <v>30</v>
      </c>
      <c r="T929" s="54">
        <v>4</v>
      </c>
      <c r="U929" s="54">
        <v>16</v>
      </c>
      <c r="V929" s="54">
        <v>1</v>
      </c>
      <c r="W929" s="54">
        <v>42</v>
      </c>
      <c r="X929" s="54">
        <v>1</v>
      </c>
    </row>
    <row r="930" spans="1:24" customFormat="1">
      <c r="A930" s="52">
        <v>46228</v>
      </c>
      <c r="B930" s="61" t="s">
        <v>997</v>
      </c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>
        <f t="shared" si="14"/>
        <v>538</v>
      </c>
      <c r="N930" s="55">
        <v>538</v>
      </c>
      <c r="O930" s="54">
        <v>9</v>
      </c>
      <c r="P930" s="54">
        <v>1</v>
      </c>
      <c r="Q930" s="54">
        <v>236</v>
      </c>
      <c r="R930" s="54">
        <v>182</v>
      </c>
      <c r="S930" s="54">
        <v>35</v>
      </c>
      <c r="T930" s="54">
        <v>4</v>
      </c>
      <c r="U930" s="54">
        <v>19</v>
      </c>
      <c r="V930" s="54">
        <v>1</v>
      </c>
      <c r="W930" s="54">
        <v>49</v>
      </c>
      <c r="X930" s="54">
        <v>2</v>
      </c>
    </row>
    <row r="931" spans="1:24" customFormat="1">
      <c r="A931" s="52">
        <v>46229</v>
      </c>
      <c r="B931" s="61" t="s">
        <v>997</v>
      </c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>
        <f t="shared" si="14"/>
        <v>538</v>
      </c>
      <c r="N931" s="55">
        <v>538</v>
      </c>
      <c r="O931" s="54">
        <v>9</v>
      </c>
      <c r="P931" s="54">
        <v>1</v>
      </c>
      <c r="Q931" s="54">
        <v>236</v>
      </c>
      <c r="R931" s="54">
        <v>182</v>
      </c>
      <c r="S931" s="54">
        <v>35</v>
      </c>
      <c r="T931" s="54">
        <v>4</v>
      </c>
      <c r="U931" s="54">
        <v>19</v>
      </c>
      <c r="V931" s="54">
        <v>1</v>
      </c>
      <c r="W931" s="54">
        <v>49</v>
      </c>
      <c r="X931" s="54">
        <v>2</v>
      </c>
    </row>
    <row r="932" spans="1:24" customFormat="1">
      <c r="A932" s="52">
        <v>46230</v>
      </c>
      <c r="B932" s="61" t="s">
        <v>997</v>
      </c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>
        <f t="shared" si="14"/>
        <v>467</v>
      </c>
      <c r="N932" s="55">
        <v>467</v>
      </c>
      <c r="O932" s="54">
        <v>8</v>
      </c>
      <c r="P932" s="54">
        <v>1</v>
      </c>
      <c r="Q932" s="54">
        <v>206</v>
      </c>
      <c r="R932" s="54">
        <v>158</v>
      </c>
      <c r="S932" s="54">
        <v>30</v>
      </c>
      <c r="T932" s="54">
        <v>4</v>
      </c>
      <c r="U932" s="54">
        <v>16</v>
      </c>
      <c r="V932" s="54">
        <v>1</v>
      </c>
      <c r="W932" s="54">
        <v>42</v>
      </c>
      <c r="X932" s="54">
        <v>1</v>
      </c>
    </row>
    <row r="933" spans="1:24" customFormat="1">
      <c r="A933" s="52">
        <v>46231</v>
      </c>
      <c r="B933" s="61" t="s">
        <v>997</v>
      </c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>
        <f t="shared" si="14"/>
        <v>468</v>
      </c>
      <c r="N933" s="55">
        <v>468</v>
      </c>
      <c r="O933" s="54">
        <v>8</v>
      </c>
      <c r="P933" s="54">
        <v>1</v>
      </c>
      <c r="Q933" s="54">
        <v>206</v>
      </c>
      <c r="R933" s="54">
        <v>158</v>
      </c>
      <c r="S933" s="54">
        <v>30</v>
      </c>
      <c r="T933" s="54">
        <v>4</v>
      </c>
      <c r="U933" s="54">
        <v>16</v>
      </c>
      <c r="V933" s="54">
        <v>1</v>
      </c>
      <c r="W933" s="54">
        <v>43</v>
      </c>
      <c r="X933" s="54">
        <v>1</v>
      </c>
    </row>
    <row r="934" spans="1:24" customFormat="1">
      <c r="A934" s="52">
        <v>46232</v>
      </c>
      <c r="B934" s="61" t="s">
        <v>997</v>
      </c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>
        <f t="shared" si="14"/>
        <v>468</v>
      </c>
      <c r="N934" s="55">
        <v>468</v>
      </c>
      <c r="O934" s="54">
        <v>8</v>
      </c>
      <c r="P934" s="54">
        <v>1</v>
      </c>
      <c r="Q934" s="54">
        <v>206</v>
      </c>
      <c r="R934" s="54">
        <v>158</v>
      </c>
      <c r="S934" s="54">
        <v>30</v>
      </c>
      <c r="T934" s="54">
        <v>4</v>
      </c>
      <c r="U934" s="54">
        <v>16</v>
      </c>
      <c r="V934" s="54">
        <v>1</v>
      </c>
      <c r="W934" s="54">
        <v>43</v>
      </c>
      <c r="X934" s="54">
        <v>1</v>
      </c>
    </row>
    <row r="935" spans="1:24" customFormat="1">
      <c r="A935" s="52">
        <v>46233</v>
      </c>
      <c r="B935" s="61" t="s">
        <v>997</v>
      </c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>
        <f t="shared" si="14"/>
        <v>471</v>
      </c>
      <c r="N935" s="55">
        <v>471</v>
      </c>
      <c r="O935" s="54">
        <v>8</v>
      </c>
      <c r="P935" s="54">
        <v>1</v>
      </c>
      <c r="Q935" s="54">
        <v>206</v>
      </c>
      <c r="R935" s="54">
        <v>158</v>
      </c>
      <c r="S935" s="54">
        <v>30</v>
      </c>
      <c r="T935" s="54">
        <v>4</v>
      </c>
      <c r="U935" s="54">
        <v>17</v>
      </c>
      <c r="V935" s="54">
        <v>2</v>
      </c>
      <c r="W935" s="54">
        <v>43</v>
      </c>
      <c r="X935" s="54">
        <v>2</v>
      </c>
    </row>
    <row r="936" spans="1:24" customFormat="1">
      <c r="A936" s="52">
        <v>46234</v>
      </c>
      <c r="B936" s="61" t="s">
        <v>997</v>
      </c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>
        <f t="shared" si="14"/>
        <v>473</v>
      </c>
      <c r="N936" s="55">
        <v>473</v>
      </c>
      <c r="O936" s="54">
        <v>9</v>
      </c>
      <c r="P936" s="54">
        <v>1</v>
      </c>
      <c r="Q936" s="54">
        <v>206</v>
      </c>
      <c r="R936" s="54">
        <v>159</v>
      </c>
      <c r="S936" s="54">
        <v>30</v>
      </c>
      <c r="T936" s="54">
        <v>4</v>
      </c>
      <c r="U936" s="54">
        <v>17</v>
      </c>
      <c r="V936" s="54">
        <v>2</v>
      </c>
      <c r="W936" s="54">
        <v>43</v>
      </c>
      <c r="X936" s="54">
        <v>2</v>
      </c>
    </row>
    <row r="937" spans="1:24" customFormat="1">
      <c r="A937" s="52">
        <v>46235</v>
      </c>
      <c r="B937" s="61" t="s">
        <v>997</v>
      </c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>
        <f t="shared" si="14"/>
        <v>0</v>
      </c>
      <c r="N937" s="55"/>
      <c r="O937" s="54"/>
      <c r="P937" s="54"/>
      <c r="Q937" s="54"/>
      <c r="R937" s="54"/>
      <c r="S937" s="54"/>
      <c r="T937" s="54"/>
      <c r="U937" s="54"/>
      <c r="V937" s="54"/>
      <c r="W937" s="54"/>
      <c r="X937" s="54"/>
    </row>
    <row r="938" spans="1:24" customFormat="1">
      <c r="A938" s="52">
        <v>46236</v>
      </c>
      <c r="B938" s="61" t="s">
        <v>997</v>
      </c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>
        <f t="shared" si="14"/>
        <v>0</v>
      </c>
      <c r="N938" s="55"/>
      <c r="O938" s="54"/>
      <c r="P938" s="54"/>
      <c r="Q938" s="54"/>
      <c r="R938" s="54"/>
      <c r="S938" s="54"/>
      <c r="T938" s="54"/>
      <c r="U938" s="54"/>
      <c r="V938" s="54"/>
      <c r="W938" s="54"/>
      <c r="X938" s="54"/>
    </row>
    <row r="939" spans="1:24" customFormat="1">
      <c r="A939" s="52">
        <v>46237</v>
      </c>
      <c r="B939" s="61" t="s">
        <v>997</v>
      </c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>
        <f t="shared" si="14"/>
        <v>0</v>
      </c>
      <c r="N939" s="55"/>
      <c r="O939" s="54"/>
      <c r="P939" s="54"/>
      <c r="Q939" s="54"/>
      <c r="R939" s="54"/>
      <c r="S939" s="54"/>
      <c r="T939" s="54"/>
      <c r="U939" s="54"/>
      <c r="V939" s="54"/>
      <c r="W939" s="54"/>
      <c r="X939" s="54"/>
    </row>
    <row r="940" spans="1:24" customFormat="1">
      <c r="A940" s="52">
        <v>46238</v>
      </c>
      <c r="B940" s="61" t="s">
        <v>997</v>
      </c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>
        <f t="shared" si="14"/>
        <v>0</v>
      </c>
      <c r="N940" s="55"/>
      <c r="O940" s="54"/>
      <c r="P940" s="54"/>
      <c r="Q940" s="54"/>
      <c r="R940" s="54"/>
      <c r="S940" s="54"/>
      <c r="T940" s="54"/>
      <c r="U940" s="54"/>
      <c r="V940" s="54"/>
      <c r="W940" s="54"/>
      <c r="X940" s="54"/>
    </row>
    <row r="941" spans="1:24" customFormat="1">
      <c r="A941" s="52">
        <v>46239</v>
      </c>
      <c r="B941" s="61" t="s">
        <v>997</v>
      </c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>
        <f t="shared" si="14"/>
        <v>0</v>
      </c>
      <c r="N941" s="55"/>
      <c r="O941" s="54"/>
      <c r="P941" s="54"/>
      <c r="Q941" s="54"/>
      <c r="R941" s="54"/>
      <c r="S941" s="54"/>
      <c r="T941" s="54"/>
      <c r="U941" s="54"/>
      <c r="V941" s="54"/>
      <c r="W941" s="54"/>
      <c r="X941" s="54"/>
    </row>
    <row r="942" spans="1:24" customFormat="1">
      <c r="A942" s="52">
        <v>46240</v>
      </c>
      <c r="B942" s="61" t="s">
        <v>997</v>
      </c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>
        <f t="shared" si="14"/>
        <v>0</v>
      </c>
      <c r="N942" s="55"/>
      <c r="O942" s="54"/>
      <c r="P942" s="54"/>
      <c r="Q942" s="54"/>
      <c r="R942" s="54"/>
      <c r="S942" s="54"/>
      <c r="T942" s="54"/>
      <c r="U942" s="54"/>
      <c r="V942" s="54"/>
      <c r="W942" s="54"/>
      <c r="X942" s="54"/>
    </row>
    <row r="943" spans="1:24" customFormat="1">
      <c r="A943" s="52">
        <v>46241</v>
      </c>
      <c r="B943" s="61" t="s">
        <v>997</v>
      </c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>
        <f t="shared" si="14"/>
        <v>0</v>
      </c>
      <c r="N943" s="55"/>
      <c r="O943" s="54"/>
      <c r="P943" s="54"/>
      <c r="Q943" s="54"/>
      <c r="R943" s="54"/>
      <c r="S943" s="54"/>
      <c r="T943" s="54"/>
      <c r="U943" s="54"/>
      <c r="V943" s="54"/>
      <c r="W943" s="54"/>
      <c r="X943" s="54"/>
    </row>
    <row r="944" spans="1:24" customFormat="1">
      <c r="A944" s="52">
        <v>46242</v>
      </c>
      <c r="B944" s="61" t="s">
        <v>997</v>
      </c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>
        <f t="shared" si="14"/>
        <v>0</v>
      </c>
      <c r="N944" s="55"/>
      <c r="O944" s="54"/>
      <c r="P944" s="54"/>
      <c r="Q944" s="54"/>
      <c r="R944" s="54"/>
      <c r="S944" s="54"/>
      <c r="T944" s="54"/>
      <c r="U944" s="54"/>
      <c r="V944" s="54"/>
      <c r="W944" s="54"/>
      <c r="X944" s="54"/>
    </row>
    <row r="945" spans="1:24" customFormat="1">
      <c r="A945" s="52">
        <v>46243</v>
      </c>
      <c r="B945" s="61" t="s">
        <v>997</v>
      </c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>
        <f t="shared" si="14"/>
        <v>0</v>
      </c>
      <c r="N945" s="55"/>
      <c r="O945" s="54"/>
      <c r="P945" s="54"/>
      <c r="Q945" s="54"/>
      <c r="R945" s="54"/>
      <c r="S945" s="54"/>
      <c r="T945" s="54"/>
      <c r="U945" s="54"/>
      <c r="V945" s="54"/>
      <c r="W945" s="54"/>
      <c r="X945" s="54"/>
    </row>
    <row r="946" spans="1:24" customFormat="1">
      <c r="A946" s="52">
        <v>46244</v>
      </c>
      <c r="B946" s="61" t="s">
        <v>997</v>
      </c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>
        <f t="shared" si="14"/>
        <v>0</v>
      </c>
      <c r="N946" s="55"/>
      <c r="O946" s="54"/>
      <c r="P946" s="54"/>
      <c r="Q946" s="54"/>
      <c r="R946" s="54"/>
      <c r="S946" s="54"/>
      <c r="T946" s="54"/>
      <c r="U946" s="54"/>
      <c r="V946" s="54"/>
      <c r="W946" s="54"/>
      <c r="X946" s="54"/>
    </row>
    <row r="947" spans="1:24" customFormat="1">
      <c r="A947" s="52">
        <v>46245</v>
      </c>
      <c r="B947" s="61" t="s">
        <v>997</v>
      </c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>
        <f t="shared" si="14"/>
        <v>0</v>
      </c>
      <c r="N947" s="55"/>
      <c r="O947" s="54"/>
      <c r="P947" s="54"/>
      <c r="Q947" s="54"/>
      <c r="R947" s="54"/>
      <c r="S947" s="54"/>
      <c r="T947" s="54"/>
      <c r="U947" s="54"/>
      <c r="V947" s="54"/>
      <c r="W947" s="54"/>
      <c r="X947" s="54"/>
    </row>
    <row r="948" spans="1:24" customFormat="1">
      <c r="A948" s="52">
        <v>46246</v>
      </c>
      <c r="B948" s="61" t="s">
        <v>997</v>
      </c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>
        <f t="shared" si="14"/>
        <v>0</v>
      </c>
      <c r="N948" s="55"/>
      <c r="O948" s="54"/>
      <c r="P948" s="54"/>
      <c r="Q948" s="54"/>
      <c r="R948" s="54"/>
      <c r="S948" s="54"/>
      <c r="T948" s="54"/>
      <c r="U948" s="54"/>
      <c r="V948" s="54"/>
      <c r="W948" s="54"/>
      <c r="X948" s="54"/>
    </row>
    <row r="949" spans="1:24" customFormat="1">
      <c r="A949" s="52">
        <v>46247</v>
      </c>
      <c r="B949" s="61" t="s">
        <v>997</v>
      </c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>
        <f t="shared" si="14"/>
        <v>0</v>
      </c>
      <c r="N949" s="55"/>
      <c r="O949" s="54"/>
      <c r="P949" s="54"/>
      <c r="Q949" s="54"/>
      <c r="R949" s="54"/>
      <c r="S949" s="54"/>
      <c r="T949" s="54"/>
      <c r="U949" s="54"/>
      <c r="V949" s="54"/>
      <c r="W949" s="54"/>
      <c r="X949" s="54"/>
    </row>
    <row r="950" spans="1:24" customFormat="1">
      <c r="A950" s="52">
        <v>46248</v>
      </c>
      <c r="B950" s="61" t="s">
        <v>997</v>
      </c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>
        <f t="shared" si="14"/>
        <v>0</v>
      </c>
      <c r="N950" s="55"/>
      <c r="O950" s="54"/>
      <c r="P950" s="54"/>
      <c r="Q950" s="54"/>
      <c r="R950" s="54"/>
      <c r="S950" s="54"/>
      <c r="T950" s="54"/>
      <c r="U950" s="54"/>
      <c r="V950" s="54"/>
      <c r="W950" s="54"/>
      <c r="X950" s="54"/>
    </row>
    <row r="951" spans="1:24" customFormat="1">
      <c r="A951" s="52">
        <v>46249</v>
      </c>
      <c r="B951" s="61" t="s">
        <v>997</v>
      </c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>
        <f t="shared" si="14"/>
        <v>0</v>
      </c>
      <c r="N951" s="55"/>
      <c r="O951" s="54"/>
      <c r="P951" s="54"/>
      <c r="Q951" s="54"/>
      <c r="R951" s="54"/>
      <c r="S951" s="54"/>
      <c r="T951" s="54"/>
      <c r="U951" s="54"/>
      <c r="V951" s="54"/>
      <c r="W951" s="54"/>
      <c r="X951" s="54"/>
    </row>
    <row r="952" spans="1:24" customFormat="1">
      <c r="A952" s="52">
        <v>46250</v>
      </c>
      <c r="B952" s="61" t="s">
        <v>997</v>
      </c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>
        <f t="shared" si="14"/>
        <v>0</v>
      </c>
      <c r="N952" s="55"/>
      <c r="O952" s="54"/>
      <c r="P952" s="54"/>
      <c r="Q952" s="54"/>
      <c r="R952" s="54"/>
      <c r="S952" s="54"/>
      <c r="T952" s="54"/>
      <c r="U952" s="54"/>
      <c r="V952" s="54"/>
      <c r="W952" s="54"/>
      <c r="X952" s="54"/>
    </row>
    <row r="953" spans="1:24" customFormat="1">
      <c r="A953" s="52">
        <v>46251</v>
      </c>
      <c r="B953" s="61" t="s">
        <v>997</v>
      </c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>
        <f t="shared" si="14"/>
        <v>0</v>
      </c>
      <c r="N953" s="55"/>
      <c r="O953" s="54"/>
      <c r="P953" s="54"/>
      <c r="Q953" s="54"/>
      <c r="R953" s="54"/>
      <c r="S953" s="54"/>
      <c r="T953" s="54"/>
      <c r="U953" s="54"/>
      <c r="V953" s="54"/>
      <c r="W953" s="54"/>
      <c r="X953" s="54"/>
    </row>
    <row r="954" spans="1:24" customFormat="1">
      <c r="A954" s="52">
        <v>46252</v>
      </c>
      <c r="B954" s="61" t="s">
        <v>997</v>
      </c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>
        <f t="shared" si="14"/>
        <v>0</v>
      </c>
      <c r="N954" s="55"/>
      <c r="O954" s="54"/>
      <c r="P954" s="54"/>
      <c r="Q954" s="54"/>
      <c r="R954" s="54"/>
      <c r="S954" s="54"/>
      <c r="T954" s="54"/>
      <c r="U954" s="54"/>
      <c r="V954" s="54"/>
      <c r="W954" s="54"/>
      <c r="X954" s="54"/>
    </row>
    <row r="955" spans="1:24" customFormat="1">
      <c r="A955" s="52">
        <v>46253</v>
      </c>
      <c r="B955" s="61" t="s">
        <v>997</v>
      </c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>
        <f t="shared" si="14"/>
        <v>0</v>
      </c>
      <c r="N955" s="55"/>
      <c r="O955" s="54"/>
      <c r="P955" s="54"/>
      <c r="Q955" s="54"/>
      <c r="R955" s="54"/>
      <c r="S955" s="54"/>
      <c r="T955" s="54"/>
      <c r="U955" s="54"/>
      <c r="V955" s="54"/>
      <c r="W955" s="54"/>
      <c r="X955" s="54"/>
    </row>
    <row r="956" spans="1:24" customFormat="1">
      <c r="A956" s="52">
        <v>46254</v>
      </c>
      <c r="B956" s="61" t="s">
        <v>997</v>
      </c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>
        <f t="shared" si="14"/>
        <v>0</v>
      </c>
      <c r="N956" s="55"/>
      <c r="O956" s="54"/>
      <c r="P956" s="54"/>
      <c r="Q956" s="54"/>
      <c r="R956" s="54"/>
      <c r="S956" s="54"/>
      <c r="T956" s="54"/>
      <c r="U956" s="54"/>
      <c r="V956" s="54"/>
      <c r="W956" s="54"/>
      <c r="X956" s="54"/>
    </row>
    <row r="957" spans="1:24" customFormat="1">
      <c r="A957" s="52">
        <v>46255</v>
      </c>
      <c r="B957" s="61" t="s">
        <v>997</v>
      </c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>
        <f t="shared" si="14"/>
        <v>0</v>
      </c>
      <c r="N957" s="55"/>
      <c r="O957" s="54"/>
      <c r="P957" s="54"/>
      <c r="Q957" s="54"/>
      <c r="R957" s="54"/>
      <c r="S957" s="54"/>
      <c r="T957" s="54"/>
      <c r="U957" s="54"/>
      <c r="V957" s="54"/>
      <c r="W957" s="54"/>
      <c r="X957" s="54"/>
    </row>
    <row r="958" spans="1:24" customFormat="1">
      <c r="A958" s="52">
        <v>46256</v>
      </c>
      <c r="B958" s="61" t="s">
        <v>997</v>
      </c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>
        <f t="shared" si="14"/>
        <v>0</v>
      </c>
      <c r="N958" s="55"/>
      <c r="O958" s="54"/>
      <c r="P958" s="54"/>
      <c r="Q958" s="54"/>
      <c r="R958" s="54"/>
      <c r="S958" s="54"/>
      <c r="T958" s="54"/>
      <c r="U958" s="54"/>
      <c r="V958" s="54"/>
      <c r="W958" s="54"/>
      <c r="X958" s="54"/>
    </row>
    <row r="959" spans="1:24" customFormat="1">
      <c r="A959" s="52">
        <v>46257</v>
      </c>
      <c r="B959" s="61" t="s">
        <v>997</v>
      </c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>
        <f t="shared" si="14"/>
        <v>0</v>
      </c>
      <c r="N959" s="55"/>
      <c r="O959" s="54"/>
      <c r="P959" s="54"/>
      <c r="Q959" s="54"/>
      <c r="R959" s="54"/>
      <c r="S959" s="54"/>
      <c r="T959" s="54"/>
      <c r="U959" s="54"/>
      <c r="V959" s="54"/>
      <c r="W959" s="54"/>
      <c r="X959" s="54"/>
    </row>
    <row r="960" spans="1:24" customFormat="1">
      <c r="A960" s="52">
        <v>46258</v>
      </c>
      <c r="B960" s="61" t="s">
        <v>997</v>
      </c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>
        <f t="shared" si="14"/>
        <v>0</v>
      </c>
      <c r="N960" s="55"/>
      <c r="O960" s="54"/>
      <c r="P960" s="54"/>
      <c r="Q960" s="54"/>
      <c r="R960" s="54"/>
      <c r="S960" s="54"/>
      <c r="T960" s="54"/>
      <c r="U960" s="54"/>
      <c r="V960" s="54"/>
      <c r="W960" s="54"/>
      <c r="X960" s="54"/>
    </row>
    <row r="961" spans="1:24" customFormat="1">
      <c r="A961" s="52">
        <v>46259</v>
      </c>
      <c r="B961" s="61" t="s">
        <v>997</v>
      </c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>
        <f t="shared" si="14"/>
        <v>0</v>
      </c>
      <c r="N961" s="55"/>
      <c r="O961" s="54"/>
      <c r="P961" s="54"/>
      <c r="Q961" s="54"/>
      <c r="R961" s="54"/>
      <c r="S961" s="54"/>
      <c r="T961" s="54"/>
      <c r="U961" s="54"/>
      <c r="V961" s="54"/>
      <c r="W961" s="54"/>
      <c r="X961" s="54"/>
    </row>
    <row r="962" spans="1:24" customFormat="1">
      <c r="A962" s="52">
        <v>46260</v>
      </c>
      <c r="B962" s="61" t="s">
        <v>997</v>
      </c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>
        <f t="shared" si="14"/>
        <v>0</v>
      </c>
      <c r="N962" s="55"/>
      <c r="O962" s="54"/>
      <c r="P962" s="54"/>
      <c r="Q962" s="54"/>
      <c r="R962" s="54"/>
      <c r="S962" s="54"/>
      <c r="T962" s="54"/>
      <c r="U962" s="54"/>
      <c r="V962" s="54"/>
      <c r="W962" s="54"/>
      <c r="X962" s="54"/>
    </row>
    <row r="963" spans="1:24" customFormat="1">
      <c r="A963" s="52">
        <v>46261</v>
      </c>
      <c r="B963" s="61" t="s">
        <v>997</v>
      </c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>
        <f t="shared" si="14"/>
        <v>0</v>
      </c>
      <c r="N963" s="55"/>
      <c r="O963" s="54"/>
      <c r="P963" s="54"/>
      <c r="Q963" s="54"/>
      <c r="R963" s="54"/>
      <c r="S963" s="54"/>
      <c r="T963" s="54"/>
      <c r="U963" s="54"/>
      <c r="V963" s="54"/>
      <c r="W963" s="54"/>
      <c r="X963" s="54"/>
    </row>
    <row r="964" spans="1:24" customFormat="1">
      <c r="A964" s="52">
        <v>46262</v>
      </c>
      <c r="B964" s="61" t="s">
        <v>997</v>
      </c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>
        <f t="shared" si="14"/>
        <v>0</v>
      </c>
      <c r="N964" s="55"/>
      <c r="O964" s="54"/>
      <c r="P964" s="54"/>
      <c r="Q964" s="54"/>
      <c r="R964" s="54"/>
      <c r="S964" s="54"/>
      <c r="T964" s="54"/>
      <c r="U964" s="54"/>
      <c r="V964" s="54"/>
      <c r="W964" s="54"/>
      <c r="X964" s="54"/>
    </row>
    <row r="965" spans="1:24" customFormat="1">
      <c r="A965" s="52">
        <v>46263</v>
      </c>
      <c r="B965" s="61" t="s">
        <v>997</v>
      </c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>
        <f t="shared" si="14"/>
        <v>0</v>
      </c>
      <c r="N965" s="55"/>
      <c r="O965" s="54"/>
      <c r="P965" s="54"/>
      <c r="Q965" s="54"/>
      <c r="R965" s="54"/>
      <c r="S965" s="54"/>
      <c r="T965" s="54"/>
      <c r="U965" s="54"/>
      <c r="V965" s="54"/>
      <c r="W965" s="54"/>
      <c r="X965" s="54"/>
    </row>
    <row r="966" spans="1:24" customFormat="1">
      <c r="A966" s="52">
        <v>46264</v>
      </c>
      <c r="B966" s="61" t="s">
        <v>997</v>
      </c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>
        <f t="shared" si="14"/>
        <v>0</v>
      </c>
      <c r="N966" s="55"/>
      <c r="O966" s="54"/>
      <c r="P966" s="54"/>
      <c r="Q966" s="54"/>
      <c r="R966" s="54"/>
      <c r="S966" s="54"/>
      <c r="T966" s="54"/>
      <c r="U966" s="54"/>
      <c r="V966" s="54"/>
      <c r="W966" s="54"/>
      <c r="X966" s="54"/>
    </row>
    <row r="967" spans="1:24" customFormat="1">
      <c r="A967" s="52">
        <v>46265</v>
      </c>
      <c r="B967" s="61" t="s">
        <v>997</v>
      </c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>
        <f t="shared" si="14"/>
        <v>0</v>
      </c>
      <c r="N967" s="55"/>
      <c r="O967" s="54"/>
      <c r="P967" s="54"/>
      <c r="Q967" s="54"/>
      <c r="R967" s="54"/>
      <c r="S967" s="54"/>
      <c r="T967" s="54"/>
      <c r="U967" s="54"/>
      <c r="V967" s="54"/>
      <c r="W967" s="54"/>
      <c r="X967" s="54"/>
    </row>
    <row r="968" spans="1:24" customFormat="1">
      <c r="A968" s="52">
        <v>46266</v>
      </c>
      <c r="B968" s="61" t="s">
        <v>997</v>
      </c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>
        <f t="shared" si="14"/>
        <v>0</v>
      </c>
      <c r="N968" s="55"/>
      <c r="O968" s="54"/>
      <c r="P968" s="54"/>
      <c r="Q968" s="54"/>
      <c r="R968" s="54"/>
      <c r="S968" s="54"/>
      <c r="T968" s="54"/>
      <c r="U968" s="54"/>
      <c r="V968" s="54"/>
      <c r="W968" s="54"/>
      <c r="X968" s="54"/>
    </row>
    <row r="969" spans="1:24" customFormat="1">
      <c r="A969" s="52">
        <v>46267</v>
      </c>
      <c r="B969" s="61" t="s">
        <v>997</v>
      </c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>
        <f t="shared" si="14"/>
        <v>0</v>
      </c>
      <c r="N969" s="55"/>
      <c r="O969" s="54"/>
      <c r="P969" s="54"/>
      <c r="Q969" s="54"/>
      <c r="R969" s="54"/>
      <c r="S969" s="54"/>
      <c r="T969" s="54"/>
      <c r="U969" s="54"/>
      <c r="V969" s="54"/>
      <c r="W969" s="54"/>
      <c r="X969" s="54"/>
    </row>
    <row r="970" spans="1:24" customFormat="1">
      <c r="A970" s="52">
        <v>46268</v>
      </c>
      <c r="B970" s="61" t="s">
        <v>997</v>
      </c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>
        <f t="shared" si="14"/>
        <v>0</v>
      </c>
      <c r="N970" s="55"/>
      <c r="O970" s="54"/>
      <c r="P970" s="54"/>
      <c r="Q970" s="54"/>
      <c r="R970" s="54"/>
      <c r="S970" s="54"/>
      <c r="T970" s="54"/>
      <c r="U970" s="54"/>
      <c r="V970" s="54"/>
      <c r="W970" s="54"/>
      <c r="X970" s="54"/>
    </row>
    <row r="971" spans="1:24" customFormat="1">
      <c r="A971" s="52">
        <v>46269</v>
      </c>
      <c r="B971" s="61" t="s">
        <v>997</v>
      </c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>
        <f t="shared" si="14"/>
        <v>0</v>
      </c>
      <c r="N971" s="55"/>
      <c r="O971" s="54"/>
      <c r="P971" s="54"/>
      <c r="Q971" s="54"/>
      <c r="R971" s="54"/>
      <c r="S971" s="54"/>
      <c r="T971" s="54"/>
      <c r="U971" s="54"/>
      <c r="V971" s="54"/>
      <c r="W971" s="54"/>
      <c r="X971" s="54"/>
    </row>
    <row r="972" spans="1:24" customFormat="1">
      <c r="A972" s="52">
        <v>46270</v>
      </c>
      <c r="B972" s="61" t="s">
        <v>997</v>
      </c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>
        <f t="shared" si="14"/>
        <v>0</v>
      </c>
      <c r="N972" s="55"/>
      <c r="O972" s="54"/>
      <c r="P972" s="54"/>
      <c r="Q972" s="54"/>
      <c r="R972" s="54"/>
      <c r="S972" s="54"/>
      <c r="T972" s="54"/>
      <c r="U972" s="54"/>
      <c r="V972" s="54"/>
      <c r="W972" s="54"/>
      <c r="X972" s="54"/>
    </row>
    <row r="973" spans="1:24" customFormat="1">
      <c r="A973" s="52">
        <v>46271</v>
      </c>
      <c r="B973" s="61" t="s">
        <v>997</v>
      </c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>
        <f t="shared" si="14"/>
        <v>0</v>
      </c>
      <c r="N973" s="55"/>
      <c r="O973" s="54"/>
      <c r="P973" s="54"/>
      <c r="Q973" s="54"/>
      <c r="R973" s="54"/>
      <c r="S973" s="54"/>
      <c r="T973" s="54"/>
      <c r="U973" s="54"/>
      <c r="V973" s="54"/>
      <c r="W973" s="54"/>
      <c r="X973" s="54"/>
    </row>
    <row r="974" spans="1:24" customFormat="1">
      <c r="A974" s="52">
        <v>46272</v>
      </c>
      <c r="B974" s="61" t="s">
        <v>997</v>
      </c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>
        <f t="shared" si="14"/>
        <v>0</v>
      </c>
      <c r="N974" s="55"/>
      <c r="O974" s="54"/>
      <c r="P974" s="54"/>
      <c r="Q974" s="54"/>
      <c r="R974" s="54"/>
      <c r="S974" s="54"/>
      <c r="T974" s="54"/>
      <c r="U974" s="54"/>
      <c r="V974" s="54"/>
      <c r="W974" s="54"/>
      <c r="X974" s="54"/>
    </row>
    <row r="975" spans="1:24" customFormat="1">
      <c r="A975" s="52">
        <v>46273</v>
      </c>
      <c r="B975" s="61" t="s">
        <v>997</v>
      </c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>
        <f t="shared" si="14"/>
        <v>0</v>
      </c>
      <c r="N975" s="55"/>
      <c r="O975" s="54"/>
      <c r="P975" s="54"/>
      <c r="Q975" s="54"/>
      <c r="R975" s="54"/>
      <c r="S975" s="54"/>
      <c r="T975" s="54"/>
      <c r="U975" s="54"/>
      <c r="V975" s="54"/>
      <c r="W975" s="54"/>
      <c r="X975" s="54"/>
    </row>
    <row r="976" spans="1:24" customFormat="1">
      <c r="A976" s="52">
        <v>46274</v>
      </c>
      <c r="B976" s="61" t="s">
        <v>997</v>
      </c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>
        <f t="shared" si="14"/>
        <v>0</v>
      </c>
      <c r="N976" s="55"/>
      <c r="O976" s="54"/>
      <c r="P976" s="54"/>
      <c r="Q976" s="54"/>
      <c r="R976" s="54"/>
      <c r="S976" s="54"/>
      <c r="T976" s="54"/>
      <c r="U976" s="54"/>
      <c r="V976" s="54"/>
      <c r="W976" s="54"/>
      <c r="X976" s="54"/>
    </row>
    <row r="977" spans="1:24" customFormat="1">
      <c r="A977" s="52">
        <v>46275</v>
      </c>
      <c r="B977" s="61" t="s">
        <v>997</v>
      </c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>
        <f t="shared" si="14"/>
        <v>0</v>
      </c>
      <c r="N977" s="55"/>
      <c r="O977" s="54"/>
      <c r="P977" s="54"/>
      <c r="Q977" s="54"/>
      <c r="R977" s="54"/>
      <c r="S977" s="54"/>
      <c r="T977" s="54"/>
      <c r="U977" s="54"/>
      <c r="V977" s="54"/>
      <c r="W977" s="54"/>
      <c r="X977" s="54"/>
    </row>
    <row r="978" spans="1:24" customFormat="1">
      <c r="A978" s="52">
        <v>46276</v>
      </c>
      <c r="B978" s="61" t="s">
        <v>997</v>
      </c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>
        <f t="shared" si="14"/>
        <v>0</v>
      </c>
      <c r="N978" s="55"/>
      <c r="O978" s="54"/>
      <c r="P978" s="54"/>
      <c r="Q978" s="54"/>
      <c r="R978" s="54"/>
      <c r="S978" s="54"/>
      <c r="T978" s="54"/>
      <c r="U978" s="54"/>
      <c r="V978" s="54"/>
      <c r="W978" s="54"/>
      <c r="X978" s="54"/>
    </row>
    <row r="979" spans="1:24" customFormat="1">
      <c r="A979" s="52">
        <v>46277</v>
      </c>
      <c r="B979" s="61" t="s">
        <v>997</v>
      </c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>
        <f t="shared" si="14"/>
        <v>0</v>
      </c>
      <c r="N979" s="55"/>
      <c r="O979" s="54"/>
      <c r="P979" s="54"/>
      <c r="Q979" s="54"/>
      <c r="R979" s="54"/>
      <c r="S979" s="54"/>
      <c r="T979" s="54"/>
      <c r="U979" s="54"/>
      <c r="V979" s="54"/>
      <c r="W979" s="54"/>
      <c r="X979" s="54"/>
    </row>
    <row r="980" spans="1:24" customFormat="1">
      <c r="A980" s="52">
        <v>46278</v>
      </c>
      <c r="B980" s="61" t="s">
        <v>997</v>
      </c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>
        <f t="shared" si="14"/>
        <v>0</v>
      </c>
      <c r="N980" s="55"/>
      <c r="O980" s="54"/>
      <c r="P980" s="54"/>
      <c r="Q980" s="54"/>
      <c r="R980" s="54"/>
      <c r="S980" s="54"/>
      <c r="T980" s="54"/>
      <c r="U980" s="54"/>
      <c r="V980" s="54"/>
      <c r="W980" s="54"/>
      <c r="X980" s="54"/>
    </row>
    <row r="981" spans="1:24" customFormat="1">
      <c r="A981" s="52">
        <v>46279</v>
      </c>
      <c r="B981" s="61" t="s">
        <v>997</v>
      </c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>
        <f t="shared" si="14"/>
        <v>0</v>
      </c>
      <c r="N981" s="55"/>
      <c r="O981" s="54"/>
      <c r="P981" s="54"/>
      <c r="Q981" s="54"/>
      <c r="R981" s="54"/>
      <c r="S981" s="54"/>
      <c r="T981" s="54"/>
      <c r="U981" s="54"/>
      <c r="V981" s="54"/>
      <c r="W981" s="54"/>
      <c r="X981" s="54"/>
    </row>
    <row r="982" spans="1:24" customFormat="1">
      <c r="A982" s="52">
        <v>46280</v>
      </c>
      <c r="B982" s="61" t="s">
        <v>997</v>
      </c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>
        <f t="shared" si="14"/>
        <v>0</v>
      </c>
      <c r="N982" s="55"/>
      <c r="O982" s="54"/>
      <c r="P982" s="54"/>
      <c r="Q982" s="54"/>
      <c r="R982" s="54"/>
      <c r="S982" s="54"/>
      <c r="T982" s="54"/>
      <c r="U982" s="54"/>
      <c r="V982" s="54"/>
      <c r="W982" s="54"/>
      <c r="X982" s="54"/>
    </row>
    <row r="983" spans="1:24" customFormat="1">
      <c r="A983" s="52">
        <v>46281</v>
      </c>
      <c r="B983" s="61" t="s">
        <v>997</v>
      </c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>
        <f t="shared" si="14"/>
        <v>0</v>
      </c>
      <c r="N983" s="55"/>
      <c r="O983" s="54"/>
      <c r="P983" s="54"/>
      <c r="Q983" s="54"/>
      <c r="R983" s="54"/>
      <c r="S983" s="54"/>
      <c r="T983" s="54"/>
      <c r="U983" s="54"/>
      <c r="V983" s="54"/>
      <c r="W983" s="54"/>
      <c r="X983" s="54"/>
    </row>
    <row r="984" spans="1:24" customFormat="1">
      <c r="A984" s="52">
        <v>46282</v>
      </c>
      <c r="B984" s="61" t="s">
        <v>997</v>
      </c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>
        <f t="shared" si="14"/>
        <v>0</v>
      </c>
      <c r="N984" s="55"/>
      <c r="O984" s="54"/>
      <c r="P984" s="54"/>
      <c r="Q984" s="54"/>
      <c r="R984" s="54"/>
      <c r="S984" s="54"/>
      <c r="T984" s="54"/>
      <c r="U984" s="54"/>
      <c r="V984" s="54"/>
      <c r="W984" s="54"/>
      <c r="X984" s="54"/>
    </row>
    <row r="985" spans="1:24" customFormat="1">
      <c r="A985" s="52">
        <v>46283</v>
      </c>
      <c r="B985" s="61" t="s">
        <v>997</v>
      </c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>
        <f t="shared" si="14"/>
        <v>0</v>
      </c>
      <c r="N985" s="55"/>
      <c r="O985" s="54"/>
      <c r="P985" s="54"/>
      <c r="Q985" s="54"/>
      <c r="R985" s="54"/>
      <c r="S985" s="54"/>
      <c r="T985" s="54"/>
      <c r="U985" s="54"/>
      <c r="V985" s="54"/>
      <c r="W985" s="54"/>
      <c r="X985" s="54"/>
    </row>
    <row r="986" spans="1:24" customFormat="1">
      <c r="A986" s="52">
        <v>46284</v>
      </c>
      <c r="B986" s="61" t="s">
        <v>997</v>
      </c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>
        <f t="shared" si="14"/>
        <v>0</v>
      </c>
      <c r="N986" s="55"/>
      <c r="O986" s="54"/>
      <c r="P986" s="54"/>
      <c r="Q986" s="54"/>
      <c r="R986" s="54"/>
      <c r="S986" s="54"/>
      <c r="T986" s="54"/>
      <c r="U986" s="54"/>
      <c r="V986" s="54"/>
      <c r="W986" s="54"/>
      <c r="X986" s="54"/>
    </row>
    <row r="987" spans="1:24" customFormat="1">
      <c r="A987" s="52">
        <v>46285</v>
      </c>
      <c r="B987" s="61" t="s">
        <v>997</v>
      </c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>
        <f t="shared" si="14"/>
        <v>0</v>
      </c>
      <c r="N987" s="55"/>
      <c r="O987" s="54"/>
      <c r="P987" s="54"/>
      <c r="Q987" s="54"/>
      <c r="R987" s="54"/>
      <c r="S987" s="54"/>
      <c r="T987" s="54"/>
      <c r="U987" s="54"/>
      <c r="V987" s="54"/>
      <c r="W987" s="54"/>
      <c r="X987" s="54"/>
    </row>
    <row r="988" spans="1:24" customFormat="1">
      <c r="A988" s="52">
        <v>46286</v>
      </c>
      <c r="B988" s="61" t="s">
        <v>997</v>
      </c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>
        <f t="shared" si="14"/>
        <v>0</v>
      </c>
      <c r="N988" s="55"/>
      <c r="O988" s="54"/>
      <c r="P988" s="54"/>
      <c r="Q988" s="54"/>
      <c r="R988" s="54"/>
      <c r="S988" s="54"/>
      <c r="T988" s="54"/>
      <c r="U988" s="54"/>
      <c r="V988" s="54"/>
      <c r="W988" s="54"/>
      <c r="X988" s="54"/>
    </row>
    <row r="989" spans="1:24" customFormat="1">
      <c r="A989" s="52">
        <v>46287</v>
      </c>
      <c r="B989" s="61" t="s">
        <v>997</v>
      </c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>
        <f t="shared" si="14"/>
        <v>0</v>
      </c>
      <c r="N989" s="55"/>
      <c r="O989" s="54"/>
      <c r="P989" s="54"/>
      <c r="Q989" s="54"/>
      <c r="R989" s="54"/>
      <c r="S989" s="54"/>
      <c r="T989" s="54"/>
      <c r="U989" s="54"/>
      <c r="V989" s="54"/>
      <c r="W989" s="54"/>
      <c r="X989" s="54"/>
    </row>
    <row r="990" spans="1:24" customFormat="1">
      <c r="A990" s="52">
        <v>46288</v>
      </c>
      <c r="B990" s="61" t="s">
        <v>997</v>
      </c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>
        <f t="shared" si="14"/>
        <v>0</v>
      </c>
      <c r="N990" s="55"/>
      <c r="O990" s="54"/>
      <c r="P990" s="54"/>
      <c r="Q990" s="54"/>
      <c r="R990" s="54"/>
      <c r="S990" s="54"/>
      <c r="T990" s="54"/>
      <c r="U990" s="54"/>
      <c r="V990" s="54"/>
      <c r="W990" s="54"/>
      <c r="X990" s="54"/>
    </row>
    <row r="991" spans="1:24" customFormat="1">
      <c r="A991" s="52">
        <v>46289</v>
      </c>
      <c r="B991" s="61" t="s">
        <v>997</v>
      </c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>
        <f t="shared" si="14"/>
        <v>0</v>
      </c>
      <c r="N991" s="55"/>
      <c r="O991" s="54"/>
      <c r="P991" s="54"/>
      <c r="Q991" s="54"/>
      <c r="R991" s="54"/>
      <c r="S991" s="54"/>
      <c r="T991" s="54"/>
      <c r="U991" s="54"/>
      <c r="V991" s="54"/>
      <c r="W991" s="54"/>
      <c r="X991" s="54"/>
    </row>
    <row r="992" spans="1:24" customFormat="1">
      <c r="A992" s="52">
        <v>46290</v>
      </c>
      <c r="B992" s="61" t="s">
        <v>997</v>
      </c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>
        <f t="shared" si="14"/>
        <v>0</v>
      </c>
      <c r="N992" s="55"/>
      <c r="O992" s="54"/>
      <c r="P992" s="54"/>
      <c r="Q992" s="54"/>
      <c r="R992" s="54"/>
      <c r="S992" s="54"/>
      <c r="T992" s="54"/>
      <c r="U992" s="54"/>
      <c r="V992" s="54"/>
      <c r="W992" s="54"/>
      <c r="X992" s="54"/>
    </row>
    <row r="993" spans="1:24" customFormat="1">
      <c r="A993" s="52">
        <v>46291</v>
      </c>
      <c r="B993" s="61" t="s">
        <v>997</v>
      </c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>
        <f t="shared" si="14"/>
        <v>0</v>
      </c>
      <c r="N993" s="55"/>
      <c r="O993" s="54"/>
      <c r="P993" s="54"/>
      <c r="Q993" s="54"/>
      <c r="R993" s="54"/>
      <c r="S993" s="54"/>
      <c r="T993" s="54"/>
      <c r="U993" s="54"/>
      <c r="V993" s="54"/>
      <c r="W993" s="54"/>
      <c r="X993" s="54"/>
    </row>
    <row r="994" spans="1:24" customFormat="1">
      <c r="A994" s="52">
        <v>46292</v>
      </c>
      <c r="B994" s="61" t="s">
        <v>997</v>
      </c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>
        <f t="shared" si="14"/>
        <v>0</v>
      </c>
      <c r="N994" s="55"/>
      <c r="O994" s="54"/>
      <c r="P994" s="54"/>
      <c r="Q994" s="54"/>
      <c r="R994" s="54"/>
      <c r="S994" s="54"/>
      <c r="T994" s="54"/>
      <c r="U994" s="54"/>
      <c r="V994" s="54"/>
      <c r="W994" s="54"/>
      <c r="X994" s="54"/>
    </row>
    <row r="995" spans="1:24" customFormat="1">
      <c r="A995" s="52">
        <v>46293</v>
      </c>
      <c r="B995" s="61" t="s">
        <v>997</v>
      </c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>
        <f t="shared" si="14"/>
        <v>0</v>
      </c>
      <c r="N995" s="55"/>
      <c r="O995" s="54"/>
      <c r="P995" s="54"/>
      <c r="Q995" s="54"/>
      <c r="R995" s="54"/>
      <c r="S995" s="54"/>
      <c r="T995" s="54"/>
      <c r="U995" s="54"/>
      <c r="V995" s="54"/>
      <c r="W995" s="54"/>
      <c r="X995" s="54"/>
    </row>
    <row r="996" spans="1:24" customFormat="1">
      <c r="A996" s="52">
        <v>46294</v>
      </c>
      <c r="B996" s="61" t="s">
        <v>997</v>
      </c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>
        <f t="shared" si="14"/>
        <v>0</v>
      </c>
      <c r="N996" s="55"/>
      <c r="O996" s="54"/>
      <c r="P996" s="54"/>
      <c r="Q996" s="54"/>
      <c r="R996" s="54"/>
      <c r="S996" s="54"/>
      <c r="T996" s="54"/>
      <c r="U996" s="54"/>
      <c r="V996" s="54"/>
      <c r="W996" s="54"/>
      <c r="X996" s="54"/>
    </row>
    <row r="997" spans="1:24" customFormat="1">
      <c r="A997" s="52">
        <v>46295</v>
      </c>
      <c r="B997" s="61" t="s">
        <v>997</v>
      </c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>
        <f t="shared" si="14"/>
        <v>0</v>
      </c>
      <c r="N997" s="55"/>
      <c r="O997" s="54"/>
      <c r="P997" s="54"/>
      <c r="Q997" s="54"/>
      <c r="R997" s="54"/>
      <c r="S997" s="54"/>
      <c r="T997" s="54"/>
      <c r="U997" s="54"/>
      <c r="V997" s="54"/>
      <c r="W997" s="54"/>
      <c r="X997" s="54"/>
    </row>
    <row r="998" spans="1:24" customFormat="1">
      <c r="A998" s="52">
        <v>46296</v>
      </c>
      <c r="B998" s="61" t="s">
        <v>997</v>
      </c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>
        <f t="shared" si="14"/>
        <v>0</v>
      </c>
      <c r="N998" s="55"/>
      <c r="O998" s="54"/>
      <c r="P998" s="54"/>
      <c r="Q998" s="54"/>
      <c r="R998" s="54"/>
      <c r="S998" s="54"/>
      <c r="T998" s="54"/>
      <c r="U998" s="54"/>
      <c r="V998" s="54"/>
      <c r="W998" s="54"/>
      <c r="X998" s="54"/>
    </row>
    <row r="999" spans="1:24" customFormat="1">
      <c r="A999" s="52">
        <v>46297</v>
      </c>
      <c r="B999" s="61" t="s">
        <v>997</v>
      </c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>
        <f t="shared" si="14"/>
        <v>0</v>
      </c>
      <c r="N999" s="55"/>
      <c r="O999" s="54"/>
      <c r="P999" s="54"/>
      <c r="Q999" s="54"/>
      <c r="R999" s="54"/>
      <c r="S999" s="54"/>
      <c r="T999" s="54"/>
      <c r="U999" s="54"/>
      <c r="V999" s="54"/>
      <c r="W999" s="54"/>
      <c r="X999" s="54"/>
    </row>
    <row r="1000" spans="1:24" customFormat="1">
      <c r="A1000" s="52">
        <v>46298</v>
      </c>
      <c r="B1000" s="61" t="s">
        <v>997</v>
      </c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>
        <f t="shared" si="14"/>
        <v>0</v>
      </c>
      <c r="N1000" s="55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</row>
    <row r="1001" spans="1:24" customFormat="1">
      <c r="A1001" s="52">
        <v>46299</v>
      </c>
      <c r="B1001" s="61" t="s">
        <v>997</v>
      </c>
      <c r="C1001" s="54"/>
      <c r="D1001" s="54"/>
      <c r="E1001" s="54"/>
      <c r="F1001" s="54"/>
      <c r="G1001" s="54"/>
      <c r="H1001" s="54"/>
      <c r="I1001" s="54"/>
      <c r="J1001" s="54"/>
      <c r="K1001" s="54"/>
      <c r="L1001" s="54"/>
      <c r="M1001" s="54">
        <f t="shared" si="14"/>
        <v>0</v>
      </c>
      <c r="N1001" s="55"/>
      <c r="O1001" s="54"/>
      <c r="P1001" s="54"/>
      <c r="Q1001" s="54"/>
      <c r="R1001" s="54"/>
      <c r="S1001" s="54"/>
      <c r="T1001" s="54"/>
      <c r="U1001" s="54"/>
      <c r="V1001" s="54"/>
      <c r="W1001" s="54"/>
      <c r="X1001" s="54"/>
    </row>
    <row r="1002" spans="1:24" customFormat="1">
      <c r="A1002" s="52">
        <v>46300</v>
      </c>
      <c r="B1002" s="61" t="s">
        <v>997</v>
      </c>
      <c r="C1002" s="54"/>
      <c r="D1002" s="54"/>
      <c r="E1002" s="54"/>
      <c r="F1002" s="54"/>
      <c r="G1002" s="54"/>
      <c r="H1002" s="54"/>
      <c r="I1002" s="54"/>
      <c r="J1002" s="54"/>
      <c r="K1002" s="54"/>
      <c r="L1002" s="54"/>
      <c r="M1002" s="54">
        <f t="shared" si="14"/>
        <v>0</v>
      </c>
      <c r="N1002" s="55"/>
      <c r="O1002" s="54"/>
      <c r="P1002" s="54"/>
      <c r="Q1002" s="54"/>
      <c r="R1002" s="54"/>
      <c r="S1002" s="54"/>
      <c r="T1002" s="54"/>
      <c r="U1002" s="54"/>
      <c r="V1002" s="54"/>
      <c r="W1002" s="54"/>
      <c r="X1002" s="54"/>
    </row>
    <row r="1003" spans="1:24" customFormat="1">
      <c r="A1003" s="52">
        <v>46301</v>
      </c>
      <c r="B1003" s="61" t="s">
        <v>997</v>
      </c>
      <c r="C1003" s="54"/>
      <c r="D1003" s="54"/>
      <c r="E1003" s="54"/>
      <c r="F1003" s="54"/>
      <c r="G1003" s="54"/>
      <c r="H1003" s="54"/>
      <c r="I1003" s="54"/>
      <c r="J1003" s="54"/>
      <c r="K1003" s="54"/>
      <c r="L1003" s="54"/>
      <c r="M1003" s="54">
        <f t="shared" si="14"/>
        <v>0</v>
      </c>
      <c r="N1003" s="55"/>
      <c r="O1003" s="54"/>
      <c r="P1003" s="54"/>
      <c r="Q1003" s="54"/>
      <c r="R1003" s="54"/>
      <c r="S1003" s="54"/>
      <c r="T1003" s="54"/>
      <c r="U1003" s="54"/>
      <c r="V1003" s="54"/>
      <c r="W1003" s="54"/>
      <c r="X1003" s="54"/>
    </row>
    <row r="1004" spans="1:24" customFormat="1">
      <c r="A1004" s="52">
        <v>46302</v>
      </c>
      <c r="B1004" s="61" t="s">
        <v>997</v>
      </c>
      <c r="C1004" s="54"/>
      <c r="D1004" s="54"/>
      <c r="E1004" s="54"/>
      <c r="F1004" s="54"/>
      <c r="G1004" s="54"/>
      <c r="H1004" s="54"/>
      <c r="I1004" s="54"/>
      <c r="J1004" s="54"/>
      <c r="K1004" s="54"/>
      <c r="L1004" s="54"/>
      <c r="M1004" s="54">
        <f t="shared" si="14"/>
        <v>0</v>
      </c>
      <c r="N1004" s="55"/>
      <c r="O1004" s="54"/>
      <c r="P1004" s="54"/>
      <c r="Q1004" s="54"/>
      <c r="R1004" s="54"/>
      <c r="S1004" s="54"/>
      <c r="T1004" s="54"/>
      <c r="U1004" s="54"/>
      <c r="V1004" s="54"/>
      <c r="W1004" s="54"/>
      <c r="X1004" s="54"/>
    </row>
    <row r="1005" spans="1:24" customFormat="1">
      <c r="A1005" s="52">
        <v>46303</v>
      </c>
      <c r="B1005" s="61" t="s">
        <v>997</v>
      </c>
      <c r="C1005" s="54"/>
      <c r="D1005" s="54"/>
      <c r="E1005" s="54"/>
      <c r="F1005" s="54"/>
      <c r="G1005" s="54"/>
      <c r="H1005" s="54"/>
      <c r="I1005" s="54"/>
      <c r="J1005" s="54"/>
      <c r="K1005" s="54"/>
      <c r="L1005" s="54"/>
      <c r="M1005" s="54">
        <f t="shared" si="14"/>
        <v>0</v>
      </c>
      <c r="N1005" s="55"/>
      <c r="O1005" s="54"/>
      <c r="P1005" s="54"/>
      <c r="Q1005" s="54"/>
      <c r="R1005" s="54"/>
      <c r="S1005" s="54"/>
      <c r="T1005" s="54"/>
      <c r="U1005" s="54"/>
      <c r="V1005" s="54"/>
      <c r="W1005" s="54"/>
      <c r="X1005" s="54"/>
    </row>
    <row r="1006" spans="1:24" customFormat="1">
      <c r="A1006" s="52">
        <v>46304</v>
      </c>
      <c r="B1006" s="61" t="s">
        <v>997</v>
      </c>
      <c r="C1006" s="54"/>
      <c r="D1006" s="54"/>
      <c r="E1006" s="54"/>
      <c r="F1006" s="54"/>
      <c r="G1006" s="54"/>
      <c r="H1006" s="54"/>
      <c r="I1006" s="54"/>
      <c r="J1006" s="54"/>
      <c r="K1006" s="54"/>
      <c r="L1006" s="54"/>
      <c r="M1006" s="54">
        <f t="shared" si="14"/>
        <v>0</v>
      </c>
      <c r="N1006" s="55"/>
      <c r="O1006" s="54"/>
      <c r="P1006" s="54"/>
      <c r="Q1006" s="54"/>
      <c r="R1006" s="54"/>
      <c r="S1006" s="54"/>
      <c r="T1006" s="54"/>
      <c r="U1006" s="54"/>
      <c r="V1006" s="54"/>
      <c r="W1006" s="54"/>
      <c r="X1006" s="54"/>
    </row>
    <row r="1007" spans="1:24" customFormat="1">
      <c r="A1007" s="52">
        <v>46305</v>
      </c>
      <c r="B1007" s="61" t="s">
        <v>997</v>
      </c>
      <c r="C1007" s="54"/>
      <c r="D1007" s="54"/>
      <c r="E1007" s="54"/>
      <c r="F1007" s="54"/>
      <c r="G1007" s="54"/>
      <c r="H1007" s="54"/>
      <c r="I1007" s="54"/>
      <c r="J1007" s="54"/>
      <c r="K1007" s="54"/>
      <c r="L1007" s="54"/>
      <c r="M1007" s="54">
        <f t="shared" si="14"/>
        <v>0</v>
      </c>
      <c r="N1007" s="55"/>
      <c r="O1007" s="54"/>
      <c r="P1007" s="54"/>
      <c r="Q1007" s="54"/>
      <c r="R1007" s="54"/>
      <c r="S1007" s="54"/>
      <c r="T1007" s="54"/>
      <c r="U1007" s="54"/>
      <c r="V1007" s="54"/>
      <c r="W1007" s="54"/>
      <c r="X1007" s="54"/>
    </row>
    <row r="1008" spans="1:24" customFormat="1">
      <c r="A1008" s="52">
        <v>46306</v>
      </c>
      <c r="B1008" s="61" t="s">
        <v>997</v>
      </c>
      <c r="C1008" s="54"/>
      <c r="D1008" s="54"/>
      <c r="E1008" s="54"/>
      <c r="F1008" s="54"/>
      <c r="G1008" s="54"/>
      <c r="H1008" s="54"/>
      <c r="I1008" s="54"/>
      <c r="J1008" s="54"/>
      <c r="K1008" s="54"/>
      <c r="L1008" s="54"/>
      <c r="M1008" s="54">
        <f t="shared" si="14"/>
        <v>0</v>
      </c>
      <c r="N1008" s="55"/>
      <c r="O1008" s="54"/>
      <c r="P1008" s="54"/>
      <c r="Q1008" s="54"/>
      <c r="R1008" s="54"/>
      <c r="S1008" s="54"/>
      <c r="T1008" s="54"/>
      <c r="U1008" s="54"/>
      <c r="V1008" s="54"/>
      <c r="W1008" s="54"/>
      <c r="X1008" s="54"/>
    </row>
    <row r="1009" spans="1:24" customFormat="1">
      <c r="A1009" s="52">
        <v>46307</v>
      </c>
      <c r="B1009" s="61" t="s">
        <v>997</v>
      </c>
      <c r="C1009" s="54"/>
      <c r="D1009" s="54"/>
      <c r="E1009" s="54"/>
      <c r="F1009" s="54"/>
      <c r="G1009" s="54"/>
      <c r="H1009" s="54"/>
      <c r="I1009" s="54"/>
      <c r="J1009" s="54"/>
      <c r="K1009" s="54"/>
      <c r="L1009" s="54"/>
      <c r="M1009" s="54">
        <f t="shared" si="14"/>
        <v>0</v>
      </c>
      <c r="N1009" s="55"/>
      <c r="O1009" s="54"/>
      <c r="P1009" s="54"/>
      <c r="Q1009" s="54"/>
      <c r="R1009" s="54"/>
      <c r="S1009" s="54"/>
      <c r="T1009" s="54"/>
      <c r="U1009" s="54"/>
      <c r="V1009" s="54"/>
      <c r="W1009" s="54"/>
      <c r="X1009" s="54"/>
    </row>
    <row r="1010" spans="1:24" customFormat="1">
      <c r="A1010" s="52">
        <v>46308</v>
      </c>
      <c r="B1010" s="61" t="s">
        <v>997</v>
      </c>
      <c r="C1010" s="54"/>
      <c r="D1010" s="54"/>
      <c r="E1010" s="54"/>
      <c r="F1010" s="54"/>
      <c r="G1010" s="54"/>
      <c r="H1010" s="54"/>
      <c r="I1010" s="54"/>
      <c r="J1010" s="54"/>
      <c r="K1010" s="54"/>
      <c r="L1010" s="54"/>
      <c r="M1010" s="54">
        <f t="shared" si="14"/>
        <v>0</v>
      </c>
      <c r="N1010" s="55"/>
      <c r="O1010" s="54"/>
      <c r="P1010" s="54"/>
      <c r="Q1010" s="54"/>
      <c r="R1010" s="54"/>
      <c r="S1010" s="54"/>
      <c r="T1010" s="54"/>
      <c r="U1010" s="54"/>
      <c r="V1010" s="54"/>
      <c r="W1010" s="54"/>
      <c r="X1010" s="54"/>
    </row>
    <row r="1011" spans="1:24" customFormat="1">
      <c r="A1011" s="52">
        <v>46309</v>
      </c>
      <c r="B1011" s="61" t="s">
        <v>997</v>
      </c>
      <c r="C1011" s="54"/>
      <c r="D1011" s="54"/>
      <c r="E1011" s="54"/>
      <c r="F1011" s="54"/>
      <c r="G1011" s="54"/>
      <c r="H1011" s="54"/>
      <c r="I1011" s="54"/>
      <c r="J1011" s="54"/>
      <c r="K1011" s="54"/>
      <c r="L1011" s="54"/>
      <c r="M1011" s="54">
        <f t="shared" si="14"/>
        <v>0</v>
      </c>
      <c r="N1011" s="55"/>
      <c r="O1011" s="54"/>
      <c r="P1011" s="54"/>
      <c r="Q1011" s="54"/>
      <c r="R1011" s="54"/>
      <c r="S1011" s="54"/>
      <c r="T1011" s="54"/>
      <c r="U1011" s="54"/>
      <c r="V1011" s="54"/>
      <c r="W1011" s="54"/>
      <c r="X1011" s="54"/>
    </row>
    <row r="1012" spans="1:24" customFormat="1">
      <c r="A1012" s="52">
        <v>46310</v>
      </c>
      <c r="B1012" s="61" t="s">
        <v>997</v>
      </c>
      <c r="C1012" s="54"/>
      <c r="D1012" s="54"/>
      <c r="E1012" s="54"/>
      <c r="F1012" s="54"/>
      <c r="G1012" s="54"/>
      <c r="H1012" s="54"/>
      <c r="I1012" s="54"/>
      <c r="J1012" s="54"/>
      <c r="K1012" s="54"/>
      <c r="L1012" s="54"/>
      <c r="M1012" s="54">
        <f t="shared" si="14"/>
        <v>0</v>
      </c>
      <c r="N1012" s="55"/>
      <c r="O1012" s="54"/>
      <c r="P1012" s="54"/>
      <c r="Q1012" s="54"/>
      <c r="R1012" s="54"/>
      <c r="S1012" s="54"/>
      <c r="T1012" s="54"/>
      <c r="U1012" s="54"/>
      <c r="V1012" s="54"/>
      <c r="W1012" s="54"/>
      <c r="X1012" s="54"/>
    </row>
    <row r="1013" spans="1:24" customFormat="1">
      <c r="A1013" s="52">
        <v>46311</v>
      </c>
      <c r="B1013" s="61" t="s">
        <v>997</v>
      </c>
      <c r="C1013" s="54"/>
      <c r="D1013" s="54"/>
      <c r="E1013" s="54"/>
      <c r="F1013" s="54"/>
      <c r="G1013" s="54"/>
      <c r="H1013" s="54"/>
      <c r="I1013" s="54"/>
      <c r="J1013" s="54"/>
      <c r="K1013" s="54"/>
      <c r="L1013" s="54"/>
      <c r="M1013" s="54">
        <f t="shared" si="14"/>
        <v>0</v>
      </c>
      <c r="N1013" s="55"/>
      <c r="O1013" s="54"/>
      <c r="P1013" s="54"/>
      <c r="Q1013" s="54"/>
      <c r="R1013" s="54"/>
      <c r="S1013" s="54"/>
      <c r="T1013" s="54"/>
      <c r="U1013" s="54"/>
      <c r="V1013" s="54"/>
      <c r="W1013" s="54"/>
      <c r="X1013" s="54"/>
    </row>
    <row r="1014" spans="1:24" customFormat="1">
      <c r="A1014" s="52">
        <v>46312</v>
      </c>
      <c r="B1014" s="61" t="s">
        <v>997</v>
      </c>
      <c r="C1014" s="54"/>
      <c r="D1014" s="54"/>
      <c r="E1014" s="54"/>
      <c r="F1014" s="54"/>
      <c r="G1014" s="54"/>
      <c r="H1014" s="54"/>
      <c r="I1014" s="54"/>
      <c r="J1014" s="54"/>
      <c r="K1014" s="54"/>
      <c r="L1014" s="54"/>
      <c r="M1014" s="54">
        <f t="shared" si="14"/>
        <v>0</v>
      </c>
      <c r="N1014" s="55"/>
      <c r="O1014" s="54"/>
      <c r="P1014" s="54"/>
      <c r="Q1014" s="54"/>
      <c r="R1014" s="54"/>
      <c r="S1014" s="54"/>
      <c r="T1014" s="54"/>
      <c r="U1014" s="54"/>
      <c r="V1014" s="54"/>
      <c r="W1014" s="54"/>
      <c r="X1014" s="54"/>
    </row>
    <row r="1015" spans="1:24" customFormat="1">
      <c r="A1015" s="52">
        <v>46313</v>
      </c>
      <c r="B1015" s="61" t="s">
        <v>997</v>
      </c>
      <c r="C1015" s="54"/>
      <c r="D1015" s="54"/>
      <c r="E1015" s="54"/>
      <c r="F1015" s="54"/>
      <c r="G1015" s="54"/>
      <c r="H1015" s="54"/>
      <c r="I1015" s="54"/>
      <c r="J1015" s="54"/>
      <c r="K1015" s="54"/>
      <c r="L1015" s="54"/>
      <c r="M1015" s="54">
        <f t="shared" si="14"/>
        <v>0</v>
      </c>
      <c r="N1015" s="55"/>
      <c r="O1015" s="54"/>
      <c r="P1015" s="54"/>
      <c r="Q1015" s="54"/>
      <c r="R1015" s="54"/>
      <c r="S1015" s="54"/>
      <c r="T1015" s="54"/>
      <c r="U1015" s="54"/>
      <c r="V1015" s="54"/>
      <c r="W1015" s="54"/>
      <c r="X1015" s="54"/>
    </row>
    <row r="1016" spans="1:24" customFormat="1">
      <c r="A1016" s="52">
        <v>46314</v>
      </c>
      <c r="B1016" s="61" t="s">
        <v>997</v>
      </c>
      <c r="C1016" s="54"/>
      <c r="D1016" s="54"/>
      <c r="E1016" s="54"/>
      <c r="F1016" s="54"/>
      <c r="G1016" s="54"/>
      <c r="H1016" s="54"/>
      <c r="I1016" s="54"/>
      <c r="J1016" s="54"/>
      <c r="K1016" s="54"/>
      <c r="L1016" s="54"/>
      <c r="M1016" s="54">
        <f t="shared" si="14"/>
        <v>0</v>
      </c>
      <c r="N1016" s="55"/>
      <c r="O1016" s="54"/>
      <c r="P1016" s="54"/>
      <c r="Q1016" s="54"/>
      <c r="R1016" s="54"/>
      <c r="S1016" s="54"/>
      <c r="T1016" s="54"/>
      <c r="U1016" s="54"/>
      <c r="V1016" s="54"/>
      <c r="W1016" s="54"/>
      <c r="X1016" s="54"/>
    </row>
    <row r="1017" spans="1:24" customFormat="1">
      <c r="A1017" s="52">
        <v>46315</v>
      </c>
      <c r="B1017" s="61" t="s">
        <v>997</v>
      </c>
      <c r="C1017" s="54"/>
      <c r="D1017" s="54"/>
      <c r="E1017" s="54"/>
      <c r="F1017" s="54"/>
      <c r="G1017" s="54"/>
      <c r="H1017" s="54"/>
      <c r="I1017" s="54"/>
      <c r="J1017" s="54"/>
      <c r="K1017" s="54"/>
      <c r="L1017" s="54"/>
      <c r="M1017" s="54">
        <f t="shared" si="14"/>
        <v>0</v>
      </c>
      <c r="N1017" s="55"/>
      <c r="O1017" s="54"/>
      <c r="P1017" s="54"/>
      <c r="Q1017" s="54"/>
      <c r="R1017" s="54"/>
      <c r="S1017" s="54"/>
      <c r="T1017" s="54"/>
      <c r="U1017" s="54"/>
      <c r="V1017" s="54"/>
      <c r="W1017" s="54"/>
      <c r="X1017" s="54"/>
    </row>
    <row r="1018" spans="1:24" customFormat="1">
      <c r="A1018" s="52">
        <v>46316</v>
      </c>
      <c r="B1018" s="61" t="s">
        <v>997</v>
      </c>
      <c r="C1018" s="54"/>
      <c r="D1018" s="54"/>
      <c r="E1018" s="54"/>
      <c r="F1018" s="54"/>
      <c r="G1018" s="54"/>
      <c r="H1018" s="54"/>
      <c r="I1018" s="54"/>
      <c r="J1018" s="54"/>
      <c r="K1018" s="54"/>
      <c r="L1018" s="54"/>
      <c r="M1018" s="54">
        <f t="shared" si="14"/>
        <v>0</v>
      </c>
      <c r="N1018" s="55"/>
      <c r="O1018" s="54"/>
      <c r="P1018" s="54"/>
      <c r="Q1018" s="54"/>
      <c r="R1018" s="54"/>
      <c r="S1018" s="54"/>
      <c r="T1018" s="54"/>
      <c r="U1018" s="54"/>
      <c r="V1018" s="54"/>
      <c r="W1018" s="54"/>
      <c r="X1018" s="54"/>
    </row>
    <row r="1019" spans="1:24" customFormat="1">
      <c r="A1019" s="52">
        <v>46317</v>
      </c>
      <c r="B1019" s="61" t="s">
        <v>997</v>
      </c>
      <c r="C1019" s="54"/>
      <c r="D1019" s="54"/>
      <c r="E1019" s="54"/>
      <c r="F1019" s="54"/>
      <c r="G1019" s="54"/>
      <c r="H1019" s="54"/>
      <c r="I1019" s="54"/>
      <c r="J1019" s="54"/>
      <c r="K1019" s="54"/>
      <c r="L1019" s="54"/>
      <c r="M1019" s="54">
        <f t="shared" si="14"/>
        <v>0</v>
      </c>
      <c r="N1019" s="55"/>
      <c r="O1019" s="54"/>
      <c r="P1019" s="54"/>
      <c r="Q1019" s="54"/>
      <c r="R1019" s="54"/>
      <c r="S1019" s="54"/>
      <c r="T1019" s="54"/>
      <c r="U1019" s="54"/>
      <c r="V1019" s="54"/>
      <c r="W1019" s="54"/>
      <c r="X1019" s="54"/>
    </row>
    <row r="1020" spans="1:24" customFormat="1">
      <c r="A1020" s="52">
        <v>46318</v>
      </c>
      <c r="B1020" s="61" t="s">
        <v>997</v>
      </c>
      <c r="C1020" s="54"/>
      <c r="D1020" s="54"/>
      <c r="E1020" s="54"/>
      <c r="F1020" s="54"/>
      <c r="G1020" s="54"/>
      <c r="H1020" s="54"/>
      <c r="I1020" s="54"/>
      <c r="J1020" s="54"/>
      <c r="K1020" s="54"/>
      <c r="L1020" s="54"/>
      <c r="M1020" s="54">
        <f t="shared" si="14"/>
        <v>0</v>
      </c>
      <c r="N1020" s="55"/>
      <c r="O1020" s="54"/>
      <c r="P1020" s="54"/>
      <c r="Q1020" s="54"/>
      <c r="R1020" s="54"/>
      <c r="S1020" s="54"/>
      <c r="T1020" s="54"/>
      <c r="U1020" s="54"/>
      <c r="V1020" s="54"/>
      <c r="W1020" s="54"/>
      <c r="X1020" s="54"/>
    </row>
    <row r="1021" spans="1:24" customFormat="1">
      <c r="A1021" s="52">
        <v>46319</v>
      </c>
      <c r="B1021" s="61" t="s">
        <v>997</v>
      </c>
      <c r="C1021" s="54"/>
      <c r="D1021" s="54"/>
      <c r="E1021" s="54"/>
      <c r="F1021" s="54"/>
      <c r="G1021" s="54"/>
      <c r="H1021" s="54"/>
      <c r="I1021" s="54"/>
      <c r="J1021" s="54"/>
      <c r="K1021" s="54"/>
      <c r="L1021" s="54"/>
      <c r="M1021" s="54">
        <f t="shared" si="14"/>
        <v>0</v>
      </c>
      <c r="N1021" s="55"/>
      <c r="O1021" s="54"/>
      <c r="P1021" s="54"/>
      <c r="Q1021" s="54"/>
      <c r="R1021" s="54"/>
      <c r="S1021" s="54"/>
      <c r="T1021" s="54"/>
      <c r="U1021" s="54"/>
      <c r="V1021" s="54"/>
      <c r="W1021" s="54"/>
      <c r="X1021" s="54"/>
    </row>
    <row r="1022" spans="1:24" customFormat="1">
      <c r="A1022" s="52">
        <v>46320</v>
      </c>
      <c r="B1022" s="61" t="s">
        <v>997</v>
      </c>
      <c r="C1022" s="54"/>
      <c r="D1022" s="54"/>
      <c r="E1022" s="54"/>
      <c r="F1022" s="54"/>
      <c r="G1022" s="54"/>
      <c r="H1022" s="54"/>
      <c r="I1022" s="54"/>
      <c r="J1022" s="54"/>
      <c r="K1022" s="54"/>
      <c r="L1022" s="54"/>
      <c r="M1022" s="54">
        <f t="shared" si="14"/>
        <v>0</v>
      </c>
      <c r="N1022" s="55"/>
      <c r="O1022" s="54"/>
      <c r="P1022" s="54"/>
      <c r="Q1022" s="54"/>
      <c r="R1022" s="54"/>
      <c r="S1022" s="54"/>
      <c r="T1022" s="54"/>
      <c r="U1022" s="54"/>
      <c r="V1022" s="54"/>
      <c r="W1022" s="54"/>
      <c r="X1022" s="54"/>
    </row>
    <row r="1023" spans="1:24" customFormat="1">
      <c r="A1023" s="52">
        <v>46321</v>
      </c>
      <c r="B1023" s="61" t="s">
        <v>997</v>
      </c>
      <c r="C1023" s="54"/>
      <c r="D1023" s="54"/>
      <c r="E1023" s="54"/>
      <c r="F1023" s="54"/>
      <c r="G1023" s="54"/>
      <c r="H1023" s="54"/>
      <c r="I1023" s="54"/>
      <c r="J1023" s="54"/>
      <c r="K1023" s="54"/>
      <c r="L1023" s="54"/>
      <c r="M1023" s="54">
        <f t="shared" si="14"/>
        <v>0</v>
      </c>
      <c r="N1023" s="55"/>
      <c r="O1023" s="54"/>
      <c r="P1023" s="54"/>
      <c r="Q1023" s="54"/>
      <c r="R1023" s="54"/>
      <c r="S1023" s="54"/>
      <c r="T1023" s="54"/>
      <c r="U1023" s="54"/>
      <c r="V1023" s="54"/>
      <c r="W1023" s="54"/>
      <c r="X1023" s="54"/>
    </row>
    <row r="1024" spans="1:24" customFormat="1">
      <c r="A1024" s="52">
        <v>46322</v>
      </c>
      <c r="B1024" s="61" t="s">
        <v>997</v>
      </c>
      <c r="C1024" s="54"/>
      <c r="D1024" s="54"/>
      <c r="E1024" s="54"/>
      <c r="F1024" s="54"/>
      <c r="G1024" s="54"/>
      <c r="H1024" s="54"/>
      <c r="I1024" s="54"/>
      <c r="J1024" s="54"/>
      <c r="K1024" s="54"/>
      <c r="L1024" s="54"/>
      <c r="M1024" s="54">
        <f t="shared" si="14"/>
        <v>0</v>
      </c>
      <c r="N1024" s="55"/>
      <c r="O1024" s="54"/>
      <c r="P1024" s="54"/>
      <c r="Q1024" s="54"/>
      <c r="R1024" s="54"/>
      <c r="S1024" s="54"/>
      <c r="T1024" s="54"/>
      <c r="U1024" s="54"/>
      <c r="V1024" s="54"/>
      <c r="W1024" s="54"/>
      <c r="X1024" s="54"/>
    </row>
    <row r="1025" spans="1:24" customFormat="1">
      <c r="A1025" s="52">
        <v>46323</v>
      </c>
      <c r="B1025" s="61" t="s">
        <v>997</v>
      </c>
      <c r="C1025" s="54"/>
      <c r="D1025" s="54"/>
      <c r="E1025" s="54"/>
      <c r="F1025" s="54"/>
      <c r="G1025" s="54"/>
      <c r="H1025" s="54"/>
      <c r="I1025" s="54"/>
      <c r="J1025" s="54"/>
      <c r="K1025" s="54"/>
      <c r="L1025" s="54"/>
      <c r="M1025" s="54">
        <f t="shared" si="14"/>
        <v>0</v>
      </c>
      <c r="N1025" s="55"/>
      <c r="O1025" s="54"/>
      <c r="P1025" s="54"/>
      <c r="Q1025" s="54"/>
      <c r="R1025" s="54"/>
      <c r="S1025" s="54"/>
      <c r="T1025" s="54"/>
      <c r="U1025" s="54"/>
      <c r="V1025" s="54"/>
      <c r="W1025" s="54"/>
      <c r="X1025" s="54"/>
    </row>
    <row r="1026" spans="1:24" customFormat="1">
      <c r="A1026" s="52">
        <v>46324</v>
      </c>
      <c r="B1026" s="61" t="s">
        <v>997</v>
      </c>
      <c r="C1026" s="54"/>
      <c r="D1026" s="54"/>
      <c r="E1026" s="54"/>
      <c r="F1026" s="54"/>
      <c r="G1026" s="54"/>
      <c r="H1026" s="54"/>
      <c r="I1026" s="54"/>
      <c r="J1026" s="54"/>
      <c r="K1026" s="54"/>
      <c r="L1026" s="54"/>
      <c r="M1026" s="54">
        <f t="shared" si="14"/>
        <v>0</v>
      </c>
      <c r="N1026" s="55"/>
      <c r="O1026" s="54"/>
      <c r="P1026" s="54"/>
      <c r="Q1026" s="54"/>
      <c r="R1026" s="54"/>
      <c r="S1026" s="54"/>
      <c r="T1026" s="54"/>
      <c r="U1026" s="54"/>
      <c r="V1026" s="54"/>
      <c r="W1026" s="54"/>
      <c r="X1026" s="54"/>
    </row>
    <row r="1027" spans="1:24" customFormat="1">
      <c r="A1027" s="52">
        <v>46325</v>
      </c>
      <c r="B1027" s="61" t="s">
        <v>997</v>
      </c>
      <c r="C1027" s="54"/>
      <c r="D1027" s="54"/>
      <c r="E1027" s="54"/>
      <c r="F1027" s="54"/>
      <c r="G1027" s="54"/>
      <c r="H1027" s="54"/>
      <c r="I1027" s="54"/>
      <c r="J1027" s="54"/>
      <c r="K1027" s="54"/>
      <c r="L1027" s="54"/>
      <c r="M1027" s="54">
        <f t="shared" si="14"/>
        <v>0</v>
      </c>
      <c r="N1027" s="55"/>
      <c r="O1027" s="54"/>
      <c r="P1027" s="54"/>
      <c r="Q1027" s="54"/>
      <c r="R1027" s="54"/>
      <c r="S1027" s="54"/>
      <c r="T1027" s="54"/>
      <c r="U1027" s="54"/>
      <c r="V1027" s="54"/>
      <c r="W1027" s="54"/>
      <c r="X1027" s="54"/>
    </row>
    <row r="1028" spans="1:24" customFormat="1">
      <c r="A1028" s="52">
        <v>46326</v>
      </c>
      <c r="B1028" s="61" t="s">
        <v>997</v>
      </c>
      <c r="C1028" s="54"/>
      <c r="D1028" s="54"/>
      <c r="E1028" s="54"/>
      <c r="F1028" s="54"/>
      <c r="G1028" s="54"/>
      <c r="H1028" s="54"/>
      <c r="I1028" s="54"/>
      <c r="J1028" s="54"/>
      <c r="K1028" s="54"/>
      <c r="L1028" s="54"/>
      <c r="M1028" s="54">
        <f t="shared" si="14"/>
        <v>0</v>
      </c>
      <c r="N1028" s="55"/>
      <c r="O1028" s="54"/>
      <c r="P1028" s="54"/>
      <c r="Q1028" s="54"/>
      <c r="R1028" s="54"/>
      <c r="S1028" s="54"/>
      <c r="T1028" s="54"/>
      <c r="U1028" s="54"/>
      <c r="V1028" s="54"/>
      <c r="W1028" s="54"/>
      <c r="X1028" s="54"/>
    </row>
    <row r="1029" spans="1:24" customFormat="1">
      <c r="A1029" s="52">
        <v>46327</v>
      </c>
      <c r="B1029" s="61" t="s">
        <v>997</v>
      </c>
      <c r="C1029" s="54"/>
      <c r="D1029" s="54"/>
      <c r="E1029" s="54"/>
      <c r="F1029" s="54"/>
      <c r="G1029" s="54"/>
      <c r="H1029" s="54"/>
      <c r="I1029" s="54"/>
      <c r="J1029" s="54"/>
      <c r="K1029" s="54"/>
      <c r="L1029" s="54"/>
      <c r="M1029" s="54">
        <f t="shared" si="14"/>
        <v>0</v>
      </c>
      <c r="N1029" s="55"/>
      <c r="O1029" s="54"/>
      <c r="P1029" s="54"/>
      <c r="Q1029" s="54"/>
      <c r="R1029" s="54"/>
      <c r="S1029" s="54"/>
      <c r="T1029" s="54"/>
      <c r="U1029" s="54"/>
      <c r="V1029" s="54"/>
      <c r="W1029" s="54"/>
      <c r="X1029" s="54"/>
    </row>
    <row r="1030" spans="1:24" customFormat="1">
      <c r="A1030" s="52">
        <v>46328</v>
      </c>
      <c r="B1030" s="61" t="s">
        <v>997</v>
      </c>
      <c r="C1030" s="54"/>
      <c r="D1030" s="54"/>
      <c r="E1030" s="54"/>
      <c r="F1030" s="54"/>
      <c r="G1030" s="54"/>
      <c r="H1030" s="54"/>
      <c r="I1030" s="54"/>
      <c r="J1030" s="54"/>
      <c r="K1030" s="54"/>
      <c r="L1030" s="54"/>
      <c r="M1030" s="54">
        <f t="shared" si="14"/>
        <v>0</v>
      </c>
      <c r="N1030" s="55"/>
      <c r="O1030" s="54"/>
      <c r="P1030" s="54"/>
      <c r="Q1030" s="54"/>
      <c r="R1030" s="54"/>
      <c r="S1030" s="54"/>
      <c r="T1030" s="54"/>
      <c r="U1030" s="54"/>
      <c r="V1030" s="54"/>
      <c r="W1030" s="54"/>
      <c r="X1030" s="54"/>
    </row>
    <row r="1031" spans="1:24" customFormat="1">
      <c r="A1031" s="52">
        <v>46329</v>
      </c>
      <c r="B1031" s="61" t="s">
        <v>997</v>
      </c>
      <c r="C1031" s="54"/>
      <c r="D1031" s="54"/>
      <c r="E1031" s="54"/>
      <c r="F1031" s="54"/>
      <c r="G1031" s="54"/>
      <c r="H1031" s="54"/>
      <c r="I1031" s="54"/>
      <c r="J1031" s="54"/>
      <c r="K1031" s="54"/>
      <c r="L1031" s="54"/>
      <c r="M1031" s="54">
        <f t="shared" si="14"/>
        <v>0</v>
      </c>
      <c r="N1031" s="55"/>
      <c r="O1031" s="54"/>
      <c r="P1031" s="54"/>
      <c r="Q1031" s="54"/>
      <c r="R1031" s="54"/>
      <c r="S1031" s="54"/>
      <c r="T1031" s="54"/>
      <c r="U1031" s="54"/>
      <c r="V1031" s="54"/>
      <c r="W1031" s="54"/>
      <c r="X1031" s="54"/>
    </row>
    <row r="1032" spans="1:24" customFormat="1">
      <c r="A1032" s="52">
        <v>46330</v>
      </c>
      <c r="B1032" s="61" t="s">
        <v>997</v>
      </c>
      <c r="C1032" s="54"/>
      <c r="D1032" s="54"/>
      <c r="E1032" s="54"/>
      <c r="F1032" s="54"/>
      <c r="G1032" s="54"/>
      <c r="H1032" s="54"/>
      <c r="I1032" s="54"/>
      <c r="J1032" s="54"/>
      <c r="K1032" s="54"/>
      <c r="L1032" s="54"/>
      <c r="M1032" s="54">
        <f t="shared" si="14"/>
        <v>0</v>
      </c>
      <c r="N1032" s="55"/>
      <c r="O1032" s="54"/>
      <c r="P1032" s="54"/>
      <c r="Q1032" s="54"/>
      <c r="R1032" s="54"/>
      <c r="S1032" s="54"/>
      <c r="T1032" s="54"/>
      <c r="U1032" s="54"/>
      <c r="V1032" s="54"/>
      <c r="W1032" s="54"/>
      <c r="X1032" s="54"/>
    </row>
    <row r="1033" spans="1:24" customFormat="1">
      <c r="A1033" s="52">
        <v>46331</v>
      </c>
      <c r="B1033" s="61" t="s">
        <v>997</v>
      </c>
      <c r="C1033" s="54"/>
      <c r="D1033" s="54"/>
      <c r="E1033" s="54"/>
      <c r="F1033" s="54"/>
      <c r="G1033" s="54"/>
      <c r="H1033" s="54"/>
      <c r="I1033" s="54"/>
      <c r="J1033" s="54"/>
      <c r="K1033" s="54"/>
      <c r="L1033" s="54"/>
      <c r="M1033" s="54">
        <f t="shared" si="14"/>
        <v>0</v>
      </c>
      <c r="N1033" s="55"/>
      <c r="O1033" s="54"/>
      <c r="P1033" s="54"/>
      <c r="Q1033" s="54"/>
      <c r="R1033" s="54"/>
      <c r="S1033" s="54"/>
      <c r="T1033" s="54"/>
      <c r="U1033" s="54"/>
      <c r="V1033" s="54"/>
      <c r="W1033" s="54"/>
      <c r="X1033" s="54"/>
    </row>
    <row r="1034" spans="1:24" customFormat="1">
      <c r="A1034" s="52">
        <v>46332</v>
      </c>
      <c r="B1034" s="61" t="s">
        <v>997</v>
      </c>
      <c r="C1034" s="54"/>
      <c r="D1034" s="54"/>
      <c r="E1034" s="54"/>
      <c r="F1034" s="54"/>
      <c r="G1034" s="54"/>
      <c r="H1034" s="54"/>
      <c r="I1034" s="54"/>
      <c r="J1034" s="54"/>
      <c r="K1034" s="54"/>
      <c r="L1034" s="54"/>
      <c r="M1034" s="54">
        <f t="shared" si="14"/>
        <v>0</v>
      </c>
      <c r="N1034" s="55"/>
      <c r="O1034" s="54"/>
      <c r="P1034" s="54"/>
      <c r="Q1034" s="54"/>
      <c r="R1034" s="54"/>
      <c r="S1034" s="54"/>
      <c r="T1034" s="54"/>
      <c r="U1034" s="54"/>
      <c r="V1034" s="54"/>
      <c r="W1034" s="54"/>
      <c r="X1034" s="54"/>
    </row>
    <row r="1035" spans="1:24" customFormat="1">
      <c r="A1035" s="52">
        <v>46333</v>
      </c>
      <c r="B1035" s="61" t="s">
        <v>997</v>
      </c>
      <c r="C1035" s="54"/>
      <c r="D1035" s="54"/>
      <c r="E1035" s="54"/>
      <c r="F1035" s="54"/>
      <c r="G1035" s="54"/>
      <c r="H1035" s="54"/>
      <c r="I1035" s="54"/>
      <c r="J1035" s="54"/>
      <c r="K1035" s="54"/>
      <c r="L1035" s="54"/>
      <c r="M1035" s="54">
        <f t="shared" si="14"/>
        <v>0</v>
      </c>
      <c r="N1035" s="55"/>
      <c r="O1035" s="54"/>
      <c r="P1035" s="54"/>
      <c r="Q1035" s="54"/>
      <c r="R1035" s="54"/>
      <c r="S1035" s="54"/>
      <c r="T1035" s="54"/>
      <c r="U1035" s="54"/>
      <c r="V1035" s="54"/>
      <c r="W1035" s="54"/>
      <c r="X1035" s="54"/>
    </row>
    <row r="1036" spans="1:24" customFormat="1">
      <c r="A1036" s="52">
        <v>46334</v>
      </c>
      <c r="B1036" s="61" t="s">
        <v>997</v>
      </c>
      <c r="C1036" s="54"/>
      <c r="D1036" s="54"/>
      <c r="E1036" s="54"/>
      <c r="F1036" s="54"/>
      <c r="G1036" s="54"/>
      <c r="H1036" s="54"/>
      <c r="I1036" s="54"/>
      <c r="J1036" s="54"/>
      <c r="K1036" s="54"/>
      <c r="L1036" s="54"/>
      <c r="M1036" s="54">
        <f t="shared" si="14"/>
        <v>0</v>
      </c>
      <c r="N1036" s="55"/>
      <c r="O1036" s="54"/>
      <c r="P1036" s="54"/>
      <c r="Q1036" s="54"/>
      <c r="R1036" s="54"/>
      <c r="S1036" s="54"/>
      <c r="T1036" s="54"/>
      <c r="U1036" s="54"/>
      <c r="V1036" s="54"/>
      <c r="W1036" s="54"/>
      <c r="X1036" s="54"/>
    </row>
    <row r="1037" spans="1:24" customFormat="1">
      <c r="A1037" s="52">
        <v>46335</v>
      </c>
      <c r="B1037" s="61" t="s">
        <v>997</v>
      </c>
      <c r="C1037" s="54"/>
      <c r="D1037" s="54"/>
      <c r="E1037" s="54"/>
      <c r="F1037" s="54"/>
      <c r="G1037" s="54"/>
      <c r="H1037" s="54"/>
      <c r="I1037" s="54"/>
      <c r="J1037" s="54"/>
      <c r="K1037" s="54"/>
      <c r="L1037" s="54"/>
      <c r="M1037" s="54">
        <f t="shared" si="14"/>
        <v>0</v>
      </c>
      <c r="N1037" s="55"/>
      <c r="O1037" s="54"/>
      <c r="P1037" s="54"/>
      <c r="Q1037" s="54"/>
      <c r="R1037" s="54"/>
      <c r="S1037" s="54"/>
      <c r="T1037" s="54"/>
      <c r="U1037" s="54"/>
      <c r="V1037" s="54"/>
      <c r="W1037" s="54"/>
      <c r="X1037" s="54"/>
    </row>
    <row r="1038" spans="1:24" customFormat="1">
      <c r="A1038" s="52">
        <v>46336</v>
      </c>
      <c r="B1038" s="61" t="s">
        <v>997</v>
      </c>
      <c r="C1038" s="54"/>
      <c r="D1038" s="54"/>
      <c r="E1038" s="54"/>
      <c r="F1038" s="54"/>
      <c r="G1038" s="54"/>
      <c r="H1038" s="54"/>
      <c r="I1038" s="54"/>
      <c r="J1038" s="54"/>
      <c r="K1038" s="54"/>
      <c r="L1038" s="54"/>
      <c r="M1038" s="54">
        <f t="shared" si="14"/>
        <v>0</v>
      </c>
      <c r="N1038" s="55"/>
      <c r="O1038" s="54"/>
      <c r="P1038" s="54"/>
      <c r="Q1038" s="54"/>
      <c r="R1038" s="54"/>
      <c r="S1038" s="54"/>
      <c r="T1038" s="54"/>
      <c r="U1038" s="54"/>
      <c r="V1038" s="54"/>
      <c r="W1038" s="54"/>
      <c r="X1038" s="54"/>
    </row>
    <row r="1039" spans="1:24" customFormat="1">
      <c r="A1039" s="52">
        <v>46337</v>
      </c>
      <c r="B1039" s="61" t="s">
        <v>997</v>
      </c>
      <c r="C1039" s="54"/>
      <c r="D1039" s="54"/>
      <c r="E1039" s="54"/>
      <c r="F1039" s="54"/>
      <c r="G1039" s="54"/>
      <c r="H1039" s="54"/>
      <c r="I1039" s="54"/>
      <c r="J1039" s="54"/>
      <c r="K1039" s="54"/>
      <c r="L1039" s="54"/>
      <c r="M1039" s="54">
        <f t="shared" si="14"/>
        <v>0</v>
      </c>
      <c r="N1039" s="55"/>
      <c r="O1039" s="54"/>
      <c r="P1039" s="54"/>
      <c r="Q1039" s="54"/>
      <c r="R1039" s="54"/>
      <c r="S1039" s="54"/>
      <c r="T1039" s="54"/>
      <c r="U1039" s="54"/>
      <c r="V1039" s="54"/>
      <c r="W1039" s="54"/>
      <c r="X1039" s="54"/>
    </row>
    <row r="1040" spans="1:24" customFormat="1">
      <c r="A1040" s="52">
        <v>46338</v>
      </c>
      <c r="B1040" s="61" t="s">
        <v>997</v>
      </c>
      <c r="C1040" s="54"/>
      <c r="D1040" s="54"/>
      <c r="E1040" s="54"/>
      <c r="F1040" s="54"/>
      <c r="G1040" s="54"/>
      <c r="H1040" s="54"/>
      <c r="I1040" s="54"/>
      <c r="J1040" s="54"/>
      <c r="K1040" s="54"/>
      <c r="L1040" s="54"/>
      <c r="M1040" s="54">
        <f t="shared" si="14"/>
        <v>0</v>
      </c>
      <c r="N1040" s="55"/>
      <c r="O1040" s="54"/>
      <c r="P1040" s="54"/>
      <c r="Q1040" s="54"/>
      <c r="R1040" s="54"/>
      <c r="S1040" s="54"/>
      <c r="T1040" s="54"/>
      <c r="U1040" s="54"/>
      <c r="V1040" s="54"/>
      <c r="W1040" s="54"/>
      <c r="X1040" s="54"/>
    </row>
    <row r="1041" spans="1:24" customFormat="1">
      <c r="A1041" s="52">
        <v>46339</v>
      </c>
      <c r="B1041" s="61" t="s">
        <v>997</v>
      </c>
      <c r="C1041" s="54"/>
      <c r="D1041" s="54"/>
      <c r="E1041" s="54"/>
      <c r="F1041" s="54"/>
      <c r="G1041" s="54"/>
      <c r="H1041" s="54"/>
      <c r="I1041" s="54"/>
      <c r="J1041" s="54"/>
      <c r="K1041" s="54"/>
      <c r="L1041" s="54"/>
      <c r="M1041" s="54">
        <f t="shared" si="14"/>
        <v>0</v>
      </c>
      <c r="N1041" s="55"/>
      <c r="O1041" s="54"/>
      <c r="P1041" s="54"/>
      <c r="Q1041" s="54"/>
      <c r="R1041" s="54"/>
      <c r="S1041" s="54"/>
      <c r="T1041" s="54"/>
      <c r="U1041" s="54"/>
      <c r="V1041" s="54"/>
      <c r="W1041" s="54"/>
      <c r="X1041" s="54"/>
    </row>
    <row r="1042" spans="1:24" customFormat="1">
      <c r="A1042" s="52">
        <v>46340</v>
      </c>
      <c r="B1042" s="61" t="s">
        <v>997</v>
      </c>
      <c r="C1042" s="54"/>
      <c r="D1042" s="54"/>
      <c r="E1042" s="54"/>
      <c r="F1042" s="54"/>
      <c r="G1042" s="54"/>
      <c r="H1042" s="54"/>
      <c r="I1042" s="54"/>
      <c r="J1042" s="54"/>
      <c r="K1042" s="54"/>
      <c r="L1042" s="54"/>
      <c r="M1042" s="54">
        <f t="shared" si="14"/>
        <v>0</v>
      </c>
      <c r="N1042" s="55"/>
      <c r="O1042" s="54"/>
      <c r="P1042" s="54"/>
      <c r="Q1042" s="54"/>
      <c r="R1042" s="54"/>
      <c r="S1042" s="54"/>
      <c r="T1042" s="54"/>
      <c r="U1042" s="54"/>
      <c r="V1042" s="54"/>
      <c r="W1042" s="54"/>
      <c r="X1042" s="54"/>
    </row>
    <row r="1043" spans="1:24" customFormat="1">
      <c r="A1043" s="52">
        <v>46341</v>
      </c>
      <c r="B1043" s="61" t="s">
        <v>997</v>
      </c>
      <c r="C1043" s="54"/>
      <c r="D1043" s="54"/>
      <c r="E1043" s="54"/>
      <c r="F1043" s="54"/>
      <c r="G1043" s="54"/>
      <c r="H1043" s="54"/>
      <c r="I1043" s="54"/>
      <c r="J1043" s="54"/>
      <c r="K1043" s="54"/>
      <c r="L1043" s="54"/>
      <c r="M1043" s="54">
        <f t="shared" si="14"/>
        <v>0</v>
      </c>
      <c r="N1043" s="55"/>
      <c r="O1043" s="54"/>
      <c r="P1043" s="54"/>
      <c r="Q1043" s="54"/>
      <c r="R1043" s="54"/>
      <c r="S1043" s="54"/>
      <c r="T1043" s="54"/>
      <c r="U1043" s="54"/>
      <c r="V1043" s="54"/>
      <c r="W1043" s="54"/>
      <c r="X1043" s="54"/>
    </row>
    <row r="1044" spans="1:24" customFormat="1">
      <c r="A1044" s="52">
        <v>46342</v>
      </c>
      <c r="B1044" s="61" t="s">
        <v>997</v>
      </c>
      <c r="C1044" s="54"/>
      <c r="D1044" s="54"/>
      <c r="E1044" s="54"/>
      <c r="F1044" s="54"/>
      <c r="G1044" s="54"/>
      <c r="H1044" s="54"/>
      <c r="I1044" s="54"/>
      <c r="J1044" s="54"/>
      <c r="K1044" s="54"/>
      <c r="L1044" s="54"/>
      <c r="M1044" s="54">
        <f t="shared" si="14"/>
        <v>0</v>
      </c>
      <c r="N1044" s="55"/>
      <c r="O1044" s="54"/>
      <c r="P1044" s="54"/>
      <c r="Q1044" s="54"/>
      <c r="R1044" s="54"/>
      <c r="S1044" s="54"/>
      <c r="T1044" s="54"/>
      <c r="U1044" s="54"/>
      <c r="V1044" s="54"/>
      <c r="W1044" s="54"/>
      <c r="X1044" s="54"/>
    </row>
    <row r="1045" spans="1:24" customFormat="1">
      <c r="A1045" s="52">
        <v>46343</v>
      </c>
      <c r="B1045" s="61" t="s">
        <v>997</v>
      </c>
      <c r="C1045" s="54"/>
      <c r="D1045" s="54"/>
      <c r="E1045" s="54"/>
      <c r="F1045" s="54"/>
      <c r="G1045" s="54"/>
      <c r="H1045" s="54"/>
      <c r="I1045" s="54"/>
      <c r="J1045" s="54"/>
      <c r="K1045" s="54"/>
      <c r="L1045" s="54"/>
      <c r="M1045" s="54">
        <f t="shared" si="14"/>
        <v>0</v>
      </c>
      <c r="N1045" s="55"/>
      <c r="O1045" s="54"/>
      <c r="P1045" s="54"/>
      <c r="Q1045" s="54"/>
      <c r="R1045" s="54"/>
      <c r="S1045" s="54"/>
      <c r="T1045" s="54"/>
      <c r="U1045" s="54"/>
      <c r="V1045" s="54"/>
      <c r="W1045" s="54"/>
      <c r="X1045" s="54"/>
    </row>
    <row r="1046" spans="1:24" customFormat="1">
      <c r="A1046" s="52">
        <v>46344</v>
      </c>
      <c r="B1046" s="61" t="s">
        <v>997</v>
      </c>
      <c r="C1046" s="54"/>
      <c r="D1046" s="54"/>
      <c r="E1046" s="54"/>
      <c r="F1046" s="54"/>
      <c r="G1046" s="54"/>
      <c r="H1046" s="54"/>
      <c r="I1046" s="54"/>
      <c r="J1046" s="54"/>
      <c r="K1046" s="54"/>
      <c r="L1046" s="54"/>
      <c r="M1046" s="54">
        <f t="shared" si="14"/>
        <v>0</v>
      </c>
      <c r="N1046" s="55"/>
      <c r="O1046" s="54"/>
      <c r="P1046" s="54"/>
      <c r="Q1046" s="54"/>
      <c r="R1046" s="54"/>
      <c r="S1046" s="54"/>
      <c r="T1046" s="54"/>
      <c r="U1046" s="54"/>
      <c r="V1046" s="54"/>
      <c r="W1046" s="54"/>
      <c r="X1046" s="54"/>
    </row>
    <row r="1047" spans="1:24" customFormat="1">
      <c r="A1047" s="52">
        <v>46345</v>
      </c>
      <c r="B1047" s="61" t="s">
        <v>997</v>
      </c>
      <c r="C1047" s="54"/>
      <c r="D1047" s="54"/>
      <c r="E1047" s="54"/>
      <c r="F1047" s="54"/>
      <c r="G1047" s="54"/>
      <c r="H1047" s="54"/>
      <c r="I1047" s="54"/>
      <c r="J1047" s="54"/>
      <c r="K1047" s="54"/>
      <c r="L1047" s="54"/>
      <c r="M1047" s="54">
        <f t="shared" si="14"/>
        <v>0</v>
      </c>
      <c r="N1047" s="55"/>
      <c r="O1047" s="54"/>
      <c r="P1047" s="54"/>
      <c r="Q1047" s="54"/>
      <c r="R1047" s="54"/>
      <c r="S1047" s="54"/>
      <c r="T1047" s="54"/>
      <c r="U1047" s="54"/>
      <c r="V1047" s="54"/>
      <c r="W1047" s="54"/>
      <c r="X1047" s="54"/>
    </row>
    <row r="1048" spans="1:24" customFormat="1">
      <c r="A1048" s="52">
        <v>46346</v>
      </c>
      <c r="B1048" s="61" t="s">
        <v>997</v>
      </c>
      <c r="C1048" s="54"/>
      <c r="D1048" s="54"/>
      <c r="E1048" s="54"/>
      <c r="F1048" s="54"/>
      <c r="G1048" s="54"/>
      <c r="H1048" s="54"/>
      <c r="I1048" s="54"/>
      <c r="J1048" s="54"/>
      <c r="K1048" s="54"/>
      <c r="L1048" s="54"/>
      <c r="M1048" s="54">
        <f t="shared" si="14"/>
        <v>0</v>
      </c>
      <c r="N1048" s="55"/>
      <c r="O1048" s="54"/>
      <c r="P1048" s="54"/>
      <c r="Q1048" s="54"/>
      <c r="R1048" s="54"/>
      <c r="S1048" s="54"/>
      <c r="T1048" s="54"/>
      <c r="U1048" s="54"/>
      <c r="V1048" s="54"/>
      <c r="W1048" s="54"/>
      <c r="X1048" s="54"/>
    </row>
    <row r="1049" spans="1:24" customFormat="1">
      <c r="A1049" s="52">
        <v>46347</v>
      </c>
      <c r="B1049" s="61" t="s">
        <v>997</v>
      </c>
      <c r="C1049" s="54"/>
      <c r="D1049" s="54"/>
      <c r="E1049" s="54"/>
      <c r="F1049" s="54"/>
      <c r="G1049" s="54"/>
      <c r="H1049" s="54"/>
      <c r="I1049" s="54"/>
      <c r="J1049" s="54"/>
      <c r="K1049" s="54"/>
      <c r="L1049" s="54"/>
      <c r="M1049" s="54">
        <f t="shared" si="14"/>
        <v>0</v>
      </c>
      <c r="N1049" s="55"/>
      <c r="O1049" s="54"/>
      <c r="P1049" s="54"/>
      <c r="Q1049" s="54"/>
      <c r="R1049" s="54"/>
      <c r="S1049" s="54"/>
      <c r="T1049" s="54"/>
      <c r="U1049" s="54"/>
      <c r="V1049" s="54"/>
      <c r="W1049" s="54"/>
      <c r="X1049" s="54"/>
    </row>
    <row r="1050" spans="1:24" customFormat="1">
      <c r="A1050" s="52">
        <v>46348</v>
      </c>
      <c r="B1050" s="61" t="s">
        <v>997</v>
      </c>
      <c r="C1050" s="54"/>
      <c r="D1050" s="54"/>
      <c r="E1050" s="54"/>
      <c r="F1050" s="54"/>
      <c r="G1050" s="54"/>
      <c r="H1050" s="54"/>
      <c r="I1050" s="54"/>
      <c r="J1050" s="54"/>
      <c r="K1050" s="54"/>
      <c r="L1050" s="54"/>
      <c r="M1050" s="54">
        <f t="shared" si="14"/>
        <v>0</v>
      </c>
      <c r="N1050" s="55"/>
      <c r="O1050" s="54"/>
      <c r="P1050" s="54"/>
      <c r="Q1050" s="54"/>
      <c r="R1050" s="54"/>
      <c r="S1050" s="54"/>
      <c r="T1050" s="54"/>
      <c r="U1050" s="54"/>
      <c r="V1050" s="54"/>
      <c r="W1050" s="54"/>
      <c r="X1050" s="54"/>
    </row>
    <row r="1051" spans="1:24" customFormat="1">
      <c r="A1051" s="52">
        <v>46349</v>
      </c>
      <c r="B1051" s="61" t="s">
        <v>997</v>
      </c>
      <c r="C1051" s="54"/>
      <c r="D1051" s="54"/>
      <c r="E1051" s="54"/>
      <c r="F1051" s="54"/>
      <c r="G1051" s="54"/>
      <c r="H1051" s="54"/>
      <c r="I1051" s="54"/>
      <c r="J1051" s="54"/>
      <c r="K1051" s="54"/>
      <c r="L1051" s="54"/>
      <c r="M1051" s="54">
        <f t="shared" si="14"/>
        <v>0</v>
      </c>
      <c r="N1051" s="55"/>
      <c r="O1051" s="54"/>
      <c r="P1051" s="54"/>
      <c r="Q1051" s="54"/>
      <c r="R1051" s="54"/>
      <c r="S1051" s="54"/>
      <c r="T1051" s="54"/>
      <c r="U1051" s="54"/>
      <c r="V1051" s="54"/>
      <c r="W1051" s="54"/>
      <c r="X1051" s="54"/>
    </row>
    <row r="1052" spans="1:24" customFormat="1">
      <c r="A1052" s="52">
        <v>46350</v>
      </c>
      <c r="B1052" s="61" t="s">
        <v>997</v>
      </c>
      <c r="C1052" s="54"/>
      <c r="D1052" s="54"/>
      <c r="E1052" s="54"/>
      <c r="F1052" s="54"/>
      <c r="G1052" s="54"/>
      <c r="H1052" s="54"/>
      <c r="I1052" s="54"/>
      <c r="J1052" s="54"/>
      <c r="K1052" s="54"/>
      <c r="L1052" s="54"/>
      <c r="M1052" s="54">
        <f t="shared" si="14"/>
        <v>0</v>
      </c>
      <c r="N1052" s="55"/>
      <c r="O1052" s="54"/>
      <c r="P1052" s="54"/>
      <c r="Q1052" s="54"/>
      <c r="R1052" s="54"/>
      <c r="S1052" s="54"/>
      <c r="T1052" s="54"/>
      <c r="U1052" s="54"/>
      <c r="V1052" s="54"/>
      <c r="W1052" s="54"/>
      <c r="X1052" s="54"/>
    </row>
    <row r="1053" spans="1:24" customFormat="1">
      <c r="A1053" s="52">
        <v>46351</v>
      </c>
      <c r="B1053" s="61" t="s">
        <v>997</v>
      </c>
      <c r="C1053" s="54"/>
      <c r="D1053" s="54"/>
      <c r="E1053" s="54"/>
      <c r="F1053" s="54"/>
      <c r="G1053" s="54"/>
      <c r="H1053" s="54"/>
      <c r="I1053" s="54"/>
      <c r="J1053" s="54"/>
      <c r="K1053" s="54"/>
      <c r="L1053" s="54"/>
      <c r="M1053" s="54">
        <f t="shared" si="14"/>
        <v>0</v>
      </c>
      <c r="N1053" s="55"/>
      <c r="O1053" s="54"/>
      <c r="P1053" s="54"/>
      <c r="Q1053" s="54"/>
      <c r="R1053" s="54"/>
      <c r="S1053" s="54"/>
      <c r="T1053" s="54"/>
      <c r="U1053" s="54"/>
      <c r="V1053" s="54"/>
      <c r="W1053" s="54"/>
      <c r="X1053" s="54"/>
    </row>
    <row r="1054" spans="1:24" customFormat="1">
      <c r="A1054" s="52">
        <v>46352</v>
      </c>
      <c r="B1054" s="61" t="s">
        <v>997</v>
      </c>
      <c r="C1054" s="54"/>
      <c r="D1054" s="54"/>
      <c r="E1054" s="54"/>
      <c r="F1054" s="54"/>
      <c r="G1054" s="54"/>
      <c r="H1054" s="54"/>
      <c r="I1054" s="54"/>
      <c r="J1054" s="54"/>
      <c r="K1054" s="54"/>
      <c r="L1054" s="54"/>
      <c r="M1054" s="54">
        <f t="shared" si="14"/>
        <v>0</v>
      </c>
      <c r="N1054" s="55"/>
      <c r="O1054" s="54"/>
      <c r="P1054" s="54"/>
      <c r="Q1054" s="54"/>
      <c r="R1054" s="54"/>
      <c r="S1054" s="54"/>
      <c r="T1054" s="54"/>
      <c r="U1054" s="54"/>
      <c r="V1054" s="54"/>
      <c r="W1054" s="54"/>
      <c r="X1054" s="54"/>
    </row>
    <row r="1055" spans="1:24" customFormat="1">
      <c r="A1055" s="52">
        <v>46353</v>
      </c>
      <c r="B1055" s="61" t="s">
        <v>997</v>
      </c>
      <c r="C1055" s="54"/>
      <c r="D1055" s="54"/>
      <c r="E1055" s="54"/>
      <c r="F1055" s="54"/>
      <c r="G1055" s="54"/>
      <c r="H1055" s="54"/>
      <c r="I1055" s="54"/>
      <c r="J1055" s="54"/>
      <c r="K1055" s="54"/>
      <c r="L1055" s="54"/>
      <c r="M1055" s="54">
        <f t="shared" si="14"/>
        <v>0</v>
      </c>
      <c r="N1055" s="55"/>
      <c r="O1055" s="54"/>
      <c r="P1055" s="54"/>
      <c r="Q1055" s="54"/>
      <c r="R1055" s="54"/>
      <c r="S1055" s="54"/>
      <c r="T1055" s="54"/>
      <c r="U1055" s="54"/>
      <c r="V1055" s="54"/>
      <c r="W1055" s="54"/>
      <c r="X1055" s="54"/>
    </row>
    <row r="1056" spans="1:24" customFormat="1">
      <c r="A1056" s="52">
        <v>46354</v>
      </c>
      <c r="B1056" s="61" t="s">
        <v>997</v>
      </c>
      <c r="C1056" s="54"/>
      <c r="D1056" s="54"/>
      <c r="E1056" s="54"/>
      <c r="F1056" s="54"/>
      <c r="G1056" s="54"/>
      <c r="H1056" s="54"/>
      <c r="I1056" s="54"/>
      <c r="J1056" s="54"/>
      <c r="K1056" s="54"/>
      <c r="L1056" s="54"/>
      <c r="M1056" s="54">
        <f t="shared" si="14"/>
        <v>0</v>
      </c>
      <c r="N1056" s="55"/>
      <c r="O1056" s="54"/>
      <c r="P1056" s="54"/>
      <c r="Q1056" s="54"/>
      <c r="R1056" s="54"/>
      <c r="S1056" s="54"/>
      <c r="T1056" s="54"/>
      <c r="U1056" s="54"/>
      <c r="V1056" s="54"/>
      <c r="W1056" s="54"/>
      <c r="X1056" s="54"/>
    </row>
    <row r="1057" spans="1:24" customFormat="1">
      <c r="A1057" s="52">
        <v>46355</v>
      </c>
      <c r="B1057" s="61" t="s">
        <v>997</v>
      </c>
      <c r="C1057" s="54"/>
      <c r="D1057" s="54"/>
      <c r="E1057" s="54"/>
      <c r="F1057" s="54"/>
      <c r="G1057" s="54"/>
      <c r="H1057" s="54"/>
      <c r="I1057" s="54"/>
      <c r="J1057" s="54"/>
      <c r="K1057" s="54"/>
      <c r="L1057" s="54"/>
      <c r="M1057" s="54">
        <f t="shared" si="14"/>
        <v>0</v>
      </c>
      <c r="N1057" s="55"/>
      <c r="O1057" s="54"/>
      <c r="P1057" s="54"/>
      <c r="Q1057" s="54"/>
      <c r="R1057" s="54"/>
      <c r="S1057" s="54"/>
      <c r="T1057" s="54"/>
      <c r="U1057" s="54"/>
      <c r="V1057" s="54"/>
      <c r="W1057" s="54"/>
      <c r="X1057" s="54"/>
    </row>
    <row r="1058" spans="1:24" customFormat="1">
      <c r="A1058" s="52">
        <v>46356</v>
      </c>
      <c r="B1058" s="61" t="s">
        <v>997</v>
      </c>
      <c r="C1058" s="54"/>
      <c r="D1058" s="54"/>
      <c r="E1058" s="54"/>
      <c r="F1058" s="54"/>
      <c r="G1058" s="54"/>
      <c r="H1058" s="54"/>
      <c r="I1058" s="54"/>
      <c r="J1058" s="54"/>
      <c r="K1058" s="54"/>
      <c r="L1058" s="54"/>
      <c r="M1058" s="54">
        <f t="shared" si="14"/>
        <v>0</v>
      </c>
      <c r="N1058" s="55"/>
      <c r="O1058" s="54"/>
      <c r="P1058" s="54"/>
      <c r="Q1058" s="54"/>
      <c r="R1058" s="54"/>
      <c r="S1058" s="54"/>
      <c r="T1058" s="54"/>
      <c r="U1058" s="54"/>
      <c r="V1058" s="54"/>
      <c r="W1058" s="54"/>
      <c r="X1058" s="54"/>
    </row>
    <row r="1059" spans="1:24" customFormat="1">
      <c r="A1059" s="52">
        <v>46357</v>
      </c>
      <c r="B1059" s="61" t="s">
        <v>997</v>
      </c>
      <c r="C1059" s="54"/>
      <c r="D1059" s="54"/>
      <c r="E1059" s="54"/>
      <c r="F1059" s="54"/>
      <c r="G1059" s="54"/>
      <c r="H1059" s="54"/>
      <c r="I1059" s="54"/>
      <c r="J1059" s="54"/>
      <c r="K1059" s="54"/>
      <c r="L1059" s="54"/>
      <c r="M1059" s="54">
        <f t="shared" si="14"/>
        <v>0</v>
      </c>
      <c r="N1059" s="55"/>
      <c r="O1059" s="54"/>
      <c r="P1059" s="54"/>
      <c r="Q1059" s="54"/>
      <c r="R1059" s="54"/>
      <c r="S1059" s="54"/>
      <c r="T1059" s="54"/>
      <c r="U1059" s="54"/>
      <c r="V1059" s="54"/>
      <c r="W1059" s="54"/>
      <c r="X1059" s="54"/>
    </row>
    <row r="1060" spans="1:24" customFormat="1">
      <c r="A1060" s="52">
        <v>46358</v>
      </c>
      <c r="B1060" s="61" t="s">
        <v>997</v>
      </c>
      <c r="C1060" s="54"/>
      <c r="D1060" s="54"/>
      <c r="E1060" s="54"/>
      <c r="F1060" s="54"/>
      <c r="G1060" s="54"/>
      <c r="H1060" s="54"/>
      <c r="I1060" s="54"/>
      <c r="J1060" s="54"/>
      <c r="K1060" s="54"/>
      <c r="L1060" s="54"/>
      <c r="M1060" s="54">
        <f t="shared" si="14"/>
        <v>0</v>
      </c>
      <c r="N1060" s="55"/>
      <c r="O1060" s="54"/>
      <c r="P1060" s="54"/>
      <c r="Q1060" s="54"/>
      <c r="R1060" s="54"/>
      <c r="S1060" s="54"/>
      <c r="T1060" s="54"/>
      <c r="U1060" s="54"/>
      <c r="V1060" s="54"/>
      <c r="W1060" s="54"/>
      <c r="X1060" s="54"/>
    </row>
    <row r="1061" spans="1:24" customFormat="1">
      <c r="A1061" s="52">
        <v>46359</v>
      </c>
      <c r="B1061" s="61" t="s">
        <v>997</v>
      </c>
      <c r="C1061" s="54"/>
      <c r="D1061" s="54"/>
      <c r="E1061" s="54"/>
      <c r="F1061" s="54"/>
      <c r="G1061" s="54"/>
      <c r="H1061" s="54"/>
      <c r="I1061" s="54"/>
      <c r="J1061" s="54"/>
      <c r="K1061" s="54"/>
      <c r="L1061" s="54"/>
      <c r="M1061" s="54">
        <f t="shared" si="14"/>
        <v>0</v>
      </c>
      <c r="N1061" s="55"/>
      <c r="O1061" s="54"/>
      <c r="P1061" s="54"/>
      <c r="Q1061" s="54"/>
      <c r="R1061" s="54"/>
      <c r="S1061" s="54"/>
      <c r="T1061" s="54"/>
      <c r="U1061" s="54"/>
      <c r="V1061" s="54"/>
      <c r="W1061" s="54"/>
      <c r="X1061" s="54"/>
    </row>
    <row r="1062" spans="1:24" customFormat="1">
      <c r="A1062" s="52">
        <v>46360</v>
      </c>
      <c r="B1062" s="61" t="s">
        <v>997</v>
      </c>
      <c r="C1062" s="54"/>
      <c r="D1062" s="54"/>
      <c r="E1062" s="54"/>
      <c r="F1062" s="54"/>
      <c r="G1062" s="54"/>
      <c r="H1062" s="54"/>
      <c r="I1062" s="54"/>
      <c r="J1062" s="54"/>
      <c r="K1062" s="54"/>
      <c r="L1062" s="54"/>
      <c r="M1062" s="54">
        <f t="shared" si="14"/>
        <v>0</v>
      </c>
      <c r="N1062" s="55"/>
      <c r="O1062" s="54"/>
      <c r="P1062" s="54"/>
      <c r="Q1062" s="54"/>
      <c r="R1062" s="54"/>
      <c r="S1062" s="54"/>
      <c r="T1062" s="54"/>
      <c r="U1062" s="54"/>
      <c r="V1062" s="54"/>
      <c r="W1062" s="54"/>
      <c r="X1062" s="54"/>
    </row>
    <row r="1063" spans="1:24" customFormat="1">
      <c r="A1063" s="52">
        <v>46361</v>
      </c>
      <c r="B1063" s="61" t="s">
        <v>997</v>
      </c>
      <c r="C1063" s="54"/>
      <c r="D1063" s="54"/>
      <c r="E1063" s="54"/>
      <c r="F1063" s="54"/>
      <c r="G1063" s="54"/>
      <c r="H1063" s="54"/>
      <c r="I1063" s="54"/>
      <c r="J1063" s="54"/>
      <c r="K1063" s="54"/>
      <c r="L1063" s="54"/>
      <c r="M1063" s="54">
        <f t="shared" si="14"/>
        <v>0</v>
      </c>
      <c r="N1063" s="55"/>
      <c r="O1063" s="54"/>
      <c r="P1063" s="54"/>
      <c r="Q1063" s="54"/>
      <c r="R1063" s="54"/>
      <c r="S1063" s="54"/>
      <c r="T1063" s="54"/>
      <c r="U1063" s="54"/>
      <c r="V1063" s="54"/>
      <c r="W1063" s="54"/>
      <c r="X1063" s="54"/>
    </row>
    <row r="1064" spans="1:24" customFormat="1">
      <c r="A1064" s="52">
        <v>46362</v>
      </c>
      <c r="B1064" s="61" t="s">
        <v>997</v>
      </c>
      <c r="C1064" s="54"/>
      <c r="D1064" s="54"/>
      <c r="E1064" s="54"/>
      <c r="F1064" s="54"/>
      <c r="G1064" s="54"/>
      <c r="H1064" s="54"/>
      <c r="I1064" s="54"/>
      <c r="J1064" s="54"/>
      <c r="K1064" s="54"/>
      <c r="L1064" s="54"/>
      <c r="M1064" s="54">
        <f t="shared" si="14"/>
        <v>0</v>
      </c>
      <c r="N1064" s="55"/>
      <c r="O1064" s="54"/>
      <c r="P1064" s="54"/>
      <c r="Q1064" s="54"/>
      <c r="R1064" s="54"/>
      <c r="S1064" s="54"/>
      <c r="T1064" s="54"/>
      <c r="U1064" s="54"/>
      <c r="V1064" s="54"/>
      <c r="W1064" s="54"/>
      <c r="X1064" s="54"/>
    </row>
    <row r="1065" spans="1:24" customFormat="1">
      <c r="A1065" s="52">
        <v>46363</v>
      </c>
      <c r="B1065" s="61" t="s">
        <v>997</v>
      </c>
      <c r="C1065" s="54"/>
      <c r="D1065" s="54"/>
      <c r="E1065" s="54"/>
      <c r="F1065" s="54"/>
      <c r="G1065" s="54"/>
      <c r="H1065" s="54"/>
      <c r="I1065" s="54"/>
      <c r="J1065" s="54"/>
      <c r="K1065" s="54"/>
      <c r="L1065" s="54"/>
      <c r="M1065" s="54">
        <f t="shared" si="14"/>
        <v>0</v>
      </c>
      <c r="N1065" s="55"/>
      <c r="O1065" s="54"/>
      <c r="P1065" s="54"/>
      <c r="Q1065" s="54"/>
      <c r="R1065" s="54"/>
      <c r="S1065" s="54"/>
      <c r="T1065" s="54"/>
      <c r="U1065" s="54"/>
      <c r="V1065" s="54"/>
      <c r="W1065" s="54"/>
      <c r="X1065" s="54"/>
    </row>
    <row r="1066" spans="1:24" customFormat="1">
      <c r="A1066" s="52">
        <v>46364</v>
      </c>
      <c r="B1066" s="61" t="s">
        <v>997</v>
      </c>
      <c r="C1066" s="54"/>
      <c r="D1066" s="54"/>
      <c r="E1066" s="54"/>
      <c r="F1066" s="54"/>
      <c r="G1066" s="54"/>
      <c r="H1066" s="54"/>
      <c r="I1066" s="54"/>
      <c r="J1066" s="54"/>
      <c r="K1066" s="54"/>
      <c r="L1066" s="54"/>
      <c r="M1066" s="54">
        <f t="shared" si="14"/>
        <v>0</v>
      </c>
      <c r="N1066" s="55"/>
      <c r="O1066" s="54"/>
      <c r="P1066" s="54"/>
      <c r="Q1066" s="54"/>
      <c r="R1066" s="54"/>
      <c r="S1066" s="54"/>
      <c r="T1066" s="54"/>
      <c r="U1066" s="54"/>
      <c r="V1066" s="54"/>
      <c r="W1066" s="54"/>
      <c r="X1066" s="54"/>
    </row>
    <row r="1067" spans="1:24" customFormat="1">
      <c r="A1067" s="52">
        <v>46365</v>
      </c>
      <c r="B1067" s="61" t="s">
        <v>997</v>
      </c>
      <c r="C1067" s="54"/>
      <c r="D1067" s="54"/>
      <c r="E1067" s="54"/>
      <c r="F1067" s="54"/>
      <c r="G1067" s="54"/>
      <c r="H1067" s="54"/>
      <c r="I1067" s="54"/>
      <c r="J1067" s="54"/>
      <c r="K1067" s="54"/>
      <c r="L1067" s="54"/>
      <c r="M1067" s="54">
        <f t="shared" si="14"/>
        <v>0</v>
      </c>
      <c r="N1067" s="55"/>
      <c r="O1067" s="54"/>
      <c r="P1067" s="54"/>
      <c r="Q1067" s="54"/>
      <c r="R1067" s="54"/>
      <c r="S1067" s="54"/>
      <c r="T1067" s="54"/>
      <c r="U1067" s="54"/>
      <c r="V1067" s="54"/>
      <c r="W1067" s="54"/>
      <c r="X1067" s="54"/>
    </row>
    <row r="1068" spans="1:24" customFormat="1">
      <c r="A1068" s="52">
        <v>46366</v>
      </c>
      <c r="B1068" s="61" t="s">
        <v>997</v>
      </c>
      <c r="C1068" s="54"/>
      <c r="D1068" s="54"/>
      <c r="E1068" s="54"/>
      <c r="F1068" s="54"/>
      <c r="G1068" s="54"/>
      <c r="H1068" s="54"/>
      <c r="I1068" s="54"/>
      <c r="J1068" s="54"/>
      <c r="K1068" s="54"/>
      <c r="L1068" s="54"/>
      <c r="M1068" s="54">
        <f t="shared" si="14"/>
        <v>0</v>
      </c>
      <c r="N1068" s="55"/>
      <c r="O1068" s="54"/>
      <c r="P1068" s="54"/>
      <c r="Q1068" s="54"/>
      <c r="R1068" s="54"/>
      <c r="S1068" s="54"/>
      <c r="T1068" s="54"/>
      <c r="U1068" s="54"/>
      <c r="V1068" s="54"/>
      <c r="W1068" s="54"/>
      <c r="X1068" s="54"/>
    </row>
    <row r="1069" spans="1:24" customFormat="1">
      <c r="A1069" s="52">
        <v>46367</v>
      </c>
      <c r="B1069" s="61" t="s">
        <v>997</v>
      </c>
      <c r="C1069" s="54"/>
      <c r="D1069" s="54"/>
      <c r="E1069" s="54"/>
      <c r="F1069" s="54"/>
      <c r="G1069" s="54"/>
      <c r="H1069" s="54"/>
      <c r="I1069" s="54"/>
      <c r="J1069" s="54"/>
      <c r="K1069" s="54"/>
      <c r="L1069" s="54"/>
      <c r="M1069" s="54">
        <f t="shared" si="14"/>
        <v>0</v>
      </c>
      <c r="N1069" s="55"/>
      <c r="O1069" s="54"/>
      <c r="P1069" s="54"/>
      <c r="Q1069" s="54"/>
      <c r="R1069" s="54"/>
      <c r="S1069" s="54"/>
      <c r="T1069" s="54"/>
      <c r="U1069" s="54"/>
      <c r="V1069" s="54"/>
      <c r="W1069" s="54"/>
      <c r="X1069" s="54"/>
    </row>
    <row r="1070" spans="1:24" customFormat="1">
      <c r="A1070" s="52">
        <v>46368</v>
      </c>
      <c r="B1070" s="61" t="s">
        <v>997</v>
      </c>
      <c r="C1070" s="54"/>
      <c r="D1070" s="54"/>
      <c r="E1070" s="54"/>
      <c r="F1070" s="54"/>
      <c r="G1070" s="54"/>
      <c r="H1070" s="54"/>
      <c r="I1070" s="54"/>
      <c r="J1070" s="54"/>
      <c r="K1070" s="54"/>
      <c r="L1070" s="54"/>
      <c r="M1070" s="54">
        <f t="shared" si="14"/>
        <v>0</v>
      </c>
      <c r="N1070" s="55"/>
      <c r="O1070" s="54"/>
      <c r="P1070" s="54"/>
      <c r="Q1070" s="54"/>
      <c r="R1070" s="54"/>
      <c r="S1070" s="54"/>
      <c r="T1070" s="54"/>
      <c r="U1070" s="54"/>
      <c r="V1070" s="54"/>
      <c r="W1070" s="54"/>
      <c r="X1070" s="54"/>
    </row>
    <row r="1071" spans="1:24" customFormat="1">
      <c r="A1071" s="52">
        <v>46369</v>
      </c>
      <c r="B1071" s="61" t="s">
        <v>997</v>
      </c>
      <c r="C1071" s="54"/>
      <c r="D1071" s="54"/>
      <c r="E1071" s="54"/>
      <c r="F1071" s="54"/>
      <c r="G1071" s="54"/>
      <c r="H1071" s="54"/>
      <c r="I1071" s="54"/>
      <c r="J1071" s="54"/>
      <c r="K1071" s="54"/>
      <c r="L1071" s="54"/>
      <c r="M1071" s="54">
        <f t="shared" si="14"/>
        <v>0</v>
      </c>
      <c r="N1071" s="55"/>
      <c r="O1071" s="54"/>
      <c r="P1071" s="54"/>
      <c r="Q1071" s="54"/>
      <c r="R1071" s="54"/>
      <c r="S1071" s="54"/>
      <c r="T1071" s="54"/>
      <c r="U1071" s="54"/>
      <c r="V1071" s="54"/>
      <c r="W1071" s="54"/>
      <c r="X1071" s="54"/>
    </row>
    <row r="1072" spans="1:24" customFormat="1">
      <c r="A1072" s="52">
        <v>46370</v>
      </c>
      <c r="B1072" s="61" t="s">
        <v>997</v>
      </c>
      <c r="C1072" s="54"/>
      <c r="D1072" s="54"/>
      <c r="E1072" s="54"/>
      <c r="F1072" s="54"/>
      <c r="G1072" s="54"/>
      <c r="H1072" s="54"/>
      <c r="I1072" s="54"/>
      <c r="J1072" s="54"/>
      <c r="K1072" s="54"/>
      <c r="L1072" s="54"/>
      <c r="M1072" s="54">
        <f t="shared" si="14"/>
        <v>0</v>
      </c>
      <c r="N1072" s="55"/>
      <c r="O1072" s="54"/>
      <c r="P1072" s="54"/>
      <c r="Q1072" s="54"/>
      <c r="R1072" s="54"/>
      <c r="S1072" s="54"/>
      <c r="T1072" s="54"/>
      <c r="U1072" s="54"/>
      <c r="V1072" s="54"/>
      <c r="W1072" s="54"/>
      <c r="X1072" s="54"/>
    </row>
    <row r="1073" spans="1:24" customFormat="1">
      <c r="A1073" s="52">
        <v>46371</v>
      </c>
      <c r="B1073" s="61" t="s">
        <v>997</v>
      </c>
      <c r="C1073" s="54"/>
      <c r="D1073" s="54"/>
      <c r="E1073" s="54"/>
      <c r="F1073" s="54"/>
      <c r="G1073" s="54"/>
      <c r="H1073" s="54"/>
      <c r="I1073" s="54"/>
      <c r="J1073" s="54"/>
      <c r="K1073" s="54"/>
      <c r="L1073" s="54"/>
      <c r="M1073" s="54">
        <f t="shared" si="14"/>
        <v>0</v>
      </c>
      <c r="N1073" s="55"/>
      <c r="O1073" s="54"/>
      <c r="P1073" s="54"/>
      <c r="Q1073" s="54"/>
      <c r="R1073" s="54"/>
      <c r="S1073" s="54"/>
      <c r="T1073" s="54"/>
      <c r="U1073" s="54"/>
      <c r="V1073" s="54"/>
      <c r="W1073" s="54"/>
      <c r="X1073" s="54"/>
    </row>
    <row r="1074" spans="1:24" customFormat="1">
      <c r="A1074" s="52">
        <v>46372</v>
      </c>
      <c r="B1074" s="61" t="s">
        <v>997</v>
      </c>
      <c r="C1074" s="54"/>
      <c r="D1074" s="54"/>
      <c r="E1074" s="54"/>
      <c r="F1074" s="54"/>
      <c r="G1074" s="54"/>
      <c r="H1074" s="54"/>
      <c r="I1074" s="54"/>
      <c r="J1074" s="54"/>
      <c r="K1074" s="54"/>
      <c r="L1074" s="54"/>
      <c r="M1074" s="54">
        <f t="shared" si="14"/>
        <v>0</v>
      </c>
      <c r="N1074" s="55"/>
      <c r="O1074" s="54"/>
      <c r="P1074" s="54"/>
      <c r="Q1074" s="54"/>
      <c r="R1074" s="54"/>
      <c r="S1074" s="54"/>
      <c r="T1074" s="54"/>
      <c r="U1074" s="54"/>
      <c r="V1074" s="54"/>
      <c r="W1074" s="54"/>
      <c r="X1074" s="54"/>
    </row>
    <row r="1075" spans="1:24" customFormat="1">
      <c r="A1075" s="52">
        <v>46373</v>
      </c>
      <c r="B1075" s="61" t="s">
        <v>997</v>
      </c>
      <c r="C1075" s="54"/>
      <c r="D1075" s="54"/>
      <c r="E1075" s="54"/>
      <c r="F1075" s="54"/>
      <c r="G1075" s="54"/>
      <c r="H1075" s="54"/>
      <c r="I1075" s="54"/>
      <c r="J1075" s="54"/>
      <c r="K1075" s="54"/>
      <c r="L1075" s="54"/>
      <c r="M1075" s="54">
        <f t="shared" si="14"/>
        <v>0</v>
      </c>
      <c r="N1075" s="55"/>
      <c r="O1075" s="54"/>
      <c r="P1075" s="54"/>
      <c r="Q1075" s="54"/>
      <c r="R1075" s="54"/>
      <c r="S1075" s="54"/>
      <c r="T1075" s="54"/>
      <c r="U1075" s="54"/>
      <c r="V1075" s="54"/>
      <c r="W1075" s="54"/>
      <c r="X1075" s="54"/>
    </row>
    <row r="1076" spans="1:24" customFormat="1">
      <c r="A1076" s="52">
        <v>46374</v>
      </c>
      <c r="B1076" s="61" t="s">
        <v>997</v>
      </c>
      <c r="C1076" s="54"/>
      <c r="D1076" s="54"/>
      <c r="E1076" s="54"/>
      <c r="F1076" s="54"/>
      <c r="G1076" s="54"/>
      <c r="H1076" s="54"/>
      <c r="I1076" s="54"/>
      <c r="J1076" s="54"/>
      <c r="K1076" s="54"/>
      <c r="L1076" s="54"/>
      <c r="M1076" s="54">
        <f t="shared" si="14"/>
        <v>0</v>
      </c>
      <c r="N1076" s="55"/>
      <c r="O1076" s="54"/>
      <c r="P1076" s="54"/>
      <c r="Q1076" s="54"/>
      <c r="R1076" s="54"/>
      <c r="S1076" s="54"/>
      <c r="T1076" s="54"/>
      <c r="U1076" s="54"/>
      <c r="V1076" s="54"/>
      <c r="W1076" s="54"/>
      <c r="X1076" s="54"/>
    </row>
    <row r="1077" spans="1:24" customFormat="1">
      <c r="A1077" s="52">
        <v>46375</v>
      </c>
      <c r="B1077" s="61" t="s">
        <v>997</v>
      </c>
      <c r="C1077" s="54"/>
      <c r="D1077" s="54"/>
      <c r="E1077" s="54"/>
      <c r="F1077" s="54"/>
      <c r="G1077" s="54"/>
      <c r="H1077" s="54"/>
      <c r="I1077" s="54"/>
      <c r="J1077" s="54"/>
      <c r="K1077" s="54"/>
      <c r="L1077" s="54"/>
      <c r="M1077" s="54">
        <f t="shared" si="14"/>
        <v>0</v>
      </c>
      <c r="N1077" s="55"/>
      <c r="O1077" s="54"/>
      <c r="P1077" s="54"/>
      <c r="Q1077" s="54"/>
      <c r="R1077" s="54"/>
      <c r="S1077" s="54"/>
      <c r="T1077" s="54"/>
      <c r="U1077" s="54"/>
      <c r="V1077" s="54"/>
      <c r="W1077" s="54"/>
      <c r="X1077" s="54"/>
    </row>
    <row r="1078" spans="1:24" customFormat="1">
      <c r="A1078" s="52">
        <v>46376</v>
      </c>
      <c r="B1078" s="61" t="s">
        <v>997</v>
      </c>
      <c r="C1078" s="54"/>
      <c r="D1078" s="54"/>
      <c r="E1078" s="54"/>
      <c r="F1078" s="54"/>
      <c r="G1078" s="54"/>
      <c r="H1078" s="54"/>
      <c r="I1078" s="54"/>
      <c r="J1078" s="54"/>
      <c r="K1078" s="54"/>
      <c r="L1078" s="54"/>
      <c r="M1078" s="54">
        <f t="shared" si="14"/>
        <v>0</v>
      </c>
      <c r="N1078" s="55"/>
      <c r="O1078" s="54"/>
      <c r="P1078" s="54"/>
      <c r="Q1078" s="54"/>
      <c r="R1078" s="54"/>
      <c r="S1078" s="54"/>
      <c r="T1078" s="54"/>
      <c r="U1078" s="54"/>
      <c r="V1078" s="54"/>
      <c r="W1078" s="54"/>
      <c r="X1078" s="54"/>
    </row>
    <row r="1079" spans="1:24" customFormat="1">
      <c r="A1079" s="52">
        <v>46377</v>
      </c>
      <c r="B1079" s="61" t="s">
        <v>997</v>
      </c>
      <c r="C1079" s="54"/>
      <c r="D1079" s="54"/>
      <c r="E1079" s="54"/>
      <c r="F1079" s="54"/>
      <c r="G1079" s="54"/>
      <c r="H1079" s="54"/>
      <c r="I1079" s="54"/>
      <c r="J1079" s="54"/>
      <c r="K1079" s="54"/>
      <c r="L1079" s="54"/>
      <c r="M1079" s="54">
        <f t="shared" si="14"/>
        <v>0</v>
      </c>
      <c r="N1079" s="55"/>
      <c r="O1079" s="54"/>
      <c r="P1079" s="54"/>
      <c r="Q1079" s="54"/>
      <c r="R1079" s="54"/>
      <c r="S1079" s="54"/>
      <c r="T1079" s="54"/>
      <c r="U1079" s="54"/>
      <c r="V1079" s="54"/>
      <c r="W1079" s="54"/>
      <c r="X1079" s="54"/>
    </row>
    <row r="1080" spans="1:24" customFormat="1">
      <c r="A1080" s="52">
        <v>46378</v>
      </c>
      <c r="B1080" s="61" t="s">
        <v>997</v>
      </c>
      <c r="C1080" s="54"/>
      <c r="D1080" s="54"/>
      <c r="E1080" s="54"/>
      <c r="F1080" s="54"/>
      <c r="G1080" s="54"/>
      <c r="H1080" s="54"/>
      <c r="I1080" s="54"/>
      <c r="J1080" s="54"/>
      <c r="K1080" s="54"/>
      <c r="L1080" s="54"/>
      <c r="M1080" s="54">
        <f t="shared" si="14"/>
        <v>0</v>
      </c>
      <c r="N1080" s="55"/>
      <c r="O1080" s="54"/>
      <c r="P1080" s="54"/>
      <c r="Q1080" s="54"/>
      <c r="R1080" s="54"/>
      <c r="S1080" s="54"/>
      <c r="T1080" s="54"/>
      <c r="U1080" s="54"/>
      <c r="V1080" s="54"/>
      <c r="W1080" s="54"/>
      <c r="X1080" s="54"/>
    </row>
    <row r="1081" spans="1:24" customFormat="1">
      <c r="A1081" s="52">
        <v>46379</v>
      </c>
      <c r="B1081" s="61" t="s">
        <v>997</v>
      </c>
      <c r="C1081" s="54"/>
      <c r="D1081" s="54"/>
      <c r="E1081" s="54"/>
      <c r="F1081" s="54"/>
      <c r="G1081" s="54"/>
      <c r="H1081" s="54"/>
      <c r="I1081" s="54"/>
      <c r="J1081" s="54"/>
      <c r="K1081" s="54"/>
      <c r="L1081" s="54"/>
      <c r="M1081" s="54">
        <f t="shared" si="14"/>
        <v>0</v>
      </c>
      <c r="N1081" s="55"/>
      <c r="O1081" s="54"/>
      <c r="P1081" s="54"/>
      <c r="Q1081" s="54"/>
      <c r="R1081" s="54"/>
      <c r="S1081" s="54"/>
      <c r="T1081" s="54"/>
      <c r="U1081" s="54"/>
      <c r="V1081" s="54"/>
      <c r="W1081" s="54"/>
      <c r="X1081" s="54"/>
    </row>
    <row r="1082" spans="1:24" customFormat="1">
      <c r="A1082" s="52">
        <v>46380</v>
      </c>
      <c r="B1082" s="61" t="s">
        <v>997</v>
      </c>
      <c r="C1082" s="54"/>
      <c r="D1082" s="54"/>
      <c r="E1082" s="54"/>
      <c r="F1082" s="54"/>
      <c r="G1082" s="54"/>
      <c r="H1082" s="54"/>
      <c r="I1082" s="54"/>
      <c r="J1082" s="54"/>
      <c r="K1082" s="54"/>
      <c r="L1082" s="54"/>
      <c r="M1082" s="54">
        <f t="shared" si="14"/>
        <v>0</v>
      </c>
      <c r="N1082" s="55"/>
      <c r="O1082" s="54"/>
      <c r="P1082" s="54"/>
      <c r="Q1082" s="54"/>
      <c r="R1082" s="54"/>
      <c r="S1082" s="54"/>
      <c r="T1082" s="54"/>
      <c r="U1082" s="54"/>
      <c r="V1082" s="54"/>
      <c r="W1082" s="54"/>
      <c r="X1082" s="54"/>
    </row>
    <row r="1083" spans="1:24" customFormat="1">
      <c r="A1083" s="52">
        <v>46381</v>
      </c>
      <c r="B1083" s="61" t="s">
        <v>997</v>
      </c>
      <c r="C1083" s="54"/>
      <c r="D1083" s="54"/>
      <c r="E1083" s="54"/>
      <c r="F1083" s="54"/>
      <c r="G1083" s="54"/>
      <c r="H1083" s="54"/>
      <c r="I1083" s="54"/>
      <c r="J1083" s="54"/>
      <c r="K1083" s="54"/>
      <c r="L1083" s="54"/>
      <c r="M1083" s="54">
        <f t="shared" si="14"/>
        <v>0</v>
      </c>
      <c r="N1083" s="55"/>
      <c r="O1083" s="54"/>
      <c r="P1083" s="54"/>
      <c r="Q1083" s="54"/>
      <c r="R1083" s="54"/>
      <c r="S1083" s="54"/>
      <c r="T1083" s="54"/>
      <c r="U1083" s="54"/>
      <c r="V1083" s="54"/>
      <c r="W1083" s="54"/>
      <c r="X1083" s="54"/>
    </row>
    <row r="1084" spans="1:24" customFormat="1">
      <c r="A1084" s="52">
        <v>46382</v>
      </c>
      <c r="B1084" s="61" t="s">
        <v>997</v>
      </c>
      <c r="C1084" s="54"/>
      <c r="D1084" s="54"/>
      <c r="E1084" s="54"/>
      <c r="F1084" s="54"/>
      <c r="G1084" s="54"/>
      <c r="H1084" s="54"/>
      <c r="I1084" s="54"/>
      <c r="J1084" s="54"/>
      <c r="K1084" s="54"/>
      <c r="L1084" s="54"/>
      <c r="M1084" s="54">
        <f t="shared" si="14"/>
        <v>0</v>
      </c>
      <c r="N1084" s="55"/>
      <c r="O1084" s="54"/>
      <c r="P1084" s="54"/>
      <c r="Q1084" s="54"/>
      <c r="R1084" s="54"/>
      <c r="S1084" s="54"/>
      <c r="T1084" s="54"/>
      <c r="U1084" s="54"/>
      <c r="V1084" s="54"/>
      <c r="W1084" s="54"/>
      <c r="X1084" s="54"/>
    </row>
    <row r="1085" spans="1:24" customFormat="1">
      <c r="A1085" s="52">
        <v>46383</v>
      </c>
      <c r="B1085" s="61" t="s">
        <v>997</v>
      </c>
      <c r="C1085" s="54"/>
      <c r="D1085" s="54"/>
      <c r="E1085" s="54"/>
      <c r="F1085" s="54"/>
      <c r="G1085" s="54"/>
      <c r="H1085" s="54"/>
      <c r="I1085" s="54"/>
      <c r="J1085" s="54"/>
      <c r="K1085" s="54"/>
      <c r="L1085" s="54"/>
      <c r="M1085" s="54">
        <f t="shared" si="14"/>
        <v>0</v>
      </c>
      <c r="N1085" s="55"/>
      <c r="O1085" s="54"/>
      <c r="P1085" s="54"/>
      <c r="Q1085" s="54"/>
      <c r="R1085" s="54"/>
      <c r="S1085" s="54"/>
      <c r="T1085" s="54"/>
      <c r="U1085" s="54"/>
      <c r="V1085" s="54"/>
      <c r="W1085" s="54"/>
      <c r="X1085" s="54"/>
    </row>
    <row r="1086" spans="1:24" customFormat="1">
      <c r="A1086" s="52">
        <v>46384</v>
      </c>
      <c r="B1086" s="61" t="s">
        <v>997</v>
      </c>
      <c r="C1086" s="54"/>
      <c r="D1086" s="54"/>
      <c r="E1086" s="54"/>
      <c r="F1086" s="54"/>
      <c r="G1086" s="54"/>
      <c r="H1086" s="54"/>
      <c r="I1086" s="54"/>
      <c r="J1086" s="54"/>
      <c r="K1086" s="54"/>
      <c r="L1086" s="54"/>
      <c r="M1086" s="54">
        <f t="shared" si="14"/>
        <v>0</v>
      </c>
      <c r="N1086" s="55"/>
      <c r="O1086" s="54"/>
      <c r="P1086" s="54"/>
      <c r="Q1086" s="54"/>
      <c r="R1086" s="54"/>
      <c r="S1086" s="54"/>
      <c r="T1086" s="54"/>
      <c r="U1086" s="54"/>
      <c r="V1086" s="54"/>
      <c r="W1086" s="54"/>
      <c r="X1086" s="54"/>
    </row>
    <row r="1087" spans="1:24" customFormat="1">
      <c r="A1087" s="52">
        <v>46385</v>
      </c>
      <c r="B1087" s="61" t="s">
        <v>997</v>
      </c>
      <c r="C1087" s="54"/>
      <c r="D1087" s="54"/>
      <c r="E1087" s="54"/>
      <c r="F1087" s="54"/>
      <c r="G1087" s="54"/>
      <c r="H1087" s="54"/>
      <c r="I1087" s="54"/>
      <c r="J1087" s="54"/>
      <c r="K1087" s="54"/>
      <c r="L1087" s="54"/>
      <c r="M1087" s="54">
        <f t="shared" si="14"/>
        <v>0</v>
      </c>
      <c r="N1087" s="55"/>
      <c r="O1087" s="54"/>
      <c r="P1087" s="54"/>
      <c r="Q1087" s="54"/>
      <c r="R1087" s="54"/>
      <c r="S1087" s="54"/>
      <c r="T1087" s="54"/>
      <c r="U1087" s="54"/>
      <c r="V1087" s="54"/>
      <c r="W1087" s="54"/>
      <c r="X1087" s="54"/>
    </row>
    <row r="1088" spans="1:24" customFormat="1">
      <c r="A1088" s="52">
        <v>46386</v>
      </c>
      <c r="B1088" s="61" t="s">
        <v>997</v>
      </c>
      <c r="C1088" s="54"/>
      <c r="D1088" s="54"/>
      <c r="E1088" s="54"/>
      <c r="F1088" s="54"/>
      <c r="G1088" s="54"/>
      <c r="H1088" s="54"/>
      <c r="I1088" s="54"/>
      <c r="J1088" s="54"/>
      <c r="K1088" s="54"/>
      <c r="L1088" s="54"/>
      <c r="M1088" s="54">
        <f t="shared" si="14"/>
        <v>0</v>
      </c>
      <c r="N1088" s="55"/>
      <c r="O1088" s="54"/>
      <c r="P1088" s="54"/>
      <c r="Q1088" s="54"/>
      <c r="R1088" s="54"/>
      <c r="S1088" s="54"/>
      <c r="T1088" s="54"/>
      <c r="U1088" s="54"/>
      <c r="V1088" s="54"/>
      <c r="W1088" s="54"/>
      <c r="X1088" s="54"/>
    </row>
    <row r="1089" spans="1:24" customFormat="1">
      <c r="A1089" s="52">
        <v>46387</v>
      </c>
      <c r="B1089" s="61" t="s">
        <v>997</v>
      </c>
      <c r="C1089" s="54"/>
      <c r="D1089" s="54"/>
      <c r="E1089" s="54"/>
      <c r="F1089" s="54"/>
      <c r="G1089" s="54"/>
      <c r="H1089" s="54"/>
      <c r="I1089" s="54"/>
      <c r="J1089" s="54"/>
      <c r="K1089" s="54"/>
      <c r="L1089" s="54"/>
      <c r="M1089" s="54">
        <f t="shared" si="14"/>
        <v>0</v>
      </c>
      <c r="N1089" s="55"/>
      <c r="O1089" s="54"/>
      <c r="P1089" s="54"/>
      <c r="Q1089" s="54"/>
      <c r="R1089" s="54"/>
      <c r="S1089" s="54"/>
      <c r="T1089" s="54"/>
      <c r="U1089" s="54"/>
      <c r="V1089" s="54"/>
      <c r="W1089" s="54"/>
      <c r="X1089" s="54"/>
    </row>
    <row r="1090" spans="1:24">
      <c r="A1090" s="52">
        <v>46082</v>
      </c>
      <c r="B1090" s="53" t="s">
        <v>998</v>
      </c>
      <c r="C1090" s="54"/>
      <c r="D1090" s="54"/>
      <c r="E1090" s="54"/>
      <c r="F1090" s="54"/>
      <c r="G1090" s="54"/>
      <c r="H1090" s="54"/>
      <c r="I1090" s="54"/>
      <c r="J1090" s="54"/>
      <c r="K1090" s="54"/>
      <c r="L1090" s="54"/>
      <c r="M1090" s="54">
        <f t="shared" si="14"/>
        <v>0</v>
      </c>
      <c r="N1090" s="55"/>
      <c r="O1090" s="54"/>
      <c r="P1090" s="54"/>
      <c r="Q1090" s="54"/>
      <c r="R1090" s="54"/>
      <c r="S1090" s="54"/>
      <c r="T1090" s="54"/>
      <c r="U1090" s="54"/>
      <c r="V1090" s="54"/>
      <c r="W1090" s="54"/>
      <c r="X1090" s="54"/>
    </row>
    <row r="1091" spans="1:24">
      <c r="A1091" s="52">
        <v>46083</v>
      </c>
      <c r="B1091" s="53" t="s">
        <v>998</v>
      </c>
      <c r="C1091" s="54"/>
      <c r="D1091" s="54"/>
      <c r="E1091" s="54"/>
      <c r="F1091" s="54"/>
      <c r="G1091" s="54"/>
      <c r="H1091" s="54"/>
      <c r="I1091" s="54"/>
      <c r="J1091" s="54"/>
      <c r="K1091" s="54"/>
      <c r="L1091" s="54"/>
      <c r="M1091" s="54">
        <f t="shared" si="14"/>
        <v>0</v>
      </c>
      <c r="N1091" s="55"/>
      <c r="O1091" s="54"/>
      <c r="P1091" s="54"/>
      <c r="Q1091" s="54"/>
      <c r="R1091" s="54"/>
      <c r="S1091" s="54"/>
      <c r="T1091" s="54"/>
      <c r="U1091" s="54"/>
      <c r="V1091" s="54"/>
      <c r="W1091" s="54"/>
      <c r="X1091" s="54"/>
    </row>
    <row r="1092" spans="1:24">
      <c r="A1092" s="52">
        <v>46084</v>
      </c>
      <c r="B1092" s="53" t="s">
        <v>998</v>
      </c>
      <c r="C1092" s="54"/>
      <c r="D1092" s="54"/>
      <c r="E1092" s="54"/>
      <c r="F1092" s="54"/>
      <c r="G1092" s="54"/>
      <c r="H1092" s="54"/>
      <c r="I1092" s="54"/>
      <c r="J1092" s="54"/>
      <c r="K1092" s="54"/>
      <c r="L1092" s="54"/>
      <c r="M1092" s="54">
        <f t="shared" si="14"/>
        <v>0</v>
      </c>
      <c r="N1092" s="55"/>
      <c r="O1092" s="54"/>
      <c r="P1092" s="54"/>
      <c r="Q1092" s="54"/>
      <c r="R1092" s="54"/>
      <c r="S1092" s="54"/>
      <c r="T1092" s="54"/>
      <c r="U1092" s="54"/>
      <c r="V1092" s="54"/>
      <c r="W1092" s="54"/>
      <c r="X1092" s="54"/>
    </row>
    <row r="1093" spans="1:24">
      <c r="A1093" s="52">
        <v>46085</v>
      </c>
      <c r="B1093" s="53" t="s">
        <v>998</v>
      </c>
      <c r="C1093" s="54"/>
      <c r="D1093" s="54"/>
      <c r="E1093" s="54"/>
      <c r="F1093" s="54"/>
      <c r="G1093" s="54"/>
      <c r="H1093" s="54"/>
      <c r="I1093" s="54"/>
      <c r="J1093" s="54"/>
      <c r="K1093" s="54"/>
      <c r="L1093" s="54"/>
      <c r="M1093" s="54">
        <f t="shared" si="14"/>
        <v>0</v>
      </c>
      <c r="N1093" s="55"/>
      <c r="O1093" s="54"/>
      <c r="P1093" s="54"/>
      <c r="Q1093" s="54"/>
      <c r="R1093" s="54"/>
      <c r="S1093" s="54"/>
      <c r="T1093" s="54"/>
      <c r="U1093" s="54"/>
      <c r="V1093" s="54"/>
      <c r="W1093" s="54"/>
      <c r="X1093" s="54"/>
    </row>
    <row r="1094" spans="1:24">
      <c r="A1094" s="52">
        <v>46086</v>
      </c>
      <c r="B1094" s="53" t="s">
        <v>998</v>
      </c>
      <c r="C1094" s="54"/>
      <c r="D1094" s="54"/>
      <c r="E1094" s="54"/>
      <c r="F1094" s="54"/>
      <c r="G1094" s="54"/>
      <c r="H1094" s="54"/>
      <c r="I1094" s="54"/>
      <c r="J1094" s="54"/>
      <c r="K1094" s="54"/>
      <c r="L1094" s="54"/>
      <c r="M1094" s="54">
        <f t="shared" si="14"/>
        <v>0</v>
      </c>
      <c r="N1094" s="55"/>
      <c r="O1094" s="54"/>
      <c r="P1094" s="54"/>
      <c r="Q1094" s="54"/>
      <c r="R1094" s="54"/>
      <c r="S1094" s="54"/>
      <c r="T1094" s="54"/>
      <c r="U1094" s="54"/>
      <c r="V1094" s="54"/>
      <c r="W1094" s="54"/>
      <c r="X1094" s="54"/>
    </row>
    <row r="1095" spans="1:24">
      <c r="A1095" s="52">
        <v>46087</v>
      </c>
      <c r="B1095" s="53" t="s">
        <v>998</v>
      </c>
      <c r="C1095" s="54"/>
      <c r="D1095" s="54"/>
      <c r="E1095" s="54"/>
      <c r="F1095" s="54"/>
      <c r="G1095" s="54"/>
      <c r="H1095" s="54"/>
      <c r="I1095" s="54"/>
      <c r="J1095" s="54"/>
      <c r="K1095" s="54"/>
      <c r="L1095" s="54"/>
      <c r="M1095" s="54">
        <f t="shared" si="14"/>
        <v>0</v>
      </c>
      <c r="N1095" s="55"/>
      <c r="O1095" s="54"/>
      <c r="P1095" s="54"/>
      <c r="Q1095" s="54"/>
      <c r="R1095" s="54"/>
      <c r="S1095" s="54"/>
      <c r="T1095" s="54"/>
      <c r="U1095" s="54"/>
      <c r="V1095" s="54"/>
      <c r="W1095" s="54"/>
      <c r="X1095" s="54"/>
    </row>
    <row r="1096" spans="1:24">
      <c r="A1096" s="52">
        <v>46088</v>
      </c>
      <c r="B1096" s="53" t="s">
        <v>998</v>
      </c>
      <c r="C1096" s="54"/>
      <c r="D1096" s="54"/>
      <c r="E1096" s="54"/>
      <c r="F1096" s="54"/>
      <c r="G1096" s="54"/>
      <c r="H1096" s="54"/>
      <c r="I1096" s="54"/>
      <c r="J1096" s="54"/>
      <c r="K1096" s="54"/>
      <c r="L1096" s="54"/>
      <c r="M1096" s="54">
        <f t="shared" si="14"/>
        <v>0</v>
      </c>
      <c r="N1096" s="55"/>
      <c r="O1096" s="54"/>
      <c r="P1096" s="54"/>
      <c r="Q1096" s="54"/>
      <c r="R1096" s="54"/>
      <c r="S1096" s="54"/>
      <c r="T1096" s="54"/>
      <c r="U1096" s="54"/>
      <c r="V1096" s="54"/>
      <c r="W1096" s="54"/>
      <c r="X1096" s="54"/>
    </row>
    <row r="1097" spans="1:24">
      <c r="A1097" s="52">
        <v>46089</v>
      </c>
      <c r="B1097" s="53" t="s">
        <v>998</v>
      </c>
      <c r="C1097" s="54"/>
      <c r="D1097" s="54"/>
      <c r="E1097" s="54"/>
      <c r="F1097" s="54"/>
      <c r="G1097" s="54"/>
      <c r="H1097" s="54"/>
      <c r="I1097" s="54"/>
      <c r="J1097" s="54"/>
      <c r="K1097" s="54"/>
      <c r="L1097" s="54"/>
      <c r="M1097" s="54">
        <f t="shared" si="14"/>
        <v>0</v>
      </c>
      <c r="N1097" s="55"/>
      <c r="O1097" s="54"/>
      <c r="P1097" s="54"/>
      <c r="Q1097" s="54"/>
      <c r="R1097" s="54"/>
      <c r="S1097" s="54"/>
      <c r="T1097" s="54"/>
      <c r="U1097" s="54"/>
      <c r="V1097" s="54"/>
      <c r="W1097" s="54"/>
      <c r="X1097" s="54"/>
    </row>
    <row r="1098" spans="1:24">
      <c r="A1098" s="52">
        <v>46090</v>
      </c>
      <c r="B1098" s="53" t="s">
        <v>998</v>
      </c>
      <c r="C1098" s="54"/>
      <c r="D1098" s="54"/>
      <c r="E1098" s="54"/>
      <c r="F1098" s="54"/>
      <c r="G1098" s="54"/>
      <c r="H1098" s="54"/>
      <c r="I1098" s="54"/>
      <c r="J1098" s="54"/>
      <c r="K1098" s="54"/>
      <c r="L1098" s="54"/>
      <c r="M1098" s="54">
        <f t="shared" si="14"/>
        <v>0</v>
      </c>
      <c r="N1098" s="55"/>
      <c r="O1098" s="54"/>
      <c r="P1098" s="54"/>
      <c r="Q1098" s="54"/>
      <c r="R1098" s="54"/>
      <c r="S1098" s="54"/>
      <c r="T1098" s="54"/>
      <c r="U1098" s="54"/>
      <c r="V1098" s="54"/>
      <c r="W1098" s="54"/>
      <c r="X1098" s="54"/>
    </row>
    <row r="1099" spans="1:24">
      <c r="A1099" s="52">
        <v>46091</v>
      </c>
      <c r="B1099" s="53" t="s">
        <v>998</v>
      </c>
      <c r="C1099" s="54"/>
      <c r="D1099" s="54"/>
      <c r="E1099" s="54"/>
      <c r="F1099" s="54"/>
      <c r="G1099" s="54"/>
      <c r="H1099" s="54"/>
      <c r="I1099" s="54"/>
      <c r="J1099" s="54"/>
      <c r="K1099" s="54"/>
      <c r="L1099" s="54"/>
      <c r="M1099" s="54">
        <f t="shared" si="14"/>
        <v>0</v>
      </c>
      <c r="N1099" s="55"/>
      <c r="O1099" s="54"/>
      <c r="P1099" s="54"/>
      <c r="Q1099" s="54"/>
      <c r="R1099" s="54"/>
      <c r="S1099" s="54"/>
      <c r="T1099" s="54"/>
      <c r="U1099" s="54"/>
      <c r="V1099" s="54"/>
      <c r="W1099" s="54"/>
      <c r="X1099" s="54"/>
    </row>
    <row r="1100" spans="1:24">
      <c r="A1100" s="52">
        <v>46092</v>
      </c>
      <c r="B1100" s="53" t="s">
        <v>998</v>
      </c>
      <c r="C1100" s="54"/>
      <c r="D1100" s="54"/>
      <c r="E1100" s="54"/>
      <c r="F1100" s="54"/>
      <c r="G1100" s="54"/>
      <c r="H1100" s="54"/>
      <c r="I1100" s="54"/>
      <c r="J1100" s="54"/>
      <c r="K1100" s="54"/>
      <c r="L1100" s="54"/>
      <c r="M1100" s="54">
        <f t="shared" si="14"/>
        <v>0</v>
      </c>
      <c r="N1100" s="55"/>
      <c r="O1100" s="54"/>
      <c r="P1100" s="54"/>
      <c r="Q1100" s="54"/>
      <c r="R1100" s="54"/>
      <c r="S1100" s="54"/>
      <c r="T1100" s="54"/>
      <c r="U1100" s="54"/>
      <c r="V1100" s="54"/>
      <c r="W1100" s="54"/>
      <c r="X1100" s="54"/>
    </row>
    <row r="1101" spans="1:24">
      <c r="A1101" s="52">
        <v>46093</v>
      </c>
      <c r="B1101" s="53" t="s">
        <v>998</v>
      </c>
      <c r="C1101" s="54"/>
      <c r="D1101" s="54"/>
      <c r="E1101" s="54"/>
      <c r="F1101" s="54"/>
      <c r="G1101" s="54"/>
      <c r="H1101" s="54"/>
      <c r="I1101" s="54"/>
      <c r="J1101" s="54"/>
      <c r="K1101" s="54"/>
      <c r="L1101" s="54"/>
      <c r="M1101" s="54">
        <f t="shared" si="14"/>
        <v>0</v>
      </c>
      <c r="N1101" s="55"/>
      <c r="O1101" s="54"/>
      <c r="P1101" s="54"/>
      <c r="Q1101" s="54"/>
      <c r="R1101" s="54"/>
      <c r="S1101" s="54"/>
      <c r="T1101" s="54"/>
      <c r="U1101" s="54"/>
      <c r="V1101" s="54"/>
      <c r="W1101" s="54"/>
      <c r="X1101" s="54"/>
    </row>
    <row r="1102" spans="1:24">
      <c r="A1102" s="52">
        <v>46094</v>
      </c>
      <c r="B1102" s="53" t="s">
        <v>998</v>
      </c>
      <c r="C1102" s="54"/>
      <c r="D1102" s="54"/>
      <c r="E1102" s="54"/>
      <c r="F1102" s="54"/>
      <c r="G1102" s="54"/>
      <c r="H1102" s="54"/>
      <c r="I1102" s="54"/>
      <c r="J1102" s="54"/>
      <c r="K1102" s="54"/>
      <c r="L1102" s="54"/>
      <c r="M1102" s="54">
        <f t="shared" si="14"/>
        <v>0</v>
      </c>
      <c r="N1102" s="55"/>
      <c r="O1102" s="54"/>
      <c r="P1102" s="54"/>
      <c r="Q1102" s="54"/>
      <c r="R1102" s="54"/>
      <c r="S1102" s="54"/>
      <c r="T1102" s="54"/>
      <c r="U1102" s="54"/>
      <c r="V1102" s="54"/>
      <c r="W1102" s="54"/>
      <c r="X1102" s="54"/>
    </row>
    <row r="1103" spans="1:24">
      <c r="A1103" s="52">
        <v>46095</v>
      </c>
      <c r="B1103" s="53" t="s">
        <v>998</v>
      </c>
      <c r="C1103" s="54"/>
      <c r="D1103" s="54"/>
      <c r="E1103" s="54"/>
      <c r="F1103" s="54"/>
      <c r="G1103" s="54"/>
      <c r="H1103" s="54"/>
      <c r="I1103" s="54"/>
      <c r="J1103" s="54"/>
      <c r="K1103" s="54"/>
      <c r="L1103" s="54"/>
      <c r="M1103" s="54">
        <f t="shared" si="14"/>
        <v>0</v>
      </c>
      <c r="N1103" s="55"/>
      <c r="O1103" s="54"/>
      <c r="P1103" s="54"/>
      <c r="Q1103" s="54"/>
      <c r="R1103" s="54"/>
      <c r="S1103" s="54"/>
      <c r="T1103" s="54"/>
      <c r="U1103" s="54"/>
      <c r="V1103" s="54"/>
      <c r="W1103" s="54"/>
      <c r="X1103" s="54"/>
    </row>
    <row r="1104" spans="1:24">
      <c r="A1104" s="52">
        <v>46096</v>
      </c>
      <c r="B1104" s="53" t="s">
        <v>998</v>
      </c>
      <c r="C1104" s="54"/>
      <c r="D1104" s="54"/>
      <c r="E1104" s="54"/>
      <c r="F1104" s="54"/>
      <c r="G1104" s="54"/>
      <c r="H1104" s="54"/>
      <c r="I1104" s="54"/>
      <c r="J1104" s="54"/>
      <c r="K1104" s="54"/>
      <c r="L1104" s="54"/>
      <c r="M1104" s="54">
        <f t="shared" si="14"/>
        <v>0</v>
      </c>
      <c r="N1104" s="55"/>
      <c r="O1104" s="54"/>
      <c r="P1104" s="54"/>
      <c r="Q1104" s="54"/>
      <c r="R1104" s="54"/>
      <c r="S1104" s="54"/>
      <c r="T1104" s="54"/>
      <c r="U1104" s="54"/>
      <c r="V1104" s="54"/>
      <c r="W1104" s="54"/>
      <c r="X1104" s="54"/>
    </row>
    <row r="1105" spans="1:24">
      <c r="A1105" s="52">
        <v>46097</v>
      </c>
      <c r="B1105" s="53" t="s">
        <v>998</v>
      </c>
      <c r="C1105" s="54"/>
      <c r="D1105" s="54"/>
      <c r="E1105" s="54"/>
      <c r="F1105" s="54"/>
      <c r="G1105" s="54"/>
      <c r="H1105" s="54"/>
      <c r="I1105" s="54"/>
      <c r="J1105" s="54"/>
      <c r="K1105" s="54"/>
      <c r="L1105" s="54"/>
      <c r="M1105" s="54">
        <f t="shared" si="14"/>
        <v>0</v>
      </c>
      <c r="N1105" s="55"/>
      <c r="O1105" s="54"/>
      <c r="P1105" s="54"/>
      <c r="Q1105" s="54"/>
      <c r="R1105" s="54"/>
      <c r="S1105" s="54"/>
      <c r="T1105" s="54"/>
      <c r="U1105" s="54"/>
      <c r="V1105" s="54"/>
      <c r="W1105" s="54"/>
      <c r="X1105" s="54"/>
    </row>
    <row r="1106" spans="1:24">
      <c r="A1106" s="52">
        <v>46098</v>
      </c>
      <c r="B1106" s="53" t="s">
        <v>998</v>
      </c>
      <c r="C1106" s="54"/>
      <c r="D1106" s="54"/>
      <c r="E1106" s="54"/>
      <c r="F1106" s="54"/>
      <c r="G1106" s="54"/>
      <c r="H1106" s="54"/>
      <c r="I1106" s="54"/>
      <c r="J1106" s="54"/>
      <c r="K1106" s="54"/>
      <c r="L1106" s="54"/>
      <c r="M1106" s="54">
        <f t="shared" si="14"/>
        <v>0</v>
      </c>
      <c r="N1106" s="55"/>
      <c r="O1106" s="54"/>
      <c r="P1106" s="54"/>
      <c r="Q1106" s="54"/>
      <c r="R1106" s="54"/>
      <c r="S1106" s="54"/>
      <c r="T1106" s="54"/>
      <c r="U1106" s="54"/>
      <c r="V1106" s="54"/>
      <c r="W1106" s="54"/>
      <c r="X1106" s="54"/>
    </row>
    <row r="1107" spans="1:24">
      <c r="A1107" s="52">
        <v>46099</v>
      </c>
      <c r="B1107" s="53" t="s">
        <v>998</v>
      </c>
      <c r="C1107" s="54"/>
      <c r="D1107" s="54"/>
      <c r="E1107" s="54"/>
      <c r="F1107" s="54"/>
      <c r="G1107" s="54"/>
      <c r="H1107" s="54"/>
      <c r="I1107" s="54"/>
      <c r="J1107" s="54"/>
      <c r="K1107" s="54"/>
      <c r="L1107" s="54"/>
      <c r="M1107" s="54">
        <f t="shared" si="14"/>
        <v>0</v>
      </c>
      <c r="N1107" s="55"/>
      <c r="O1107" s="54"/>
      <c r="P1107" s="54"/>
      <c r="Q1107" s="54"/>
      <c r="R1107" s="54"/>
      <c r="S1107" s="54"/>
      <c r="T1107" s="54"/>
      <c r="U1107" s="54"/>
      <c r="V1107" s="54"/>
      <c r="W1107" s="54"/>
      <c r="X1107" s="54"/>
    </row>
    <row r="1108" spans="1:24">
      <c r="A1108" s="52">
        <v>46100</v>
      </c>
      <c r="B1108" s="53" t="s">
        <v>998</v>
      </c>
      <c r="C1108" s="54"/>
      <c r="D1108" s="54"/>
      <c r="E1108" s="54"/>
      <c r="F1108" s="54"/>
      <c r="G1108" s="54"/>
      <c r="H1108" s="54"/>
      <c r="I1108" s="54"/>
      <c r="J1108" s="54"/>
      <c r="K1108" s="54"/>
      <c r="L1108" s="54"/>
      <c r="M1108" s="54">
        <f t="shared" si="14"/>
        <v>0</v>
      </c>
      <c r="N1108" s="55"/>
      <c r="O1108" s="54"/>
      <c r="P1108" s="54"/>
      <c r="Q1108" s="54"/>
      <c r="R1108" s="54"/>
      <c r="S1108" s="54"/>
      <c r="T1108" s="54"/>
      <c r="U1108" s="54"/>
      <c r="V1108" s="54"/>
      <c r="W1108" s="54"/>
      <c r="X1108" s="54"/>
    </row>
    <row r="1109" spans="1:24">
      <c r="A1109" s="52">
        <v>46101</v>
      </c>
      <c r="B1109" s="53" t="s">
        <v>998</v>
      </c>
      <c r="C1109" s="54"/>
      <c r="D1109" s="54"/>
      <c r="E1109" s="54"/>
      <c r="F1109" s="54"/>
      <c r="G1109" s="54"/>
      <c r="H1109" s="54"/>
      <c r="I1109" s="54"/>
      <c r="J1109" s="54"/>
      <c r="K1109" s="54"/>
      <c r="L1109" s="54"/>
      <c r="M1109" s="54">
        <f t="shared" si="14"/>
        <v>2103</v>
      </c>
      <c r="N1109" s="55">
        <f>SUM(O1109:X1109)</f>
        <v>2103</v>
      </c>
      <c r="O1109" s="18">
        <v>110</v>
      </c>
      <c r="P1109" s="18">
        <v>1</v>
      </c>
      <c r="Q1109" s="18">
        <v>120</v>
      </c>
      <c r="R1109" s="18">
        <v>530</v>
      </c>
      <c r="S1109" s="18">
        <v>200</v>
      </c>
      <c r="T1109" s="18">
        <v>815</v>
      </c>
      <c r="U1109" s="18">
        <v>0</v>
      </c>
      <c r="V1109" s="18">
        <v>170</v>
      </c>
      <c r="W1109" s="9">
        <v>139</v>
      </c>
      <c r="X1109" s="18">
        <v>18</v>
      </c>
    </row>
    <row r="1110" spans="1:24">
      <c r="A1110" s="52">
        <v>46102</v>
      </c>
      <c r="B1110" s="53" t="s">
        <v>998</v>
      </c>
      <c r="C1110" s="54"/>
      <c r="D1110" s="54"/>
      <c r="E1110" s="54"/>
      <c r="F1110" s="54"/>
      <c r="G1110" s="54"/>
      <c r="H1110" s="54"/>
      <c r="I1110" s="54"/>
      <c r="J1110" s="54"/>
      <c r="K1110" s="54"/>
      <c r="L1110" s="54"/>
      <c r="M1110" s="54">
        <f t="shared" si="14"/>
        <v>2156</v>
      </c>
      <c r="N1110" s="55">
        <f t="shared" ref="N1110:N1120" si="15">SUM(O1110:X1110)</f>
        <v>2156</v>
      </c>
      <c r="O1110" s="18">
        <v>110</v>
      </c>
      <c r="P1110" s="18">
        <v>1</v>
      </c>
      <c r="Q1110" s="18">
        <v>120</v>
      </c>
      <c r="R1110" s="18">
        <v>530</v>
      </c>
      <c r="S1110" s="18">
        <v>300</v>
      </c>
      <c r="T1110" s="18">
        <v>815</v>
      </c>
      <c r="U1110" s="18">
        <v>0</v>
      </c>
      <c r="V1110" s="18">
        <v>170</v>
      </c>
      <c r="W1110" s="9">
        <v>110</v>
      </c>
      <c r="X1110" s="18">
        <v>0</v>
      </c>
    </row>
    <row r="1111" spans="1:24">
      <c r="A1111" s="52">
        <v>46103</v>
      </c>
      <c r="B1111" s="53" t="s">
        <v>998</v>
      </c>
      <c r="C1111" s="54"/>
      <c r="D1111" s="54"/>
      <c r="E1111" s="54"/>
      <c r="F1111" s="54"/>
      <c r="G1111" s="54"/>
      <c r="H1111" s="54"/>
      <c r="I1111" s="54"/>
      <c r="J1111" s="54"/>
      <c r="K1111" s="54"/>
      <c r="L1111" s="54"/>
      <c r="M1111" s="54">
        <f t="shared" si="14"/>
        <v>2150</v>
      </c>
      <c r="N1111" s="55">
        <f t="shared" si="15"/>
        <v>2150</v>
      </c>
      <c r="O1111" s="18">
        <v>110</v>
      </c>
      <c r="P1111" s="18">
        <v>1</v>
      </c>
      <c r="Q1111" s="18">
        <v>120</v>
      </c>
      <c r="R1111" s="18">
        <v>530</v>
      </c>
      <c r="S1111" s="18">
        <v>300</v>
      </c>
      <c r="T1111" s="18">
        <v>815</v>
      </c>
      <c r="U1111" s="18">
        <v>0</v>
      </c>
      <c r="V1111" s="18">
        <v>170</v>
      </c>
      <c r="W1111" s="9">
        <v>104</v>
      </c>
      <c r="X1111" s="18">
        <v>0</v>
      </c>
    </row>
    <row r="1112" spans="1:24">
      <c r="A1112" s="52">
        <v>46104</v>
      </c>
      <c r="B1112" s="53" t="s">
        <v>998</v>
      </c>
      <c r="C1112" s="54"/>
      <c r="D1112" s="54"/>
      <c r="E1112" s="54"/>
      <c r="F1112" s="54"/>
      <c r="G1112" s="54"/>
      <c r="H1112" s="54"/>
      <c r="I1112" s="54"/>
      <c r="J1112" s="54"/>
      <c r="K1112" s="54"/>
      <c r="L1112" s="54"/>
      <c r="M1112" s="54">
        <f t="shared" si="14"/>
        <v>2020</v>
      </c>
      <c r="N1112" s="55">
        <f t="shared" si="15"/>
        <v>2020</v>
      </c>
      <c r="O1112" s="18">
        <v>110</v>
      </c>
      <c r="P1112" s="18">
        <v>1</v>
      </c>
      <c r="Q1112" s="18">
        <v>120</v>
      </c>
      <c r="R1112" s="18">
        <v>530</v>
      </c>
      <c r="S1112" s="18">
        <v>150</v>
      </c>
      <c r="T1112" s="18">
        <v>815</v>
      </c>
      <c r="U1112" s="18">
        <v>0</v>
      </c>
      <c r="V1112" s="18">
        <v>170</v>
      </c>
      <c r="W1112" s="9">
        <v>106</v>
      </c>
      <c r="X1112" s="18">
        <v>18</v>
      </c>
    </row>
    <row r="1113" spans="1:24">
      <c r="A1113" s="52">
        <v>46105</v>
      </c>
      <c r="B1113" s="53" t="s">
        <v>998</v>
      </c>
      <c r="C1113" s="54"/>
      <c r="D1113" s="54"/>
      <c r="E1113" s="54"/>
      <c r="F1113" s="54"/>
      <c r="G1113" s="54"/>
      <c r="H1113" s="54"/>
      <c r="I1113" s="54"/>
      <c r="J1113" s="54"/>
      <c r="K1113" s="54"/>
      <c r="L1113" s="54"/>
      <c r="M1113" s="54">
        <f t="shared" si="14"/>
        <v>2018</v>
      </c>
      <c r="N1113" s="55">
        <f t="shared" si="15"/>
        <v>2018</v>
      </c>
      <c r="O1113" s="18">
        <v>110</v>
      </c>
      <c r="P1113" s="18">
        <v>1</v>
      </c>
      <c r="Q1113" s="18">
        <v>120</v>
      </c>
      <c r="R1113" s="18">
        <v>530</v>
      </c>
      <c r="S1113" s="18">
        <v>150</v>
      </c>
      <c r="T1113" s="18">
        <v>815</v>
      </c>
      <c r="U1113" s="18">
        <v>0</v>
      </c>
      <c r="V1113" s="18">
        <v>170</v>
      </c>
      <c r="W1113" s="9">
        <v>104</v>
      </c>
      <c r="X1113" s="18">
        <v>18</v>
      </c>
    </row>
    <row r="1114" spans="1:24">
      <c r="A1114" s="52">
        <v>46106</v>
      </c>
      <c r="B1114" s="53" t="s">
        <v>998</v>
      </c>
      <c r="C1114" s="54"/>
      <c r="D1114" s="54"/>
      <c r="E1114" s="54"/>
      <c r="F1114" s="54"/>
      <c r="G1114" s="54"/>
      <c r="H1114" s="54"/>
      <c r="I1114" s="54"/>
      <c r="J1114" s="54"/>
      <c r="K1114" s="54"/>
      <c r="L1114" s="54"/>
      <c r="M1114" s="54">
        <f t="shared" si="14"/>
        <v>2016</v>
      </c>
      <c r="N1114" s="55">
        <f t="shared" si="15"/>
        <v>2016</v>
      </c>
      <c r="O1114" s="18">
        <v>110</v>
      </c>
      <c r="P1114" s="18">
        <v>1</v>
      </c>
      <c r="Q1114" s="18">
        <v>120</v>
      </c>
      <c r="R1114" s="18">
        <v>530</v>
      </c>
      <c r="S1114" s="18">
        <v>150</v>
      </c>
      <c r="T1114" s="18">
        <v>815</v>
      </c>
      <c r="U1114" s="18">
        <v>0</v>
      </c>
      <c r="V1114" s="18">
        <v>170</v>
      </c>
      <c r="W1114" s="9">
        <v>102</v>
      </c>
      <c r="X1114" s="18">
        <v>18</v>
      </c>
    </row>
    <row r="1115" spans="1:24">
      <c r="A1115" s="52">
        <v>46107</v>
      </c>
      <c r="B1115" s="53" t="s">
        <v>998</v>
      </c>
      <c r="C1115" s="54"/>
      <c r="D1115" s="54"/>
      <c r="E1115" s="54"/>
      <c r="F1115" s="54"/>
      <c r="G1115" s="54"/>
      <c r="H1115" s="54"/>
      <c r="I1115" s="54"/>
      <c r="J1115" s="54"/>
      <c r="K1115" s="54"/>
      <c r="L1115" s="54"/>
      <c r="M1115" s="54">
        <f t="shared" si="14"/>
        <v>3088</v>
      </c>
      <c r="N1115" s="55">
        <f t="shared" si="15"/>
        <v>3088</v>
      </c>
      <c r="O1115" s="18">
        <v>110</v>
      </c>
      <c r="P1115" s="18">
        <v>1</v>
      </c>
      <c r="Q1115" s="18">
        <v>120</v>
      </c>
      <c r="R1115" s="18">
        <v>530</v>
      </c>
      <c r="S1115" s="18">
        <v>150</v>
      </c>
      <c r="T1115" s="18">
        <v>815</v>
      </c>
      <c r="U1115" s="18">
        <v>1072</v>
      </c>
      <c r="V1115" s="18">
        <v>170</v>
      </c>
      <c r="W1115" s="9">
        <v>102</v>
      </c>
      <c r="X1115" s="18">
        <v>18</v>
      </c>
    </row>
    <row r="1116" spans="1:24">
      <c r="A1116" s="52">
        <v>46108</v>
      </c>
      <c r="B1116" s="53" t="s">
        <v>998</v>
      </c>
      <c r="C1116" s="54"/>
      <c r="D1116" s="54"/>
      <c r="E1116" s="54"/>
      <c r="F1116" s="54"/>
      <c r="G1116" s="54"/>
      <c r="H1116" s="54"/>
      <c r="I1116" s="54"/>
      <c r="J1116" s="54"/>
      <c r="K1116" s="54"/>
      <c r="L1116" s="54"/>
      <c r="M1116" s="54">
        <f t="shared" si="14"/>
        <v>3097</v>
      </c>
      <c r="N1116" s="55">
        <f t="shared" si="15"/>
        <v>3097</v>
      </c>
      <c r="O1116" s="18">
        <v>110</v>
      </c>
      <c r="P1116" s="18">
        <v>1</v>
      </c>
      <c r="Q1116" s="18">
        <v>120</v>
      </c>
      <c r="R1116" s="18">
        <v>530</v>
      </c>
      <c r="S1116" s="18">
        <v>150</v>
      </c>
      <c r="T1116" s="18">
        <v>815</v>
      </c>
      <c r="U1116" s="18">
        <v>1072</v>
      </c>
      <c r="V1116" s="18">
        <v>170</v>
      </c>
      <c r="W1116" s="9">
        <v>111</v>
      </c>
      <c r="X1116" s="18">
        <v>18</v>
      </c>
    </row>
    <row r="1117" spans="1:24">
      <c r="A1117" s="52">
        <v>46109</v>
      </c>
      <c r="B1117" s="53" t="s">
        <v>998</v>
      </c>
      <c r="C1117" s="54"/>
      <c r="D1117" s="54"/>
      <c r="E1117" s="54"/>
      <c r="F1117" s="54"/>
      <c r="G1117" s="54"/>
      <c r="H1117" s="54"/>
      <c r="I1117" s="54"/>
      <c r="J1117" s="54"/>
      <c r="K1117" s="54"/>
      <c r="L1117" s="54"/>
      <c r="M1117" s="54">
        <f t="shared" si="14"/>
        <v>3237</v>
      </c>
      <c r="N1117" s="55">
        <f t="shared" si="15"/>
        <v>3237</v>
      </c>
      <c r="O1117" s="18">
        <v>110</v>
      </c>
      <c r="P1117" s="18">
        <v>1</v>
      </c>
      <c r="Q1117" s="18">
        <v>120</v>
      </c>
      <c r="R1117" s="18">
        <v>530</v>
      </c>
      <c r="S1117" s="18">
        <v>300</v>
      </c>
      <c r="T1117" s="18">
        <v>815</v>
      </c>
      <c r="U1117" s="18">
        <v>1072</v>
      </c>
      <c r="V1117" s="18">
        <v>170</v>
      </c>
      <c r="W1117" s="9">
        <v>119</v>
      </c>
      <c r="X1117" s="18">
        <v>0</v>
      </c>
    </row>
    <row r="1118" spans="1:24">
      <c r="A1118" s="52">
        <v>46110</v>
      </c>
      <c r="B1118" s="53" t="s">
        <v>998</v>
      </c>
      <c r="C1118" s="54"/>
      <c r="D1118" s="54"/>
      <c r="E1118" s="54"/>
      <c r="F1118" s="54"/>
      <c r="G1118" s="54"/>
      <c r="H1118" s="54"/>
      <c r="I1118" s="54"/>
      <c r="J1118" s="54"/>
      <c r="K1118" s="54"/>
      <c r="L1118" s="54"/>
      <c r="M1118" s="54">
        <f t="shared" si="14"/>
        <v>3222</v>
      </c>
      <c r="N1118" s="55">
        <f t="shared" si="15"/>
        <v>3222</v>
      </c>
      <c r="O1118" s="18">
        <v>110</v>
      </c>
      <c r="P1118" s="18">
        <v>1</v>
      </c>
      <c r="Q1118" s="18">
        <v>120</v>
      </c>
      <c r="R1118" s="18">
        <v>530</v>
      </c>
      <c r="S1118" s="18">
        <v>300</v>
      </c>
      <c r="T1118" s="18">
        <v>815</v>
      </c>
      <c r="U1118" s="18">
        <v>1072</v>
      </c>
      <c r="V1118" s="18">
        <v>170</v>
      </c>
      <c r="W1118" s="9">
        <v>104</v>
      </c>
      <c r="X1118" s="18">
        <v>0</v>
      </c>
    </row>
    <row r="1119" spans="1:24">
      <c r="A1119" s="52">
        <v>46111</v>
      </c>
      <c r="B1119" s="53" t="s">
        <v>998</v>
      </c>
      <c r="C1119" s="54"/>
      <c r="D1119" s="54"/>
      <c r="E1119" s="54"/>
      <c r="F1119" s="54"/>
      <c r="G1119" s="54"/>
      <c r="H1119" s="54"/>
      <c r="I1119" s="54"/>
      <c r="J1119" s="54"/>
      <c r="K1119" s="54"/>
      <c r="L1119" s="54"/>
      <c r="M1119" s="54">
        <f t="shared" si="14"/>
        <v>2058</v>
      </c>
      <c r="N1119" s="55">
        <f t="shared" si="15"/>
        <v>2058</v>
      </c>
      <c r="O1119" s="18">
        <v>110</v>
      </c>
      <c r="P1119" s="18">
        <v>1</v>
      </c>
      <c r="Q1119" s="18">
        <v>120</v>
      </c>
      <c r="R1119" s="18">
        <v>530</v>
      </c>
      <c r="S1119" s="18">
        <v>150</v>
      </c>
      <c r="T1119" s="18">
        <v>815</v>
      </c>
      <c r="U1119" s="18">
        <v>0</v>
      </c>
      <c r="V1119" s="18">
        <v>170</v>
      </c>
      <c r="W1119" s="9">
        <v>144</v>
      </c>
      <c r="X1119" s="18">
        <v>18</v>
      </c>
    </row>
    <row r="1120" spans="1:24">
      <c r="A1120" s="52">
        <v>46112</v>
      </c>
      <c r="B1120" s="53" t="s">
        <v>998</v>
      </c>
      <c r="C1120" s="54"/>
      <c r="D1120" s="54"/>
      <c r="E1120" s="54"/>
      <c r="F1120" s="54"/>
      <c r="G1120" s="54"/>
      <c r="H1120" s="54"/>
      <c r="I1120" s="54"/>
      <c r="J1120" s="54"/>
      <c r="K1120" s="54"/>
      <c r="L1120" s="54"/>
      <c r="M1120" s="54">
        <f t="shared" si="14"/>
        <v>2054</v>
      </c>
      <c r="N1120" s="55">
        <f t="shared" si="15"/>
        <v>2054</v>
      </c>
      <c r="O1120" s="18">
        <v>110</v>
      </c>
      <c r="P1120" s="18">
        <v>1</v>
      </c>
      <c r="Q1120" s="18">
        <v>120</v>
      </c>
      <c r="R1120" s="18">
        <v>530</v>
      </c>
      <c r="S1120" s="18">
        <v>150</v>
      </c>
      <c r="T1120" s="18">
        <v>815</v>
      </c>
      <c r="U1120" s="18">
        <v>0</v>
      </c>
      <c r="V1120" s="18">
        <v>170</v>
      </c>
      <c r="W1120" s="9">
        <v>138</v>
      </c>
      <c r="X1120" s="18">
        <v>20</v>
      </c>
    </row>
    <row r="1121" spans="1:24">
      <c r="A1121" s="52">
        <v>46113</v>
      </c>
      <c r="B1121" s="53" t="s">
        <v>998</v>
      </c>
      <c r="C1121" s="54">
        <v>154.33684</v>
      </c>
      <c r="D1121" s="54">
        <v>123.91236000000001</v>
      </c>
      <c r="E1121" s="54">
        <v>91.947400000000002</v>
      </c>
      <c r="F1121" s="54">
        <v>257.35644000000002</v>
      </c>
      <c r="G1121" s="54">
        <v>134.11804000000001</v>
      </c>
      <c r="H1121" s="54">
        <v>144.70884000000001</v>
      </c>
      <c r="I1121" s="54">
        <v>133.25152</v>
      </c>
      <c r="J1121" s="54">
        <v>101.96052</v>
      </c>
      <c r="K1121" s="54">
        <v>163.19460000000001</v>
      </c>
      <c r="L1121" s="54">
        <v>139.41344000000001</v>
      </c>
      <c r="M1121" s="54">
        <f t="shared" si="14"/>
        <v>962.79999999999973</v>
      </c>
      <c r="N1121" s="55">
        <v>2407</v>
      </c>
      <c r="O1121" s="54">
        <v>132</v>
      </c>
      <c r="P1121" s="54">
        <v>2</v>
      </c>
      <c r="Q1121" s="54">
        <v>130</v>
      </c>
      <c r="R1121" s="54">
        <v>546</v>
      </c>
      <c r="S1121" s="54">
        <v>150</v>
      </c>
      <c r="T1121" s="54">
        <v>834</v>
      </c>
      <c r="U1121" s="54">
        <v>0</v>
      </c>
      <c r="V1121" s="54">
        <v>186</v>
      </c>
      <c r="W1121" s="54">
        <v>407</v>
      </c>
      <c r="X1121" s="54">
        <v>20</v>
      </c>
    </row>
    <row r="1122" spans="1:24">
      <c r="A1122" s="52">
        <v>46114</v>
      </c>
      <c r="B1122" s="53" t="s">
        <v>998</v>
      </c>
      <c r="C1122" s="54">
        <v>153.95211999999998</v>
      </c>
      <c r="D1122" s="54">
        <v>123.60347999999999</v>
      </c>
      <c r="E1122" s="54">
        <v>91.718199999999996</v>
      </c>
      <c r="F1122" s="54">
        <v>256.71492000000001</v>
      </c>
      <c r="G1122" s="54">
        <v>133.78371999999999</v>
      </c>
      <c r="H1122" s="54">
        <v>144.34811999999999</v>
      </c>
      <c r="I1122" s="54">
        <v>132.91935999999998</v>
      </c>
      <c r="J1122" s="54">
        <v>101.70635999999999</v>
      </c>
      <c r="K1122" s="54">
        <v>162.7878</v>
      </c>
      <c r="L1122" s="54">
        <v>139.06591999999998</v>
      </c>
      <c r="M1122" s="54">
        <f t="shared" si="14"/>
        <v>960.40000000000009</v>
      </c>
      <c r="N1122" s="55">
        <v>2401</v>
      </c>
      <c r="O1122" s="54">
        <v>132</v>
      </c>
      <c r="P1122" s="54">
        <v>2</v>
      </c>
      <c r="Q1122" s="54">
        <v>130</v>
      </c>
      <c r="R1122" s="54">
        <v>546</v>
      </c>
      <c r="S1122" s="54">
        <v>150</v>
      </c>
      <c r="T1122" s="54">
        <v>834</v>
      </c>
      <c r="U1122" s="54">
        <v>0</v>
      </c>
      <c r="V1122" s="54">
        <v>186</v>
      </c>
      <c r="W1122" s="54">
        <v>401</v>
      </c>
      <c r="X1122" s="54">
        <v>20</v>
      </c>
    </row>
    <row r="1123" spans="1:24">
      <c r="A1123" s="52">
        <v>46115</v>
      </c>
      <c r="B1123" s="53" t="s">
        <v>998</v>
      </c>
      <c r="C1123" s="54">
        <v>173.05987999999999</v>
      </c>
      <c r="D1123" s="54">
        <v>138.94451999999998</v>
      </c>
      <c r="E1123" s="54">
        <v>103.10179999999998</v>
      </c>
      <c r="F1123" s="54">
        <v>288.57707999999997</v>
      </c>
      <c r="G1123" s="54">
        <v>150.38827999999998</v>
      </c>
      <c r="H1123" s="54">
        <v>162.26387999999997</v>
      </c>
      <c r="I1123" s="54">
        <v>149.41663999999997</v>
      </c>
      <c r="J1123" s="54">
        <v>114.32963999999998</v>
      </c>
      <c r="K1123" s="54">
        <v>182.9922</v>
      </c>
      <c r="L1123" s="54">
        <v>156.32607999999999</v>
      </c>
      <c r="M1123" s="54">
        <f t="shared" si="14"/>
        <v>1079.6000000000001</v>
      </c>
      <c r="N1123" s="55">
        <v>2699</v>
      </c>
      <c r="O1123" s="54">
        <v>132</v>
      </c>
      <c r="P1123" s="54">
        <v>2</v>
      </c>
      <c r="Q1123" s="54">
        <v>130</v>
      </c>
      <c r="R1123" s="54">
        <v>546</v>
      </c>
      <c r="S1123" s="54">
        <v>300</v>
      </c>
      <c r="T1123" s="54">
        <v>834</v>
      </c>
      <c r="U1123" s="54">
        <v>100</v>
      </c>
      <c r="V1123" s="54">
        <v>186</v>
      </c>
      <c r="W1123" s="54">
        <v>449</v>
      </c>
      <c r="X1123" s="54">
        <v>20</v>
      </c>
    </row>
    <row r="1124" spans="1:24">
      <c r="A1124" s="52">
        <v>46116</v>
      </c>
      <c r="B1124" s="53" t="s">
        <v>998</v>
      </c>
      <c r="C1124" s="54">
        <v>169.46915999999999</v>
      </c>
      <c r="D1124" s="54">
        <v>136.06164000000001</v>
      </c>
      <c r="E1124" s="54">
        <v>100.96259999999999</v>
      </c>
      <c r="F1124" s="54">
        <v>282.58956000000001</v>
      </c>
      <c r="G1124" s="54">
        <v>147.26795999999999</v>
      </c>
      <c r="H1124" s="54">
        <v>158.89715999999999</v>
      </c>
      <c r="I1124" s="54">
        <v>146.31647999999998</v>
      </c>
      <c r="J1124" s="54">
        <v>111.95747999999999</v>
      </c>
      <c r="K1124" s="54">
        <v>179.19540000000001</v>
      </c>
      <c r="L1124" s="54">
        <v>153.08256</v>
      </c>
      <c r="M1124" s="54">
        <f t="shared" si="14"/>
        <v>1057.1999999999998</v>
      </c>
      <c r="N1124" s="55">
        <v>2643</v>
      </c>
      <c r="O1124" s="54">
        <v>132</v>
      </c>
      <c r="P1124" s="54">
        <v>2</v>
      </c>
      <c r="Q1124" s="54">
        <v>130</v>
      </c>
      <c r="R1124" s="54">
        <v>546</v>
      </c>
      <c r="S1124" s="54">
        <v>300</v>
      </c>
      <c r="T1124" s="54">
        <v>834</v>
      </c>
      <c r="U1124" s="54">
        <v>100</v>
      </c>
      <c r="V1124" s="54">
        <v>186</v>
      </c>
      <c r="W1124" s="54">
        <v>413</v>
      </c>
      <c r="X1124" s="54">
        <v>0</v>
      </c>
    </row>
    <row r="1125" spans="1:24">
      <c r="A1125" s="52">
        <v>46117</v>
      </c>
      <c r="B1125" s="53" t="s">
        <v>998</v>
      </c>
      <c r="C1125" s="54">
        <v>171.45687999999998</v>
      </c>
      <c r="D1125" s="54">
        <v>137.65751999999998</v>
      </c>
      <c r="E1125" s="54">
        <v>102.14679999999998</v>
      </c>
      <c r="F1125" s="54">
        <v>285.90407999999996</v>
      </c>
      <c r="G1125" s="54">
        <v>148.99527999999998</v>
      </c>
      <c r="H1125" s="54">
        <v>160.76087999999999</v>
      </c>
      <c r="I1125" s="54">
        <v>148.03263999999999</v>
      </c>
      <c r="J1125" s="54">
        <v>113.27063999999999</v>
      </c>
      <c r="K1125" s="54">
        <v>181.2972</v>
      </c>
      <c r="L1125" s="54">
        <v>154.87807999999998</v>
      </c>
      <c r="M1125" s="54">
        <f t="shared" si="14"/>
        <v>1069.6000000000004</v>
      </c>
      <c r="N1125" s="55">
        <v>2674</v>
      </c>
      <c r="O1125" s="54">
        <v>132</v>
      </c>
      <c r="P1125" s="54">
        <v>2</v>
      </c>
      <c r="Q1125" s="54">
        <v>130</v>
      </c>
      <c r="R1125" s="54">
        <v>546</v>
      </c>
      <c r="S1125" s="54">
        <v>300</v>
      </c>
      <c r="T1125" s="54">
        <v>834</v>
      </c>
      <c r="U1125" s="54">
        <v>100</v>
      </c>
      <c r="V1125" s="54">
        <v>186</v>
      </c>
      <c r="W1125" s="54">
        <v>444</v>
      </c>
      <c r="X1125" s="54">
        <v>0</v>
      </c>
    </row>
    <row r="1126" spans="1:24">
      <c r="A1126" s="52">
        <v>46118</v>
      </c>
      <c r="B1126" s="53" t="s">
        <v>998</v>
      </c>
      <c r="C1126" s="54">
        <v>162.73656</v>
      </c>
      <c r="D1126" s="54">
        <v>130.65624</v>
      </c>
      <c r="E1126" s="54">
        <v>96.951599999999985</v>
      </c>
      <c r="F1126" s="54">
        <v>271.36295999999999</v>
      </c>
      <c r="G1126" s="54">
        <v>141.41736</v>
      </c>
      <c r="H1126" s="54">
        <v>152.58455999999998</v>
      </c>
      <c r="I1126" s="54">
        <v>140.50368</v>
      </c>
      <c r="J1126" s="54">
        <v>107.50967999999999</v>
      </c>
      <c r="K1126" s="54">
        <v>172.07640000000001</v>
      </c>
      <c r="L1126" s="54">
        <v>147.00095999999999</v>
      </c>
      <c r="M1126" s="54">
        <f t="shared" si="14"/>
        <v>1015.2000000000003</v>
      </c>
      <c r="N1126" s="55">
        <v>2538</v>
      </c>
      <c r="O1126" s="54">
        <v>132</v>
      </c>
      <c r="P1126" s="54">
        <v>2</v>
      </c>
      <c r="Q1126" s="54">
        <v>130</v>
      </c>
      <c r="R1126" s="54">
        <v>546</v>
      </c>
      <c r="S1126" s="54">
        <v>130</v>
      </c>
      <c r="T1126" s="54">
        <v>834</v>
      </c>
      <c r="U1126" s="54">
        <v>100</v>
      </c>
      <c r="V1126" s="54">
        <v>186</v>
      </c>
      <c r="W1126" s="54">
        <v>458</v>
      </c>
      <c r="X1126" s="54">
        <v>20</v>
      </c>
    </row>
    <row r="1127" spans="1:24">
      <c r="A1127" s="52">
        <v>46119</v>
      </c>
      <c r="B1127" s="53" t="s">
        <v>998</v>
      </c>
      <c r="C1127" s="54">
        <v>169.59739999999999</v>
      </c>
      <c r="D1127" s="54">
        <v>136.16460000000001</v>
      </c>
      <c r="E1127" s="54">
        <v>101.03899999999999</v>
      </c>
      <c r="F1127" s="54">
        <v>282.80340000000001</v>
      </c>
      <c r="G1127" s="54">
        <v>147.3794</v>
      </c>
      <c r="H1127" s="54">
        <v>159.01740000000001</v>
      </c>
      <c r="I1127" s="54">
        <v>146.4272</v>
      </c>
      <c r="J1127" s="54">
        <v>112.04219999999999</v>
      </c>
      <c r="K1127" s="54">
        <v>179.33100000000002</v>
      </c>
      <c r="L1127" s="54">
        <v>153.19839999999999</v>
      </c>
      <c r="M1127" s="54">
        <f t="shared" si="14"/>
        <v>1057.9999999999998</v>
      </c>
      <c r="N1127" s="55">
        <v>2645</v>
      </c>
      <c r="O1127" s="54">
        <v>133</v>
      </c>
      <c r="P1127" s="54">
        <v>4</v>
      </c>
      <c r="Q1127" s="54">
        <v>132</v>
      </c>
      <c r="R1127" s="54">
        <v>547</v>
      </c>
      <c r="S1127" s="54">
        <v>151</v>
      </c>
      <c r="T1127" s="54">
        <v>837</v>
      </c>
      <c r="U1127" s="54">
        <v>100</v>
      </c>
      <c r="V1127" s="54">
        <v>188</v>
      </c>
      <c r="W1127" s="54">
        <v>533</v>
      </c>
      <c r="X1127" s="54">
        <v>20</v>
      </c>
    </row>
    <row r="1128" spans="1:24">
      <c r="A1128" s="52">
        <v>46120</v>
      </c>
      <c r="B1128" s="53" t="s">
        <v>998</v>
      </c>
      <c r="C1128" s="54">
        <v>573.93811999999991</v>
      </c>
      <c r="D1128" s="54">
        <v>460.79747999999995</v>
      </c>
      <c r="E1128" s="54">
        <v>341.92819999999995</v>
      </c>
      <c r="F1128" s="54">
        <v>957.04091999999991</v>
      </c>
      <c r="G1128" s="54">
        <v>498.74971999999997</v>
      </c>
      <c r="H1128" s="54">
        <v>538.13411999999994</v>
      </c>
      <c r="I1128" s="54">
        <v>495.52735999999993</v>
      </c>
      <c r="J1128" s="54">
        <v>379.16435999999993</v>
      </c>
      <c r="K1128" s="54">
        <v>606.87779999999998</v>
      </c>
      <c r="L1128" s="54">
        <v>518.44191999999998</v>
      </c>
      <c r="M1128" s="54">
        <f t="shared" si="14"/>
        <v>3580.4000000000005</v>
      </c>
      <c r="N1128" s="55">
        <v>8951</v>
      </c>
      <c r="O1128" s="54">
        <v>963</v>
      </c>
      <c r="P1128" s="54">
        <v>31</v>
      </c>
      <c r="Q1128" s="54">
        <v>1298</v>
      </c>
      <c r="R1128" s="54">
        <v>1308</v>
      </c>
      <c r="S1128" s="54">
        <v>1172</v>
      </c>
      <c r="T1128" s="54">
        <v>1308</v>
      </c>
      <c r="U1128" s="54">
        <v>1486</v>
      </c>
      <c r="V1128" s="54">
        <v>491</v>
      </c>
      <c r="W1128" s="54">
        <v>852</v>
      </c>
      <c r="X1128" s="54">
        <v>42</v>
      </c>
    </row>
    <row r="1129" spans="1:24">
      <c r="A1129" s="52">
        <v>46121</v>
      </c>
      <c r="B1129" s="53" t="s">
        <v>998</v>
      </c>
      <c r="C1129" s="54">
        <v>574.38696000000004</v>
      </c>
      <c r="D1129" s="54">
        <v>461.15784000000002</v>
      </c>
      <c r="E1129" s="54">
        <v>342.19560000000001</v>
      </c>
      <c r="F1129" s="54">
        <v>957.78935999999999</v>
      </c>
      <c r="G1129" s="54">
        <v>499.13976000000002</v>
      </c>
      <c r="H1129" s="54">
        <v>538.55496000000005</v>
      </c>
      <c r="I1129" s="54">
        <v>495.91487999999998</v>
      </c>
      <c r="J1129" s="54">
        <v>379.46087999999997</v>
      </c>
      <c r="K1129" s="54">
        <v>607.35239999999999</v>
      </c>
      <c r="L1129" s="54">
        <v>518.84735999999998</v>
      </c>
      <c r="M1129" s="54">
        <f t="shared" si="14"/>
        <v>3583.2000000000007</v>
      </c>
      <c r="N1129" s="55">
        <v>8958</v>
      </c>
      <c r="O1129" s="54">
        <v>961</v>
      </c>
      <c r="P1129" s="54">
        <v>27</v>
      </c>
      <c r="Q1129" s="54">
        <v>1287</v>
      </c>
      <c r="R1129" s="54">
        <v>1315</v>
      </c>
      <c r="S1129" s="54">
        <v>1179</v>
      </c>
      <c r="T1129" s="54">
        <v>1315</v>
      </c>
      <c r="U1129" s="54">
        <v>1487</v>
      </c>
      <c r="V1129" s="54">
        <v>499</v>
      </c>
      <c r="W1129" s="54">
        <v>852</v>
      </c>
      <c r="X1129" s="54">
        <v>36</v>
      </c>
    </row>
    <row r="1130" spans="1:24">
      <c r="A1130" s="52">
        <v>46122</v>
      </c>
      <c r="B1130" s="53" t="s">
        <v>998</v>
      </c>
      <c r="C1130" s="54">
        <v>573.6175199999999</v>
      </c>
      <c r="D1130" s="54">
        <v>460.54007999999993</v>
      </c>
      <c r="E1130" s="54">
        <v>341.73719999999997</v>
      </c>
      <c r="F1130" s="54">
        <v>956.50631999999985</v>
      </c>
      <c r="G1130" s="54">
        <v>498.47111999999993</v>
      </c>
      <c r="H1130" s="54">
        <v>537.83351999999991</v>
      </c>
      <c r="I1130" s="54">
        <v>495.25055999999995</v>
      </c>
      <c r="J1130" s="54">
        <v>378.95255999999995</v>
      </c>
      <c r="K1130" s="54">
        <v>606.53879999999992</v>
      </c>
      <c r="L1130" s="54">
        <v>518.15231999999992</v>
      </c>
      <c r="M1130" s="54">
        <f t="shared" si="14"/>
        <v>3578.3999999999996</v>
      </c>
      <c r="N1130" s="55">
        <v>8946</v>
      </c>
      <c r="O1130" s="54">
        <v>961</v>
      </c>
      <c r="P1130" s="54">
        <v>27</v>
      </c>
      <c r="Q1130" s="54">
        <v>1287</v>
      </c>
      <c r="R1130" s="54">
        <v>1315</v>
      </c>
      <c r="S1130" s="54">
        <v>1179</v>
      </c>
      <c r="T1130" s="54">
        <v>1315</v>
      </c>
      <c r="U1130" s="54">
        <v>1487</v>
      </c>
      <c r="V1130" s="54">
        <v>499</v>
      </c>
      <c r="W1130" s="54">
        <v>840</v>
      </c>
      <c r="X1130" s="54">
        <v>36</v>
      </c>
    </row>
    <row r="1131" spans="1:24">
      <c r="A1131" s="52">
        <v>46123</v>
      </c>
      <c r="B1131" s="53" t="s">
        <v>998</v>
      </c>
      <c r="C1131" s="54">
        <v>579.83716000000004</v>
      </c>
      <c r="D1131" s="54">
        <v>465.53364000000005</v>
      </c>
      <c r="E1131" s="54">
        <v>345.44259999999997</v>
      </c>
      <c r="F1131" s="54">
        <v>966.87756000000002</v>
      </c>
      <c r="G1131" s="54">
        <v>503.87596000000002</v>
      </c>
      <c r="H1131" s="54">
        <v>543.66516000000001</v>
      </c>
      <c r="I1131" s="54">
        <v>500.62047999999999</v>
      </c>
      <c r="J1131" s="54">
        <v>383.06148000000002</v>
      </c>
      <c r="K1131" s="54">
        <v>613.11540000000002</v>
      </c>
      <c r="L1131" s="54">
        <v>523.77056000000005</v>
      </c>
      <c r="M1131" s="54">
        <f t="shared" si="14"/>
        <v>3617.2000000000007</v>
      </c>
      <c r="N1131" s="55">
        <v>9043</v>
      </c>
      <c r="O1131" s="54">
        <v>961</v>
      </c>
      <c r="P1131" s="54">
        <v>27</v>
      </c>
      <c r="Q1131" s="54">
        <v>1287</v>
      </c>
      <c r="R1131" s="54">
        <v>1315</v>
      </c>
      <c r="S1131" s="54">
        <v>1179</v>
      </c>
      <c r="T1131" s="54">
        <v>1315</v>
      </c>
      <c r="U1131" s="54">
        <v>1487</v>
      </c>
      <c r="V1131" s="54">
        <v>499</v>
      </c>
      <c r="W1131" s="54">
        <v>937</v>
      </c>
      <c r="X1131" s="54">
        <v>36</v>
      </c>
    </row>
    <row r="1132" spans="1:24">
      <c r="A1132" s="52">
        <v>46124</v>
      </c>
      <c r="B1132" s="53" t="s">
        <v>998</v>
      </c>
      <c r="C1132" s="54">
        <v>580.79895999999997</v>
      </c>
      <c r="D1132" s="54">
        <v>466.30584000000005</v>
      </c>
      <c r="E1132" s="54">
        <v>346.01560000000001</v>
      </c>
      <c r="F1132" s="54">
        <v>968.48136</v>
      </c>
      <c r="G1132" s="54">
        <v>504.71176000000003</v>
      </c>
      <c r="H1132" s="54">
        <v>544.56695999999999</v>
      </c>
      <c r="I1132" s="54">
        <v>501.45087999999998</v>
      </c>
      <c r="J1132" s="54">
        <v>383.69687999999996</v>
      </c>
      <c r="K1132" s="54">
        <v>614.13240000000008</v>
      </c>
      <c r="L1132" s="54">
        <v>524.63936000000001</v>
      </c>
      <c r="M1132" s="54">
        <f t="shared" ref="M1132:M1195" si="16">N1132-SUM(C1132:L1132)</f>
        <v>3623.2</v>
      </c>
      <c r="N1132" s="55">
        <v>9058</v>
      </c>
      <c r="O1132" s="54">
        <v>961</v>
      </c>
      <c r="P1132" s="54">
        <v>27</v>
      </c>
      <c r="Q1132" s="54">
        <v>1287</v>
      </c>
      <c r="R1132" s="54">
        <v>1315</v>
      </c>
      <c r="S1132" s="54">
        <v>1179</v>
      </c>
      <c r="T1132" s="54">
        <v>1315</v>
      </c>
      <c r="U1132" s="54">
        <v>1487</v>
      </c>
      <c r="V1132" s="54">
        <v>499</v>
      </c>
      <c r="W1132" s="54">
        <v>952</v>
      </c>
      <c r="X1132" s="54">
        <v>36</v>
      </c>
    </row>
    <row r="1133" spans="1:24">
      <c r="A1133" s="52">
        <v>46125</v>
      </c>
      <c r="B1133" s="53" t="s">
        <v>998</v>
      </c>
      <c r="C1133" s="54">
        <v>576.63116000000002</v>
      </c>
      <c r="D1133" s="54">
        <v>462.95964000000004</v>
      </c>
      <c r="E1133" s="54">
        <v>343.5326</v>
      </c>
      <c r="F1133" s="54">
        <v>961.53156000000001</v>
      </c>
      <c r="G1133" s="54">
        <v>501.08996000000002</v>
      </c>
      <c r="H1133" s="54">
        <v>540.65916000000004</v>
      </c>
      <c r="I1133" s="54">
        <v>497.85248000000001</v>
      </c>
      <c r="J1133" s="54">
        <v>380.94347999999997</v>
      </c>
      <c r="K1133" s="54">
        <v>609.72540000000004</v>
      </c>
      <c r="L1133" s="54">
        <v>520.87455999999997</v>
      </c>
      <c r="M1133" s="54">
        <f t="shared" si="16"/>
        <v>3597.1999999999989</v>
      </c>
      <c r="N1133" s="55">
        <v>8993</v>
      </c>
      <c r="O1133" s="54">
        <v>961</v>
      </c>
      <c r="P1133" s="54">
        <v>27</v>
      </c>
      <c r="Q1133" s="54">
        <v>1287</v>
      </c>
      <c r="R1133" s="54">
        <v>1315</v>
      </c>
      <c r="S1133" s="54">
        <v>1179</v>
      </c>
      <c r="T1133" s="54">
        <v>1315</v>
      </c>
      <c r="U1133" s="54">
        <v>1487</v>
      </c>
      <c r="V1133" s="54">
        <v>499</v>
      </c>
      <c r="W1133" s="54">
        <v>887</v>
      </c>
      <c r="X1133" s="54">
        <v>36</v>
      </c>
    </row>
    <row r="1134" spans="1:24">
      <c r="A1134" s="52">
        <v>46126</v>
      </c>
      <c r="B1134" s="53" t="s">
        <v>998</v>
      </c>
      <c r="C1134" s="54">
        <v>572.27099999999996</v>
      </c>
      <c r="D1134" s="54">
        <v>459.459</v>
      </c>
      <c r="E1134" s="54">
        <v>340.935</v>
      </c>
      <c r="F1134" s="54">
        <v>954.26099999999997</v>
      </c>
      <c r="G1134" s="54">
        <v>497.30099999999999</v>
      </c>
      <c r="H1134" s="54">
        <v>536.57100000000003</v>
      </c>
      <c r="I1134" s="54">
        <v>494.08799999999997</v>
      </c>
      <c r="J1134" s="54">
        <v>378.06299999999999</v>
      </c>
      <c r="K1134" s="54">
        <v>605.11500000000001</v>
      </c>
      <c r="L1134" s="54">
        <v>516.93600000000004</v>
      </c>
      <c r="M1134" s="54">
        <f t="shared" si="16"/>
        <v>3570.0000000000009</v>
      </c>
      <c r="N1134" s="55">
        <v>8925</v>
      </c>
      <c r="O1134" s="54">
        <v>961</v>
      </c>
      <c r="P1134" s="54">
        <v>27</v>
      </c>
      <c r="Q1134" s="54">
        <v>1287</v>
      </c>
      <c r="R1134" s="54">
        <v>1315</v>
      </c>
      <c r="S1134" s="54">
        <v>1179</v>
      </c>
      <c r="T1134" s="54">
        <v>1315</v>
      </c>
      <c r="U1134" s="54">
        <v>1487</v>
      </c>
      <c r="V1134" s="54">
        <v>499</v>
      </c>
      <c r="W1134" s="54">
        <v>819</v>
      </c>
      <c r="X1134" s="54">
        <v>36</v>
      </c>
    </row>
    <row r="1135" spans="1:24">
      <c r="A1135" s="52">
        <v>46127</v>
      </c>
      <c r="B1135" s="53" t="s">
        <v>998</v>
      </c>
      <c r="C1135" s="54">
        <v>569.70619999999997</v>
      </c>
      <c r="D1135" s="54">
        <v>457.39980000000003</v>
      </c>
      <c r="E1135" s="54">
        <v>339.40699999999998</v>
      </c>
      <c r="F1135" s="54">
        <v>949.98419999999999</v>
      </c>
      <c r="G1135" s="54">
        <v>495.07220000000001</v>
      </c>
      <c r="H1135" s="54">
        <v>534.1662</v>
      </c>
      <c r="I1135" s="54">
        <v>491.87360000000001</v>
      </c>
      <c r="J1135" s="54">
        <v>376.36859999999996</v>
      </c>
      <c r="K1135" s="54">
        <v>602.40300000000002</v>
      </c>
      <c r="L1135" s="54">
        <v>514.61919999999998</v>
      </c>
      <c r="M1135" s="54">
        <f t="shared" si="16"/>
        <v>3554</v>
      </c>
      <c r="N1135" s="55">
        <v>8885</v>
      </c>
      <c r="O1135" s="54">
        <v>961</v>
      </c>
      <c r="P1135" s="54">
        <v>27</v>
      </c>
      <c r="Q1135" s="54">
        <v>1287</v>
      </c>
      <c r="R1135" s="54">
        <v>1315</v>
      </c>
      <c r="S1135" s="54">
        <v>1179</v>
      </c>
      <c r="T1135" s="54">
        <v>1315</v>
      </c>
      <c r="U1135" s="54">
        <v>1487</v>
      </c>
      <c r="V1135" s="54">
        <v>499</v>
      </c>
      <c r="W1135" s="54">
        <v>779</v>
      </c>
      <c r="X1135" s="54">
        <v>36</v>
      </c>
    </row>
    <row r="1136" spans="1:24">
      <c r="A1136" s="52">
        <v>46128</v>
      </c>
      <c r="B1136" s="53" t="s">
        <v>998</v>
      </c>
      <c r="C1136" s="54">
        <v>573.48928000000001</v>
      </c>
      <c r="D1136" s="54">
        <v>460.43711999999999</v>
      </c>
      <c r="E1136" s="54">
        <v>341.66079999999994</v>
      </c>
      <c r="F1136" s="54">
        <v>956.29247999999995</v>
      </c>
      <c r="G1136" s="54">
        <v>498.35967999999997</v>
      </c>
      <c r="H1136" s="54">
        <v>537.71327999999994</v>
      </c>
      <c r="I1136" s="54">
        <v>495.13983999999994</v>
      </c>
      <c r="J1136" s="54">
        <v>378.86783999999994</v>
      </c>
      <c r="K1136" s="54">
        <v>606.40319999999997</v>
      </c>
      <c r="L1136" s="54">
        <v>518.03647999999998</v>
      </c>
      <c r="M1136" s="54">
        <f t="shared" si="16"/>
        <v>3577.6000000000004</v>
      </c>
      <c r="N1136" s="55">
        <v>8944</v>
      </c>
      <c r="O1136" s="54">
        <v>961</v>
      </c>
      <c r="P1136" s="54">
        <v>27</v>
      </c>
      <c r="Q1136" s="54">
        <v>1287</v>
      </c>
      <c r="R1136" s="54">
        <v>1315</v>
      </c>
      <c r="S1136" s="54">
        <v>1179</v>
      </c>
      <c r="T1136" s="54">
        <v>1315</v>
      </c>
      <c r="U1136" s="54">
        <v>1487</v>
      </c>
      <c r="V1136" s="54">
        <v>499</v>
      </c>
      <c r="W1136" s="54">
        <v>838</v>
      </c>
      <c r="X1136" s="54">
        <v>36</v>
      </c>
    </row>
    <row r="1137" spans="1:24">
      <c r="A1137" s="52">
        <v>46129</v>
      </c>
      <c r="B1137" s="53" t="s">
        <v>998</v>
      </c>
      <c r="C1137" s="54">
        <v>575.47699999999998</v>
      </c>
      <c r="D1137" s="54">
        <v>462.03300000000002</v>
      </c>
      <c r="E1137" s="54">
        <v>342.84499999999997</v>
      </c>
      <c r="F1137" s="54">
        <v>959.60699999999997</v>
      </c>
      <c r="G1137" s="54">
        <v>500.08699999999999</v>
      </c>
      <c r="H1137" s="54">
        <v>539.577</v>
      </c>
      <c r="I1137" s="54">
        <v>496.85599999999999</v>
      </c>
      <c r="J1137" s="54">
        <v>380.18099999999998</v>
      </c>
      <c r="K1137" s="54">
        <v>608.505</v>
      </c>
      <c r="L1137" s="54">
        <v>519.83199999999999</v>
      </c>
      <c r="M1137" s="54">
        <f t="shared" si="16"/>
        <v>3590</v>
      </c>
      <c r="N1137" s="55">
        <v>8975</v>
      </c>
      <c r="O1137" s="54">
        <v>961</v>
      </c>
      <c r="P1137" s="54">
        <v>27</v>
      </c>
      <c r="Q1137" s="54">
        <v>1287</v>
      </c>
      <c r="R1137" s="54">
        <v>1315</v>
      </c>
      <c r="S1137" s="54">
        <v>1179</v>
      </c>
      <c r="T1137" s="54">
        <v>1315</v>
      </c>
      <c r="U1137" s="54">
        <v>1487</v>
      </c>
      <c r="V1137" s="54">
        <v>499</v>
      </c>
      <c r="W1137" s="54">
        <v>869</v>
      </c>
      <c r="X1137" s="54">
        <v>36</v>
      </c>
    </row>
    <row r="1138" spans="1:24">
      <c r="A1138" s="52">
        <v>46130</v>
      </c>
      <c r="B1138" s="53" t="s">
        <v>998</v>
      </c>
      <c r="C1138" s="54">
        <v>576.05408</v>
      </c>
      <c r="D1138" s="54">
        <v>462.49631999999997</v>
      </c>
      <c r="E1138" s="54">
        <v>343.18879999999996</v>
      </c>
      <c r="F1138" s="54">
        <v>960.56927999999994</v>
      </c>
      <c r="G1138" s="54">
        <v>500.58847999999995</v>
      </c>
      <c r="H1138" s="54">
        <v>540.11807999999996</v>
      </c>
      <c r="I1138" s="54">
        <v>497.35423999999995</v>
      </c>
      <c r="J1138" s="54">
        <v>380.56223999999997</v>
      </c>
      <c r="K1138" s="54">
        <v>609.11519999999996</v>
      </c>
      <c r="L1138" s="54">
        <v>520.35327999999993</v>
      </c>
      <c r="M1138" s="54">
        <f t="shared" si="16"/>
        <v>3593.6000000000004</v>
      </c>
      <c r="N1138" s="55">
        <v>8984</v>
      </c>
      <c r="O1138" s="54">
        <v>961</v>
      </c>
      <c r="P1138" s="54">
        <v>27</v>
      </c>
      <c r="Q1138" s="54">
        <v>1287</v>
      </c>
      <c r="R1138" s="54">
        <v>1315</v>
      </c>
      <c r="S1138" s="54">
        <v>1179</v>
      </c>
      <c r="T1138" s="54">
        <v>1315</v>
      </c>
      <c r="U1138" s="54">
        <v>1487</v>
      </c>
      <c r="V1138" s="54">
        <v>499</v>
      </c>
      <c r="W1138" s="54">
        <v>878</v>
      </c>
      <c r="X1138" s="54">
        <v>36</v>
      </c>
    </row>
    <row r="1139" spans="1:24">
      <c r="A1139" s="52">
        <v>46131</v>
      </c>
      <c r="B1139" s="53" t="s">
        <v>998</v>
      </c>
      <c r="C1139" s="54">
        <v>580.60659999999996</v>
      </c>
      <c r="D1139" s="54">
        <v>466.15140000000002</v>
      </c>
      <c r="E1139" s="54">
        <v>345.90099999999995</v>
      </c>
      <c r="F1139" s="54">
        <v>968.16059999999993</v>
      </c>
      <c r="G1139" s="54">
        <v>504.5446</v>
      </c>
      <c r="H1139" s="54">
        <v>544.38659999999993</v>
      </c>
      <c r="I1139" s="54">
        <v>501.28479999999996</v>
      </c>
      <c r="J1139" s="54">
        <v>383.56979999999999</v>
      </c>
      <c r="K1139" s="54">
        <v>613.92899999999997</v>
      </c>
      <c r="L1139" s="54">
        <v>524.46559999999999</v>
      </c>
      <c r="M1139" s="54">
        <f t="shared" si="16"/>
        <v>3622</v>
      </c>
      <c r="N1139" s="55">
        <v>9055</v>
      </c>
      <c r="O1139" s="54">
        <v>961</v>
      </c>
      <c r="P1139" s="54">
        <v>27</v>
      </c>
      <c r="Q1139" s="54">
        <v>1287</v>
      </c>
      <c r="R1139" s="54">
        <v>1315</v>
      </c>
      <c r="S1139" s="54">
        <v>1179</v>
      </c>
      <c r="T1139" s="54">
        <v>1315</v>
      </c>
      <c r="U1139" s="54">
        <v>1487</v>
      </c>
      <c r="V1139" s="54">
        <v>499</v>
      </c>
      <c r="W1139" s="54">
        <v>949</v>
      </c>
      <c r="X1139" s="54">
        <v>36</v>
      </c>
    </row>
    <row r="1140" spans="1:24">
      <c r="A1140" s="52">
        <v>46132</v>
      </c>
      <c r="B1140" s="53" t="s">
        <v>998</v>
      </c>
      <c r="C1140" s="54">
        <v>580.22187999999994</v>
      </c>
      <c r="D1140" s="54">
        <v>465.84251999999998</v>
      </c>
      <c r="E1140" s="54">
        <v>345.67179999999996</v>
      </c>
      <c r="F1140" s="54">
        <v>967.51907999999992</v>
      </c>
      <c r="G1140" s="54">
        <v>504.21027999999995</v>
      </c>
      <c r="H1140" s="54">
        <v>544.02587999999992</v>
      </c>
      <c r="I1140" s="54">
        <v>500.95263999999997</v>
      </c>
      <c r="J1140" s="54">
        <v>383.31563999999997</v>
      </c>
      <c r="K1140" s="54">
        <v>613.5222</v>
      </c>
      <c r="L1140" s="54">
        <v>524.11807999999996</v>
      </c>
      <c r="M1140" s="54">
        <f t="shared" si="16"/>
        <v>3619.5999999999995</v>
      </c>
      <c r="N1140" s="55">
        <v>9049</v>
      </c>
      <c r="O1140" s="54">
        <v>961</v>
      </c>
      <c r="P1140" s="54">
        <v>27</v>
      </c>
      <c r="Q1140" s="54">
        <v>1287</v>
      </c>
      <c r="R1140" s="54">
        <v>1315</v>
      </c>
      <c r="S1140" s="54">
        <v>1179</v>
      </c>
      <c r="T1140" s="54">
        <v>1315</v>
      </c>
      <c r="U1140" s="54">
        <v>1487</v>
      </c>
      <c r="V1140" s="54">
        <v>499</v>
      </c>
      <c r="W1140" s="54">
        <v>943</v>
      </c>
      <c r="X1140" s="54">
        <v>36</v>
      </c>
    </row>
    <row r="1141" spans="1:24">
      <c r="A1141" s="52">
        <v>46133</v>
      </c>
      <c r="B1141" s="53" t="s">
        <v>998</v>
      </c>
      <c r="C1141" s="54">
        <v>582.27371999999991</v>
      </c>
      <c r="D1141" s="54">
        <v>467.48987999999997</v>
      </c>
      <c r="E1141" s="54">
        <v>346.89419999999996</v>
      </c>
      <c r="F1141" s="54">
        <v>970.94051999999988</v>
      </c>
      <c r="G1141" s="54">
        <v>505.99331999999993</v>
      </c>
      <c r="H1141" s="54">
        <v>545.94971999999996</v>
      </c>
      <c r="I1141" s="54">
        <v>502.72415999999993</v>
      </c>
      <c r="J1141" s="54">
        <v>384.67115999999993</v>
      </c>
      <c r="K1141" s="54">
        <v>615.69179999999994</v>
      </c>
      <c r="L1141" s="54">
        <v>525.97151999999994</v>
      </c>
      <c r="M1141" s="54">
        <f t="shared" si="16"/>
        <v>3632.4000000000005</v>
      </c>
      <c r="N1141" s="55">
        <v>9081</v>
      </c>
      <c r="O1141" s="54">
        <v>961</v>
      </c>
      <c r="P1141" s="54">
        <v>27</v>
      </c>
      <c r="Q1141" s="54">
        <v>1287</v>
      </c>
      <c r="R1141" s="54">
        <v>1315</v>
      </c>
      <c r="S1141" s="54">
        <v>1179</v>
      </c>
      <c r="T1141" s="54">
        <v>1315</v>
      </c>
      <c r="U1141" s="54">
        <v>1487</v>
      </c>
      <c r="V1141" s="54">
        <v>499</v>
      </c>
      <c r="W1141" s="54">
        <v>975</v>
      </c>
      <c r="X1141" s="54">
        <v>36</v>
      </c>
    </row>
    <row r="1142" spans="1:24">
      <c r="A1142" s="52">
        <v>46134</v>
      </c>
      <c r="B1142" s="53" t="s">
        <v>998</v>
      </c>
      <c r="C1142" s="54">
        <v>579.96540000000005</v>
      </c>
      <c r="D1142" s="54">
        <v>465.63659999999999</v>
      </c>
      <c r="E1142" s="54">
        <v>345.51900000000001</v>
      </c>
      <c r="F1142" s="54">
        <v>967.09140000000002</v>
      </c>
      <c r="G1142" s="54">
        <v>503.98739999999998</v>
      </c>
      <c r="H1142" s="54">
        <v>543.78539999999998</v>
      </c>
      <c r="I1142" s="54">
        <v>500.7312</v>
      </c>
      <c r="J1142" s="54">
        <v>383.14619999999996</v>
      </c>
      <c r="K1142" s="54">
        <v>613.25099999999998</v>
      </c>
      <c r="L1142" s="54">
        <v>523.88639999999998</v>
      </c>
      <c r="M1142" s="54">
        <f t="shared" si="16"/>
        <v>3617.9999999999991</v>
      </c>
      <c r="N1142" s="55">
        <v>9045</v>
      </c>
      <c r="O1142" s="54">
        <v>961</v>
      </c>
      <c r="P1142" s="54">
        <v>27</v>
      </c>
      <c r="Q1142" s="54">
        <v>1287</v>
      </c>
      <c r="R1142" s="54">
        <v>1315</v>
      </c>
      <c r="S1142" s="54">
        <v>1179</v>
      </c>
      <c r="T1142" s="54">
        <v>1315</v>
      </c>
      <c r="U1142" s="54">
        <v>1487</v>
      </c>
      <c r="V1142" s="54">
        <v>499</v>
      </c>
      <c r="W1142" s="54">
        <v>939</v>
      </c>
      <c r="X1142" s="54">
        <v>36</v>
      </c>
    </row>
    <row r="1143" spans="1:24">
      <c r="A1143" s="52">
        <v>46135</v>
      </c>
      <c r="B1143" s="53" t="s">
        <v>998</v>
      </c>
      <c r="C1143" s="54">
        <v>579.96540000000005</v>
      </c>
      <c r="D1143" s="54">
        <v>465.63659999999999</v>
      </c>
      <c r="E1143" s="54">
        <v>345.51900000000001</v>
      </c>
      <c r="F1143" s="54">
        <v>967.09140000000002</v>
      </c>
      <c r="G1143" s="54">
        <v>503.98739999999998</v>
      </c>
      <c r="H1143" s="54">
        <v>543.78539999999998</v>
      </c>
      <c r="I1143" s="54">
        <v>500.7312</v>
      </c>
      <c r="J1143" s="54">
        <v>383.14619999999996</v>
      </c>
      <c r="K1143" s="54">
        <v>613.25099999999998</v>
      </c>
      <c r="L1143" s="54">
        <v>523.88639999999998</v>
      </c>
      <c r="M1143" s="54">
        <f t="shared" si="16"/>
        <v>3617.9999999999991</v>
      </c>
      <c r="N1143" s="55">
        <v>9045</v>
      </c>
      <c r="O1143" s="54">
        <v>961</v>
      </c>
      <c r="P1143" s="54">
        <v>27</v>
      </c>
      <c r="Q1143" s="54">
        <v>1287</v>
      </c>
      <c r="R1143" s="54">
        <v>1315</v>
      </c>
      <c r="S1143" s="54">
        <v>1179</v>
      </c>
      <c r="T1143" s="54">
        <v>1315</v>
      </c>
      <c r="U1143" s="54">
        <v>1487</v>
      </c>
      <c r="V1143" s="54">
        <v>499</v>
      </c>
      <c r="W1143" s="54">
        <v>939</v>
      </c>
      <c r="X1143" s="54">
        <v>36</v>
      </c>
    </row>
    <row r="1144" spans="1:24">
      <c r="A1144" s="52">
        <v>46136</v>
      </c>
      <c r="B1144" s="53" t="s">
        <v>998</v>
      </c>
      <c r="C1144" s="54">
        <v>582.72256000000004</v>
      </c>
      <c r="D1144" s="54">
        <v>467.85024000000004</v>
      </c>
      <c r="E1144" s="54">
        <v>347.16159999999996</v>
      </c>
      <c r="F1144" s="54">
        <v>971.68896000000007</v>
      </c>
      <c r="G1144" s="54">
        <v>506.38336000000004</v>
      </c>
      <c r="H1144" s="54">
        <v>546.37055999999995</v>
      </c>
      <c r="I1144" s="54">
        <v>503.11167999999998</v>
      </c>
      <c r="J1144" s="54">
        <v>384.96767999999997</v>
      </c>
      <c r="K1144" s="54">
        <v>616.16640000000007</v>
      </c>
      <c r="L1144" s="54">
        <v>526.37696000000005</v>
      </c>
      <c r="M1144" s="54">
        <f t="shared" si="16"/>
        <v>3635.1999999999989</v>
      </c>
      <c r="N1144" s="55">
        <v>9088</v>
      </c>
      <c r="O1144" s="54">
        <v>961</v>
      </c>
      <c r="P1144" s="54">
        <v>27</v>
      </c>
      <c r="Q1144" s="54">
        <v>1287</v>
      </c>
      <c r="R1144" s="54">
        <v>1315</v>
      </c>
      <c r="S1144" s="54">
        <v>1179</v>
      </c>
      <c r="T1144" s="54">
        <v>1315</v>
      </c>
      <c r="U1144" s="54">
        <v>1487</v>
      </c>
      <c r="V1144" s="54">
        <v>499</v>
      </c>
      <c r="W1144" s="54">
        <v>982</v>
      </c>
      <c r="X1144" s="54">
        <v>36</v>
      </c>
    </row>
    <row r="1145" spans="1:24">
      <c r="A1145" s="52">
        <v>46137</v>
      </c>
      <c r="B1145" s="53" t="s">
        <v>998</v>
      </c>
      <c r="C1145" s="54">
        <v>587.91627999999992</v>
      </c>
      <c r="D1145" s="54">
        <v>472.02011999999996</v>
      </c>
      <c r="E1145" s="54">
        <v>350.25579999999997</v>
      </c>
      <c r="F1145" s="54">
        <v>980.34947999999997</v>
      </c>
      <c r="G1145" s="54">
        <v>510.89667999999995</v>
      </c>
      <c r="H1145" s="54">
        <v>551.24027999999998</v>
      </c>
      <c r="I1145" s="54">
        <v>507.59583999999995</v>
      </c>
      <c r="J1145" s="54">
        <v>388.39883999999995</v>
      </c>
      <c r="K1145" s="54">
        <v>621.65819999999997</v>
      </c>
      <c r="L1145" s="54">
        <v>531.06847999999991</v>
      </c>
      <c r="M1145" s="54">
        <f t="shared" si="16"/>
        <v>3667.6000000000004</v>
      </c>
      <c r="N1145" s="55">
        <v>9169</v>
      </c>
      <c r="O1145" s="54">
        <v>961</v>
      </c>
      <c r="P1145" s="54">
        <v>27</v>
      </c>
      <c r="Q1145" s="54">
        <v>1287</v>
      </c>
      <c r="R1145" s="54">
        <v>1315</v>
      </c>
      <c r="S1145" s="54">
        <v>1179</v>
      </c>
      <c r="T1145" s="54">
        <v>1315</v>
      </c>
      <c r="U1145" s="54">
        <v>1487</v>
      </c>
      <c r="V1145" s="54">
        <v>499</v>
      </c>
      <c r="W1145" s="54">
        <v>1063</v>
      </c>
      <c r="X1145" s="54">
        <v>36</v>
      </c>
    </row>
    <row r="1146" spans="1:24">
      <c r="A1146" s="52">
        <v>46138</v>
      </c>
      <c r="B1146" s="53" t="s">
        <v>998</v>
      </c>
      <c r="C1146" s="54">
        <v>574.89991999999995</v>
      </c>
      <c r="D1146" s="54">
        <v>461.56967999999995</v>
      </c>
      <c r="E1146" s="54">
        <v>342.50119999999993</v>
      </c>
      <c r="F1146" s="54">
        <v>958.64471999999989</v>
      </c>
      <c r="G1146" s="54">
        <v>499.58551999999997</v>
      </c>
      <c r="H1146" s="54">
        <v>539.03591999999992</v>
      </c>
      <c r="I1146" s="54">
        <v>496.35775999999993</v>
      </c>
      <c r="J1146" s="54">
        <v>379.79975999999994</v>
      </c>
      <c r="K1146" s="54">
        <v>607.89479999999992</v>
      </c>
      <c r="L1146" s="54">
        <v>519.31071999999995</v>
      </c>
      <c r="M1146" s="54">
        <f t="shared" si="16"/>
        <v>3586.3999999999996</v>
      </c>
      <c r="N1146" s="55">
        <v>8966</v>
      </c>
      <c r="O1146" s="54">
        <v>961</v>
      </c>
      <c r="P1146" s="54">
        <v>27</v>
      </c>
      <c r="Q1146" s="54">
        <v>1287</v>
      </c>
      <c r="R1146" s="54">
        <v>1315</v>
      </c>
      <c r="S1146" s="54">
        <v>1179</v>
      </c>
      <c r="T1146" s="54">
        <v>1315</v>
      </c>
      <c r="U1146" s="54">
        <v>1487</v>
      </c>
      <c r="V1146" s="54">
        <v>499</v>
      </c>
      <c r="W1146" s="54">
        <v>860</v>
      </c>
      <c r="X1146" s="54">
        <v>36</v>
      </c>
    </row>
    <row r="1147" spans="1:24">
      <c r="A1147" s="52">
        <v>46139</v>
      </c>
      <c r="B1147" s="53" t="s">
        <v>998</v>
      </c>
      <c r="C1147" s="54">
        <v>575.15639999999996</v>
      </c>
      <c r="D1147" s="54">
        <v>461.7756</v>
      </c>
      <c r="E1147" s="54">
        <v>342.654</v>
      </c>
      <c r="F1147" s="54">
        <v>959.07240000000002</v>
      </c>
      <c r="G1147" s="54">
        <v>499.80840000000001</v>
      </c>
      <c r="H1147" s="54">
        <v>539.27639999999997</v>
      </c>
      <c r="I1147" s="54">
        <v>496.57919999999996</v>
      </c>
      <c r="J1147" s="54">
        <v>379.9692</v>
      </c>
      <c r="K1147" s="54">
        <v>608.16600000000005</v>
      </c>
      <c r="L1147" s="54">
        <v>519.54240000000004</v>
      </c>
      <c r="M1147" s="54">
        <f t="shared" si="16"/>
        <v>3587.9999999999991</v>
      </c>
      <c r="N1147" s="55">
        <v>8970</v>
      </c>
      <c r="O1147" s="54">
        <v>961</v>
      </c>
      <c r="P1147" s="54">
        <v>27</v>
      </c>
      <c r="Q1147" s="54">
        <v>1287</v>
      </c>
      <c r="R1147" s="54">
        <v>1315</v>
      </c>
      <c r="S1147" s="54">
        <v>1179</v>
      </c>
      <c r="T1147" s="54">
        <v>1315</v>
      </c>
      <c r="U1147" s="54">
        <v>1487</v>
      </c>
      <c r="V1147" s="54">
        <v>499</v>
      </c>
      <c r="W1147" s="54">
        <v>864</v>
      </c>
      <c r="X1147" s="54">
        <v>36</v>
      </c>
    </row>
    <row r="1148" spans="1:24">
      <c r="A1148" s="52">
        <v>46140</v>
      </c>
      <c r="B1148" s="53" t="s">
        <v>998</v>
      </c>
      <c r="C1148" s="54">
        <v>578.10591999999997</v>
      </c>
      <c r="D1148" s="54">
        <v>464.14367999999996</v>
      </c>
      <c r="E1148" s="54">
        <v>344.41119999999995</v>
      </c>
      <c r="F1148" s="54">
        <v>963.9907199999999</v>
      </c>
      <c r="G1148" s="54">
        <v>502.37151999999998</v>
      </c>
      <c r="H1148" s="54">
        <v>542.04191999999989</v>
      </c>
      <c r="I1148" s="54">
        <v>499.12575999999996</v>
      </c>
      <c r="J1148" s="54">
        <v>381.91775999999993</v>
      </c>
      <c r="K1148" s="54">
        <v>611.2847999999999</v>
      </c>
      <c r="L1148" s="54">
        <v>522.2067199999999</v>
      </c>
      <c r="M1148" s="54">
        <f t="shared" si="16"/>
        <v>3606.3999999999996</v>
      </c>
      <c r="N1148" s="55">
        <v>9016</v>
      </c>
      <c r="O1148" s="54">
        <v>961</v>
      </c>
      <c r="P1148" s="54">
        <v>27</v>
      </c>
      <c r="Q1148" s="54">
        <v>1287</v>
      </c>
      <c r="R1148" s="54">
        <v>1315</v>
      </c>
      <c r="S1148" s="54">
        <v>1179</v>
      </c>
      <c r="T1148" s="54">
        <v>1315</v>
      </c>
      <c r="U1148" s="54">
        <v>1487</v>
      </c>
      <c r="V1148" s="54">
        <v>499</v>
      </c>
      <c r="W1148" s="54">
        <v>910</v>
      </c>
      <c r="X1148" s="54">
        <v>36</v>
      </c>
    </row>
    <row r="1149" spans="1:24">
      <c r="A1149" s="52">
        <v>46141</v>
      </c>
      <c r="B1149" s="53" t="s">
        <v>998</v>
      </c>
      <c r="C1149" s="54">
        <v>577.84943999999996</v>
      </c>
      <c r="D1149" s="54">
        <v>463.93775999999997</v>
      </c>
      <c r="E1149" s="54">
        <v>344.25839999999999</v>
      </c>
      <c r="F1149" s="54">
        <v>963.56304</v>
      </c>
      <c r="G1149" s="54">
        <v>502.14864</v>
      </c>
      <c r="H1149" s="54">
        <v>541.80143999999996</v>
      </c>
      <c r="I1149" s="54">
        <v>498.90431999999998</v>
      </c>
      <c r="J1149" s="54">
        <v>381.74831999999998</v>
      </c>
      <c r="K1149" s="54">
        <v>611.0136</v>
      </c>
      <c r="L1149" s="54">
        <v>521.97503999999992</v>
      </c>
      <c r="M1149" s="54">
        <f t="shared" si="16"/>
        <v>3604.7999999999993</v>
      </c>
      <c r="N1149" s="55">
        <v>9012</v>
      </c>
      <c r="O1149" s="54">
        <v>961</v>
      </c>
      <c r="P1149" s="54">
        <v>27</v>
      </c>
      <c r="Q1149" s="54">
        <v>1287</v>
      </c>
      <c r="R1149" s="54">
        <v>1315</v>
      </c>
      <c r="S1149" s="54">
        <v>1179</v>
      </c>
      <c r="T1149" s="54">
        <v>1315</v>
      </c>
      <c r="U1149" s="54">
        <v>1487</v>
      </c>
      <c r="V1149" s="54">
        <v>499</v>
      </c>
      <c r="W1149" s="54">
        <v>906</v>
      </c>
      <c r="X1149" s="54">
        <v>36</v>
      </c>
    </row>
    <row r="1150" spans="1:24">
      <c r="A1150" s="52">
        <v>46142</v>
      </c>
      <c r="B1150" s="53" t="s">
        <v>998</v>
      </c>
      <c r="C1150" s="54">
        <v>579.58067999999992</v>
      </c>
      <c r="D1150" s="54">
        <v>465.32772</v>
      </c>
      <c r="E1150" s="54">
        <v>345.28979999999996</v>
      </c>
      <c r="F1150" s="54">
        <v>966.44987999999989</v>
      </c>
      <c r="G1150" s="54">
        <v>503.65307999999999</v>
      </c>
      <c r="H1150" s="54">
        <v>543.42467999999997</v>
      </c>
      <c r="I1150" s="54">
        <v>500.39903999999996</v>
      </c>
      <c r="J1150" s="54">
        <v>382.89203999999995</v>
      </c>
      <c r="K1150" s="54">
        <v>612.8442</v>
      </c>
      <c r="L1150" s="54">
        <v>523.53887999999995</v>
      </c>
      <c r="M1150" s="54">
        <f t="shared" si="16"/>
        <v>3615.6000000000004</v>
      </c>
      <c r="N1150" s="55">
        <v>9039</v>
      </c>
      <c r="O1150" s="54">
        <v>961</v>
      </c>
      <c r="P1150" s="54">
        <v>27</v>
      </c>
      <c r="Q1150" s="54">
        <v>1287</v>
      </c>
      <c r="R1150" s="54">
        <v>1315</v>
      </c>
      <c r="S1150" s="54">
        <v>1179</v>
      </c>
      <c r="T1150" s="54">
        <v>1315</v>
      </c>
      <c r="U1150" s="54">
        <v>1487</v>
      </c>
      <c r="V1150" s="54">
        <v>499</v>
      </c>
      <c r="W1150" s="54">
        <v>933</v>
      </c>
      <c r="X1150" s="54">
        <v>36</v>
      </c>
    </row>
    <row r="1151" spans="1:24">
      <c r="A1151" s="52">
        <v>46143</v>
      </c>
      <c r="B1151" s="53" t="s">
        <v>998</v>
      </c>
      <c r="C1151" s="60">
        <v>908.05735384615389</v>
      </c>
      <c r="D1151" s="60">
        <v>721.10436923076929</v>
      </c>
      <c r="E1151" s="60">
        <v>640.98166153846171</v>
      </c>
      <c r="F1151" s="60">
        <v>1415.5011692307692</v>
      </c>
      <c r="G1151" s="60">
        <v>841.28843076923079</v>
      </c>
      <c r="H1151" s="60">
        <v>827.9346461538463</v>
      </c>
      <c r="I1151" s="60">
        <v>747.81193846153849</v>
      </c>
      <c r="J1151" s="60">
        <v>654.33544615384619</v>
      </c>
      <c r="K1151" s="60">
        <v>1095.0103384615386</v>
      </c>
      <c r="L1151" s="60">
        <v>827.9346461538463</v>
      </c>
      <c r="M1151" s="54">
        <f t="shared" si="16"/>
        <v>2036.0399999999991</v>
      </c>
      <c r="N1151" s="55">
        <v>10716</v>
      </c>
      <c r="O1151" s="59">
        <v>328</v>
      </c>
      <c r="P1151" s="59">
        <v>6</v>
      </c>
      <c r="Q1151" s="59">
        <v>686</v>
      </c>
      <c r="R1151" s="59">
        <v>787</v>
      </c>
      <c r="S1151" s="59">
        <v>820</v>
      </c>
      <c r="T1151" s="59">
        <v>1500</v>
      </c>
      <c r="U1151" s="59">
        <v>5174</v>
      </c>
      <c r="V1151" s="59">
        <v>415</v>
      </c>
      <c r="W1151" s="59">
        <v>1000</v>
      </c>
      <c r="X1151" s="59">
        <v>0</v>
      </c>
    </row>
    <row r="1152" spans="1:24">
      <c r="A1152" s="52">
        <v>46144</v>
      </c>
      <c r="B1152" s="53" t="s">
        <v>998</v>
      </c>
      <c r="C1152" s="60">
        <v>903.31200000000001</v>
      </c>
      <c r="D1152" s="60">
        <v>717.33600000000001</v>
      </c>
      <c r="E1152" s="60">
        <v>637.63200000000006</v>
      </c>
      <c r="F1152" s="60">
        <v>1408.104</v>
      </c>
      <c r="G1152" s="60">
        <v>836.89199999999994</v>
      </c>
      <c r="H1152" s="60">
        <v>823.60800000000006</v>
      </c>
      <c r="I1152" s="60">
        <v>743.904</v>
      </c>
      <c r="J1152" s="60">
        <v>650.91600000000005</v>
      </c>
      <c r="K1152" s="60">
        <v>1089.288</v>
      </c>
      <c r="L1152" s="60">
        <v>823.60800000000006</v>
      </c>
      <c r="M1152" s="54">
        <f t="shared" si="16"/>
        <v>2025.3999999999996</v>
      </c>
      <c r="N1152" s="55">
        <v>10660</v>
      </c>
      <c r="O1152" s="59">
        <v>328</v>
      </c>
      <c r="P1152" s="59">
        <v>6</v>
      </c>
      <c r="Q1152" s="59">
        <v>689</v>
      </c>
      <c r="R1152" s="59">
        <v>787</v>
      </c>
      <c r="S1152" s="59">
        <v>800</v>
      </c>
      <c r="T1152" s="59">
        <v>1500</v>
      </c>
      <c r="U1152" s="59">
        <v>5174</v>
      </c>
      <c r="V1152" s="59">
        <v>415</v>
      </c>
      <c r="W1152" s="59">
        <v>961</v>
      </c>
      <c r="X1152" s="59">
        <v>0</v>
      </c>
    </row>
    <row r="1153" spans="1:24">
      <c r="A1153" s="52">
        <v>46145</v>
      </c>
      <c r="B1153" s="53" t="s">
        <v>998</v>
      </c>
      <c r="C1153" s="60">
        <v>901.6172307692309</v>
      </c>
      <c r="D1153" s="60">
        <v>715.99015384615393</v>
      </c>
      <c r="E1153" s="60">
        <v>636.43569230769242</v>
      </c>
      <c r="F1153" s="60">
        <v>1405.462153846154</v>
      </c>
      <c r="G1153" s="60">
        <v>835.3218461538462</v>
      </c>
      <c r="H1153" s="60">
        <v>822.06276923076939</v>
      </c>
      <c r="I1153" s="60">
        <v>742.50830769230777</v>
      </c>
      <c r="J1153" s="60">
        <v>649.69476923076934</v>
      </c>
      <c r="K1153" s="60">
        <v>1087.2443076923078</v>
      </c>
      <c r="L1153" s="60">
        <v>822.06276923076939</v>
      </c>
      <c r="M1153" s="54">
        <f t="shared" si="16"/>
        <v>2021.5999999999985</v>
      </c>
      <c r="N1153" s="55">
        <v>10640</v>
      </c>
      <c r="O1153" s="59">
        <v>328</v>
      </c>
      <c r="P1153" s="59">
        <v>6</v>
      </c>
      <c r="Q1153" s="59">
        <v>689</v>
      </c>
      <c r="R1153" s="59">
        <v>787</v>
      </c>
      <c r="S1153" s="59">
        <v>800</v>
      </c>
      <c r="T1153" s="59">
        <v>1500</v>
      </c>
      <c r="U1153" s="59">
        <v>5141</v>
      </c>
      <c r="V1153" s="59">
        <v>415</v>
      </c>
      <c r="W1153" s="59">
        <v>974</v>
      </c>
      <c r="X1153" s="59">
        <v>0</v>
      </c>
    </row>
    <row r="1154" spans="1:24">
      <c r="A1154" s="52">
        <v>46146</v>
      </c>
      <c r="B1154" s="53" t="s">
        <v>998</v>
      </c>
      <c r="C1154" s="60">
        <v>831.03009230769226</v>
      </c>
      <c r="D1154" s="60">
        <v>659.93566153846155</v>
      </c>
      <c r="E1154" s="60">
        <v>586.60947692307695</v>
      </c>
      <c r="F1154" s="60">
        <v>1295.4292615384613</v>
      </c>
      <c r="G1154" s="60">
        <v>769.92493846153843</v>
      </c>
      <c r="H1154" s="60">
        <v>757.70390769230767</v>
      </c>
      <c r="I1154" s="60">
        <v>684.37772307692308</v>
      </c>
      <c r="J1154" s="60">
        <v>598.83050769230772</v>
      </c>
      <c r="K1154" s="60">
        <v>1002.124523076923</v>
      </c>
      <c r="L1154" s="60">
        <v>757.70390769230767</v>
      </c>
      <c r="M1154" s="54">
        <f t="shared" si="16"/>
        <v>1863.3300000000008</v>
      </c>
      <c r="N1154" s="55">
        <v>9807</v>
      </c>
      <c r="O1154" s="59">
        <v>328</v>
      </c>
      <c r="P1154" s="59">
        <v>6</v>
      </c>
      <c r="Q1154" s="59">
        <v>689</v>
      </c>
      <c r="R1154" s="59">
        <v>787</v>
      </c>
      <c r="S1154" s="59">
        <v>800</v>
      </c>
      <c r="T1154" s="59">
        <v>1500</v>
      </c>
      <c r="U1154" s="59">
        <v>4330</v>
      </c>
      <c r="V1154" s="59">
        <v>415</v>
      </c>
      <c r="W1154" s="59">
        <v>952</v>
      </c>
      <c r="X1154" s="59">
        <v>0</v>
      </c>
    </row>
    <row r="1155" spans="1:24">
      <c r="A1155" s="52">
        <v>46147</v>
      </c>
      <c r="B1155" s="53" t="s">
        <v>998</v>
      </c>
      <c r="C1155" s="60">
        <v>730.02184615384613</v>
      </c>
      <c r="D1155" s="60">
        <v>579.72323076923078</v>
      </c>
      <c r="E1155" s="60">
        <v>515.30953846153852</v>
      </c>
      <c r="F1155" s="60">
        <v>1137.9752307692308</v>
      </c>
      <c r="G1155" s="60">
        <v>676.34376923076923</v>
      </c>
      <c r="H1155" s="60">
        <v>665.60815384615387</v>
      </c>
      <c r="I1155" s="60">
        <v>601.19446153846161</v>
      </c>
      <c r="J1155" s="60">
        <v>526.04515384615388</v>
      </c>
      <c r="K1155" s="60">
        <v>880.32046153846159</v>
      </c>
      <c r="L1155" s="60">
        <v>665.60815384615387</v>
      </c>
      <c r="M1155" s="54">
        <f t="shared" si="16"/>
        <v>1636.8499999999995</v>
      </c>
      <c r="N1155" s="55">
        <v>8615</v>
      </c>
      <c r="O1155" s="59">
        <v>328</v>
      </c>
      <c r="P1155" s="59">
        <v>6</v>
      </c>
      <c r="Q1155" s="59">
        <v>689</v>
      </c>
      <c r="R1155" s="59">
        <v>787</v>
      </c>
      <c r="S1155" s="59">
        <v>800</v>
      </c>
      <c r="T1155" s="59">
        <v>1500</v>
      </c>
      <c r="U1155" s="59">
        <v>3201</v>
      </c>
      <c r="V1155" s="59">
        <v>416</v>
      </c>
      <c r="W1155" s="59">
        <v>888</v>
      </c>
      <c r="X1155" s="59">
        <v>0</v>
      </c>
    </row>
    <row r="1156" spans="1:24">
      <c r="A1156" s="52">
        <v>46148</v>
      </c>
      <c r="B1156" s="53" t="s">
        <v>998</v>
      </c>
      <c r="C1156" s="60">
        <v>478.60283076923076</v>
      </c>
      <c r="D1156" s="60">
        <v>380.06695384615387</v>
      </c>
      <c r="E1156" s="60">
        <v>337.83729230769234</v>
      </c>
      <c r="F1156" s="60">
        <v>746.05735384615377</v>
      </c>
      <c r="G1156" s="60">
        <v>443.41144615384616</v>
      </c>
      <c r="H1156" s="60">
        <v>436.37316923076924</v>
      </c>
      <c r="I1156" s="60">
        <v>394.14350769230771</v>
      </c>
      <c r="J1156" s="60">
        <v>344.87556923076926</v>
      </c>
      <c r="K1156" s="60">
        <v>577.13870769230766</v>
      </c>
      <c r="L1156" s="60">
        <v>436.37316923076924</v>
      </c>
      <c r="M1156" s="54">
        <f t="shared" si="16"/>
        <v>1073.1199999999999</v>
      </c>
      <c r="N1156" s="55">
        <v>5648</v>
      </c>
      <c r="O1156" s="59">
        <v>173</v>
      </c>
      <c r="P1156" s="59">
        <v>4</v>
      </c>
      <c r="Q1156" s="59">
        <v>460</v>
      </c>
      <c r="R1156" s="59">
        <v>787</v>
      </c>
      <c r="S1156" s="59">
        <v>500</v>
      </c>
      <c r="T1156" s="59">
        <v>1200</v>
      </c>
      <c r="U1156" s="59">
        <v>1049</v>
      </c>
      <c r="V1156" s="59">
        <v>416</v>
      </c>
      <c r="W1156" s="59">
        <v>841</v>
      </c>
      <c r="X1156" s="59">
        <v>218</v>
      </c>
    </row>
    <row r="1157" spans="1:24">
      <c r="A1157" s="52">
        <v>46149</v>
      </c>
      <c r="B1157" s="53" t="s">
        <v>998</v>
      </c>
      <c r="C1157" s="60">
        <v>465.63784615384623</v>
      </c>
      <c r="D1157" s="60">
        <v>369.77123076923084</v>
      </c>
      <c r="E1157" s="60">
        <v>328.68553846153856</v>
      </c>
      <c r="F1157" s="60">
        <v>725.8472307692308</v>
      </c>
      <c r="G1157" s="60">
        <v>431.39976923076927</v>
      </c>
      <c r="H1157" s="60">
        <v>424.55215384615394</v>
      </c>
      <c r="I1157" s="60">
        <v>383.4664615384616</v>
      </c>
      <c r="J1157" s="60">
        <v>335.53315384615388</v>
      </c>
      <c r="K1157" s="60">
        <v>561.50446153846156</v>
      </c>
      <c r="L1157" s="60">
        <v>424.55215384615394</v>
      </c>
      <c r="M1157" s="54">
        <f t="shared" si="16"/>
        <v>1044.0499999999993</v>
      </c>
      <c r="N1157" s="55">
        <v>5495</v>
      </c>
      <c r="O1157" s="59">
        <v>170</v>
      </c>
      <c r="P1157" s="59">
        <v>4</v>
      </c>
      <c r="Q1157" s="59">
        <v>460</v>
      </c>
      <c r="R1157" s="59">
        <v>787</v>
      </c>
      <c r="S1157" s="59">
        <v>500</v>
      </c>
      <c r="T1157" s="59">
        <v>1200</v>
      </c>
      <c r="U1157" s="59">
        <v>923</v>
      </c>
      <c r="V1157" s="59">
        <v>416</v>
      </c>
      <c r="W1157" s="59">
        <v>817</v>
      </c>
      <c r="X1157" s="59">
        <v>218</v>
      </c>
    </row>
    <row r="1158" spans="1:24">
      <c r="A1158" s="52">
        <v>46150</v>
      </c>
      <c r="B1158" s="53" t="s">
        <v>998</v>
      </c>
      <c r="C1158" s="60">
        <v>452.33390769230772</v>
      </c>
      <c r="D1158" s="60">
        <v>359.20633846153851</v>
      </c>
      <c r="E1158" s="60">
        <v>319.29452307692316</v>
      </c>
      <c r="F1158" s="60">
        <v>705.10873846153856</v>
      </c>
      <c r="G1158" s="60">
        <v>419.07406153846159</v>
      </c>
      <c r="H1158" s="60">
        <v>412.42209230769237</v>
      </c>
      <c r="I1158" s="60">
        <v>372.51027692307696</v>
      </c>
      <c r="J1158" s="60">
        <v>325.94649230769232</v>
      </c>
      <c r="K1158" s="60">
        <v>545.46147692307693</v>
      </c>
      <c r="L1158" s="60">
        <v>412.42209230769237</v>
      </c>
      <c r="M1158" s="54">
        <f t="shared" si="16"/>
        <v>1014.2199999999993</v>
      </c>
      <c r="N1158" s="55">
        <v>5338</v>
      </c>
      <c r="O1158" s="59">
        <v>170</v>
      </c>
      <c r="P1158" s="59">
        <v>3</v>
      </c>
      <c r="Q1158" s="59">
        <v>460</v>
      </c>
      <c r="R1158" s="59">
        <v>787</v>
      </c>
      <c r="S1158" s="59">
        <v>500</v>
      </c>
      <c r="T1158" s="59">
        <v>1200</v>
      </c>
      <c r="U1158" s="59">
        <v>783</v>
      </c>
      <c r="V1158" s="59">
        <v>416</v>
      </c>
      <c r="W1158" s="59">
        <v>801</v>
      </c>
      <c r="X1158" s="59">
        <v>218</v>
      </c>
    </row>
    <row r="1159" spans="1:24">
      <c r="A1159" s="52">
        <v>46151</v>
      </c>
      <c r="B1159" s="53" t="s">
        <v>998</v>
      </c>
      <c r="C1159" s="60">
        <v>497.07581538461534</v>
      </c>
      <c r="D1159" s="60">
        <v>394.73667692307691</v>
      </c>
      <c r="E1159" s="60">
        <v>350.87704615384621</v>
      </c>
      <c r="F1159" s="60">
        <v>774.85347692307687</v>
      </c>
      <c r="G1159" s="60">
        <v>460.52612307692306</v>
      </c>
      <c r="H1159" s="60">
        <v>453.21618461538463</v>
      </c>
      <c r="I1159" s="60">
        <v>409.35655384615382</v>
      </c>
      <c r="J1159" s="60">
        <v>358.18698461538463</v>
      </c>
      <c r="K1159" s="60">
        <v>599.41495384615382</v>
      </c>
      <c r="L1159" s="60">
        <v>453.21618461538463</v>
      </c>
      <c r="M1159" s="54">
        <f t="shared" si="16"/>
        <v>1114.54</v>
      </c>
      <c r="N1159" s="55">
        <v>5866</v>
      </c>
      <c r="O1159" s="59">
        <v>170</v>
      </c>
      <c r="P1159" s="59">
        <v>3</v>
      </c>
      <c r="Q1159" s="59">
        <v>460</v>
      </c>
      <c r="R1159" s="59">
        <v>787</v>
      </c>
      <c r="S1159" s="59">
        <v>500</v>
      </c>
      <c r="T1159" s="59">
        <v>1200</v>
      </c>
      <c r="U1159" s="59">
        <v>1260</v>
      </c>
      <c r="V1159" s="59">
        <v>416</v>
      </c>
      <c r="W1159" s="59">
        <v>852</v>
      </c>
      <c r="X1159" s="59">
        <v>218</v>
      </c>
    </row>
    <row r="1160" spans="1:24">
      <c r="A1160" s="52">
        <v>46152</v>
      </c>
      <c r="B1160" s="53" t="s">
        <v>998</v>
      </c>
      <c r="C1160" s="60">
        <v>510.54923076923075</v>
      </c>
      <c r="D1160" s="60">
        <v>405.43615384615384</v>
      </c>
      <c r="E1160" s="60">
        <v>360.38769230769236</v>
      </c>
      <c r="F1160" s="60">
        <v>795.8561538461538</v>
      </c>
      <c r="G1160" s="60">
        <v>473.00884615384615</v>
      </c>
      <c r="H1160" s="60">
        <v>465.50076923076927</v>
      </c>
      <c r="I1160" s="60">
        <v>420.45230769230767</v>
      </c>
      <c r="J1160" s="60">
        <v>367.89576923076925</v>
      </c>
      <c r="K1160" s="60">
        <v>615.66230769230765</v>
      </c>
      <c r="L1160" s="60">
        <v>465.50076923076927</v>
      </c>
      <c r="M1160" s="54">
        <f t="shared" si="16"/>
        <v>1144.75</v>
      </c>
      <c r="N1160" s="55">
        <v>6025</v>
      </c>
      <c r="O1160" s="59">
        <v>250</v>
      </c>
      <c r="P1160" s="59">
        <v>4</v>
      </c>
      <c r="Q1160" s="59">
        <v>689</v>
      </c>
      <c r="R1160" s="59">
        <v>787</v>
      </c>
      <c r="S1160" s="59">
        <v>565</v>
      </c>
      <c r="T1160" s="59">
        <v>1200</v>
      </c>
      <c r="U1160" s="59">
        <v>1260</v>
      </c>
      <c r="V1160" s="59">
        <v>416</v>
      </c>
      <c r="W1160" s="59">
        <v>854</v>
      </c>
      <c r="X1160" s="59">
        <v>0</v>
      </c>
    </row>
    <row r="1161" spans="1:24">
      <c r="A1161" s="52">
        <v>46153</v>
      </c>
      <c r="B1161" s="53" t="s">
        <v>998</v>
      </c>
      <c r="C1161" s="60">
        <v>431.31876923076925</v>
      </c>
      <c r="D1161" s="60">
        <v>342.51784615384622</v>
      </c>
      <c r="E1161" s="60">
        <v>304.46030769230777</v>
      </c>
      <c r="F1161" s="60">
        <v>672.34984615384622</v>
      </c>
      <c r="G1161" s="60">
        <v>399.60415384615385</v>
      </c>
      <c r="H1161" s="60">
        <v>393.26123076923085</v>
      </c>
      <c r="I1161" s="60">
        <v>355.20369230769234</v>
      </c>
      <c r="J1161" s="60">
        <v>310.80323076923082</v>
      </c>
      <c r="K1161" s="60">
        <v>520.11969230769239</v>
      </c>
      <c r="L1161" s="60">
        <v>393.26123076923085</v>
      </c>
      <c r="M1161" s="54">
        <f t="shared" si="16"/>
        <v>967.10000000000036</v>
      </c>
      <c r="N1161" s="55">
        <v>5090</v>
      </c>
      <c r="O1161" s="59">
        <v>170</v>
      </c>
      <c r="P1161" s="59">
        <v>3</v>
      </c>
      <c r="Q1161" s="59">
        <v>460</v>
      </c>
      <c r="R1161" s="59">
        <v>787</v>
      </c>
      <c r="S1161" s="59">
        <v>500</v>
      </c>
      <c r="T1161" s="59">
        <v>1200</v>
      </c>
      <c r="U1161" s="59">
        <v>480</v>
      </c>
      <c r="V1161" s="59">
        <v>416</v>
      </c>
      <c r="W1161" s="59">
        <v>855</v>
      </c>
      <c r="X1161" s="59">
        <v>219</v>
      </c>
    </row>
    <row r="1162" spans="1:24">
      <c r="A1162" s="52">
        <v>46154</v>
      </c>
      <c r="B1162" s="53" t="s">
        <v>998</v>
      </c>
      <c r="C1162" s="60">
        <v>418.09956923076925</v>
      </c>
      <c r="D1162" s="60">
        <v>332.02024615384619</v>
      </c>
      <c r="E1162" s="60">
        <v>295.12910769230774</v>
      </c>
      <c r="F1162" s="60">
        <v>651.74344615384621</v>
      </c>
      <c r="G1162" s="60">
        <v>387.35695384615389</v>
      </c>
      <c r="H1162" s="60">
        <v>381.2084307692308</v>
      </c>
      <c r="I1162" s="60">
        <v>344.31729230769236</v>
      </c>
      <c r="J1162" s="60">
        <v>301.27763076923077</v>
      </c>
      <c r="K1162" s="60">
        <v>504.17889230769231</v>
      </c>
      <c r="L1162" s="60">
        <v>381.2084307692308</v>
      </c>
      <c r="M1162" s="54">
        <f t="shared" si="16"/>
        <v>937.46</v>
      </c>
      <c r="N1162" s="55">
        <v>4934</v>
      </c>
      <c r="O1162" s="59">
        <v>170</v>
      </c>
      <c r="P1162" s="59">
        <v>3</v>
      </c>
      <c r="Q1162" s="59">
        <v>460</v>
      </c>
      <c r="R1162" s="59">
        <v>787</v>
      </c>
      <c r="S1162" s="59">
        <v>500</v>
      </c>
      <c r="T1162" s="59">
        <v>1200</v>
      </c>
      <c r="U1162" s="59">
        <v>361</v>
      </c>
      <c r="V1162" s="59">
        <v>416</v>
      </c>
      <c r="W1162" s="59">
        <v>818</v>
      </c>
      <c r="X1162" s="59">
        <v>219</v>
      </c>
    </row>
    <row r="1163" spans="1:24">
      <c r="A1163" s="52">
        <v>46155</v>
      </c>
      <c r="B1163" s="53" t="s">
        <v>998</v>
      </c>
      <c r="C1163" s="60">
        <v>411.40523076923074</v>
      </c>
      <c r="D1163" s="60">
        <v>326.70415384615387</v>
      </c>
      <c r="E1163" s="60">
        <v>290.40369230769232</v>
      </c>
      <c r="F1163" s="60">
        <v>641.3081538461538</v>
      </c>
      <c r="G1163" s="60">
        <v>381.15484615384617</v>
      </c>
      <c r="H1163" s="60">
        <v>375.10476923076925</v>
      </c>
      <c r="I1163" s="60">
        <v>338.8043076923077</v>
      </c>
      <c r="J1163" s="60">
        <v>296.45376923076924</v>
      </c>
      <c r="K1163" s="60">
        <v>496.10630769230767</v>
      </c>
      <c r="L1163" s="60">
        <v>375.10476923076925</v>
      </c>
      <c r="M1163" s="54">
        <f t="shared" si="16"/>
        <v>922.44999999999936</v>
      </c>
      <c r="N1163" s="55">
        <v>4855</v>
      </c>
      <c r="O1163" s="59">
        <v>170</v>
      </c>
      <c r="P1163" s="59">
        <v>3</v>
      </c>
      <c r="Q1163" s="59">
        <v>460</v>
      </c>
      <c r="R1163" s="59">
        <v>787</v>
      </c>
      <c r="S1163" s="59">
        <v>500</v>
      </c>
      <c r="T1163" s="59">
        <v>1200</v>
      </c>
      <c r="U1163" s="59">
        <v>282</v>
      </c>
      <c r="V1163" s="59">
        <v>415</v>
      </c>
      <c r="W1163" s="59">
        <v>819</v>
      </c>
      <c r="X1163" s="59">
        <v>219</v>
      </c>
    </row>
    <row r="1164" spans="1:24">
      <c r="A1164" s="52">
        <v>46156</v>
      </c>
      <c r="B1164" s="53" t="s">
        <v>998</v>
      </c>
      <c r="C1164" s="60">
        <v>425.89550769230772</v>
      </c>
      <c r="D1164" s="60">
        <v>338.2111384615385</v>
      </c>
      <c r="E1164" s="60">
        <v>300.63212307692311</v>
      </c>
      <c r="F1164" s="60">
        <v>663.89593846153844</v>
      </c>
      <c r="G1164" s="60">
        <v>394.57966153846155</v>
      </c>
      <c r="H1164" s="60">
        <v>388.31649230769233</v>
      </c>
      <c r="I1164" s="60">
        <v>350.73747692307694</v>
      </c>
      <c r="J1164" s="60">
        <v>306.89529230769233</v>
      </c>
      <c r="K1164" s="60">
        <v>513.57987692307688</v>
      </c>
      <c r="L1164" s="60">
        <v>388.31649230769233</v>
      </c>
      <c r="M1164" s="54">
        <f t="shared" si="16"/>
        <v>954.94</v>
      </c>
      <c r="N1164" s="55">
        <v>5026</v>
      </c>
      <c r="O1164" s="59">
        <v>170</v>
      </c>
      <c r="P1164" s="59">
        <v>3</v>
      </c>
      <c r="Q1164" s="59">
        <v>460</v>
      </c>
      <c r="R1164" s="59">
        <v>787</v>
      </c>
      <c r="S1164" s="59">
        <v>500</v>
      </c>
      <c r="T1164" s="59">
        <v>1200</v>
      </c>
      <c r="U1164" s="59">
        <v>426</v>
      </c>
      <c r="V1164" s="59">
        <v>415</v>
      </c>
      <c r="W1164" s="59">
        <v>846</v>
      </c>
      <c r="X1164" s="59">
        <v>219</v>
      </c>
    </row>
    <row r="1165" spans="1:24">
      <c r="A1165" s="52">
        <v>46157</v>
      </c>
      <c r="B1165" s="53" t="s">
        <v>998</v>
      </c>
      <c r="C1165" s="60">
        <v>428.0987076923077</v>
      </c>
      <c r="D1165" s="60">
        <v>339.96073846153848</v>
      </c>
      <c r="E1165" s="60">
        <v>302.18732307692312</v>
      </c>
      <c r="F1165" s="60">
        <v>667.33033846153842</v>
      </c>
      <c r="G1165" s="60">
        <v>396.62086153846155</v>
      </c>
      <c r="H1165" s="60">
        <v>390.32529230769234</v>
      </c>
      <c r="I1165" s="60">
        <v>352.55187692307692</v>
      </c>
      <c r="J1165" s="60">
        <v>308.48289230769234</v>
      </c>
      <c r="K1165" s="60">
        <v>516.23667692307697</v>
      </c>
      <c r="L1165" s="60">
        <v>390.32529230769234</v>
      </c>
      <c r="M1165" s="54">
        <f t="shared" si="16"/>
        <v>959.87999999999874</v>
      </c>
      <c r="N1165" s="55">
        <v>5052</v>
      </c>
      <c r="O1165" s="59">
        <v>170</v>
      </c>
      <c r="P1165" s="59">
        <v>3</v>
      </c>
      <c r="Q1165" s="59">
        <v>460</v>
      </c>
      <c r="R1165" s="59">
        <v>787</v>
      </c>
      <c r="S1165" s="59">
        <v>500</v>
      </c>
      <c r="T1165" s="59">
        <v>1200</v>
      </c>
      <c r="U1165" s="59">
        <v>432</v>
      </c>
      <c r="V1165" s="59">
        <v>416</v>
      </c>
      <c r="W1165" s="59">
        <v>865</v>
      </c>
      <c r="X1165" s="59">
        <v>219</v>
      </c>
    </row>
    <row r="1166" spans="1:24">
      <c r="A1166" s="52">
        <v>46158</v>
      </c>
      <c r="B1166" s="53" t="s">
        <v>998</v>
      </c>
      <c r="C1166" s="60">
        <v>465.12941538461536</v>
      </c>
      <c r="D1166" s="60">
        <v>369.36747692307694</v>
      </c>
      <c r="E1166" s="60">
        <v>328.32664615384618</v>
      </c>
      <c r="F1166" s="60">
        <v>725.05467692307684</v>
      </c>
      <c r="G1166" s="60">
        <v>430.92872307692306</v>
      </c>
      <c r="H1166" s="60">
        <v>424.08858461538466</v>
      </c>
      <c r="I1166" s="60">
        <v>383.04775384615385</v>
      </c>
      <c r="J1166" s="60">
        <v>335.16678461538464</v>
      </c>
      <c r="K1166" s="60">
        <v>560.89135384615383</v>
      </c>
      <c r="L1166" s="60">
        <v>424.08858461538466</v>
      </c>
      <c r="M1166" s="54">
        <f t="shared" si="16"/>
        <v>1042.9099999999999</v>
      </c>
      <c r="N1166" s="55">
        <v>5489</v>
      </c>
      <c r="O1166" s="59">
        <v>250</v>
      </c>
      <c r="P1166" s="59">
        <v>4</v>
      </c>
      <c r="Q1166" s="59">
        <v>689</v>
      </c>
      <c r="R1166" s="59">
        <v>787</v>
      </c>
      <c r="S1166" s="59">
        <v>565</v>
      </c>
      <c r="T1166" s="59">
        <v>1200</v>
      </c>
      <c r="U1166" s="59">
        <v>616</v>
      </c>
      <c r="V1166" s="59">
        <v>416</v>
      </c>
      <c r="W1166" s="59">
        <v>962</v>
      </c>
      <c r="X1166" s="59">
        <v>0</v>
      </c>
    </row>
    <row r="1167" spans="1:24">
      <c r="A1167" s="52">
        <v>46159</v>
      </c>
      <c r="B1167" s="53" t="s">
        <v>998</v>
      </c>
      <c r="C1167" s="60">
        <v>465.38363076923082</v>
      </c>
      <c r="D1167" s="60">
        <v>369.56935384615389</v>
      </c>
      <c r="E1167" s="60">
        <v>328.50609230769237</v>
      </c>
      <c r="F1167" s="60">
        <v>725.45095384615388</v>
      </c>
      <c r="G1167" s="60">
        <v>431.16424615384619</v>
      </c>
      <c r="H1167" s="60">
        <v>424.3203692307693</v>
      </c>
      <c r="I1167" s="60">
        <v>383.25710769230773</v>
      </c>
      <c r="J1167" s="60">
        <v>335.34996923076926</v>
      </c>
      <c r="K1167" s="60">
        <v>561.19790769230769</v>
      </c>
      <c r="L1167" s="60">
        <v>424.3203692307693</v>
      </c>
      <c r="M1167" s="54">
        <f t="shared" si="16"/>
        <v>1043.4799999999996</v>
      </c>
      <c r="N1167" s="55">
        <v>5492</v>
      </c>
      <c r="O1167" s="59">
        <v>250</v>
      </c>
      <c r="P1167" s="59">
        <v>4</v>
      </c>
      <c r="Q1167" s="59">
        <v>689</v>
      </c>
      <c r="R1167" s="59">
        <v>787</v>
      </c>
      <c r="S1167" s="59">
        <v>565</v>
      </c>
      <c r="T1167" s="59">
        <v>1200</v>
      </c>
      <c r="U1167" s="59">
        <v>557</v>
      </c>
      <c r="V1167" s="59">
        <v>416</v>
      </c>
      <c r="W1167" s="59">
        <v>1024</v>
      </c>
      <c r="X1167" s="59">
        <v>0</v>
      </c>
    </row>
    <row r="1168" spans="1:24">
      <c r="A1168" s="52">
        <v>46160</v>
      </c>
      <c r="B1168" s="53" t="s">
        <v>998</v>
      </c>
      <c r="C1168" s="60">
        <v>423.09913846153847</v>
      </c>
      <c r="D1168" s="60">
        <v>335.99049230769236</v>
      </c>
      <c r="E1168" s="60">
        <v>298.65821538461546</v>
      </c>
      <c r="F1168" s="60">
        <v>659.53689230769237</v>
      </c>
      <c r="G1168" s="60">
        <v>391.98890769230769</v>
      </c>
      <c r="H1168" s="60">
        <v>385.76686153846157</v>
      </c>
      <c r="I1168" s="60">
        <v>348.43458461538461</v>
      </c>
      <c r="J1168" s="60">
        <v>304.88026153846158</v>
      </c>
      <c r="K1168" s="60">
        <v>510.20778461538464</v>
      </c>
      <c r="L1168" s="60">
        <v>385.76686153846157</v>
      </c>
      <c r="M1168" s="54">
        <f t="shared" si="16"/>
        <v>948.67000000000007</v>
      </c>
      <c r="N1168" s="55">
        <v>4993</v>
      </c>
      <c r="O1168" s="59">
        <v>170</v>
      </c>
      <c r="P1168" s="59">
        <v>3</v>
      </c>
      <c r="Q1168" s="59">
        <v>460</v>
      </c>
      <c r="R1168" s="59">
        <v>787</v>
      </c>
      <c r="S1168" s="59">
        <v>500</v>
      </c>
      <c r="T1168" s="59">
        <v>1200</v>
      </c>
      <c r="U1168" s="59">
        <v>235</v>
      </c>
      <c r="V1168" s="59">
        <v>416</v>
      </c>
      <c r="W1168" s="59">
        <v>1003</v>
      </c>
      <c r="X1168" s="59">
        <v>219</v>
      </c>
    </row>
    <row r="1169" spans="1:24">
      <c r="A1169" s="52">
        <v>46161</v>
      </c>
      <c r="B1169" s="53" t="s">
        <v>998</v>
      </c>
      <c r="C1169" s="60">
        <v>413.77790769230774</v>
      </c>
      <c r="D1169" s="60">
        <v>328.58833846153851</v>
      </c>
      <c r="E1169" s="60">
        <v>292.07852307692315</v>
      </c>
      <c r="F1169" s="60">
        <v>645.00673846153848</v>
      </c>
      <c r="G1169" s="60">
        <v>383.35306153846159</v>
      </c>
      <c r="H1169" s="60">
        <v>377.26809230769237</v>
      </c>
      <c r="I1169" s="60">
        <v>340.75827692307695</v>
      </c>
      <c r="J1169" s="60">
        <v>298.16349230769237</v>
      </c>
      <c r="K1169" s="60">
        <v>498.96747692307696</v>
      </c>
      <c r="L1169" s="60">
        <v>377.26809230769237</v>
      </c>
      <c r="M1169" s="54">
        <f t="shared" si="16"/>
        <v>927.76999999999953</v>
      </c>
      <c r="N1169" s="55">
        <v>4883</v>
      </c>
      <c r="O1169" s="59">
        <v>170</v>
      </c>
      <c r="P1169" s="59">
        <v>3</v>
      </c>
      <c r="Q1169" s="59">
        <v>460</v>
      </c>
      <c r="R1169" s="59">
        <v>787</v>
      </c>
      <c r="S1169" s="59">
        <v>500</v>
      </c>
      <c r="T1169" s="59">
        <v>1200</v>
      </c>
      <c r="U1169" s="59">
        <v>107</v>
      </c>
      <c r="V1169" s="59">
        <v>416</v>
      </c>
      <c r="W1169" s="59">
        <v>1021</v>
      </c>
      <c r="X1169" s="59">
        <v>219</v>
      </c>
    </row>
    <row r="1170" spans="1:24">
      <c r="A1170" s="52">
        <v>46162</v>
      </c>
      <c r="B1170" s="53" t="s">
        <v>998</v>
      </c>
      <c r="C1170" s="60">
        <v>409.28676923076921</v>
      </c>
      <c r="D1170" s="60">
        <v>325.02184615384618</v>
      </c>
      <c r="E1170" s="60">
        <v>288.90830769230774</v>
      </c>
      <c r="F1170" s="60">
        <v>638.00584615384616</v>
      </c>
      <c r="G1170" s="60">
        <v>379.19215384615381</v>
      </c>
      <c r="H1170" s="60">
        <v>373.17323076923077</v>
      </c>
      <c r="I1170" s="60">
        <v>337.05969230769233</v>
      </c>
      <c r="J1170" s="60">
        <v>294.92723076923079</v>
      </c>
      <c r="K1170" s="60">
        <v>493.55169230769229</v>
      </c>
      <c r="L1170" s="60">
        <v>373.17323076923077</v>
      </c>
      <c r="M1170" s="54">
        <f t="shared" si="16"/>
        <v>917.69999999999982</v>
      </c>
      <c r="N1170" s="55">
        <v>4830</v>
      </c>
      <c r="O1170" s="59">
        <v>170</v>
      </c>
      <c r="P1170" s="59">
        <v>3</v>
      </c>
      <c r="Q1170" s="59">
        <v>460</v>
      </c>
      <c r="R1170" s="59">
        <v>787</v>
      </c>
      <c r="S1170" s="59">
        <v>500</v>
      </c>
      <c r="T1170" s="59">
        <v>1200</v>
      </c>
      <c r="U1170" s="59">
        <v>40</v>
      </c>
      <c r="V1170" s="59">
        <v>416</v>
      </c>
      <c r="W1170" s="59">
        <v>1035</v>
      </c>
      <c r="X1170" s="59">
        <v>219</v>
      </c>
    </row>
    <row r="1171" spans="1:24">
      <c r="A1171" s="52">
        <v>46163</v>
      </c>
      <c r="B1171" s="53" t="s">
        <v>998</v>
      </c>
      <c r="C1171" s="60">
        <v>412.25261538461535</v>
      </c>
      <c r="D1171" s="60">
        <v>327.37707692307691</v>
      </c>
      <c r="E1171" s="60">
        <v>291.0018461538462</v>
      </c>
      <c r="F1171" s="60">
        <v>642.62907692307692</v>
      </c>
      <c r="G1171" s="60">
        <v>381.93992307692304</v>
      </c>
      <c r="H1171" s="60">
        <v>375.87738461538464</v>
      </c>
      <c r="I1171" s="60">
        <v>339.50215384615382</v>
      </c>
      <c r="J1171" s="60">
        <v>297.0643846153846</v>
      </c>
      <c r="K1171" s="60">
        <v>497.12815384615379</v>
      </c>
      <c r="L1171" s="60">
        <v>375.87738461538464</v>
      </c>
      <c r="M1171" s="54">
        <f t="shared" si="16"/>
        <v>924.34999999999991</v>
      </c>
      <c r="N1171" s="55">
        <v>4865</v>
      </c>
      <c r="O1171" s="59">
        <v>170</v>
      </c>
      <c r="P1171" s="59">
        <v>2</v>
      </c>
      <c r="Q1171" s="59">
        <v>460</v>
      </c>
      <c r="R1171" s="59">
        <v>787</v>
      </c>
      <c r="S1171" s="59">
        <v>500</v>
      </c>
      <c r="T1171" s="59">
        <v>1200</v>
      </c>
      <c r="U1171" s="59">
        <v>40</v>
      </c>
      <c r="V1171" s="59">
        <v>416</v>
      </c>
      <c r="W1171" s="59">
        <v>1071</v>
      </c>
      <c r="X1171" s="59">
        <v>219</v>
      </c>
    </row>
    <row r="1172" spans="1:24">
      <c r="A1172" s="52">
        <v>46164</v>
      </c>
      <c r="B1172" s="53" t="s">
        <v>998</v>
      </c>
      <c r="C1172" s="60">
        <v>414.28633846153843</v>
      </c>
      <c r="D1172" s="60">
        <v>328.9920923076923</v>
      </c>
      <c r="E1172" s="60">
        <v>292.43741538461541</v>
      </c>
      <c r="F1172" s="60">
        <v>645.79929230769233</v>
      </c>
      <c r="G1172" s="60">
        <v>383.82410769230768</v>
      </c>
      <c r="H1172" s="60">
        <v>377.73166153846154</v>
      </c>
      <c r="I1172" s="60">
        <v>341.17698461538464</v>
      </c>
      <c r="J1172" s="60">
        <v>298.52986153846155</v>
      </c>
      <c r="K1172" s="60">
        <v>499.58058461538462</v>
      </c>
      <c r="L1172" s="60">
        <v>377.73166153846154</v>
      </c>
      <c r="M1172" s="54">
        <f t="shared" si="16"/>
        <v>928.90999999999985</v>
      </c>
      <c r="N1172" s="55">
        <v>4889</v>
      </c>
      <c r="O1172" s="59">
        <v>170</v>
      </c>
      <c r="P1172" s="59">
        <v>2</v>
      </c>
      <c r="Q1172" s="59">
        <v>460</v>
      </c>
      <c r="R1172" s="59">
        <v>787</v>
      </c>
      <c r="S1172" s="59">
        <v>500</v>
      </c>
      <c r="T1172" s="59">
        <v>1200</v>
      </c>
      <c r="U1172" s="59">
        <v>63</v>
      </c>
      <c r="V1172" s="59">
        <v>416</v>
      </c>
      <c r="W1172" s="59">
        <v>1072</v>
      </c>
      <c r="X1172" s="59">
        <v>219</v>
      </c>
    </row>
    <row r="1173" spans="1:24">
      <c r="A1173" s="52">
        <v>46165</v>
      </c>
      <c r="B1173" s="53" t="s">
        <v>998</v>
      </c>
      <c r="C1173" s="60">
        <v>450.72387692307694</v>
      </c>
      <c r="D1173" s="60">
        <v>357.92778461538467</v>
      </c>
      <c r="E1173" s="60">
        <v>318.15803076923083</v>
      </c>
      <c r="F1173" s="60">
        <v>702.59898461538467</v>
      </c>
      <c r="G1173" s="60">
        <v>417.58241538461539</v>
      </c>
      <c r="H1173" s="60">
        <v>410.95412307692311</v>
      </c>
      <c r="I1173" s="60">
        <v>371.18436923076922</v>
      </c>
      <c r="J1173" s="60">
        <v>324.78632307692311</v>
      </c>
      <c r="K1173" s="60">
        <v>543.51996923076922</v>
      </c>
      <c r="L1173" s="60">
        <v>410.95412307692311</v>
      </c>
      <c r="M1173" s="54">
        <f t="shared" si="16"/>
        <v>1010.6099999999997</v>
      </c>
      <c r="N1173" s="55">
        <v>5319</v>
      </c>
      <c r="O1173" s="59">
        <v>250</v>
      </c>
      <c r="P1173" s="59">
        <v>4</v>
      </c>
      <c r="Q1173" s="59">
        <v>689</v>
      </c>
      <c r="R1173" s="59">
        <v>787</v>
      </c>
      <c r="S1173" s="59">
        <v>565</v>
      </c>
      <c r="T1173" s="59">
        <v>1200</v>
      </c>
      <c r="U1173" s="59">
        <v>293</v>
      </c>
      <c r="V1173" s="59">
        <v>416</v>
      </c>
      <c r="W1173" s="59">
        <v>1115</v>
      </c>
      <c r="X1173" s="59">
        <v>0</v>
      </c>
    </row>
    <row r="1174" spans="1:24">
      <c r="A1174" s="52">
        <v>46166</v>
      </c>
      <c r="B1174" s="53" t="s">
        <v>998</v>
      </c>
      <c r="C1174" s="60">
        <v>451.74073846153851</v>
      </c>
      <c r="D1174" s="60">
        <v>358.73529230769236</v>
      </c>
      <c r="E1174" s="60">
        <v>318.87581538461546</v>
      </c>
      <c r="F1174" s="60">
        <v>704.18409230769237</v>
      </c>
      <c r="G1174" s="60">
        <v>418.52450769230774</v>
      </c>
      <c r="H1174" s="60">
        <v>411.88126153846162</v>
      </c>
      <c r="I1174" s="60">
        <v>372.02178461538466</v>
      </c>
      <c r="J1174" s="60">
        <v>325.51906153846159</v>
      </c>
      <c r="K1174" s="60">
        <v>544.74618461538466</v>
      </c>
      <c r="L1174" s="60">
        <v>411.88126153846162</v>
      </c>
      <c r="M1174" s="54">
        <f t="shared" si="16"/>
        <v>1012.8899999999994</v>
      </c>
      <c r="N1174" s="55">
        <v>5331</v>
      </c>
      <c r="O1174" s="59">
        <v>250</v>
      </c>
      <c r="P1174" s="59">
        <v>4</v>
      </c>
      <c r="Q1174" s="59">
        <v>689</v>
      </c>
      <c r="R1174" s="59">
        <v>787</v>
      </c>
      <c r="S1174" s="59">
        <v>565</v>
      </c>
      <c r="T1174" s="59">
        <v>1200</v>
      </c>
      <c r="U1174" s="59">
        <v>293</v>
      </c>
      <c r="V1174" s="59">
        <v>416</v>
      </c>
      <c r="W1174" s="59">
        <v>1127</v>
      </c>
      <c r="X1174" s="59">
        <v>0</v>
      </c>
    </row>
    <row r="1175" spans="1:24">
      <c r="A1175" s="52">
        <v>46167</v>
      </c>
      <c r="B1175" s="53" t="s">
        <v>998</v>
      </c>
      <c r="C1175" s="60">
        <v>418.4385230769231</v>
      </c>
      <c r="D1175" s="60">
        <v>332.28941538461538</v>
      </c>
      <c r="E1175" s="60">
        <v>295.36836923076925</v>
      </c>
      <c r="F1175" s="60">
        <v>652.27181538461537</v>
      </c>
      <c r="G1175" s="60">
        <v>387.67098461538461</v>
      </c>
      <c r="H1175" s="60">
        <v>381.51747692307697</v>
      </c>
      <c r="I1175" s="60">
        <v>344.59643076923078</v>
      </c>
      <c r="J1175" s="60">
        <v>301.52187692307695</v>
      </c>
      <c r="K1175" s="60">
        <v>504.58763076923077</v>
      </c>
      <c r="L1175" s="60">
        <v>381.51747692307697</v>
      </c>
      <c r="M1175" s="54">
        <f t="shared" si="16"/>
        <v>938.2199999999998</v>
      </c>
      <c r="N1175" s="55">
        <v>4938</v>
      </c>
      <c r="O1175" s="59">
        <v>170</v>
      </c>
      <c r="P1175" s="59">
        <v>2</v>
      </c>
      <c r="Q1175" s="59">
        <v>460</v>
      </c>
      <c r="R1175" s="59">
        <v>787</v>
      </c>
      <c r="S1175" s="59">
        <v>500</v>
      </c>
      <c r="T1175" s="59">
        <v>1200</v>
      </c>
      <c r="U1175" s="59">
        <v>118</v>
      </c>
      <c r="V1175" s="59">
        <v>416</v>
      </c>
      <c r="W1175" s="59">
        <v>1066</v>
      </c>
      <c r="X1175" s="59">
        <v>219</v>
      </c>
    </row>
    <row r="1176" spans="1:24">
      <c r="A1176" s="52">
        <v>46168</v>
      </c>
      <c r="B1176" s="53" t="s">
        <v>998</v>
      </c>
      <c r="C1176" s="60">
        <v>410.89679999999998</v>
      </c>
      <c r="D1176" s="60">
        <v>326.30040000000002</v>
      </c>
      <c r="E1176" s="60">
        <v>290.04480000000001</v>
      </c>
      <c r="F1176" s="60">
        <v>640.51559999999995</v>
      </c>
      <c r="G1176" s="60">
        <v>380.68379999999996</v>
      </c>
      <c r="H1176" s="60">
        <v>374.64120000000003</v>
      </c>
      <c r="I1176" s="60">
        <v>338.38560000000001</v>
      </c>
      <c r="J1176" s="60">
        <v>296.0874</v>
      </c>
      <c r="K1176" s="60">
        <v>495.49319999999994</v>
      </c>
      <c r="L1176" s="60">
        <v>374.64120000000003</v>
      </c>
      <c r="M1176" s="54">
        <f t="shared" si="16"/>
        <v>921.31</v>
      </c>
      <c r="N1176" s="55">
        <v>4849</v>
      </c>
      <c r="O1176" s="59">
        <v>170</v>
      </c>
      <c r="P1176" s="59">
        <v>2</v>
      </c>
      <c r="Q1176" s="59">
        <v>460</v>
      </c>
      <c r="R1176" s="59">
        <v>787</v>
      </c>
      <c r="S1176" s="59">
        <v>500</v>
      </c>
      <c r="T1176" s="59">
        <v>1200</v>
      </c>
      <c r="U1176" s="59">
        <v>40</v>
      </c>
      <c r="V1176" s="59">
        <v>416</v>
      </c>
      <c r="W1176" s="59">
        <v>1055</v>
      </c>
      <c r="X1176" s="59">
        <v>219</v>
      </c>
    </row>
    <row r="1177" spans="1:24">
      <c r="A1177" s="52">
        <v>46169</v>
      </c>
      <c r="B1177" s="53" t="s">
        <v>998</v>
      </c>
      <c r="C1177" s="60">
        <v>407.76147692307694</v>
      </c>
      <c r="D1177" s="60">
        <v>323.81058461538464</v>
      </c>
      <c r="E1177" s="60">
        <v>287.8316307692308</v>
      </c>
      <c r="F1177" s="60">
        <v>635.62818461538461</v>
      </c>
      <c r="G1177" s="60">
        <v>377.77901538461538</v>
      </c>
      <c r="H1177" s="60">
        <v>371.7825230769231</v>
      </c>
      <c r="I1177" s="60">
        <v>335.80356923076926</v>
      </c>
      <c r="J1177" s="60">
        <v>293.82812307692308</v>
      </c>
      <c r="K1177" s="60">
        <v>491.71236923076924</v>
      </c>
      <c r="L1177" s="60">
        <v>371.7825230769231</v>
      </c>
      <c r="M1177" s="54">
        <f t="shared" si="16"/>
        <v>914.27999999999975</v>
      </c>
      <c r="N1177" s="55">
        <v>4812</v>
      </c>
      <c r="O1177" s="59">
        <v>170</v>
      </c>
      <c r="P1177" s="59">
        <v>2</v>
      </c>
      <c r="Q1177" s="59">
        <v>460</v>
      </c>
      <c r="R1177" s="59">
        <v>787</v>
      </c>
      <c r="S1177" s="59">
        <v>500</v>
      </c>
      <c r="T1177" s="59">
        <v>1200</v>
      </c>
      <c r="U1177" s="59">
        <v>21</v>
      </c>
      <c r="V1177" s="59">
        <v>416</v>
      </c>
      <c r="W1177" s="59">
        <v>1037</v>
      </c>
      <c r="X1177" s="59">
        <v>219</v>
      </c>
    </row>
    <row r="1178" spans="1:24">
      <c r="A1178" s="52">
        <v>46170</v>
      </c>
      <c r="B1178" s="53" t="s">
        <v>998</v>
      </c>
      <c r="C1178" s="60">
        <v>410.47310769230768</v>
      </c>
      <c r="D1178" s="60">
        <v>325.96393846153848</v>
      </c>
      <c r="E1178" s="60">
        <v>289.74572307692313</v>
      </c>
      <c r="F1178" s="60">
        <v>639.85513846153844</v>
      </c>
      <c r="G1178" s="60">
        <v>380.29126153846153</v>
      </c>
      <c r="H1178" s="60">
        <v>374.25489230769233</v>
      </c>
      <c r="I1178" s="60">
        <v>338.03667692307693</v>
      </c>
      <c r="J1178" s="60">
        <v>295.78209230769232</v>
      </c>
      <c r="K1178" s="60">
        <v>494.98227692307694</v>
      </c>
      <c r="L1178" s="60">
        <v>374.25489230769233</v>
      </c>
      <c r="M1178" s="54">
        <f t="shared" si="16"/>
        <v>920.35999999999967</v>
      </c>
      <c r="N1178" s="55">
        <v>4844</v>
      </c>
      <c r="O1178" s="59">
        <v>170</v>
      </c>
      <c r="P1178" s="59">
        <v>2</v>
      </c>
      <c r="Q1178" s="59">
        <v>460</v>
      </c>
      <c r="R1178" s="59">
        <v>787</v>
      </c>
      <c r="S1178" s="59">
        <v>500</v>
      </c>
      <c r="T1178" s="59">
        <v>1200</v>
      </c>
      <c r="U1178" s="59">
        <v>21</v>
      </c>
      <c r="V1178" s="59">
        <v>416</v>
      </c>
      <c r="W1178" s="59">
        <v>1069</v>
      </c>
      <c r="X1178" s="59">
        <v>219</v>
      </c>
    </row>
    <row r="1179" spans="1:24">
      <c r="A1179" s="52">
        <v>46171</v>
      </c>
      <c r="B1179" s="53" t="s">
        <v>998</v>
      </c>
      <c r="C1179" s="60">
        <v>416.40479999999997</v>
      </c>
      <c r="D1179" s="60">
        <v>330.67439999999999</v>
      </c>
      <c r="E1179" s="60">
        <v>293.93280000000004</v>
      </c>
      <c r="F1179" s="60">
        <v>649.10159999999996</v>
      </c>
      <c r="G1179" s="60">
        <v>385.78679999999997</v>
      </c>
      <c r="H1179" s="60">
        <v>379.66320000000002</v>
      </c>
      <c r="I1179" s="60">
        <v>342.92160000000001</v>
      </c>
      <c r="J1179" s="60">
        <v>300.0564</v>
      </c>
      <c r="K1179" s="60">
        <v>502.1352</v>
      </c>
      <c r="L1179" s="60">
        <v>379.66320000000002</v>
      </c>
      <c r="M1179" s="54">
        <f t="shared" si="16"/>
        <v>933.65999999999985</v>
      </c>
      <c r="N1179" s="55">
        <v>4914</v>
      </c>
      <c r="O1179" s="59">
        <v>170</v>
      </c>
      <c r="P1179" s="59">
        <v>2</v>
      </c>
      <c r="Q1179" s="59">
        <v>460</v>
      </c>
      <c r="R1179" s="59">
        <v>787</v>
      </c>
      <c r="S1179" s="59">
        <v>565</v>
      </c>
      <c r="T1179" s="59">
        <v>1200</v>
      </c>
      <c r="U1179" s="59">
        <v>21</v>
      </c>
      <c r="V1179" s="59">
        <v>416</v>
      </c>
      <c r="W1179" s="59">
        <v>1074</v>
      </c>
      <c r="X1179" s="59">
        <v>219</v>
      </c>
    </row>
    <row r="1180" spans="1:24">
      <c r="A1180" s="52">
        <v>46172</v>
      </c>
      <c r="B1180" s="53" t="s">
        <v>998</v>
      </c>
      <c r="C1180" s="60">
        <v>439.02996923076927</v>
      </c>
      <c r="D1180" s="60">
        <v>348.64144615384618</v>
      </c>
      <c r="E1180" s="60">
        <v>309.90350769230776</v>
      </c>
      <c r="F1180" s="60">
        <v>684.37024615384621</v>
      </c>
      <c r="G1180" s="60">
        <v>406.74835384615386</v>
      </c>
      <c r="H1180" s="60">
        <v>400.29203076923085</v>
      </c>
      <c r="I1180" s="60">
        <v>361.55409230769231</v>
      </c>
      <c r="J1180" s="60">
        <v>316.35983076923083</v>
      </c>
      <c r="K1180" s="60">
        <v>529.4184923076923</v>
      </c>
      <c r="L1180" s="60">
        <v>400.29203076923085</v>
      </c>
      <c r="M1180" s="54">
        <f t="shared" si="16"/>
        <v>984.38999999999942</v>
      </c>
      <c r="N1180" s="55">
        <v>5181</v>
      </c>
      <c r="O1180" s="59">
        <v>250</v>
      </c>
      <c r="P1180" s="59">
        <v>4</v>
      </c>
      <c r="Q1180" s="59">
        <v>689</v>
      </c>
      <c r="R1180" s="59">
        <v>787</v>
      </c>
      <c r="S1180" s="59">
        <v>565</v>
      </c>
      <c r="T1180" s="59">
        <v>1252</v>
      </c>
      <c r="U1180" s="59">
        <v>130</v>
      </c>
      <c r="V1180" s="59">
        <v>416</v>
      </c>
      <c r="W1180" s="59">
        <v>1088</v>
      </c>
      <c r="X1180" s="59">
        <v>0</v>
      </c>
    </row>
    <row r="1181" spans="1:24">
      <c r="A1181" s="52">
        <v>46173</v>
      </c>
      <c r="B1181" s="53" t="s">
        <v>998</v>
      </c>
      <c r="C1181" s="60">
        <v>535.37759999999992</v>
      </c>
      <c r="D1181" s="60">
        <v>425.15280000000001</v>
      </c>
      <c r="E1181" s="60">
        <v>377.91360000000003</v>
      </c>
      <c r="F1181" s="60">
        <v>834.55919999999992</v>
      </c>
      <c r="G1181" s="60">
        <v>496.01159999999999</v>
      </c>
      <c r="H1181" s="60">
        <v>488.13839999999999</v>
      </c>
      <c r="I1181" s="60">
        <v>440.89919999999995</v>
      </c>
      <c r="J1181" s="60">
        <v>385.78679999999997</v>
      </c>
      <c r="K1181" s="60">
        <v>645.60239999999999</v>
      </c>
      <c r="L1181" s="60">
        <v>488.13839999999999</v>
      </c>
      <c r="M1181" s="54">
        <f t="shared" si="16"/>
        <v>1200.420000000001</v>
      </c>
      <c r="N1181" s="55">
        <v>6318</v>
      </c>
      <c r="O1181" s="59">
        <v>250</v>
      </c>
      <c r="P1181" s="59">
        <v>4</v>
      </c>
      <c r="Q1181" s="59">
        <v>689</v>
      </c>
      <c r="R1181" s="59">
        <v>788</v>
      </c>
      <c r="S1181" s="59">
        <v>565</v>
      </c>
      <c r="T1181" s="59">
        <v>2400</v>
      </c>
      <c r="U1181" s="59">
        <v>130</v>
      </c>
      <c r="V1181" s="59">
        <v>416</v>
      </c>
      <c r="W1181" s="59">
        <v>1076</v>
      </c>
      <c r="X1181" s="59">
        <v>0</v>
      </c>
    </row>
    <row r="1182" spans="1:24">
      <c r="A1182" s="52">
        <v>46174</v>
      </c>
      <c r="B1182" s="53" t="s">
        <v>998</v>
      </c>
      <c r="C1182" s="54">
        <v>480</v>
      </c>
      <c r="D1182" s="54">
        <v>404</v>
      </c>
      <c r="E1182" s="54">
        <v>436</v>
      </c>
      <c r="F1182" s="54">
        <v>853</v>
      </c>
      <c r="G1182" s="54">
        <v>444</v>
      </c>
      <c r="H1182" s="54">
        <v>427</v>
      </c>
      <c r="I1182" s="54">
        <v>450</v>
      </c>
      <c r="J1182" s="54">
        <v>669</v>
      </c>
      <c r="K1182" s="54">
        <v>682</v>
      </c>
      <c r="L1182" s="54">
        <v>458</v>
      </c>
      <c r="M1182" s="54">
        <f t="shared" si="16"/>
        <v>861</v>
      </c>
      <c r="N1182" s="55">
        <v>6164</v>
      </c>
      <c r="O1182" s="54">
        <v>258</v>
      </c>
      <c r="P1182" s="54">
        <v>12</v>
      </c>
      <c r="Q1182" s="54">
        <v>437</v>
      </c>
      <c r="R1182" s="54">
        <v>1042</v>
      </c>
      <c r="S1182" s="54">
        <v>863</v>
      </c>
      <c r="T1182" s="54">
        <v>1215</v>
      </c>
      <c r="U1182" s="54">
        <v>796</v>
      </c>
      <c r="V1182" s="54">
        <v>462</v>
      </c>
      <c r="W1182" s="54">
        <v>956</v>
      </c>
      <c r="X1182" s="54">
        <v>123</v>
      </c>
    </row>
    <row r="1183" spans="1:24">
      <c r="A1183" s="52">
        <v>46175</v>
      </c>
      <c r="B1183" s="53" t="s">
        <v>998</v>
      </c>
      <c r="C1183" s="54">
        <v>480</v>
      </c>
      <c r="D1183" s="54">
        <v>404</v>
      </c>
      <c r="E1183" s="54">
        <v>436</v>
      </c>
      <c r="F1183" s="54">
        <v>853</v>
      </c>
      <c r="G1183" s="54">
        <v>444</v>
      </c>
      <c r="H1183" s="54">
        <v>427</v>
      </c>
      <c r="I1183" s="54">
        <v>450</v>
      </c>
      <c r="J1183" s="54">
        <v>669</v>
      </c>
      <c r="K1183" s="54">
        <v>682</v>
      </c>
      <c r="L1183" s="54">
        <v>458</v>
      </c>
      <c r="M1183" s="54">
        <f t="shared" si="16"/>
        <v>863</v>
      </c>
      <c r="N1183" s="55">
        <v>6166</v>
      </c>
      <c r="O1183" s="54">
        <v>258</v>
      </c>
      <c r="P1183" s="54">
        <v>12</v>
      </c>
      <c r="Q1183" s="54">
        <v>437</v>
      </c>
      <c r="R1183" s="54">
        <v>1042</v>
      </c>
      <c r="S1183" s="54">
        <v>863</v>
      </c>
      <c r="T1183" s="54">
        <v>1216</v>
      </c>
      <c r="U1183" s="54">
        <v>796</v>
      </c>
      <c r="V1183" s="54">
        <v>463</v>
      </c>
      <c r="W1183" s="54">
        <v>956</v>
      </c>
      <c r="X1183" s="54">
        <v>123</v>
      </c>
    </row>
    <row r="1184" spans="1:24">
      <c r="A1184" s="52">
        <v>46176</v>
      </c>
      <c r="B1184" s="53" t="s">
        <v>998</v>
      </c>
      <c r="C1184" s="54">
        <v>480</v>
      </c>
      <c r="D1184" s="54">
        <v>404</v>
      </c>
      <c r="E1184" s="54">
        <v>436</v>
      </c>
      <c r="F1184" s="54">
        <v>853</v>
      </c>
      <c r="G1184" s="54">
        <v>444</v>
      </c>
      <c r="H1184" s="54">
        <v>428</v>
      </c>
      <c r="I1184" s="54">
        <v>450</v>
      </c>
      <c r="J1184" s="54">
        <v>669</v>
      </c>
      <c r="K1184" s="54">
        <v>682</v>
      </c>
      <c r="L1184" s="54">
        <v>458</v>
      </c>
      <c r="M1184" s="54">
        <f t="shared" si="16"/>
        <v>863</v>
      </c>
      <c r="N1184" s="55">
        <v>6167</v>
      </c>
      <c r="O1184" s="54">
        <v>258</v>
      </c>
      <c r="P1184" s="54">
        <v>12</v>
      </c>
      <c r="Q1184" s="54">
        <v>437</v>
      </c>
      <c r="R1184" s="54">
        <v>1042</v>
      </c>
      <c r="S1184" s="54">
        <v>864</v>
      </c>
      <c r="T1184" s="54">
        <v>1216</v>
      </c>
      <c r="U1184" s="54">
        <v>796</v>
      </c>
      <c r="V1184" s="54">
        <v>463</v>
      </c>
      <c r="W1184" s="54">
        <v>956</v>
      </c>
      <c r="X1184" s="54">
        <v>123</v>
      </c>
    </row>
    <row r="1185" spans="1:24">
      <c r="A1185" s="52">
        <v>46177</v>
      </c>
      <c r="B1185" s="53" t="s">
        <v>998</v>
      </c>
      <c r="C1185" s="54">
        <v>480</v>
      </c>
      <c r="D1185" s="54">
        <v>404</v>
      </c>
      <c r="E1185" s="54">
        <v>436</v>
      </c>
      <c r="F1185" s="54">
        <v>854</v>
      </c>
      <c r="G1185" s="54">
        <v>444</v>
      </c>
      <c r="H1185" s="54">
        <v>428</v>
      </c>
      <c r="I1185" s="54">
        <v>450</v>
      </c>
      <c r="J1185" s="54">
        <v>669</v>
      </c>
      <c r="K1185" s="54">
        <v>682</v>
      </c>
      <c r="L1185" s="54">
        <v>458</v>
      </c>
      <c r="M1185" s="54">
        <f t="shared" si="16"/>
        <v>863</v>
      </c>
      <c r="N1185" s="55">
        <v>6168</v>
      </c>
      <c r="O1185" s="54">
        <v>258</v>
      </c>
      <c r="P1185" s="54">
        <v>12</v>
      </c>
      <c r="Q1185" s="54">
        <v>437</v>
      </c>
      <c r="R1185" s="54">
        <v>1043</v>
      </c>
      <c r="S1185" s="54">
        <v>864</v>
      </c>
      <c r="T1185" s="54">
        <v>1216</v>
      </c>
      <c r="U1185" s="54">
        <v>796</v>
      </c>
      <c r="V1185" s="54">
        <v>463</v>
      </c>
      <c r="W1185" s="54">
        <v>956</v>
      </c>
      <c r="X1185" s="54">
        <v>123</v>
      </c>
    </row>
    <row r="1186" spans="1:24">
      <c r="A1186" s="52">
        <v>46178</v>
      </c>
      <c r="B1186" s="53" t="s">
        <v>998</v>
      </c>
      <c r="C1186" s="54">
        <v>480</v>
      </c>
      <c r="D1186" s="54">
        <v>404</v>
      </c>
      <c r="E1186" s="54">
        <v>436</v>
      </c>
      <c r="F1186" s="54">
        <v>854</v>
      </c>
      <c r="G1186" s="54">
        <v>444</v>
      </c>
      <c r="H1186" s="54">
        <v>428</v>
      </c>
      <c r="I1186" s="54">
        <v>450</v>
      </c>
      <c r="J1186" s="54">
        <v>669</v>
      </c>
      <c r="K1186" s="54">
        <v>682</v>
      </c>
      <c r="L1186" s="54">
        <v>458</v>
      </c>
      <c r="M1186" s="54">
        <f t="shared" si="16"/>
        <v>863</v>
      </c>
      <c r="N1186" s="55">
        <v>6168</v>
      </c>
      <c r="O1186" s="54">
        <v>258</v>
      </c>
      <c r="P1186" s="54">
        <v>12</v>
      </c>
      <c r="Q1186" s="54">
        <v>437</v>
      </c>
      <c r="R1186" s="54">
        <v>1043</v>
      </c>
      <c r="S1186" s="54">
        <v>864</v>
      </c>
      <c r="T1186" s="54">
        <v>1216</v>
      </c>
      <c r="U1186" s="54">
        <v>796</v>
      </c>
      <c r="V1186" s="54">
        <v>463</v>
      </c>
      <c r="W1186" s="54">
        <v>956</v>
      </c>
      <c r="X1186" s="54">
        <v>123</v>
      </c>
    </row>
    <row r="1187" spans="1:24">
      <c r="A1187" s="52">
        <v>46179</v>
      </c>
      <c r="B1187" s="53" t="s">
        <v>998</v>
      </c>
      <c r="C1187" s="54">
        <v>960</v>
      </c>
      <c r="D1187" s="54">
        <v>809</v>
      </c>
      <c r="E1187" s="54">
        <v>872</v>
      </c>
      <c r="F1187" s="54">
        <v>1709</v>
      </c>
      <c r="G1187" s="54">
        <v>889</v>
      </c>
      <c r="H1187" s="54">
        <v>856</v>
      </c>
      <c r="I1187" s="54">
        <v>902</v>
      </c>
      <c r="J1187" s="54">
        <v>1339</v>
      </c>
      <c r="K1187" s="54">
        <v>1366</v>
      </c>
      <c r="L1187" s="54">
        <v>916</v>
      </c>
      <c r="M1187" s="54">
        <f t="shared" si="16"/>
        <v>1728</v>
      </c>
      <c r="N1187" s="55">
        <v>12346</v>
      </c>
      <c r="O1187" s="54">
        <v>519</v>
      </c>
      <c r="P1187" s="54">
        <v>25</v>
      </c>
      <c r="Q1187" s="54">
        <v>876</v>
      </c>
      <c r="R1187" s="54">
        <v>2087</v>
      </c>
      <c r="S1187" s="54">
        <v>1728</v>
      </c>
      <c r="T1187" s="54">
        <v>2432</v>
      </c>
      <c r="U1187" s="54">
        <v>1593</v>
      </c>
      <c r="V1187" s="54">
        <v>926</v>
      </c>
      <c r="W1187" s="54">
        <v>1913</v>
      </c>
      <c r="X1187" s="54">
        <v>247</v>
      </c>
    </row>
    <row r="1188" spans="1:24">
      <c r="A1188" s="52">
        <v>46180</v>
      </c>
      <c r="B1188" s="53" t="s">
        <v>998</v>
      </c>
      <c r="C1188" s="54">
        <v>961</v>
      </c>
      <c r="D1188" s="54">
        <v>809</v>
      </c>
      <c r="E1188" s="54">
        <v>872</v>
      </c>
      <c r="F1188" s="54">
        <v>1709</v>
      </c>
      <c r="G1188" s="54">
        <v>889</v>
      </c>
      <c r="H1188" s="54">
        <v>856</v>
      </c>
      <c r="I1188" s="54">
        <v>902</v>
      </c>
      <c r="J1188" s="54">
        <v>1340</v>
      </c>
      <c r="K1188" s="54">
        <v>1366</v>
      </c>
      <c r="L1188" s="54">
        <v>916</v>
      </c>
      <c r="M1188" s="54">
        <f t="shared" si="16"/>
        <v>1727</v>
      </c>
      <c r="N1188" s="55">
        <v>12347</v>
      </c>
      <c r="O1188" s="54">
        <v>519</v>
      </c>
      <c r="P1188" s="54">
        <v>25</v>
      </c>
      <c r="Q1188" s="54">
        <v>877</v>
      </c>
      <c r="R1188" s="54">
        <v>2087</v>
      </c>
      <c r="S1188" s="54">
        <v>1728</v>
      </c>
      <c r="T1188" s="54">
        <v>2432</v>
      </c>
      <c r="U1188" s="54">
        <v>1593</v>
      </c>
      <c r="V1188" s="54">
        <v>926</v>
      </c>
      <c r="W1188" s="54">
        <v>1913</v>
      </c>
      <c r="X1188" s="54">
        <v>247</v>
      </c>
    </row>
    <row r="1189" spans="1:24">
      <c r="A1189" s="52">
        <v>46181</v>
      </c>
      <c r="B1189" s="53" t="s">
        <v>998</v>
      </c>
      <c r="C1189" s="54">
        <v>512</v>
      </c>
      <c r="D1189" s="54">
        <v>431</v>
      </c>
      <c r="E1189" s="54">
        <v>465</v>
      </c>
      <c r="F1189" s="54">
        <v>911</v>
      </c>
      <c r="G1189" s="54">
        <v>474</v>
      </c>
      <c r="H1189" s="54">
        <v>457</v>
      </c>
      <c r="I1189" s="54">
        <v>481</v>
      </c>
      <c r="J1189" s="54">
        <v>715</v>
      </c>
      <c r="K1189" s="54">
        <v>728</v>
      </c>
      <c r="L1189" s="54">
        <v>489</v>
      </c>
      <c r="M1189" s="54">
        <f t="shared" si="16"/>
        <v>923</v>
      </c>
      <c r="N1189" s="55">
        <v>6586</v>
      </c>
      <c r="O1189" s="54">
        <v>277</v>
      </c>
      <c r="P1189" s="54">
        <v>13</v>
      </c>
      <c r="Q1189" s="54">
        <v>468</v>
      </c>
      <c r="R1189" s="54">
        <v>1113</v>
      </c>
      <c r="S1189" s="54">
        <v>922</v>
      </c>
      <c r="T1189" s="54">
        <v>1297</v>
      </c>
      <c r="U1189" s="54">
        <v>849</v>
      </c>
      <c r="V1189" s="54">
        <v>494</v>
      </c>
      <c r="W1189" s="54">
        <v>1021</v>
      </c>
      <c r="X1189" s="54">
        <v>132</v>
      </c>
    </row>
    <row r="1190" spans="1:24">
      <c r="A1190" s="52">
        <v>46182</v>
      </c>
      <c r="B1190" s="53" t="s">
        <v>998</v>
      </c>
      <c r="C1190" s="54">
        <v>512</v>
      </c>
      <c r="D1190" s="54">
        <v>431</v>
      </c>
      <c r="E1190" s="54">
        <v>465</v>
      </c>
      <c r="F1190" s="54">
        <v>911</v>
      </c>
      <c r="G1190" s="54">
        <v>474</v>
      </c>
      <c r="H1190" s="54">
        <v>457</v>
      </c>
      <c r="I1190" s="54">
        <v>481</v>
      </c>
      <c r="J1190" s="54">
        <v>715</v>
      </c>
      <c r="K1190" s="54">
        <v>728</v>
      </c>
      <c r="L1190" s="54">
        <v>489</v>
      </c>
      <c r="M1190" s="54">
        <f t="shared" si="16"/>
        <v>923</v>
      </c>
      <c r="N1190" s="55">
        <v>6586</v>
      </c>
      <c r="O1190" s="54">
        <v>277</v>
      </c>
      <c r="P1190" s="54">
        <v>13</v>
      </c>
      <c r="Q1190" s="54">
        <v>468</v>
      </c>
      <c r="R1190" s="54">
        <v>1113</v>
      </c>
      <c r="S1190" s="54">
        <v>922</v>
      </c>
      <c r="T1190" s="54">
        <v>1297</v>
      </c>
      <c r="U1190" s="54">
        <v>849</v>
      </c>
      <c r="V1190" s="54">
        <v>494</v>
      </c>
      <c r="W1190" s="54">
        <v>1021</v>
      </c>
      <c r="X1190" s="54">
        <v>132</v>
      </c>
    </row>
    <row r="1191" spans="1:24">
      <c r="A1191" s="52">
        <v>46183</v>
      </c>
      <c r="B1191" s="53" t="s">
        <v>998</v>
      </c>
      <c r="C1191" s="54">
        <v>512</v>
      </c>
      <c r="D1191" s="54">
        <v>431</v>
      </c>
      <c r="E1191" s="54">
        <v>465</v>
      </c>
      <c r="F1191" s="54">
        <v>911</v>
      </c>
      <c r="G1191" s="54">
        <v>474</v>
      </c>
      <c r="H1191" s="54">
        <v>457</v>
      </c>
      <c r="I1191" s="54">
        <v>481</v>
      </c>
      <c r="J1191" s="54">
        <v>715</v>
      </c>
      <c r="K1191" s="54">
        <v>728</v>
      </c>
      <c r="L1191" s="54">
        <v>489</v>
      </c>
      <c r="M1191" s="54">
        <f t="shared" si="16"/>
        <v>923</v>
      </c>
      <c r="N1191" s="55">
        <v>6586</v>
      </c>
      <c r="O1191" s="54">
        <v>277</v>
      </c>
      <c r="P1191" s="54">
        <v>13</v>
      </c>
      <c r="Q1191" s="54">
        <v>468</v>
      </c>
      <c r="R1191" s="54">
        <v>1113</v>
      </c>
      <c r="S1191" s="54">
        <v>922</v>
      </c>
      <c r="T1191" s="54">
        <v>1297</v>
      </c>
      <c r="U1191" s="54">
        <v>849</v>
      </c>
      <c r="V1191" s="54">
        <v>494</v>
      </c>
      <c r="W1191" s="54">
        <v>1021</v>
      </c>
      <c r="X1191" s="54">
        <v>132</v>
      </c>
    </row>
    <row r="1192" spans="1:24">
      <c r="A1192" s="52">
        <v>46184</v>
      </c>
      <c r="B1192" s="53" t="s">
        <v>998</v>
      </c>
      <c r="C1192" s="54">
        <v>512</v>
      </c>
      <c r="D1192" s="54">
        <v>431</v>
      </c>
      <c r="E1192" s="54">
        <v>465</v>
      </c>
      <c r="F1192" s="54">
        <v>911</v>
      </c>
      <c r="G1192" s="54">
        <v>474</v>
      </c>
      <c r="H1192" s="54">
        <v>457</v>
      </c>
      <c r="I1192" s="54">
        <v>481</v>
      </c>
      <c r="J1192" s="54">
        <v>715</v>
      </c>
      <c r="K1192" s="54">
        <v>728</v>
      </c>
      <c r="L1192" s="54">
        <v>489</v>
      </c>
      <c r="M1192" s="54">
        <f t="shared" si="16"/>
        <v>923</v>
      </c>
      <c r="N1192" s="55">
        <v>6586</v>
      </c>
      <c r="O1192" s="54">
        <v>277</v>
      </c>
      <c r="P1192" s="54">
        <v>13</v>
      </c>
      <c r="Q1192" s="54">
        <v>468</v>
      </c>
      <c r="R1192" s="54">
        <v>1113</v>
      </c>
      <c r="S1192" s="54">
        <v>922</v>
      </c>
      <c r="T1192" s="54">
        <v>1297</v>
      </c>
      <c r="U1192" s="54">
        <v>849</v>
      </c>
      <c r="V1192" s="54">
        <v>494</v>
      </c>
      <c r="W1192" s="54">
        <v>1021</v>
      </c>
      <c r="X1192" s="54">
        <v>132</v>
      </c>
    </row>
    <row r="1193" spans="1:24">
      <c r="A1193" s="52">
        <v>46185</v>
      </c>
      <c r="B1193" s="53" t="s">
        <v>998</v>
      </c>
      <c r="C1193" s="54">
        <v>512</v>
      </c>
      <c r="D1193" s="54">
        <v>431</v>
      </c>
      <c r="E1193" s="54">
        <v>465</v>
      </c>
      <c r="F1193" s="54">
        <v>911</v>
      </c>
      <c r="G1193" s="54">
        <v>474</v>
      </c>
      <c r="H1193" s="54">
        <v>457</v>
      </c>
      <c r="I1193" s="54">
        <v>481</v>
      </c>
      <c r="J1193" s="54">
        <v>715</v>
      </c>
      <c r="K1193" s="54">
        <v>728</v>
      </c>
      <c r="L1193" s="54">
        <v>489</v>
      </c>
      <c r="M1193" s="54">
        <f t="shared" si="16"/>
        <v>923</v>
      </c>
      <c r="N1193" s="55">
        <v>6586</v>
      </c>
      <c r="O1193" s="54">
        <v>277</v>
      </c>
      <c r="P1193" s="54">
        <v>13</v>
      </c>
      <c r="Q1193" s="54">
        <v>468</v>
      </c>
      <c r="R1193" s="54">
        <v>1113</v>
      </c>
      <c r="S1193" s="54">
        <v>922</v>
      </c>
      <c r="T1193" s="54">
        <v>1297</v>
      </c>
      <c r="U1193" s="54">
        <v>849</v>
      </c>
      <c r="V1193" s="54">
        <v>494</v>
      </c>
      <c r="W1193" s="54">
        <v>1021</v>
      </c>
      <c r="X1193" s="54">
        <v>132</v>
      </c>
    </row>
    <row r="1194" spans="1:24">
      <c r="A1194" s="52">
        <v>46186</v>
      </c>
      <c r="B1194" s="53" t="s">
        <v>998</v>
      </c>
      <c r="C1194" s="54">
        <v>1025</v>
      </c>
      <c r="D1194" s="54">
        <v>862</v>
      </c>
      <c r="E1194" s="54">
        <v>930</v>
      </c>
      <c r="F1194" s="54">
        <v>1823</v>
      </c>
      <c r="G1194" s="54">
        <v>948</v>
      </c>
      <c r="H1194" s="54">
        <v>913</v>
      </c>
      <c r="I1194" s="54">
        <v>962</v>
      </c>
      <c r="J1194" s="54">
        <v>1429</v>
      </c>
      <c r="K1194" s="54">
        <v>1457</v>
      </c>
      <c r="L1194" s="54">
        <v>977</v>
      </c>
      <c r="M1194" s="54">
        <f t="shared" si="16"/>
        <v>1843</v>
      </c>
      <c r="N1194" s="55">
        <v>13169</v>
      </c>
      <c r="O1194" s="54">
        <v>553</v>
      </c>
      <c r="P1194" s="54">
        <v>26</v>
      </c>
      <c r="Q1194" s="54">
        <v>935</v>
      </c>
      <c r="R1194" s="54">
        <v>2226</v>
      </c>
      <c r="S1194" s="54">
        <v>1844</v>
      </c>
      <c r="T1194" s="54">
        <v>2594</v>
      </c>
      <c r="U1194" s="54">
        <v>1699</v>
      </c>
      <c r="V1194" s="54">
        <v>988</v>
      </c>
      <c r="W1194" s="54">
        <v>2041</v>
      </c>
      <c r="X1194" s="54">
        <v>263</v>
      </c>
    </row>
    <row r="1195" spans="1:24">
      <c r="A1195" s="52">
        <v>46187</v>
      </c>
      <c r="B1195" s="53" t="s">
        <v>998</v>
      </c>
      <c r="C1195" s="54">
        <v>1025</v>
      </c>
      <c r="D1195" s="54">
        <v>862</v>
      </c>
      <c r="E1195" s="54">
        <v>930</v>
      </c>
      <c r="F1195" s="54">
        <v>1823</v>
      </c>
      <c r="G1195" s="54">
        <v>948</v>
      </c>
      <c r="H1195" s="54">
        <v>913</v>
      </c>
      <c r="I1195" s="54">
        <v>962</v>
      </c>
      <c r="J1195" s="54">
        <v>1429</v>
      </c>
      <c r="K1195" s="54">
        <v>1457</v>
      </c>
      <c r="L1195" s="54">
        <v>977</v>
      </c>
      <c r="M1195" s="54">
        <f t="shared" si="16"/>
        <v>1843</v>
      </c>
      <c r="N1195" s="55">
        <v>13169</v>
      </c>
      <c r="O1195" s="54">
        <v>553</v>
      </c>
      <c r="P1195" s="54">
        <v>26</v>
      </c>
      <c r="Q1195" s="54">
        <v>935</v>
      </c>
      <c r="R1195" s="54">
        <v>2226</v>
      </c>
      <c r="S1195" s="54">
        <v>1844</v>
      </c>
      <c r="T1195" s="54">
        <v>2594</v>
      </c>
      <c r="U1195" s="54">
        <v>1699</v>
      </c>
      <c r="V1195" s="54">
        <v>988</v>
      </c>
      <c r="W1195" s="54">
        <v>2041</v>
      </c>
      <c r="X1195" s="54">
        <v>263</v>
      </c>
    </row>
    <row r="1196" spans="1:24">
      <c r="A1196" s="52">
        <v>46188</v>
      </c>
      <c r="B1196" s="53" t="s">
        <v>998</v>
      </c>
      <c r="C1196" s="54">
        <v>512</v>
      </c>
      <c r="D1196" s="54">
        <v>431</v>
      </c>
      <c r="E1196" s="54">
        <v>465</v>
      </c>
      <c r="F1196" s="54">
        <v>911</v>
      </c>
      <c r="G1196" s="54">
        <v>474</v>
      </c>
      <c r="H1196" s="54">
        <v>457</v>
      </c>
      <c r="I1196" s="54">
        <v>481</v>
      </c>
      <c r="J1196" s="54">
        <v>715</v>
      </c>
      <c r="K1196" s="54">
        <v>728</v>
      </c>
      <c r="L1196" s="54">
        <v>489</v>
      </c>
      <c r="M1196" s="54">
        <f t="shared" ref="M1196:M1259" si="17">N1196-SUM(C1196:L1196)</f>
        <v>923</v>
      </c>
      <c r="N1196" s="55">
        <v>6586</v>
      </c>
      <c r="O1196" s="54">
        <v>277</v>
      </c>
      <c r="P1196" s="54">
        <v>13</v>
      </c>
      <c r="Q1196" s="54">
        <v>468</v>
      </c>
      <c r="R1196" s="54">
        <v>1113</v>
      </c>
      <c r="S1196" s="54">
        <v>922</v>
      </c>
      <c r="T1196" s="54">
        <v>1297</v>
      </c>
      <c r="U1196" s="54">
        <v>849</v>
      </c>
      <c r="V1196" s="54">
        <v>494</v>
      </c>
      <c r="W1196" s="54">
        <v>1021</v>
      </c>
      <c r="X1196" s="54">
        <v>132</v>
      </c>
    </row>
    <row r="1197" spans="1:24">
      <c r="A1197" s="52">
        <v>46189</v>
      </c>
      <c r="B1197" s="53" t="s">
        <v>998</v>
      </c>
      <c r="C1197" s="54">
        <v>1121</v>
      </c>
      <c r="D1197" s="54">
        <v>943</v>
      </c>
      <c r="E1197" s="54">
        <v>1018</v>
      </c>
      <c r="F1197" s="54">
        <v>1994</v>
      </c>
      <c r="G1197" s="54">
        <v>1037</v>
      </c>
      <c r="H1197" s="54">
        <v>999</v>
      </c>
      <c r="I1197" s="54">
        <v>1052</v>
      </c>
      <c r="J1197" s="54">
        <v>1563</v>
      </c>
      <c r="K1197" s="54">
        <v>1593</v>
      </c>
      <c r="L1197" s="54">
        <v>1069</v>
      </c>
      <c r="M1197" s="54">
        <f t="shared" si="17"/>
        <v>2016</v>
      </c>
      <c r="N1197" s="55">
        <v>14405</v>
      </c>
      <c r="O1197" s="54">
        <v>605</v>
      </c>
      <c r="P1197" s="54">
        <v>29</v>
      </c>
      <c r="Q1197" s="54">
        <v>1023</v>
      </c>
      <c r="R1197" s="54">
        <v>2434</v>
      </c>
      <c r="S1197" s="54">
        <v>2017</v>
      </c>
      <c r="T1197" s="54">
        <v>2838</v>
      </c>
      <c r="U1197" s="54">
        <v>1858</v>
      </c>
      <c r="V1197" s="54">
        <v>1080</v>
      </c>
      <c r="W1197" s="54">
        <v>2233</v>
      </c>
      <c r="X1197" s="54">
        <v>288</v>
      </c>
    </row>
    <row r="1198" spans="1:24">
      <c r="A1198" s="52">
        <v>46190</v>
      </c>
      <c r="B1198" s="53" t="s">
        <v>998</v>
      </c>
      <c r="C1198" s="54">
        <v>512</v>
      </c>
      <c r="D1198" s="54">
        <v>431</v>
      </c>
      <c r="E1198" s="54">
        <v>465</v>
      </c>
      <c r="F1198" s="54">
        <v>911</v>
      </c>
      <c r="G1198" s="54">
        <v>474</v>
      </c>
      <c r="H1198" s="54">
        <v>457</v>
      </c>
      <c r="I1198" s="54">
        <v>481</v>
      </c>
      <c r="J1198" s="54">
        <v>715</v>
      </c>
      <c r="K1198" s="54">
        <v>728</v>
      </c>
      <c r="L1198" s="54">
        <v>489</v>
      </c>
      <c r="M1198" s="54">
        <f t="shared" si="17"/>
        <v>923</v>
      </c>
      <c r="N1198" s="55">
        <v>6586</v>
      </c>
      <c r="O1198" s="54">
        <v>277</v>
      </c>
      <c r="P1198" s="54">
        <v>13</v>
      </c>
      <c r="Q1198" s="54">
        <v>468</v>
      </c>
      <c r="R1198" s="54">
        <v>1113</v>
      </c>
      <c r="S1198" s="54">
        <v>922</v>
      </c>
      <c r="T1198" s="54">
        <v>1297</v>
      </c>
      <c r="U1198" s="54">
        <v>849</v>
      </c>
      <c r="V1198" s="54">
        <v>494</v>
      </c>
      <c r="W1198" s="54">
        <v>1021</v>
      </c>
      <c r="X1198" s="54">
        <v>132</v>
      </c>
    </row>
    <row r="1199" spans="1:24">
      <c r="A1199" s="52">
        <v>46191</v>
      </c>
      <c r="B1199" s="53" t="s">
        <v>998</v>
      </c>
      <c r="C1199" s="54">
        <v>512</v>
      </c>
      <c r="D1199" s="54">
        <v>431</v>
      </c>
      <c r="E1199" s="54">
        <v>465</v>
      </c>
      <c r="F1199" s="54">
        <v>911</v>
      </c>
      <c r="G1199" s="54">
        <v>474</v>
      </c>
      <c r="H1199" s="54">
        <v>457</v>
      </c>
      <c r="I1199" s="54">
        <v>481</v>
      </c>
      <c r="J1199" s="54">
        <v>715</v>
      </c>
      <c r="K1199" s="54">
        <v>728</v>
      </c>
      <c r="L1199" s="54">
        <v>489</v>
      </c>
      <c r="M1199" s="54">
        <f t="shared" si="17"/>
        <v>923</v>
      </c>
      <c r="N1199" s="55">
        <v>6586</v>
      </c>
      <c r="O1199" s="54">
        <v>277</v>
      </c>
      <c r="P1199" s="54">
        <v>13</v>
      </c>
      <c r="Q1199" s="54">
        <v>468</v>
      </c>
      <c r="R1199" s="54">
        <v>1113</v>
      </c>
      <c r="S1199" s="54">
        <v>922</v>
      </c>
      <c r="T1199" s="54">
        <v>1297</v>
      </c>
      <c r="U1199" s="54">
        <v>849</v>
      </c>
      <c r="V1199" s="54">
        <v>494</v>
      </c>
      <c r="W1199" s="54">
        <v>1021</v>
      </c>
      <c r="X1199" s="54">
        <v>132</v>
      </c>
    </row>
    <row r="1200" spans="1:24">
      <c r="A1200" s="52">
        <v>46192</v>
      </c>
      <c r="B1200" s="53" t="s">
        <v>998</v>
      </c>
      <c r="C1200" s="54">
        <v>1121</v>
      </c>
      <c r="D1200" s="54">
        <v>943</v>
      </c>
      <c r="E1200" s="54">
        <v>1018</v>
      </c>
      <c r="F1200" s="54">
        <v>1994</v>
      </c>
      <c r="G1200" s="54">
        <v>1037</v>
      </c>
      <c r="H1200" s="54">
        <v>999</v>
      </c>
      <c r="I1200" s="54">
        <v>1052</v>
      </c>
      <c r="J1200" s="54">
        <v>1563</v>
      </c>
      <c r="K1200" s="54">
        <v>1593</v>
      </c>
      <c r="L1200" s="54">
        <v>1069</v>
      </c>
      <c r="M1200" s="54">
        <f t="shared" si="17"/>
        <v>2016</v>
      </c>
      <c r="N1200" s="55">
        <v>14405</v>
      </c>
      <c r="O1200" s="54">
        <v>605</v>
      </c>
      <c r="P1200" s="54">
        <v>29</v>
      </c>
      <c r="Q1200" s="54">
        <v>1023</v>
      </c>
      <c r="R1200" s="54">
        <v>2434</v>
      </c>
      <c r="S1200" s="54">
        <v>2017</v>
      </c>
      <c r="T1200" s="54">
        <v>2838</v>
      </c>
      <c r="U1200" s="54">
        <v>1858</v>
      </c>
      <c r="V1200" s="54">
        <v>1080</v>
      </c>
      <c r="W1200" s="54">
        <v>2233</v>
      </c>
      <c r="X1200" s="54">
        <v>288</v>
      </c>
    </row>
    <row r="1201" spans="1:24">
      <c r="A1201" s="52">
        <v>46193</v>
      </c>
      <c r="B1201" s="53" t="s">
        <v>998</v>
      </c>
      <c r="C1201" s="54">
        <v>1121</v>
      </c>
      <c r="D1201" s="54">
        <v>943</v>
      </c>
      <c r="E1201" s="54">
        <v>1018</v>
      </c>
      <c r="F1201" s="54">
        <v>1994</v>
      </c>
      <c r="G1201" s="54">
        <v>1037</v>
      </c>
      <c r="H1201" s="54">
        <v>999</v>
      </c>
      <c r="I1201" s="54">
        <v>1052</v>
      </c>
      <c r="J1201" s="54">
        <v>1563</v>
      </c>
      <c r="K1201" s="54">
        <v>1593</v>
      </c>
      <c r="L1201" s="54">
        <v>1069</v>
      </c>
      <c r="M1201" s="54">
        <f t="shared" si="17"/>
        <v>2016</v>
      </c>
      <c r="N1201" s="55">
        <v>14405</v>
      </c>
      <c r="O1201" s="54">
        <v>605</v>
      </c>
      <c r="P1201" s="54">
        <v>29</v>
      </c>
      <c r="Q1201" s="54">
        <v>1023</v>
      </c>
      <c r="R1201" s="54">
        <v>2434</v>
      </c>
      <c r="S1201" s="54">
        <v>2017</v>
      </c>
      <c r="T1201" s="54">
        <v>2838</v>
      </c>
      <c r="U1201" s="54">
        <v>1858</v>
      </c>
      <c r="V1201" s="54">
        <v>1080</v>
      </c>
      <c r="W1201" s="54">
        <v>2233</v>
      </c>
      <c r="X1201" s="54">
        <v>288</v>
      </c>
    </row>
    <row r="1202" spans="1:24">
      <c r="A1202" s="52">
        <v>46194</v>
      </c>
      <c r="B1202" s="53" t="s">
        <v>998</v>
      </c>
      <c r="C1202" s="54">
        <v>1121</v>
      </c>
      <c r="D1202" s="54">
        <v>943</v>
      </c>
      <c r="E1202" s="54">
        <v>1018</v>
      </c>
      <c r="F1202" s="54">
        <v>1994</v>
      </c>
      <c r="G1202" s="54">
        <v>1037</v>
      </c>
      <c r="H1202" s="54">
        <v>999</v>
      </c>
      <c r="I1202" s="54">
        <v>1052</v>
      </c>
      <c r="J1202" s="54">
        <v>1563</v>
      </c>
      <c r="K1202" s="54">
        <v>1593</v>
      </c>
      <c r="L1202" s="54">
        <v>1069</v>
      </c>
      <c r="M1202" s="54">
        <f t="shared" si="17"/>
        <v>2016</v>
      </c>
      <c r="N1202" s="55">
        <v>14405</v>
      </c>
      <c r="O1202" s="54">
        <v>605</v>
      </c>
      <c r="P1202" s="54">
        <v>29</v>
      </c>
      <c r="Q1202" s="54">
        <v>1023</v>
      </c>
      <c r="R1202" s="54">
        <v>2434</v>
      </c>
      <c r="S1202" s="54">
        <v>2017</v>
      </c>
      <c r="T1202" s="54">
        <v>2838</v>
      </c>
      <c r="U1202" s="54">
        <v>1858</v>
      </c>
      <c r="V1202" s="54">
        <v>1080</v>
      </c>
      <c r="W1202" s="54">
        <v>2233</v>
      </c>
      <c r="X1202" s="54">
        <v>288</v>
      </c>
    </row>
    <row r="1203" spans="1:24">
      <c r="A1203" s="52">
        <v>46195</v>
      </c>
      <c r="B1203" s="53" t="s">
        <v>998</v>
      </c>
      <c r="C1203" s="54">
        <v>480</v>
      </c>
      <c r="D1203" s="54">
        <v>404</v>
      </c>
      <c r="E1203" s="54">
        <v>436</v>
      </c>
      <c r="F1203" s="54">
        <v>854</v>
      </c>
      <c r="G1203" s="54">
        <v>444</v>
      </c>
      <c r="H1203" s="54">
        <v>428</v>
      </c>
      <c r="I1203" s="54">
        <v>451</v>
      </c>
      <c r="J1203" s="54">
        <v>670</v>
      </c>
      <c r="K1203" s="54">
        <v>683</v>
      </c>
      <c r="L1203" s="54">
        <v>458</v>
      </c>
      <c r="M1203" s="54">
        <f t="shared" si="17"/>
        <v>863</v>
      </c>
      <c r="N1203" s="55">
        <v>6171</v>
      </c>
      <c r="O1203" s="54">
        <v>259</v>
      </c>
      <c r="P1203" s="54">
        <v>12</v>
      </c>
      <c r="Q1203" s="54">
        <v>438</v>
      </c>
      <c r="R1203" s="54">
        <v>1043</v>
      </c>
      <c r="S1203" s="54">
        <v>864</v>
      </c>
      <c r="T1203" s="54">
        <v>1216</v>
      </c>
      <c r="U1203" s="54">
        <v>796</v>
      </c>
      <c r="V1203" s="54">
        <v>463</v>
      </c>
      <c r="W1203" s="54">
        <v>957</v>
      </c>
      <c r="X1203" s="54">
        <v>123</v>
      </c>
    </row>
    <row r="1204" spans="1:24">
      <c r="A1204" s="52">
        <v>46196</v>
      </c>
      <c r="B1204" s="53" t="s">
        <v>998</v>
      </c>
      <c r="C1204" s="54">
        <v>512</v>
      </c>
      <c r="D1204" s="54">
        <v>431</v>
      </c>
      <c r="E1204" s="54">
        <v>465</v>
      </c>
      <c r="F1204" s="54">
        <v>911</v>
      </c>
      <c r="G1204" s="54">
        <v>474</v>
      </c>
      <c r="H1204" s="54">
        <v>457</v>
      </c>
      <c r="I1204" s="54">
        <v>481</v>
      </c>
      <c r="J1204" s="54">
        <v>715</v>
      </c>
      <c r="K1204" s="54">
        <v>728</v>
      </c>
      <c r="L1204" s="54">
        <v>489</v>
      </c>
      <c r="M1204" s="54">
        <f t="shared" si="17"/>
        <v>923</v>
      </c>
      <c r="N1204" s="55">
        <v>6586</v>
      </c>
      <c r="O1204" s="54">
        <v>277</v>
      </c>
      <c r="P1204" s="54">
        <v>13</v>
      </c>
      <c r="Q1204" s="54">
        <v>468</v>
      </c>
      <c r="R1204" s="54">
        <v>1113</v>
      </c>
      <c r="S1204" s="54">
        <v>922</v>
      </c>
      <c r="T1204" s="54">
        <v>1297</v>
      </c>
      <c r="U1204" s="54">
        <v>849</v>
      </c>
      <c r="V1204" s="54">
        <v>494</v>
      </c>
      <c r="W1204" s="54">
        <v>1021</v>
      </c>
      <c r="X1204" s="54">
        <v>132</v>
      </c>
    </row>
    <row r="1205" spans="1:24">
      <c r="A1205" s="52">
        <v>46197</v>
      </c>
      <c r="B1205" s="53" t="s">
        <v>998</v>
      </c>
      <c r="C1205" s="54">
        <v>512</v>
      </c>
      <c r="D1205" s="54">
        <v>431</v>
      </c>
      <c r="E1205" s="54">
        <v>465</v>
      </c>
      <c r="F1205" s="54">
        <v>911</v>
      </c>
      <c r="G1205" s="54">
        <v>474</v>
      </c>
      <c r="H1205" s="54">
        <v>457</v>
      </c>
      <c r="I1205" s="54">
        <v>481</v>
      </c>
      <c r="J1205" s="54">
        <v>715</v>
      </c>
      <c r="K1205" s="54">
        <v>728</v>
      </c>
      <c r="L1205" s="54">
        <v>489</v>
      </c>
      <c r="M1205" s="54">
        <f t="shared" si="17"/>
        <v>923</v>
      </c>
      <c r="N1205" s="55">
        <v>6586</v>
      </c>
      <c r="O1205" s="54">
        <v>277</v>
      </c>
      <c r="P1205" s="54">
        <v>13</v>
      </c>
      <c r="Q1205" s="54">
        <v>468</v>
      </c>
      <c r="R1205" s="54">
        <v>1113</v>
      </c>
      <c r="S1205" s="54">
        <v>922</v>
      </c>
      <c r="T1205" s="54">
        <v>1297</v>
      </c>
      <c r="U1205" s="54">
        <v>849</v>
      </c>
      <c r="V1205" s="54">
        <v>494</v>
      </c>
      <c r="W1205" s="54">
        <v>1021</v>
      </c>
      <c r="X1205" s="54">
        <v>132</v>
      </c>
    </row>
    <row r="1206" spans="1:24">
      <c r="A1206" s="52">
        <v>46198</v>
      </c>
      <c r="B1206" s="53" t="s">
        <v>998</v>
      </c>
      <c r="C1206" s="54">
        <v>512</v>
      </c>
      <c r="D1206" s="54">
        <v>431</v>
      </c>
      <c r="E1206" s="54">
        <v>465</v>
      </c>
      <c r="F1206" s="54">
        <v>912</v>
      </c>
      <c r="G1206" s="54">
        <v>474</v>
      </c>
      <c r="H1206" s="54">
        <v>457</v>
      </c>
      <c r="I1206" s="54">
        <v>481</v>
      </c>
      <c r="J1206" s="54">
        <v>715</v>
      </c>
      <c r="K1206" s="54">
        <v>729</v>
      </c>
      <c r="L1206" s="54">
        <v>489</v>
      </c>
      <c r="M1206" s="54">
        <f t="shared" si="17"/>
        <v>922</v>
      </c>
      <c r="N1206" s="55">
        <v>6587</v>
      </c>
      <c r="O1206" s="54">
        <v>277</v>
      </c>
      <c r="P1206" s="54">
        <v>13</v>
      </c>
      <c r="Q1206" s="54">
        <v>468</v>
      </c>
      <c r="R1206" s="54">
        <v>1113</v>
      </c>
      <c r="S1206" s="54">
        <v>922</v>
      </c>
      <c r="T1206" s="54">
        <v>1297</v>
      </c>
      <c r="U1206" s="54">
        <v>850</v>
      </c>
      <c r="V1206" s="54">
        <v>494</v>
      </c>
      <c r="W1206" s="54">
        <v>1021</v>
      </c>
      <c r="X1206" s="54">
        <v>132</v>
      </c>
    </row>
    <row r="1207" spans="1:24">
      <c r="A1207" s="52">
        <v>46199</v>
      </c>
      <c r="B1207" s="53" t="s">
        <v>998</v>
      </c>
      <c r="C1207" s="54">
        <v>513</v>
      </c>
      <c r="D1207" s="54">
        <v>431</v>
      </c>
      <c r="E1207" s="54">
        <v>465</v>
      </c>
      <c r="F1207" s="54">
        <v>912</v>
      </c>
      <c r="G1207" s="54">
        <v>474</v>
      </c>
      <c r="H1207" s="54">
        <v>457</v>
      </c>
      <c r="I1207" s="54">
        <v>481</v>
      </c>
      <c r="J1207" s="54">
        <v>715</v>
      </c>
      <c r="K1207" s="54">
        <v>729</v>
      </c>
      <c r="L1207" s="54">
        <v>489</v>
      </c>
      <c r="M1207" s="54">
        <f t="shared" si="17"/>
        <v>922</v>
      </c>
      <c r="N1207" s="55">
        <v>6588</v>
      </c>
      <c r="O1207" s="54">
        <v>277</v>
      </c>
      <c r="P1207" s="54">
        <v>14</v>
      </c>
      <c r="Q1207" s="54">
        <v>468</v>
      </c>
      <c r="R1207" s="54">
        <v>1113</v>
      </c>
      <c r="S1207" s="54">
        <v>922</v>
      </c>
      <c r="T1207" s="54">
        <v>1297</v>
      </c>
      <c r="U1207" s="54">
        <v>850</v>
      </c>
      <c r="V1207" s="54">
        <v>494</v>
      </c>
      <c r="W1207" s="54">
        <v>1021</v>
      </c>
      <c r="X1207" s="54">
        <v>132</v>
      </c>
    </row>
    <row r="1208" spans="1:24">
      <c r="A1208" s="52">
        <v>46200</v>
      </c>
      <c r="B1208" s="53" t="s">
        <v>998</v>
      </c>
      <c r="C1208" s="54">
        <v>1025</v>
      </c>
      <c r="D1208" s="54">
        <v>863</v>
      </c>
      <c r="E1208" s="54">
        <v>931</v>
      </c>
      <c r="F1208" s="54">
        <v>1823</v>
      </c>
      <c r="G1208" s="54">
        <v>948</v>
      </c>
      <c r="H1208" s="54">
        <v>913</v>
      </c>
      <c r="I1208" s="54">
        <v>962</v>
      </c>
      <c r="J1208" s="54">
        <v>1429</v>
      </c>
      <c r="K1208" s="54">
        <v>1457</v>
      </c>
      <c r="L1208" s="54">
        <v>978</v>
      </c>
      <c r="M1208" s="54">
        <f t="shared" si="17"/>
        <v>1843</v>
      </c>
      <c r="N1208" s="55">
        <v>13172</v>
      </c>
      <c r="O1208" s="54">
        <v>553</v>
      </c>
      <c r="P1208" s="54">
        <v>27</v>
      </c>
      <c r="Q1208" s="54">
        <v>935</v>
      </c>
      <c r="R1208" s="54">
        <v>2226</v>
      </c>
      <c r="S1208" s="54">
        <v>1844</v>
      </c>
      <c r="T1208" s="54">
        <v>2595</v>
      </c>
      <c r="U1208" s="54">
        <v>1700</v>
      </c>
      <c r="V1208" s="54">
        <v>988</v>
      </c>
      <c r="W1208" s="54">
        <v>2041</v>
      </c>
      <c r="X1208" s="54">
        <v>263</v>
      </c>
    </row>
    <row r="1209" spans="1:24">
      <c r="A1209" s="52">
        <v>46201</v>
      </c>
      <c r="B1209" s="53" t="s">
        <v>998</v>
      </c>
      <c r="C1209" s="54">
        <v>1025</v>
      </c>
      <c r="D1209" s="54">
        <v>863</v>
      </c>
      <c r="E1209" s="54">
        <v>931</v>
      </c>
      <c r="F1209" s="54">
        <v>1823</v>
      </c>
      <c r="G1209" s="54">
        <v>948</v>
      </c>
      <c r="H1209" s="54">
        <v>913</v>
      </c>
      <c r="I1209" s="54">
        <v>962</v>
      </c>
      <c r="J1209" s="54">
        <v>1429</v>
      </c>
      <c r="K1209" s="54">
        <v>1457</v>
      </c>
      <c r="L1209" s="54">
        <v>978</v>
      </c>
      <c r="M1209" s="54">
        <f t="shared" si="17"/>
        <v>1843</v>
      </c>
      <c r="N1209" s="55">
        <v>13172</v>
      </c>
      <c r="O1209" s="54">
        <v>553</v>
      </c>
      <c r="P1209" s="54">
        <v>27</v>
      </c>
      <c r="Q1209" s="54">
        <v>935</v>
      </c>
      <c r="R1209" s="54">
        <v>2226</v>
      </c>
      <c r="S1209" s="54">
        <v>1844</v>
      </c>
      <c r="T1209" s="54">
        <v>2595</v>
      </c>
      <c r="U1209" s="54">
        <v>1700</v>
      </c>
      <c r="V1209" s="54">
        <v>988</v>
      </c>
      <c r="W1209" s="54">
        <v>2041</v>
      </c>
      <c r="X1209" s="54">
        <v>263</v>
      </c>
    </row>
    <row r="1210" spans="1:24">
      <c r="A1210" s="52">
        <v>46202</v>
      </c>
      <c r="B1210" s="53" t="s">
        <v>998</v>
      </c>
      <c r="C1210" s="54">
        <v>641</v>
      </c>
      <c r="D1210" s="54">
        <v>539</v>
      </c>
      <c r="E1210" s="54">
        <v>582</v>
      </c>
      <c r="F1210" s="54">
        <v>1139</v>
      </c>
      <c r="G1210" s="54">
        <v>593</v>
      </c>
      <c r="H1210" s="54">
        <v>571</v>
      </c>
      <c r="I1210" s="54">
        <v>601</v>
      </c>
      <c r="J1210" s="54">
        <v>893</v>
      </c>
      <c r="K1210" s="54">
        <v>910</v>
      </c>
      <c r="L1210" s="54">
        <v>610</v>
      </c>
      <c r="M1210" s="54">
        <f t="shared" si="17"/>
        <v>1154</v>
      </c>
      <c r="N1210" s="55">
        <v>8233</v>
      </c>
      <c r="O1210" s="54">
        <v>346</v>
      </c>
      <c r="P1210" s="54">
        <v>17</v>
      </c>
      <c r="Q1210" s="54">
        <v>584</v>
      </c>
      <c r="R1210" s="54">
        <v>1391</v>
      </c>
      <c r="S1210" s="54">
        <v>1152</v>
      </c>
      <c r="T1210" s="54">
        <v>1622</v>
      </c>
      <c r="U1210" s="54">
        <v>1063</v>
      </c>
      <c r="V1210" s="54">
        <v>617</v>
      </c>
      <c r="W1210" s="54">
        <v>1276</v>
      </c>
      <c r="X1210" s="54">
        <v>165</v>
      </c>
    </row>
    <row r="1211" spans="1:24">
      <c r="A1211" s="52">
        <v>46203</v>
      </c>
      <c r="B1211" s="53" t="s">
        <v>998</v>
      </c>
      <c r="C1211" s="54">
        <v>641</v>
      </c>
      <c r="D1211" s="54">
        <v>539</v>
      </c>
      <c r="E1211" s="54">
        <v>582</v>
      </c>
      <c r="F1211" s="54">
        <v>1139</v>
      </c>
      <c r="G1211" s="54">
        <v>593</v>
      </c>
      <c r="H1211" s="54">
        <v>571</v>
      </c>
      <c r="I1211" s="54">
        <v>600</v>
      </c>
      <c r="J1211" s="54">
        <v>893</v>
      </c>
      <c r="K1211" s="54">
        <v>910</v>
      </c>
      <c r="L1211" s="54">
        <v>610</v>
      </c>
      <c r="M1211" s="54">
        <f t="shared" si="17"/>
        <v>1155</v>
      </c>
      <c r="N1211" s="55">
        <v>8233</v>
      </c>
      <c r="O1211" s="54">
        <v>346</v>
      </c>
      <c r="P1211" s="54">
        <v>17</v>
      </c>
      <c r="Q1211" s="54">
        <v>584</v>
      </c>
      <c r="R1211" s="54">
        <v>1391</v>
      </c>
      <c r="S1211" s="54">
        <v>1152</v>
      </c>
      <c r="T1211" s="54">
        <v>1622</v>
      </c>
      <c r="U1211" s="54">
        <v>1063</v>
      </c>
      <c r="V1211" s="54">
        <v>617</v>
      </c>
      <c r="W1211" s="54">
        <v>1276</v>
      </c>
      <c r="X1211" s="54">
        <v>165</v>
      </c>
    </row>
    <row r="1212" spans="1:24">
      <c r="A1212" s="52">
        <v>46204</v>
      </c>
      <c r="B1212" s="53" t="s">
        <v>998</v>
      </c>
      <c r="C1212" s="54">
        <v>453</v>
      </c>
      <c r="D1212" s="54">
        <v>413</v>
      </c>
      <c r="E1212" s="54">
        <v>438</v>
      </c>
      <c r="F1212" s="54">
        <v>765</v>
      </c>
      <c r="G1212" s="54">
        <v>462</v>
      </c>
      <c r="H1212" s="54">
        <v>385</v>
      </c>
      <c r="I1212" s="54">
        <v>443</v>
      </c>
      <c r="J1212" s="54">
        <v>521</v>
      </c>
      <c r="K1212" s="54">
        <v>745</v>
      </c>
      <c r="L1212" s="54">
        <v>420</v>
      </c>
      <c r="M1212" s="54">
        <f t="shared" si="17"/>
        <v>924</v>
      </c>
      <c r="N1212" s="55">
        <v>5969</v>
      </c>
      <c r="O1212" s="54">
        <v>242</v>
      </c>
      <c r="P1212" s="54">
        <v>0</v>
      </c>
      <c r="Q1212" s="54">
        <v>354</v>
      </c>
      <c r="R1212" s="54">
        <v>1364</v>
      </c>
      <c r="S1212" s="54">
        <v>354</v>
      </c>
      <c r="T1212" s="54">
        <v>781</v>
      </c>
      <c r="U1212" s="54">
        <v>1004</v>
      </c>
      <c r="V1212" s="54">
        <v>806</v>
      </c>
      <c r="W1212" s="54">
        <v>898</v>
      </c>
      <c r="X1212" s="54">
        <v>166</v>
      </c>
    </row>
    <row r="1213" spans="1:24">
      <c r="A1213" s="52">
        <v>46205</v>
      </c>
      <c r="B1213" s="53" t="s">
        <v>998</v>
      </c>
      <c r="C1213" s="54">
        <v>453</v>
      </c>
      <c r="D1213" s="54">
        <v>413</v>
      </c>
      <c r="E1213" s="54">
        <v>438</v>
      </c>
      <c r="F1213" s="54">
        <v>765</v>
      </c>
      <c r="G1213" s="54">
        <v>462</v>
      </c>
      <c r="H1213" s="54">
        <v>385</v>
      </c>
      <c r="I1213" s="54">
        <v>443</v>
      </c>
      <c r="J1213" s="54">
        <v>521</v>
      </c>
      <c r="K1213" s="54">
        <v>745</v>
      </c>
      <c r="L1213" s="54">
        <v>420</v>
      </c>
      <c r="M1213" s="54">
        <f t="shared" si="17"/>
        <v>924</v>
      </c>
      <c r="N1213" s="55">
        <v>5969</v>
      </c>
      <c r="O1213" s="54">
        <v>242</v>
      </c>
      <c r="P1213" s="54">
        <v>0</v>
      </c>
      <c r="Q1213" s="54">
        <v>354</v>
      </c>
      <c r="R1213" s="54">
        <v>1364</v>
      </c>
      <c r="S1213" s="54">
        <v>354</v>
      </c>
      <c r="T1213" s="54">
        <v>781</v>
      </c>
      <c r="U1213" s="54">
        <v>1004</v>
      </c>
      <c r="V1213" s="54">
        <v>806</v>
      </c>
      <c r="W1213" s="54">
        <v>898</v>
      </c>
      <c r="X1213" s="54">
        <v>166</v>
      </c>
    </row>
    <row r="1214" spans="1:24">
      <c r="A1214" s="52">
        <v>46206</v>
      </c>
      <c r="B1214" s="53" t="s">
        <v>998</v>
      </c>
      <c r="C1214" s="54">
        <v>453</v>
      </c>
      <c r="D1214" s="54">
        <v>413</v>
      </c>
      <c r="E1214" s="54">
        <v>438</v>
      </c>
      <c r="F1214" s="54">
        <v>765</v>
      </c>
      <c r="G1214" s="54">
        <v>462</v>
      </c>
      <c r="H1214" s="54">
        <v>385</v>
      </c>
      <c r="I1214" s="54">
        <v>443</v>
      </c>
      <c r="J1214" s="54">
        <v>521</v>
      </c>
      <c r="K1214" s="54">
        <v>745</v>
      </c>
      <c r="L1214" s="54">
        <v>420</v>
      </c>
      <c r="M1214" s="54">
        <f t="shared" si="17"/>
        <v>924</v>
      </c>
      <c r="N1214" s="55">
        <v>5969</v>
      </c>
      <c r="O1214" s="54">
        <v>242</v>
      </c>
      <c r="P1214" s="54">
        <v>0</v>
      </c>
      <c r="Q1214" s="54">
        <v>354</v>
      </c>
      <c r="R1214" s="54">
        <v>1364</v>
      </c>
      <c r="S1214" s="54">
        <v>354</v>
      </c>
      <c r="T1214" s="54">
        <v>781</v>
      </c>
      <c r="U1214" s="54">
        <v>1004</v>
      </c>
      <c r="V1214" s="54">
        <v>806</v>
      </c>
      <c r="W1214" s="54">
        <v>898</v>
      </c>
      <c r="X1214" s="54">
        <v>166</v>
      </c>
    </row>
    <row r="1215" spans="1:24">
      <c r="A1215" s="52">
        <v>46207</v>
      </c>
      <c r="B1215" s="53" t="s">
        <v>998</v>
      </c>
      <c r="C1215" s="54">
        <v>521</v>
      </c>
      <c r="D1215" s="54">
        <v>475</v>
      </c>
      <c r="E1215" s="54">
        <v>504</v>
      </c>
      <c r="F1215" s="54">
        <v>879</v>
      </c>
      <c r="G1215" s="54">
        <v>531</v>
      </c>
      <c r="H1215" s="54">
        <v>443</v>
      </c>
      <c r="I1215" s="54">
        <v>509</v>
      </c>
      <c r="J1215" s="54">
        <v>599</v>
      </c>
      <c r="K1215" s="54">
        <v>857</v>
      </c>
      <c r="L1215" s="54">
        <v>483</v>
      </c>
      <c r="M1215" s="54">
        <f t="shared" si="17"/>
        <v>1064</v>
      </c>
      <c r="N1215" s="55">
        <v>6865</v>
      </c>
      <c r="O1215" s="54">
        <v>278</v>
      </c>
      <c r="P1215" s="54">
        <v>0</v>
      </c>
      <c r="Q1215" s="54">
        <v>407</v>
      </c>
      <c r="R1215" s="54">
        <v>1569</v>
      </c>
      <c r="S1215" s="54">
        <v>407</v>
      </c>
      <c r="T1215" s="54">
        <v>899</v>
      </c>
      <c r="U1215" s="54">
        <v>1154</v>
      </c>
      <c r="V1215" s="54">
        <v>927</v>
      </c>
      <c r="W1215" s="54">
        <v>1033</v>
      </c>
      <c r="X1215" s="54">
        <v>191</v>
      </c>
    </row>
    <row r="1216" spans="1:24">
      <c r="A1216" s="52">
        <v>46208</v>
      </c>
      <c r="B1216" s="53" t="s">
        <v>998</v>
      </c>
      <c r="C1216" s="54">
        <v>521</v>
      </c>
      <c r="D1216" s="54">
        <v>475</v>
      </c>
      <c r="E1216" s="54">
        <v>504</v>
      </c>
      <c r="F1216" s="54">
        <v>879</v>
      </c>
      <c r="G1216" s="54">
        <v>531</v>
      </c>
      <c r="H1216" s="54">
        <v>443</v>
      </c>
      <c r="I1216" s="54">
        <v>509</v>
      </c>
      <c r="J1216" s="54">
        <v>599</v>
      </c>
      <c r="K1216" s="54">
        <v>857</v>
      </c>
      <c r="L1216" s="54">
        <v>483</v>
      </c>
      <c r="M1216" s="54">
        <f t="shared" si="17"/>
        <v>1064</v>
      </c>
      <c r="N1216" s="55">
        <v>6865</v>
      </c>
      <c r="O1216" s="54">
        <v>278</v>
      </c>
      <c r="P1216" s="54">
        <v>0</v>
      </c>
      <c r="Q1216" s="54">
        <v>407</v>
      </c>
      <c r="R1216" s="54">
        <v>1569</v>
      </c>
      <c r="S1216" s="54">
        <v>407</v>
      </c>
      <c r="T1216" s="54">
        <v>899</v>
      </c>
      <c r="U1216" s="54">
        <v>1154</v>
      </c>
      <c r="V1216" s="54">
        <v>927</v>
      </c>
      <c r="W1216" s="54">
        <v>1033</v>
      </c>
      <c r="X1216" s="54">
        <v>191</v>
      </c>
    </row>
    <row r="1217" spans="1:24">
      <c r="A1217" s="52">
        <v>46209</v>
      </c>
      <c r="B1217" s="53" t="s">
        <v>998</v>
      </c>
      <c r="C1217" s="54">
        <v>453</v>
      </c>
      <c r="D1217" s="54">
        <v>413</v>
      </c>
      <c r="E1217" s="54">
        <v>438</v>
      </c>
      <c r="F1217" s="54">
        <v>765</v>
      </c>
      <c r="G1217" s="54">
        <v>462</v>
      </c>
      <c r="H1217" s="54">
        <v>385</v>
      </c>
      <c r="I1217" s="54">
        <v>443</v>
      </c>
      <c r="J1217" s="54">
        <v>521</v>
      </c>
      <c r="K1217" s="54">
        <v>745</v>
      </c>
      <c r="L1217" s="54">
        <v>420</v>
      </c>
      <c r="M1217" s="54">
        <f t="shared" si="17"/>
        <v>924</v>
      </c>
      <c r="N1217" s="55">
        <v>5969</v>
      </c>
      <c r="O1217" s="54">
        <v>242</v>
      </c>
      <c r="P1217" s="54">
        <v>0</v>
      </c>
      <c r="Q1217" s="54">
        <v>354</v>
      </c>
      <c r="R1217" s="54">
        <v>1364</v>
      </c>
      <c r="S1217" s="54">
        <v>354</v>
      </c>
      <c r="T1217" s="54">
        <v>781</v>
      </c>
      <c r="U1217" s="54">
        <v>1004</v>
      </c>
      <c r="V1217" s="54">
        <v>806</v>
      </c>
      <c r="W1217" s="54">
        <v>898</v>
      </c>
      <c r="X1217" s="54">
        <v>166</v>
      </c>
    </row>
    <row r="1218" spans="1:24">
      <c r="A1218" s="52">
        <v>46210</v>
      </c>
      <c r="B1218" s="53" t="s">
        <v>998</v>
      </c>
      <c r="C1218" s="54">
        <v>453</v>
      </c>
      <c r="D1218" s="54">
        <v>413</v>
      </c>
      <c r="E1218" s="54">
        <v>438</v>
      </c>
      <c r="F1218" s="54">
        <v>765</v>
      </c>
      <c r="G1218" s="54">
        <v>462</v>
      </c>
      <c r="H1218" s="54">
        <v>385</v>
      </c>
      <c r="I1218" s="54">
        <v>443</v>
      </c>
      <c r="J1218" s="54">
        <v>521</v>
      </c>
      <c r="K1218" s="54">
        <v>745</v>
      </c>
      <c r="L1218" s="54">
        <v>420</v>
      </c>
      <c r="M1218" s="54">
        <f t="shared" si="17"/>
        <v>924</v>
      </c>
      <c r="N1218" s="55">
        <v>5969</v>
      </c>
      <c r="O1218" s="54">
        <v>242</v>
      </c>
      <c r="P1218" s="54">
        <v>0</v>
      </c>
      <c r="Q1218" s="54">
        <v>354</v>
      </c>
      <c r="R1218" s="54">
        <v>1364</v>
      </c>
      <c r="S1218" s="54">
        <v>354</v>
      </c>
      <c r="T1218" s="54">
        <v>781</v>
      </c>
      <c r="U1218" s="54">
        <v>1004</v>
      </c>
      <c r="V1218" s="54">
        <v>806</v>
      </c>
      <c r="W1218" s="54">
        <v>898</v>
      </c>
      <c r="X1218" s="54">
        <v>166</v>
      </c>
    </row>
    <row r="1219" spans="1:24">
      <c r="A1219" s="52">
        <v>46211</v>
      </c>
      <c r="B1219" s="53" t="s">
        <v>998</v>
      </c>
      <c r="C1219" s="54">
        <v>453</v>
      </c>
      <c r="D1219" s="54">
        <v>413</v>
      </c>
      <c r="E1219" s="54">
        <v>438</v>
      </c>
      <c r="F1219" s="54">
        <v>765</v>
      </c>
      <c r="G1219" s="54">
        <v>462</v>
      </c>
      <c r="H1219" s="54">
        <v>385</v>
      </c>
      <c r="I1219" s="54">
        <v>443</v>
      </c>
      <c r="J1219" s="54">
        <v>521</v>
      </c>
      <c r="K1219" s="54">
        <v>746</v>
      </c>
      <c r="L1219" s="54">
        <v>420</v>
      </c>
      <c r="M1219" s="54">
        <f t="shared" si="17"/>
        <v>924</v>
      </c>
      <c r="N1219" s="55">
        <v>5970</v>
      </c>
      <c r="O1219" s="54">
        <v>242</v>
      </c>
      <c r="P1219" s="54">
        <v>0</v>
      </c>
      <c r="Q1219" s="54">
        <v>354</v>
      </c>
      <c r="R1219" s="54">
        <v>1364</v>
      </c>
      <c r="S1219" s="54">
        <v>354</v>
      </c>
      <c r="T1219" s="54">
        <v>781</v>
      </c>
      <c r="U1219" s="54">
        <v>1005</v>
      </c>
      <c r="V1219" s="54">
        <v>806</v>
      </c>
      <c r="W1219" s="54">
        <v>898</v>
      </c>
      <c r="X1219" s="54">
        <v>166</v>
      </c>
    </row>
    <row r="1220" spans="1:24">
      <c r="A1220" s="52">
        <v>46212</v>
      </c>
      <c r="B1220" s="53" t="s">
        <v>998</v>
      </c>
      <c r="C1220" s="54">
        <v>453</v>
      </c>
      <c r="D1220" s="54">
        <v>413</v>
      </c>
      <c r="E1220" s="54">
        <v>438</v>
      </c>
      <c r="F1220" s="54">
        <v>765</v>
      </c>
      <c r="G1220" s="54">
        <v>462</v>
      </c>
      <c r="H1220" s="54">
        <v>385</v>
      </c>
      <c r="I1220" s="54">
        <v>443</v>
      </c>
      <c r="J1220" s="54">
        <v>521</v>
      </c>
      <c r="K1220" s="54">
        <v>746</v>
      </c>
      <c r="L1220" s="54">
        <v>420</v>
      </c>
      <c r="M1220" s="54">
        <f t="shared" si="17"/>
        <v>925</v>
      </c>
      <c r="N1220" s="55">
        <v>5971</v>
      </c>
      <c r="O1220" s="54">
        <v>242</v>
      </c>
      <c r="P1220" s="54">
        <v>1</v>
      </c>
      <c r="Q1220" s="54">
        <v>354</v>
      </c>
      <c r="R1220" s="54">
        <v>1364</v>
      </c>
      <c r="S1220" s="54">
        <v>354</v>
      </c>
      <c r="T1220" s="54">
        <v>781</v>
      </c>
      <c r="U1220" s="54">
        <v>1005</v>
      </c>
      <c r="V1220" s="54">
        <v>806</v>
      </c>
      <c r="W1220" s="54">
        <v>898</v>
      </c>
      <c r="X1220" s="54">
        <v>166</v>
      </c>
    </row>
    <row r="1221" spans="1:24">
      <c r="A1221" s="52">
        <v>46213</v>
      </c>
      <c r="B1221" s="53" t="s">
        <v>998</v>
      </c>
      <c r="C1221" s="54">
        <v>453</v>
      </c>
      <c r="D1221" s="54">
        <v>413</v>
      </c>
      <c r="E1221" s="54">
        <v>438</v>
      </c>
      <c r="F1221" s="54">
        <v>765</v>
      </c>
      <c r="G1221" s="54">
        <v>462</v>
      </c>
      <c r="H1221" s="54">
        <v>386</v>
      </c>
      <c r="I1221" s="54">
        <v>443</v>
      </c>
      <c r="J1221" s="54">
        <v>521</v>
      </c>
      <c r="K1221" s="54">
        <v>746</v>
      </c>
      <c r="L1221" s="54">
        <v>420</v>
      </c>
      <c r="M1221" s="54">
        <f t="shared" si="17"/>
        <v>925</v>
      </c>
      <c r="N1221" s="55">
        <v>5972</v>
      </c>
      <c r="O1221" s="54">
        <v>242</v>
      </c>
      <c r="P1221" s="54">
        <v>1</v>
      </c>
      <c r="Q1221" s="54">
        <v>354</v>
      </c>
      <c r="R1221" s="54">
        <v>1364</v>
      </c>
      <c r="S1221" s="54">
        <v>354</v>
      </c>
      <c r="T1221" s="54">
        <v>781</v>
      </c>
      <c r="U1221" s="54">
        <v>1005</v>
      </c>
      <c r="V1221" s="54">
        <v>806</v>
      </c>
      <c r="W1221" s="54">
        <v>898</v>
      </c>
      <c r="X1221" s="54">
        <v>167</v>
      </c>
    </row>
    <row r="1222" spans="1:24">
      <c r="A1222" s="52">
        <v>46214</v>
      </c>
      <c r="B1222" s="53" t="s">
        <v>998</v>
      </c>
      <c r="C1222" s="54">
        <v>521</v>
      </c>
      <c r="D1222" s="54">
        <v>475</v>
      </c>
      <c r="E1222" s="54">
        <v>504</v>
      </c>
      <c r="F1222" s="54">
        <v>880</v>
      </c>
      <c r="G1222" s="54">
        <v>532</v>
      </c>
      <c r="H1222" s="54">
        <v>443</v>
      </c>
      <c r="I1222" s="54">
        <v>510</v>
      </c>
      <c r="J1222" s="54">
        <v>599</v>
      </c>
      <c r="K1222" s="54">
        <v>858</v>
      </c>
      <c r="L1222" s="54">
        <v>483</v>
      </c>
      <c r="M1222" s="54">
        <f t="shared" si="17"/>
        <v>1063</v>
      </c>
      <c r="N1222" s="55">
        <v>6868</v>
      </c>
      <c r="O1222" s="54">
        <v>278</v>
      </c>
      <c r="P1222" s="54">
        <v>1</v>
      </c>
      <c r="Q1222" s="54">
        <v>407</v>
      </c>
      <c r="R1222" s="54">
        <v>1569</v>
      </c>
      <c r="S1222" s="54">
        <v>407</v>
      </c>
      <c r="T1222" s="54">
        <v>899</v>
      </c>
      <c r="U1222" s="54">
        <v>1155</v>
      </c>
      <c r="V1222" s="54">
        <v>927</v>
      </c>
      <c r="W1222" s="54">
        <v>1033</v>
      </c>
      <c r="X1222" s="54">
        <v>192</v>
      </c>
    </row>
    <row r="1223" spans="1:24">
      <c r="A1223" s="52">
        <v>46215</v>
      </c>
      <c r="B1223" s="53" t="s">
        <v>998</v>
      </c>
      <c r="C1223" s="54">
        <v>521</v>
      </c>
      <c r="D1223" s="54">
        <v>475</v>
      </c>
      <c r="E1223" s="54">
        <v>504</v>
      </c>
      <c r="F1223" s="54">
        <v>880</v>
      </c>
      <c r="G1223" s="54">
        <v>532</v>
      </c>
      <c r="H1223" s="54">
        <v>443</v>
      </c>
      <c r="I1223" s="54">
        <v>510</v>
      </c>
      <c r="J1223" s="54">
        <v>599</v>
      </c>
      <c r="K1223" s="54">
        <v>858</v>
      </c>
      <c r="L1223" s="54">
        <v>483</v>
      </c>
      <c r="M1223" s="54">
        <f t="shared" si="17"/>
        <v>1063</v>
      </c>
      <c r="N1223" s="55">
        <v>6868</v>
      </c>
      <c r="O1223" s="54">
        <v>278</v>
      </c>
      <c r="P1223" s="54">
        <v>1</v>
      </c>
      <c r="Q1223" s="54">
        <v>407</v>
      </c>
      <c r="R1223" s="54">
        <v>1569</v>
      </c>
      <c r="S1223" s="54">
        <v>407</v>
      </c>
      <c r="T1223" s="54">
        <v>899</v>
      </c>
      <c r="U1223" s="54">
        <v>1155</v>
      </c>
      <c r="V1223" s="54">
        <v>927</v>
      </c>
      <c r="W1223" s="54">
        <v>1033</v>
      </c>
      <c r="X1223" s="54">
        <v>192</v>
      </c>
    </row>
    <row r="1224" spans="1:24">
      <c r="A1224" s="52">
        <v>46216</v>
      </c>
      <c r="B1224" s="53" t="s">
        <v>998</v>
      </c>
      <c r="C1224" s="54">
        <v>453</v>
      </c>
      <c r="D1224" s="54">
        <v>413</v>
      </c>
      <c r="E1224" s="54">
        <v>438</v>
      </c>
      <c r="F1224" s="54">
        <v>765</v>
      </c>
      <c r="G1224" s="54">
        <v>462</v>
      </c>
      <c r="H1224" s="54">
        <v>386</v>
      </c>
      <c r="I1224" s="54">
        <v>443</v>
      </c>
      <c r="J1224" s="54">
        <v>521</v>
      </c>
      <c r="K1224" s="54">
        <v>746</v>
      </c>
      <c r="L1224" s="54">
        <v>420</v>
      </c>
      <c r="M1224" s="54">
        <f t="shared" si="17"/>
        <v>925</v>
      </c>
      <c r="N1224" s="55">
        <v>5972</v>
      </c>
      <c r="O1224" s="54">
        <v>242</v>
      </c>
      <c r="P1224" s="54">
        <v>1</v>
      </c>
      <c r="Q1224" s="54">
        <v>354</v>
      </c>
      <c r="R1224" s="54">
        <v>1364</v>
      </c>
      <c r="S1224" s="54">
        <v>354</v>
      </c>
      <c r="T1224" s="54">
        <v>781</v>
      </c>
      <c r="U1224" s="54">
        <v>1005</v>
      </c>
      <c r="V1224" s="54">
        <v>806</v>
      </c>
      <c r="W1224" s="54">
        <v>898</v>
      </c>
      <c r="X1224" s="54">
        <v>167</v>
      </c>
    </row>
    <row r="1225" spans="1:24">
      <c r="A1225" s="52">
        <v>46217</v>
      </c>
      <c r="B1225" s="53" t="s">
        <v>998</v>
      </c>
      <c r="C1225" s="54">
        <v>453</v>
      </c>
      <c r="D1225" s="54">
        <v>413</v>
      </c>
      <c r="E1225" s="54">
        <v>438</v>
      </c>
      <c r="F1225" s="54">
        <v>765</v>
      </c>
      <c r="G1225" s="54">
        <v>462</v>
      </c>
      <c r="H1225" s="54">
        <v>386</v>
      </c>
      <c r="I1225" s="54">
        <v>443</v>
      </c>
      <c r="J1225" s="54">
        <v>521</v>
      </c>
      <c r="K1225" s="54">
        <v>746</v>
      </c>
      <c r="L1225" s="54">
        <v>420</v>
      </c>
      <c r="M1225" s="54">
        <f t="shared" si="17"/>
        <v>925</v>
      </c>
      <c r="N1225" s="55">
        <v>5972</v>
      </c>
      <c r="O1225" s="54">
        <v>242</v>
      </c>
      <c r="P1225" s="54">
        <v>1</v>
      </c>
      <c r="Q1225" s="54">
        <v>354</v>
      </c>
      <c r="R1225" s="54">
        <v>1364</v>
      </c>
      <c r="S1225" s="54">
        <v>354</v>
      </c>
      <c r="T1225" s="54">
        <v>781</v>
      </c>
      <c r="U1225" s="54">
        <v>1005</v>
      </c>
      <c r="V1225" s="54">
        <v>806</v>
      </c>
      <c r="W1225" s="54">
        <v>898</v>
      </c>
      <c r="X1225" s="54">
        <v>167</v>
      </c>
    </row>
    <row r="1226" spans="1:24">
      <c r="A1226" s="52">
        <v>46218</v>
      </c>
      <c r="B1226" s="53" t="s">
        <v>998</v>
      </c>
      <c r="C1226" s="54">
        <v>453</v>
      </c>
      <c r="D1226" s="54">
        <v>413</v>
      </c>
      <c r="E1226" s="54">
        <v>438</v>
      </c>
      <c r="F1226" s="54">
        <v>765</v>
      </c>
      <c r="G1226" s="54">
        <v>462</v>
      </c>
      <c r="H1226" s="54">
        <v>386</v>
      </c>
      <c r="I1226" s="54">
        <v>443</v>
      </c>
      <c r="J1226" s="54">
        <v>521</v>
      </c>
      <c r="K1226" s="54">
        <v>746</v>
      </c>
      <c r="L1226" s="54">
        <v>420</v>
      </c>
      <c r="M1226" s="54">
        <f t="shared" si="17"/>
        <v>925</v>
      </c>
      <c r="N1226" s="55">
        <v>5972</v>
      </c>
      <c r="O1226" s="54">
        <v>242</v>
      </c>
      <c r="P1226" s="54">
        <v>1</v>
      </c>
      <c r="Q1226" s="54">
        <v>354</v>
      </c>
      <c r="R1226" s="54">
        <v>1364</v>
      </c>
      <c r="S1226" s="54">
        <v>354</v>
      </c>
      <c r="T1226" s="54">
        <v>781</v>
      </c>
      <c r="U1226" s="54">
        <v>1005</v>
      </c>
      <c r="V1226" s="54">
        <v>806</v>
      </c>
      <c r="W1226" s="54">
        <v>898</v>
      </c>
      <c r="X1226" s="54">
        <v>167</v>
      </c>
    </row>
    <row r="1227" spans="1:24">
      <c r="A1227" s="52">
        <v>46219</v>
      </c>
      <c r="B1227" s="53" t="s">
        <v>998</v>
      </c>
      <c r="C1227" s="54">
        <v>453</v>
      </c>
      <c r="D1227" s="54">
        <v>413</v>
      </c>
      <c r="E1227" s="54">
        <v>438</v>
      </c>
      <c r="F1227" s="54">
        <v>765</v>
      </c>
      <c r="G1227" s="54">
        <v>462</v>
      </c>
      <c r="H1227" s="54">
        <v>386</v>
      </c>
      <c r="I1227" s="54">
        <v>443</v>
      </c>
      <c r="J1227" s="54">
        <v>521</v>
      </c>
      <c r="K1227" s="54">
        <v>746</v>
      </c>
      <c r="L1227" s="54">
        <v>420</v>
      </c>
      <c r="M1227" s="54">
        <f t="shared" si="17"/>
        <v>925</v>
      </c>
      <c r="N1227" s="55">
        <v>5972</v>
      </c>
      <c r="O1227" s="54">
        <v>242</v>
      </c>
      <c r="P1227" s="54">
        <v>1</v>
      </c>
      <c r="Q1227" s="54">
        <v>354</v>
      </c>
      <c r="R1227" s="54">
        <v>1364</v>
      </c>
      <c r="S1227" s="54">
        <v>354</v>
      </c>
      <c r="T1227" s="54">
        <v>781</v>
      </c>
      <c r="U1227" s="54">
        <v>1005</v>
      </c>
      <c r="V1227" s="54">
        <v>806</v>
      </c>
      <c r="W1227" s="54">
        <v>898</v>
      </c>
      <c r="X1227" s="54">
        <v>167</v>
      </c>
    </row>
    <row r="1228" spans="1:24">
      <c r="A1228" s="52">
        <v>46220</v>
      </c>
      <c r="B1228" s="53" t="s">
        <v>998</v>
      </c>
      <c r="C1228" s="54">
        <v>453</v>
      </c>
      <c r="D1228" s="54">
        <v>413</v>
      </c>
      <c r="E1228" s="54">
        <v>438</v>
      </c>
      <c r="F1228" s="54">
        <v>765</v>
      </c>
      <c r="G1228" s="54">
        <v>462</v>
      </c>
      <c r="H1228" s="54">
        <v>386</v>
      </c>
      <c r="I1228" s="54">
        <v>443</v>
      </c>
      <c r="J1228" s="54">
        <v>521</v>
      </c>
      <c r="K1228" s="54">
        <v>746</v>
      </c>
      <c r="L1228" s="54">
        <v>420</v>
      </c>
      <c r="M1228" s="54">
        <f t="shared" si="17"/>
        <v>925</v>
      </c>
      <c r="N1228" s="55">
        <v>5972</v>
      </c>
      <c r="O1228" s="54">
        <v>242</v>
      </c>
      <c r="P1228" s="54">
        <v>1</v>
      </c>
      <c r="Q1228" s="54">
        <v>354</v>
      </c>
      <c r="R1228" s="54">
        <v>1364</v>
      </c>
      <c r="S1228" s="54">
        <v>354</v>
      </c>
      <c r="T1228" s="54">
        <v>781</v>
      </c>
      <c r="U1228" s="54">
        <v>1005</v>
      </c>
      <c r="V1228" s="54">
        <v>806</v>
      </c>
      <c r="W1228" s="54">
        <v>898</v>
      </c>
      <c r="X1228" s="54">
        <v>167</v>
      </c>
    </row>
    <row r="1229" spans="1:24">
      <c r="A1229" s="52">
        <v>46221</v>
      </c>
      <c r="B1229" s="53" t="s">
        <v>998</v>
      </c>
      <c r="C1229" s="54">
        <v>521</v>
      </c>
      <c r="D1229" s="54">
        <v>475</v>
      </c>
      <c r="E1229" s="54">
        <v>503</v>
      </c>
      <c r="F1229" s="54">
        <v>880</v>
      </c>
      <c r="G1229" s="54">
        <v>532</v>
      </c>
      <c r="H1229" s="54">
        <v>443</v>
      </c>
      <c r="I1229" s="54">
        <v>510</v>
      </c>
      <c r="J1229" s="54">
        <v>599</v>
      </c>
      <c r="K1229" s="54">
        <v>858</v>
      </c>
      <c r="L1229" s="54">
        <v>483</v>
      </c>
      <c r="M1229" s="54">
        <f t="shared" si="17"/>
        <v>1064</v>
      </c>
      <c r="N1229" s="55">
        <v>6868</v>
      </c>
      <c r="O1229" s="54">
        <v>278</v>
      </c>
      <c r="P1229" s="54">
        <v>1</v>
      </c>
      <c r="Q1229" s="54">
        <v>407</v>
      </c>
      <c r="R1229" s="54">
        <v>1569</v>
      </c>
      <c r="S1229" s="54">
        <v>407</v>
      </c>
      <c r="T1229" s="54">
        <v>899</v>
      </c>
      <c r="U1229" s="54">
        <v>1155</v>
      </c>
      <c r="V1229" s="54">
        <v>927</v>
      </c>
      <c r="W1229" s="54">
        <v>1033</v>
      </c>
      <c r="X1229" s="54">
        <v>192</v>
      </c>
    </row>
    <row r="1230" spans="1:24">
      <c r="A1230" s="52">
        <v>46222</v>
      </c>
      <c r="B1230" s="53" t="s">
        <v>998</v>
      </c>
      <c r="C1230" s="54">
        <v>521</v>
      </c>
      <c r="D1230" s="54">
        <v>475</v>
      </c>
      <c r="E1230" s="54">
        <v>503</v>
      </c>
      <c r="F1230" s="54">
        <v>880</v>
      </c>
      <c r="G1230" s="54">
        <v>532</v>
      </c>
      <c r="H1230" s="54">
        <v>443</v>
      </c>
      <c r="I1230" s="54">
        <v>510</v>
      </c>
      <c r="J1230" s="54">
        <v>599</v>
      </c>
      <c r="K1230" s="54">
        <v>858</v>
      </c>
      <c r="L1230" s="54">
        <v>483</v>
      </c>
      <c r="M1230" s="54">
        <f t="shared" si="17"/>
        <v>1064</v>
      </c>
      <c r="N1230" s="55">
        <v>6868</v>
      </c>
      <c r="O1230" s="54">
        <v>278</v>
      </c>
      <c r="P1230" s="54">
        <v>1</v>
      </c>
      <c r="Q1230" s="54">
        <v>407</v>
      </c>
      <c r="R1230" s="54">
        <v>1569</v>
      </c>
      <c r="S1230" s="54">
        <v>407</v>
      </c>
      <c r="T1230" s="54">
        <v>899</v>
      </c>
      <c r="U1230" s="54">
        <v>1155</v>
      </c>
      <c r="V1230" s="54">
        <v>927</v>
      </c>
      <c r="W1230" s="54">
        <v>1033</v>
      </c>
      <c r="X1230" s="54">
        <v>192</v>
      </c>
    </row>
    <row r="1231" spans="1:24">
      <c r="A1231" s="52">
        <v>46223</v>
      </c>
      <c r="B1231" s="53" t="s">
        <v>998</v>
      </c>
      <c r="C1231" s="54">
        <v>453</v>
      </c>
      <c r="D1231" s="54">
        <v>413</v>
      </c>
      <c r="E1231" s="54">
        <v>438</v>
      </c>
      <c r="F1231" s="54">
        <v>765</v>
      </c>
      <c r="G1231" s="54">
        <v>462</v>
      </c>
      <c r="H1231" s="54">
        <v>386</v>
      </c>
      <c r="I1231" s="54">
        <v>443</v>
      </c>
      <c r="J1231" s="54">
        <v>520</v>
      </c>
      <c r="K1231" s="54">
        <v>746</v>
      </c>
      <c r="L1231" s="54">
        <v>420</v>
      </c>
      <c r="M1231" s="54">
        <f t="shared" si="17"/>
        <v>926</v>
      </c>
      <c r="N1231" s="55">
        <v>5972</v>
      </c>
      <c r="O1231" s="54">
        <v>242</v>
      </c>
      <c r="P1231" s="54">
        <v>1</v>
      </c>
      <c r="Q1231" s="54">
        <v>354</v>
      </c>
      <c r="R1231" s="54">
        <v>1364</v>
      </c>
      <c r="S1231" s="54">
        <v>354</v>
      </c>
      <c r="T1231" s="54">
        <v>781</v>
      </c>
      <c r="U1231" s="54">
        <v>1005</v>
      </c>
      <c r="V1231" s="54">
        <v>806</v>
      </c>
      <c r="W1231" s="54">
        <v>898</v>
      </c>
      <c r="X1231" s="54">
        <v>167</v>
      </c>
    </row>
    <row r="1232" spans="1:24">
      <c r="A1232" s="52">
        <v>46224</v>
      </c>
      <c r="B1232" s="53" t="s">
        <v>998</v>
      </c>
      <c r="C1232" s="54">
        <v>453</v>
      </c>
      <c r="D1232" s="54">
        <v>413</v>
      </c>
      <c r="E1232" s="54">
        <v>438</v>
      </c>
      <c r="F1232" s="54">
        <v>765</v>
      </c>
      <c r="G1232" s="54">
        <v>462</v>
      </c>
      <c r="H1232" s="54">
        <v>386</v>
      </c>
      <c r="I1232" s="54">
        <v>443</v>
      </c>
      <c r="J1232" s="54">
        <v>520</v>
      </c>
      <c r="K1232" s="54">
        <v>746</v>
      </c>
      <c r="L1232" s="54">
        <v>420</v>
      </c>
      <c r="M1232" s="54">
        <f t="shared" si="17"/>
        <v>926</v>
      </c>
      <c r="N1232" s="55">
        <v>5972</v>
      </c>
      <c r="O1232" s="54">
        <v>242</v>
      </c>
      <c r="P1232" s="54">
        <v>1</v>
      </c>
      <c r="Q1232" s="54">
        <v>354</v>
      </c>
      <c r="R1232" s="54">
        <v>1364</v>
      </c>
      <c r="S1232" s="54">
        <v>354</v>
      </c>
      <c r="T1232" s="54">
        <v>781</v>
      </c>
      <c r="U1232" s="54">
        <v>1005</v>
      </c>
      <c r="V1232" s="54">
        <v>806</v>
      </c>
      <c r="W1232" s="54">
        <v>898</v>
      </c>
      <c r="X1232" s="54">
        <v>167</v>
      </c>
    </row>
    <row r="1233" spans="1:24">
      <c r="A1233" s="52">
        <v>46225</v>
      </c>
      <c r="B1233" s="53" t="s">
        <v>998</v>
      </c>
      <c r="C1233" s="54">
        <v>453</v>
      </c>
      <c r="D1233" s="54">
        <v>413</v>
      </c>
      <c r="E1233" s="54">
        <v>438</v>
      </c>
      <c r="F1233" s="54">
        <v>765</v>
      </c>
      <c r="G1233" s="54">
        <v>462</v>
      </c>
      <c r="H1233" s="54">
        <v>386</v>
      </c>
      <c r="I1233" s="54">
        <v>443</v>
      </c>
      <c r="J1233" s="54">
        <v>520</v>
      </c>
      <c r="K1233" s="54">
        <v>746</v>
      </c>
      <c r="L1233" s="54">
        <v>420</v>
      </c>
      <c r="M1233" s="54">
        <f t="shared" si="17"/>
        <v>927</v>
      </c>
      <c r="N1233" s="55">
        <v>5973</v>
      </c>
      <c r="O1233" s="54">
        <v>242</v>
      </c>
      <c r="P1233" s="54">
        <v>1</v>
      </c>
      <c r="Q1233" s="54">
        <v>354</v>
      </c>
      <c r="R1233" s="54">
        <v>1365</v>
      </c>
      <c r="S1233" s="54">
        <v>354</v>
      </c>
      <c r="T1233" s="54">
        <v>781</v>
      </c>
      <c r="U1233" s="54">
        <v>1005</v>
      </c>
      <c r="V1233" s="54">
        <v>806</v>
      </c>
      <c r="W1233" s="54">
        <v>898</v>
      </c>
      <c r="X1233" s="54">
        <v>167</v>
      </c>
    </row>
    <row r="1234" spans="1:24">
      <c r="A1234" s="52">
        <v>46226</v>
      </c>
      <c r="B1234" s="53" t="s">
        <v>998</v>
      </c>
      <c r="C1234" s="54">
        <v>453</v>
      </c>
      <c r="D1234" s="54">
        <v>413</v>
      </c>
      <c r="E1234" s="54">
        <v>438</v>
      </c>
      <c r="F1234" s="54">
        <v>765</v>
      </c>
      <c r="G1234" s="54">
        <v>462</v>
      </c>
      <c r="H1234" s="54">
        <v>386</v>
      </c>
      <c r="I1234" s="54">
        <v>443</v>
      </c>
      <c r="J1234" s="54">
        <v>520</v>
      </c>
      <c r="K1234" s="54">
        <v>746</v>
      </c>
      <c r="L1234" s="54">
        <v>420</v>
      </c>
      <c r="M1234" s="54">
        <f t="shared" si="17"/>
        <v>927</v>
      </c>
      <c r="N1234" s="55">
        <v>5973</v>
      </c>
      <c r="O1234" s="54">
        <v>242</v>
      </c>
      <c r="P1234" s="54">
        <v>1</v>
      </c>
      <c r="Q1234" s="54">
        <v>354</v>
      </c>
      <c r="R1234" s="54">
        <v>1365</v>
      </c>
      <c r="S1234" s="54">
        <v>354</v>
      </c>
      <c r="T1234" s="54">
        <v>781</v>
      </c>
      <c r="U1234" s="54">
        <v>1005</v>
      </c>
      <c r="V1234" s="54">
        <v>806</v>
      </c>
      <c r="W1234" s="54">
        <v>898</v>
      </c>
      <c r="X1234" s="54">
        <v>167</v>
      </c>
    </row>
    <row r="1235" spans="1:24">
      <c r="A1235" s="52">
        <v>46227</v>
      </c>
      <c r="B1235" s="53" t="s">
        <v>998</v>
      </c>
      <c r="C1235" s="54">
        <v>453</v>
      </c>
      <c r="D1235" s="54">
        <v>413</v>
      </c>
      <c r="E1235" s="54">
        <v>438</v>
      </c>
      <c r="F1235" s="54">
        <v>765</v>
      </c>
      <c r="G1235" s="54">
        <v>462</v>
      </c>
      <c r="H1235" s="54">
        <v>386</v>
      </c>
      <c r="I1235" s="54">
        <v>443</v>
      </c>
      <c r="J1235" s="54">
        <v>520</v>
      </c>
      <c r="K1235" s="54">
        <v>746</v>
      </c>
      <c r="L1235" s="54">
        <v>420</v>
      </c>
      <c r="M1235" s="54">
        <f t="shared" si="17"/>
        <v>927</v>
      </c>
      <c r="N1235" s="55">
        <v>5973</v>
      </c>
      <c r="O1235" s="54">
        <v>242</v>
      </c>
      <c r="P1235" s="54">
        <v>1</v>
      </c>
      <c r="Q1235" s="54">
        <v>354</v>
      </c>
      <c r="R1235" s="54">
        <v>1365</v>
      </c>
      <c r="S1235" s="54">
        <v>354</v>
      </c>
      <c r="T1235" s="54">
        <v>781</v>
      </c>
      <c r="U1235" s="54">
        <v>1005</v>
      </c>
      <c r="V1235" s="54">
        <v>806</v>
      </c>
      <c r="W1235" s="54">
        <v>898</v>
      </c>
      <c r="X1235" s="54">
        <v>167</v>
      </c>
    </row>
    <row r="1236" spans="1:24">
      <c r="A1236" s="52">
        <v>46228</v>
      </c>
      <c r="B1236" s="53" t="s">
        <v>998</v>
      </c>
      <c r="C1236" s="54">
        <v>521</v>
      </c>
      <c r="D1236" s="54">
        <v>475</v>
      </c>
      <c r="E1236" s="54">
        <v>504</v>
      </c>
      <c r="F1236" s="54">
        <v>880</v>
      </c>
      <c r="G1236" s="54">
        <v>532</v>
      </c>
      <c r="H1236" s="54">
        <v>444</v>
      </c>
      <c r="I1236" s="54">
        <v>510</v>
      </c>
      <c r="J1236" s="54">
        <v>599</v>
      </c>
      <c r="K1236" s="54">
        <v>858</v>
      </c>
      <c r="L1236" s="54">
        <v>483</v>
      </c>
      <c r="M1236" s="54">
        <f t="shared" si="17"/>
        <v>1064</v>
      </c>
      <c r="N1236" s="55">
        <v>6870</v>
      </c>
      <c r="O1236" s="54">
        <v>278</v>
      </c>
      <c r="P1236" s="54">
        <v>1</v>
      </c>
      <c r="Q1236" s="54">
        <v>407</v>
      </c>
      <c r="R1236" s="54">
        <v>1570</v>
      </c>
      <c r="S1236" s="54">
        <v>407</v>
      </c>
      <c r="T1236" s="54">
        <v>899</v>
      </c>
      <c r="U1236" s="54">
        <v>1155</v>
      </c>
      <c r="V1236" s="54">
        <v>927</v>
      </c>
      <c r="W1236" s="54">
        <v>1034</v>
      </c>
      <c r="X1236" s="54">
        <v>192</v>
      </c>
    </row>
    <row r="1237" spans="1:24">
      <c r="A1237" s="52">
        <v>46229</v>
      </c>
      <c r="B1237" s="53" t="s">
        <v>998</v>
      </c>
      <c r="C1237" s="54">
        <v>521</v>
      </c>
      <c r="D1237" s="54">
        <v>475</v>
      </c>
      <c r="E1237" s="54">
        <v>504</v>
      </c>
      <c r="F1237" s="54">
        <v>880</v>
      </c>
      <c r="G1237" s="54">
        <v>532</v>
      </c>
      <c r="H1237" s="54">
        <v>444</v>
      </c>
      <c r="I1237" s="54">
        <v>510</v>
      </c>
      <c r="J1237" s="54">
        <v>599</v>
      </c>
      <c r="K1237" s="54">
        <v>858</v>
      </c>
      <c r="L1237" s="54">
        <v>483</v>
      </c>
      <c r="M1237" s="54">
        <f t="shared" si="17"/>
        <v>1065</v>
      </c>
      <c r="N1237" s="55">
        <v>6871</v>
      </c>
      <c r="O1237" s="54">
        <v>279</v>
      </c>
      <c r="P1237" s="54">
        <v>1</v>
      </c>
      <c r="Q1237" s="54">
        <v>407</v>
      </c>
      <c r="R1237" s="54">
        <v>1570</v>
      </c>
      <c r="S1237" s="54">
        <v>407</v>
      </c>
      <c r="T1237" s="54">
        <v>899</v>
      </c>
      <c r="U1237" s="54">
        <v>1155</v>
      </c>
      <c r="V1237" s="54">
        <v>927</v>
      </c>
      <c r="W1237" s="54">
        <v>1034</v>
      </c>
      <c r="X1237" s="54">
        <v>192</v>
      </c>
    </row>
    <row r="1238" spans="1:24">
      <c r="A1238" s="52">
        <v>46230</v>
      </c>
      <c r="B1238" s="53" t="s">
        <v>998</v>
      </c>
      <c r="C1238" s="54">
        <v>453</v>
      </c>
      <c r="D1238" s="54">
        <v>413</v>
      </c>
      <c r="E1238" s="54">
        <v>438</v>
      </c>
      <c r="F1238" s="54">
        <v>765</v>
      </c>
      <c r="G1238" s="54">
        <v>462</v>
      </c>
      <c r="H1238" s="54">
        <v>386</v>
      </c>
      <c r="I1238" s="54">
        <v>443</v>
      </c>
      <c r="J1238" s="54">
        <v>520</v>
      </c>
      <c r="K1238" s="54">
        <v>746</v>
      </c>
      <c r="L1238" s="54">
        <v>420</v>
      </c>
      <c r="M1238" s="54">
        <f t="shared" si="17"/>
        <v>929</v>
      </c>
      <c r="N1238" s="55">
        <v>5975</v>
      </c>
      <c r="O1238" s="54">
        <v>243</v>
      </c>
      <c r="P1238" s="54">
        <v>1</v>
      </c>
      <c r="Q1238" s="54">
        <v>354</v>
      </c>
      <c r="R1238" s="54">
        <v>1365</v>
      </c>
      <c r="S1238" s="54">
        <v>354</v>
      </c>
      <c r="T1238" s="54">
        <v>781</v>
      </c>
      <c r="U1238" s="54">
        <v>1005</v>
      </c>
      <c r="V1238" s="54">
        <v>806</v>
      </c>
      <c r="W1238" s="54">
        <v>899</v>
      </c>
      <c r="X1238" s="54">
        <v>167</v>
      </c>
    </row>
    <row r="1239" spans="1:24">
      <c r="A1239" s="52">
        <v>46231</v>
      </c>
      <c r="B1239" s="53" t="s">
        <v>998</v>
      </c>
      <c r="C1239" s="54">
        <v>453</v>
      </c>
      <c r="D1239" s="54">
        <v>413</v>
      </c>
      <c r="E1239" s="54">
        <v>438</v>
      </c>
      <c r="F1239" s="54">
        <v>766</v>
      </c>
      <c r="G1239" s="54">
        <v>462</v>
      </c>
      <c r="H1239" s="54">
        <v>386</v>
      </c>
      <c r="I1239" s="54">
        <v>443</v>
      </c>
      <c r="J1239" s="54">
        <v>520</v>
      </c>
      <c r="K1239" s="54">
        <v>746</v>
      </c>
      <c r="L1239" s="54">
        <v>420</v>
      </c>
      <c r="M1239" s="54">
        <f t="shared" si="17"/>
        <v>929</v>
      </c>
      <c r="N1239" s="55">
        <v>5976</v>
      </c>
      <c r="O1239" s="54">
        <v>243</v>
      </c>
      <c r="P1239" s="54">
        <v>1</v>
      </c>
      <c r="Q1239" s="54">
        <v>354</v>
      </c>
      <c r="R1239" s="54">
        <v>1365</v>
      </c>
      <c r="S1239" s="54">
        <v>354</v>
      </c>
      <c r="T1239" s="54">
        <v>782</v>
      </c>
      <c r="U1239" s="54">
        <v>1005</v>
      </c>
      <c r="V1239" s="54">
        <v>806</v>
      </c>
      <c r="W1239" s="54">
        <v>899</v>
      </c>
      <c r="X1239" s="54">
        <v>167</v>
      </c>
    </row>
    <row r="1240" spans="1:24">
      <c r="A1240" s="52">
        <v>46232</v>
      </c>
      <c r="B1240" s="53" t="s">
        <v>998</v>
      </c>
      <c r="C1240" s="54">
        <v>454</v>
      </c>
      <c r="D1240" s="54">
        <v>413</v>
      </c>
      <c r="E1240" s="54">
        <v>438</v>
      </c>
      <c r="F1240" s="54">
        <v>766</v>
      </c>
      <c r="G1240" s="54">
        <v>462</v>
      </c>
      <c r="H1240" s="54">
        <v>386</v>
      </c>
      <c r="I1240" s="54">
        <v>443</v>
      </c>
      <c r="J1240" s="54">
        <v>520</v>
      </c>
      <c r="K1240" s="54">
        <v>746</v>
      </c>
      <c r="L1240" s="54">
        <v>420</v>
      </c>
      <c r="M1240" s="54">
        <f t="shared" si="17"/>
        <v>929</v>
      </c>
      <c r="N1240" s="55">
        <v>5977</v>
      </c>
      <c r="O1240" s="54">
        <v>243</v>
      </c>
      <c r="P1240" s="54">
        <v>1</v>
      </c>
      <c r="Q1240" s="54">
        <v>354</v>
      </c>
      <c r="R1240" s="54">
        <v>1365</v>
      </c>
      <c r="S1240" s="54">
        <v>355</v>
      </c>
      <c r="T1240" s="54">
        <v>782</v>
      </c>
      <c r="U1240" s="54">
        <v>1005</v>
      </c>
      <c r="V1240" s="54">
        <v>806</v>
      </c>
      <c r="W1240" s="54">
        <v>899</v>
      </c>
      <c r="X1240" s="54">
        <v>167</v>
      </c>
    </row>
    <row r="1241" spans="1:24">
      <c r="A1241" s="52">
        <v>46233</v>
      </c>
      <c r="B1241" s="53" t="s">
        <v>998</v>
      </c>
      <c r="C1241" s="54">
        <v>454</v>
      </c>
      <c r="D1241" s="54">
        <v>413</v>
      </c>
      <c r="E1241" s="54">
        <v>438</v>
      </c>
      <c r="F1241" s="54">
        <v>766</v>
      </c>
      <c r="G1241" s="54">
        <v>462</v>
      </c>
      <c r="H1241" s="54">
        <v>386</v>
      </c>
      <c r="I1241" s="54">
        <v>443</v>
      </c>
      <c r="J1241" s="54">
        <v>520</v>
      </c>
      <c r="K1241" s="54">
        <v>747</v>
      </c>
      <c r="L1241" s="54">
        <v>420</v>
      </c>
      <c r="M1241" s="54">
        <f t="shared" si="17"/>
        <v>929</v>
      </c>
      <c r="N1241" s="55">
        <v>5978</v>
      </c>
      <c r="O1241" s="54">
        <v>243</v>
      </c>
      <c r="P1241" s="54">
        <v>1</v>
      </c>
      <c r="Q1241" s="54">
        <v>355</v>
      </c>
      <c r="R1241" s="54">
        <v>1365</v>
      </c>
      <c r="S1241" s="54">
        <v>355</v>
      </c>
      <c r="T1241" s="54">
        <v>782</v>
      </c>
      <c r="U1241" s="54">
        <v>1005</v>
      </c>
      <c r="V1241" s="54">
        <v>806</v>
      </c>
      <c r="W1241" s="54">
        <v>899</v>
      </c>
      <c r="X1241" s="54">
        <v>167</v>
      </c>
    </row>
    <row r="1242" spans="1:24">
      <c r="A1242" s="52">
        <v>46234</v>
      </c>
      <c r="B1242" s="53" t="s">
        <v>998</v>
      </c>
      <c r="C1242" s="54">
        <v>454</v>
      </c>
      <c r="D1242" s="54">
        <v>413</v>
      </c>
      <c r="E1242" s="54">
        <v>438</v>
      </c>
      <c r="F1242" s="54">
        <v>766</v>
      </c>
      <c r="G1242" s="54">
        <v>462</v>
      </c>
      <c r="H1242" s="54">
        <v>386</v>
      </c>
      <c r="I1242" s="54">
        <v>443</v>
      </c>
      <c r="J1242" s="54">
        <v>520</v>
      </c>
      <c r="K1242" s="54">
        <v>747</v>
      </c>
      <c r="L1242" s="54">
        <v>420</v>
      </c>
      <c r="M1242" s="54">
        <f t="shared" si="17"/>
        <v>929</v>
      </c>
      <c r="N1242" s="55">
        <v>5978</v>
      </c>
      <c r="O1242" s="54">
        <v>243</v>
      </c>
      <c r="P1242" s="54">
        <v>1</v>
      </c>
      <c r="Q1242" s="54">
        <v>355</v>
      </c>
      <c r="R1242" s="54">
        <v>1365</v>
      </c>
      <c r="S1242" s="54">
        <v>355</v>
      </c>
      <c r="T1242" s="54">
        <v>782</v>
      </c>
      <c r="U1242" s="54">
        <v>1005</v>
      </c>
      <c r="V1242" s="54">
        <v>806</v>
      </c>
      <c r="W1242" s="54">
        <v>899</v>
      </c>
      <c r="X1242" s="54">
        <v>167</v>
      </c>
    </row>
    <row r="1243" spans="1:24">
      <c r="A1243" s="52">
        <v>46235</v>
      </c>
      <c r="B1243" s="53" t="s">
        <v>998</v>
      </c>
      <c r="C1243" s="54">
        <v>376</v>
      </c>
      <c r="D1243" s="54">
        <v>343</v>
      </c>
      <c r="E1243" s="54">
        <v>365</v>
      </c>
      <c r="F1243" s="54">
        <v>686</v>
      </c>
      <c r="G1243" s="54">
        <v>421</v>
      </c>
      <c r="H1243" s="54">
        <v>266</v>
      </c>
      <c r="I1243" s="54">
        <v>343</v>
      </c>
      <c r="J1243" s="54">
        <v>653</v>
      </c>
      <c r="K1243" s="54">
        <v>620</v>
      </c>
      <c r="L1243" s="54">
        <v>465</v>
      </c>
      <c r="M1243" s="54">
        <f t="shared" si="17"/>
        <v>866</v>
      </c>
      <c r="N1243" s="55">
        <v>5404</v>
      </c>
      <c r="O1243" s="54">
        <v>227</v>
      </c>
      <c r="P1243" s="54">
        <v>0</v>
      </c>
      <c r="Q1243" s="54">
        <v>371</v>
      </c>
      <c r="R1243" s="54">
        <v>1111</v>
      </c>
      <c r="S1243" s="54">
        <v>353</v>
      </c>
      <c r="T1243" s="54">
        <v>743</v>
      </c>
      <c r="U1243" s="54">
        <v>832</v>
      </c>
      <c r="V1243" s="54">
        <v>794</v>
      </c>
      <c r="W1243" s="54">
        <v>973</v>
      </c>
      <c r="X1243" s="54">
        <v>0</v>
      </c>
    </row>
    <row r="1244" spans="1:24">
      <c r="A1244" s="52">
        <v>46236</v>
      </c>
      <c r="B1244" s="53" t="s">
        <v>998</v>
      </c>
      <c r="C1244" s="54">
        <v>377</v>
      </c>
      <c r="D1244" s="54">
        <v>344</v>
      </c>
      <c r="E1244" s="54">
        <v>366</v>
      </c>
      <c r="F1244" s="54">
        <v>688</v>
      </c>
      <c r="G1244" s="54">
        <v>422</v>
      </c>
      <c r="H1244" s="54">
        <v>266</v>
      </c>
      <c r="I1244" s="54">
        <v>344</v>
      </c>
      <c r="J1244" s="54">
        <v>655</v>
      </c>
      <c r="K1244" s="54">
        <v>622</v>
      </c>
      <c r="L1244" s="54">
        <v>466</v>
      </c>
      <c r="M1244" s="54">
        <f t="shared" si="17"/>
        <v>868</v>
      </c>
      <c r="N1244" s="55">
        <v>5418</v>
      </c>
      <c r="O1244" s="54">
        <v>227</v>
      </c>
      <c r="P1244" s="54">
        <v>1</v>
      </c>
      <c r="Q1244" s="54">
        <v>371</v>
      </c>
      <c r="R1244" s="54">
        <v>1111</v>
      </c>
      <c r="S1244" s="54">
        <v>353</v>
      </c>
      <c r="T1244" s="54">
        <v>743</v>
      </c>
      <c r="U1244" s="54">
        <v>833</v>
      </c>
      <c r="V1244" s="54">
        <v>794</v>
      </c>
      <c r="W1244" s="54">
        <v>985</v>
      </c>
      <c r="X1244" s="54">
        <v>0</v>
      </c>
    </row>
    <row r="1245" spans="1:24">
      <c r="A1245" s="52">
        <v>46237</v>
      </c>
      <c r="B1245" s="53" t="s">
        <v>998</v>
      </c>
      <c r="C1245" s="54">
        <v>348</v>
      </c>
      <c r="D1245" s="54">
        <v>317</v>
      </c>
      <c r="E1245" s="54">
        <v>338</v>
      </c>
      <c r="F1245" s="54">
        <v>635</v>
      </c>
      <c r="G1245" s="54">
        <v>389</v>
      </c>
      <c r="H1245" s="54">
        <v>246</v>
      </c>
      <c r="I1245" s="54">
        <v>317</v>
      </c>
      <c r="J1245" s="54">
        <v>604</v>
      </c>
      <c r="K1245" s="54">
        <v>574</v>
      </c>
      <c r="L1245" s="54">
        <v>430</v>
      </c>
      <c r="M1245" s="54">
        <f t="shared" si="17"/>
        <v>801</v>
      </c>
      <c r="N1245" s="55">
        <v>4999</v>
      </c>
      <c r="O1245" s="54">
        <v>197</v>
      </c>
      <c r="P1245" s="54">
        <v>1</v>
      </c>
      <c r="Q1245" s="54">
        <v>322</v>
      </c>
      <c r="R1245" s="54">
        <v>966</v>
      </c>
      <c r="S1245" s="54">
        <v>307</v>
      </c>
      <c r="T1245" s="54">
        <v>646</v>
      </c>
      <c r="U1245" s="54">
        <v>724</v>
      </c>
      <c r="V1245" s="54">
        <v>690</v>
      </c>
      <c r="W1245" s="54">
        <v>946</v>
      </c>
      <c r="X1245" s="54">
        <v>200</v>
      </c>
    </row>
    <row r="1246" spans="1:24">
      <c r="A1246" s="52">
        <v>46238</v>
      </c>
      <c r="B1246" s="53" t="s">
        <v>998</v>
      </c>
      <c r="C1246" s="54">
        <v>350</v>
      </c>
      <c r="D1246" s="54">
        <v>319</v>
      </c>
      <c r="E1246" s="54">
        <v>340</v>
      </c>
      <c r="F1246" s="54">
        <v>638</v>
      </c>
      <c r="G1246" s="54">
        <v>391</v>
      </c>
      <c r="H1246" s="54">
        <v>247</v>
      </c>
      <c r="I1246" s="54">
        <v>319</v>
      </c>
      <c r="J1246" s="54">
        <v>607</v>
      </c>
      <c r="K1246" s="54">
        <v>576</v>
      </c>
      <c r="L1246" s="54">
        <v>432</v>
      </c>
      <c r="M1246" s="54">
        <f t="shared" si="17"/>
        <v>803</v>
      </c>
      <c r="N1246" s="55">
        <v>5022</v>
      </c>
      <c r="O1246" s="54">
        <v>197</v>
      </c>
      <c r="P1246" s="54">
        <v>1</v>
      </c>
      <c r="Q1246" s="54">
        <v>322</v>
      </c>
      <c r="R1246" s="54">
        <v>966</v>
      </c>
      <c r="S1246" s="54">
        <v>307</v>
      </c>
      <c r="T1246" s="54">
        <v>646</v>
      </c>
      <c r="U1246" s="54">
        <v>724</v>
      </c>
      <c r="V1246" s="54">
        <v>690</v>
      </c>
      <c r="W1246" s="54">
        <v>969</v>
      </c>
      <c r="X1246" s="54">
        <v>200</v>
      </c>
    </row>
    <row r="1247" spans="1:24">
      <c r="A1247" s="52">
        <v>46239</v>
      </c>
      <c r="B1247" s="53" t="s">
        <v>998</v>
      </c>
      <c r="C1247" s="54">
        <v>351</v>
      </c>
      <c r="D1247" s="54">
        <v>320</v>
      </c>
      <c r="E1247" s="54">
        <v>341</v>
      </c>
      <c r="F1247" s="54">
        <v>640</v>
      </c>
      <c r="G1247" s="54">
        <v>392</v>
      </c>
      <c r="H1247" s="54">
        <v>248</v>
      </c>
      <c r="I1247" s="54">
        <v>320</v>
      </c>
      <c r="J1247" s="54">
        <v>609</v>
      </c>
      <c r="K1247" s="54">
        <v>578</v>
      </c>
      <c r="L1247" s="54">
        <v>433</v>
      </c>
      <c r="M1247" s="54">
        <f t="shared" si="17"/>
        <v>805</v>
      </c>
      <c r="N1247" s="55">
        <v>5037</v>
      </c>
      <c r="O1247" s="54">
        <v>197</v>
      </c>
      <c r="P1247" s="54">
        <v>1</v>
      </c>
      <c r="Q1247" s="54">
        <v>322</v>
      </c>
      <c r="R1247" s="54">
        <v>966</v>
      </c>
      <c r="S1247" s="54">
        <v>307</v>
      </c>
      <c r="T1247" s="54">
        <v>646</v>
      </c>
      <c r="U1247" s="54">
        <v>724</v>
      </c>
      <c r="V1247" s="54">
        <v>690</v>
      </c>
      <c r="W1247" s="54">
        <v>984</v>
      </c>
      <c r="X1247" s="54">
        <v>200</v>
      </c>
    </row>
    <row r="1248" spans="1:24">
      <c r="A1248" s="52">
        <v>46240</v>
      </c>
      <c r="B1248" s="53" t="s">
        <v>998</v>
      </c>
      <c r="C1248" s="54">
        <v>350</v>
      </c>
      <c r="D1248" s="54">
        <v>319</v>
      </c>
      <c r="E1248" s="54">
        <v>339</v>
      </c>
      <c r="F1248" s="54">
        <v>638</v>
      </c>
      <c r="G1248" s="54">
        <v>391</v>
      </c>
      <c r="H1248" s="54">
        <v>247</v>
      </c>
      <c r="I1248" s="54">
        <v>319</v>
      </c>
      <c r="J1248" s="54">
        <v>607</v>
      </c>
      <c r="K1248" s="54">
        <v>576</v>
      </c>
      <c r="L1248" s="54">
        <v>432</v>
      </c>
      <c r="M1248" s="54">
        <f t="shared" si="17"/>
        <v>801</v>
      </c>
      <c r="N1248" s="55">
        <v>5019</v>
      </c>
      <c r="O1248" s="54">
        <v>197</v>
      </c>
      <c r="P1248" s="54">
        <v>1</v>
      </c>
      <c r="Q1248" s="54">
        <v>322</v>
      </c>
      <c r="R1248" s="54">
        <v>966</v>
      </c>
      <c r="S1248" s="54">
        <v>307</v>
      </c>
      <c r="T1248" s="54">
        <v>646</v>
      </c>
      <c r="U1248" s="54">
        <v>724</v>
      </c>
      <c r="V1248" s="54">
        <v>690</v>
      </c>
      <c r="W1248" s="54">
        <v>966</v>
      </c>
      <c r="X1248" s="54">
        <v>200</v>
      </c>
    </row>
    <row r="1249" spans="1:24">
      <c r="A1249" s="52">
        <v>46241</v>
      </c>
      <c r="B1249" s="53" t="s">
        <v>998</v>
      </c>
      <c r="C1249" s="54">
        <v>352</v>
      </c>
      <c r="D1249" s="54">
        <v>321</v>
      </c>
      <c r="E1249" s="54">
        <v>341</v>
      </c>
      <c r="F1249" s="54">
        <v>641</v>
      </c>
      <c r="G1249" s="54">
        <v>393</v>
      </c>
      <c r="H1249" s="54">
        <v>248</v>
      </c>
      <c r="I1249" s="54">
        <v>321</v>
      </c>
      <c r="J1249" s="54">
        <v>610</v>
      </c>
      <c r="K1249" s="54">
        <v>579</v>
      </c>
      <c r="L1249" s="54">
        <v>434</v>
      </c>
      <c r="M1249" s="54">
        <f t="shared" si="17"/>
        <v>808</v>
      </c>
      <c r="N1249" s="55">
        <v>5048</v>
      </c>
      <c r="O1249" s="54">
        <v>197</v>
      </c>
      <c r="P1249" s="54">
        <v>1</v>
      </c>
      <c r="Q1249" s="54">
        <v>322</v>
      </c>
      <c r="R1249" s="54">
        <v>966</v>
      </c>
      <c r="S1249" s="54">
        <v>307</v>
      </c>
      <c r="T1249" s="54">
        <v>646</v>
      </c>
      <c r="U1249" s="54">
        <v>724</v>
      </c>
      <c r="V1249" s="54">
        <v>690</v>
      </c>
      <c r="W1249" s="54">
        <v>995</v>
      </c>
      <c r="X1249" s="54">
        <v>200</v>
      </c>
    </row>
    <row r="1250" spans="1:24">
      <c r="A1250" s="52">
        <v>46242</v>
      </c>
      <c r="B1250" s="53" t="s">
        <v>998</v>
      </c>
      <c r="C1250" s="54">
        <v>386</v>
      </c>
      <c r="D1250" s="54">
        <v>352</v>
      </c>
      <c r="E1250" s="54">
        <v>375</v>
      </c>
      <c r="F1250" s="54">
        <v>704</v>
      </c>
      <c r="G1250" s="54">
        <v>431</v>
      </c>
      <c r="H1250" s="54">
        <v>272</v>
      </c>
      <c r="I1250" s="54">
        <v>352</v>
      </c>
      <c r="J1250" s="54">
        <v>670</v>
      </c>
      <c r="K1250" s="54">
        <v>636</v>
      </c>
      <c r="L1250" s="54">
        <v>477</v>
      </c>
      <c r="M1250" s="54">
        <f t="shared" si="17"/>
        <v>885</v>
      </c>
      <c r="N1250" s="55">
        <v>5540</v>
      </c>
      <c r="O1250" s="54">
        <v>227</v>
      </c>
      <c r="P1250" s="54">
        <v>1</v>
      </c>
      <c r="Q1250" s="54">
        <v>371</v>
      </c>
      <c r="R1250" s="54">
        <v>1111</v>
      </c>
      <c r="S1250" s="54">
        <v>353</v>
      </c>
      <c r="T1250" s="54">
        <v>743</v>
      </c>
      <c r="U1250" s="54">
        <v>833</v>
      </c>
      <c r="V1250" s="54">
        <v>794</v>
      </c>
      <c r="W1250" s="54">
        <v>1107</v>
      </c>
      <c r="X1250" s="54">
        <v>0</v>
      </c>
    </row>
    <row r="1251" spans="1:24">
      <c r="A1251" s="52">
        <v>46243</v>
      </c>
      <c r="B1251" s="53" t="s">
        <v>998</v>
      </c>
      <c r="C1251" s="54">
        <v>386</v>
      </c>
      <c r="D1251" s="54">
        <v>352</v>
      </c>
      <c r="E1251" s="54">
        <v>375</v>
      </c>
      <c r="F1251" s="54">
        <v>704</v>
      </c>
      <c r="G1251" s="54">
        <v>431</v>
      </c>
      <c r="H1251" s="54">
        <v>272</v>
      </c>
      <c r="I1251" s="54">
        <v>352</v>
      </c>
      <c r="J1251" s="54">
        <v>670</v>
      </c>
      <c r="K1251" s="54">
        <v>636</v>
      </c>
      <c r="L1251" s="54">
        <v>477</v>
      </c>
      <c r="M1251" s="54">
        <f t="shared" si="17"/>
        <v>885</v>
      </c>
      <c r="N1251" s="55">
        <v>5540</v>
      </c>
      <c r="O1251" s="54">
        <v>227</v>
      </c>
      <c r="P1251" s="54">
        <v>1</v>
      </c>
      <c r="Q1251" s="54">
        <v>371</v>
      </c>
      <c r="R1251" s="54">
        <v>1111</v>
      </c>
      <c r="S1251" s="54">
        <v>354</v>
      </c>
      <c r="T1251" s="54">
        <v>743</v>
      </c>
      <c r="U1251" s="54">
        <v>833</v>
      </c>
      <c r="V1251" s="54">
        <v>794</v>
      </c>
      <c r="W1251" s="54">
        <v>1106</v>
      </c>
      <c r="X1251" s="54">
        <v>0</v>
      </c>
    </row>
    <row r="1252" spans="1:24">
      <c r="A1252" s="52">
        <v>46244</v>
      </c>
      <c r="B1252" s="53" t="s">
        <v>998</v>
      </c>
      <c r="C1252" s="54">
        <v>355</v>
      </c>
      <c r="D1252" s="54">
        <v>323</v>
      </c>
      <c r="E1252" s="54">
        <v>344</v>
      </c>
      <c r="F1252" s="54">
        <v>647</v>
      </c>
      <c r="G1252" s="54">
        <v>396</v>
      </c>
      <c r="H1252" s="54">
        <v>250</v>
      </c>
      <c r="I1252" s="54">
        <v>323</v>
      </c>
      <c r="J1252" s="54">
        <v>616</v>
      </c>
      <c r="K1252" s="54">
        <v>584</v>
      </c>
      <c r="L1252" s="54">
        <v>438</v>
      </c>
      <c r="M1252" s="54">
        <f t="shared" si="17"/>
        <v>816</v>
      </c>
      <c r="N1252" s="55">
        <v>5092</v>
      </c>
      <c r="O1252" s="54">
        <v>197</v>
      </c>
      <c r="P1252" s="54">
        <v>1</v>
      </c>
      <c r="Q1252" s="54">
        <v>322</v>
      </c>
      <c r="R1252" s="54">
        <v>966</v>
      </c>
      <c r="S1252" s="54">
        <v>308</v>
      </c>
      <c r="T1252" s="54">
        <v>646</v>
      </c>
      <c r="U1252" s="54">
        <v>725</v>
      </c>
      <c r="V1252" s="54">
        <v>690</v>
      </c>
      <c r="W1252" s="54">
        <v>1037</v>
      </c>
      <c r="X1252" s="54">
        <v>200</v>
      </c>
    </row>
    <row r="1253" spans="1:24">
      <c r="A1253" s="52">
        <v>46245</v>
      </c>
      <c r="B1253" s="53" t="s">
        <v>998</v>
      </c>
      <c r="C1253" s="54">
        <v>354</v>
      </c>
      <c r="D1253" s="54">
        <v>322</v>
      </c>
      <c r="E1253" s="54">
        <v>343</v>
      </c>
      <c r="F1253" s="54">
        <v>645</v>
      </c>
      <c r="G1253" s="54">
        <v>395</v>
      </c>
      <c r="H1253" s="54">
        <v>250</v>
      </c>
      <c r="I1253" s="54">
        <v>322</v>
      </c>
      <c r="J1253" s="54">
        <v>614</v>
      </c>
      <c r="K1253" s="54">
        <v>582</v>
      </c>
      <c r="L1253" s="54">
        <v>437</v>
      </c>
      <c r="M1253" s="54">
        <f t="shared" si="17"/>
        <v>813</v>
      </c>
      <c r="N1253" s="55">
        <v>5077</v>
      </c>
      <c r="O1253" s="54">
        <v>197</v>
      </c>
      <c r="P1253" s="54">
        <v>1</v>
      </c>
      <c r="Q1253" s="54">
        <v>322</v>
      </c>
      <c r="R1253" s="54">
        <v>966</v>
      </c>
      <c r="S1253" s="54">
        <v>308</v>
      </c>
      <c r="T1253" s="54">
        <v>646</v>
      </c>
      <c r="U1253" s="54">
        <v>725</v>
      </c>
      <c r="V1253" s="54">
        <v>690</v>
      </c>
      <c r="W1253" s="54">
        <v>1022</v>
      </c>
      <c r="X1253" s="54">
        <v>200</v>
      </c>
    </row>
    <row r="1254" spans="1:24">
      <c r="A1254" s="52">
        <v>46246</v>
      </c>
      <c r="B1254" s="53" t="s">
        <v>998</v>
      </c>
      <c r="C1254" s="54">
        <v>355</v>
      </c>
      <c r="D1254" s="54">
        <v>324</v>
      </c>
      <c r="E1254" s="54">
        <v>344</v>
      </c>
      <c r="F1254" s="54">
        <v>647</v>
      </c>
      <c r="G1254" s="54">
        <v>397</v>
      </c>
      <c r="H1254" s="54">
        <v>250</v>
      </c>
      <c r="I1254" s="54">
        <v>324</v>
      </c>
      <c r="J1254" s="54">
        <v>616</v>
      </c>
      <c r="K1254" s="54">
        <v>584</v>
      </c>
      <c r="L1254" s="54">
        <v>438</v>
      </c>
      <c r="M1254" s="54">
        <f t="shared" si="17"/>
        <v>815</v>
      </c>
      <c r="N1254" s="55">
        <v>5094</v>
      </c>
      <c r="O1254" s="54">
        <v>197</v>
      </c>
      <c r="P1254" s="54">
        <v>1</v>
      </c>
      <c r="Q1254" s="54">
        <v>322</v>
      </c>
      <c r="R1254" s="54">
        <v>966</v>
      </c>
      <c r="S1254" s="54">
        <v>308</v>
      </c>
      <c r="T1254" s="54">
        <v>646</v>
      </c>
      <c r="U1254" s="54">
        <v>725</v>
      </c>
      <c r="V1254" s="54">
        <v>690</v>
      </c>
      <c r="W1254" s="54">
        <v>1039</v>
      </c>
      <c r="X1254" s="54">
        <v>200</v>
      </c>
    </row>
    <row r="1255" spans="1:24">
      <c r="A1255" s="52">
        <v>46247</v>
      </c>
      <c r="B1255" s="53" t="s">
        <v>998</v>
      </c>
      <c r="C1255" s="54">
        <v>352</v>
      </c>
      <c r="D1255" s="54">
        <v>321</v>
      </c>
      <c r="E1255" s="54">
        <v>342</v>
      </c>
      <c r="F1255" s="54">
        <v>642</v>
      </c>
      <c r="G1255" s="54">
        <v>394</v>
      </c>
      <c r="H1255" s="54">
        <v>249</v>
      </c>
      <c r="I1255" s="54">
        <v>321</v>
      </c>
      <c r="J1255" s="54">
        <v>611</v>
      </c>
      <c r="K1255" s="54">
        <v>580</v>
      </c>
      <c r="L1255" s="54">
        <v>435</v>
      </c>
      <c r="M1255" s="54">
        <f t="shared" si="17"/>
        <v>810</v>
      </c>
      <c r="N1255" s="55">
        <v>5057</v>
      </c>
      <c r="O1255" s="54">
        <v>197</v>
      </c>
      <c r="P1255" s="54">
        <v>1</v>
      </c>
      <c r="Q1255" s="54">
        <v>322</v>
      </c>
      <c r="R1255" s="54">
        <v>966</v>
      </c>
      <c r="S1255" s="54">
        <v>308</v>
      </c>
      <c r="T1255" s="54">
        <v>646</v>
      </c>
      <c r="U1255" s="54">
        <v>725</v>
      </c>
      <c r="V1255" s="54">
        <v>690</v>
      </c>
      <c r="W1255" s="54">
        <v>1002</v>
      </c>
      <c r="X1255" s="54">
        <v>200</v>
      </c>
    </row>
    <row r="1256" spans="1:24">
      <c r="A1256" s="52">
        <v>46248</v>
      </c>
      <c r="B1256" s="53" t="s">
        <v>998</v>
      </c>
      <c r="C1256" s="54">
        <v>343</v>
      </c>
      <c r="D1256" s="54">
        <v>312</v>
      </c>
      <c r="E1256" s="54">
        <v>332</v>
      </c>
      <c r="F1256" s="54">
        <v>625</v>
      </c>
      <c r="G1256" s="54">
        <v>383</v>
      </c>
      <c r="H1256" s="54">
        <v>242</v>
      </c>
      <c r="I1256" s="54">
        <v>312</v>
      </c>
      <c r="J1256" s="54">
        <v>594</v>
      </c>
      <c r="K1256" s="54">
        <v>564</v>
      </c>
      <c r="L1256" s="54">
        <v>423</v>
      </c>
      <c r="M1256" s="54">
        <f t="shared" si="17"/>
        <v>787</v>
      </c>
      <c r="N1256" s="55">
        <v>4917</v>
      </c>
      <c r="O1256" s="54">
        <v>197</v>
      </c>
      <c r="P1256" s="54">
        <v>1</v>
      </c>
      <c r="Q1256" s="54">
        <v>322</v>
      </c>
      <c r="R1256" s="54">
        <v>966</v>
      </c>
      <c r="S1256" s="54">
        <v>308</v>
      </c>
      <c r="T1256" s="54">
        <v>646</v>
      </c>
      <c r="U1256" s="54">
        <v>725</v>
      </c>
      <c r="V1256" s="54">
        <v>690</v>
      </c>
      <c r="W1256" s="54">
        <v>1062</v>
      </c>
      <c r="X1256" s="54">
        <v>0</v>
      </c>
    </row>
    <row r="1257" spans="1:24">
      <c r="A1257" s="52">
        <v>46249</v>
      </c>
      <c r="B1257" s="53" t="s">
        <v>998</v>
      </c>
      <c r="C1257" s="54">
        <v>393</v>
      </c>
      <c r="D1257" s="54">
        <v>358</v>
      </c>
      <c r="E1257" s="54">
        <v>381</v>
      </c>
      <c r="F1257" s="54">
        <v>716</v>
      </c>
      <c r="G1257" s="54">
        <v>439</v>
      </c>
      <c r="H1257" s="54">
        <v>277</v>
      </c>
      <c r="I1257" s="54">
        <v>358</v>
      </c>
      <c r="J1257" s="54">
        <v>681</v>
      </c>
      <c r="K1257" s="54">
        <v>647</v>
      </c>
      <c r="L1257" s="54">
        <v>485</v>
      </c>
      <c r="M1257" s="54">
        <f t="shared" si="17"/>
        <v>901</v>
      </c>
      <c r="N1257" s="55">
        <v>5636</v>
      </c>
      <c r="O1257" s="54">
        <v>227</v>
      </c>
      <c r="P1257" s="54">
        <v>1</v>
      </c>
      <c r="Q1257" s="54">
        <v>371</v>
      </c>
      <c r="R1257" s="54">
        <v>1111</v>
      </c>
      <c r="S1257" s="54">
        <v>354</v>
      </c>
      <c r="T1257" s="54">
        <v>743</v>
      </c>
      <c r="U1257" s="54">
        <v>834</v>
      </c>
      <c r="V1257" s="54">
        <v>794</v>
      </c>
      <c r="W1257" s="54">
        <v>1201</v>
      </c>
      <c r="X1257" s="54">
        <v>0</v>
      </c>
    </row>
    <row r="1258" spans="1:24">
      <c r="A1258" s="52">
        <v>46250</v>
      </c>
      <c r="B1258" s="53" t="s">
        <v>998</v>
      </c>
      <c r="C1258" s="54">
        <v>409</v>
      </c>
      <c r="D1258" s="54">
        <v>373</v>
      </c>
      <c r="E1258" s="54">
        <v>397</v>
      </c>
      <c r="F1258" s="54">
        <v>745</v>
      </c>
      <c r="G1258" s="54">
        <v>457</v>
      </c>
      <c r="H1258" s="54">
        <v>288</v>
      </c>
      <c r="I1258" s="54">
        <v>373</v>
      </c>
      <c r="J1258" s="54">
        <v>709</v>
      </c>
      <c r="K1258" s="54">
        <v>673</v>
      </c>
      <c r="L1258" s="54">
        <v>505</v>
      </c>
      <c r="M1258" s="54">
        <f t="shared" si="17"/>
        <v>937</v>
      </c>
      <c r="N1258" s="55">
        <v>5866</v>
      </c>
      <c r="O1258" s="54">
        <v>227</v>
      </c>
      <c r="P1258" s="54">
        <v>1</v>
      </c>
      <c r="Q1258" s="54">
        <v>371</v>
      </c>
      <c r="R1258" s="54">
        <v>1111</v>
      </c>
      <c r="S1258" s="54">
        <v>354</v>
      </c>
      <c r="T1258" s="54">
        <v>743</v>
      </c>
      <c r="U1258" s="54">
        <v>834</v>
      </c>
      <c r="V1258" s="54">
        <v>794</v>
      </c>
      <c r="W1258" s="54">
        <v>1231</v>
      </c>
      <c r="X1258" s="54">
        <v>200</v>
      </c>
    </row>
    <row r="1259" spans="1:24">
      <c r="A1259" s="52">
        <v>46251</v>
      </c>
      <c r="B1259" s="53" t="s">
        <v>998</v>
      </c>
      <c r="C1259" s="54">
        <v>360</v>
      </c>
      <c r="D1259" s="54">
        <v>328</v>
      </c>
      <c r="E1259" s="54">
        <v>349</v>
      </c>
      <c r="F1259" s="54">
        <v>657</v>
      </c>
      <c r="G1259" s="54">
        <v>402</v>
      </c>
      <c r="H1259" s="54">
        <v>254</v>
      </c>
      <c r="I1259" s="54">
        <v>328</v>
      </c>
      <c r="J1259" s="54">
        <v>625</v>
      </c>
      <c r="K1259" s="54">
        <v>593</v>
      </c>
      <c r="L1259" s="54">
        <v>445</v>
      </c>
      <c r="M1259" s="54">
        <f t="shared" si="17"/>
        <v>828</v>
      </c>
      <c r="N1259" s="55">
        <v>5169</v>
      </c>
      <c r="O1259" s="54">
        <v>197</v>
      </c>
      <c r="P1259" s="54">
        <v>1</v>
      </c>
      <c r="Q1259" s="54">
        <v>322</v>
      </c>
      <c r="R1259" s="54">
        <v>966</v>
      </c>
      <c r="S1259" s="54">
        <v>308</v>
      </c>
      <c r="T1259" s="54">
        <v>646</v>
      </c>
      <c r="U1259" s="54">
        <v>725</v>
      </c>
      <c r="V1259" s="54">
        <v>690</v>
      </c>
      <c r="W1259" s="54">
        <v>1114</v>
      </c>
      <c r="X1259" s="54">
        <v>200</v>
      </c>
    </row>
    <row r="1260" spans="1:24">
      <c r="A1260" s="52">
        <v>46252</v>
      </c>
      <c r="B1260" s="53" t="s">
        <v>998</v>
      </c>
      <c r="C1260" s="54">
        <v>357</v>
      </c>
      <c r="D1260" s="54">
        <v>326</v>
      </c>
      <c r="E1260" s="54">
        <v>347</v>
      </c>
      <c r="F1260" s="54">
        <v>652</v>
      </c>
      <c r="G1260" s="54">
        <v>399</v>
      </c>
      <c r="H1260" s="54">
        <v>252</v>
      </c>
      <c r="I1260" s="54">
        <v>326</v>
      </c>
      <c r="J1260" s="54">
        <v>620</v>
      </c>
      <c r="K1260" s="54">
        <v>589</v>
      </c>
      <c r="L1260" s="54">
        <v>441</v>
      </c>
      <c r="M1260" s="54">
        <f t="shared" ref="M1260:M1323" si="18">N1260-SUM(C1260:L1260)</f>
        <v>821</v>
      </c>
      <c r="N1260" s="55">
        <v>5130</v>
      </c>
      <c r="O1260" s="54">
        <v>197</v>
      </c>
      <c r="P1260" s="54">
        <v>1</v>
      </c>
      <c r="Q1260" s="54">
        <v>322</v>
      </c>
      <c r="R1260" s="54">
        <v>966</v>
      </c>
      <c r="S1260" s="54">
        <v>308</v>
      </c>
      <c r="T1260" s="54">
        <v>646</v>
      </c>
      <c r="U1260" s="54">
        <v>725</v>
      </c>
      <c r="V1260" s="54">
        <v>690</v>
      </c>
      <c r="W1260" s="54">
        <v>1075</v>
      </c>
      <c r="X1260" s="54">
        <v>200</v>
      </c>
    </row>
    <row r="1261" spans="1:24">
      <c r="A1261" s="52">
        <v>46253</v>
      </c>
      <c r="B1261" s="53" t="s">
        <v>998</v>
      </c>
      <c r="C1261" s="54">
        <v>356</v>
      </c>
      <c r="D1261" s="54">
        <v>325</v>
      </c>
      <c r="E1261" s="54">
        <v>346</v>
      </c>
      <c r="F1261" s="54">
        <v>649</v>
      </c>
      <c r="G1261" s="54">
        <v>398</v>
      </c>
      <c r="H1261" s="54">
        <v>251</v>
      </c>
      <c r="I1261" s="54">
        <v>325</v>
      </c>
      <c r="J1261" s="54">
        <v>618</v>
      </c>
      <c r="K1261" s="54">
        <v>587</v>
      </c>
      <c r="L1261" s="54">
        <v>440</v>
      </c>
      <c r="M1261" s="54">
        <f t="shared" si="18"/>
        <v>818</v>
      </c>
      <c r="N1261" s="55">
        <v>5113</v>
      </c>
      <c r="O1261" s="54">
        <v>197</v>
      </c>
      <c r="P1261" s="54">
        <v>1</v>
      </c>
      <c r="Q1261" s="54">
        <v>322</v>
      </c>
      <c r="R1261" s="54">
        <v>966</v>
      </c>
      <c r="S1261" s="54">
        <v>308</v>
      </c>
      <c r="T1261" s="54">
        <v>646</v>
      </c>
      <c r="U1261" s="54">
        <v>725</v>
      </c>
      <c r="V1261" s="54">
        <v>690</v>
      </c>
      <c r="W1261" s="54">
        <v>1058</v>
      </c>
      <c r="X1261" s="54">
        <v>200</v>
      </c>
    </row>
    <row r="1262" spans="1:24">
      <c r="A1262" s="52">
        <v>46254</v>
      </c>
      <c r="B1262" s="53" t="s">
        <v>998</v>
      </c>
      <c r="C1262" s="54">
        <v>363</v>
      </c>
      <c r="D1262" s="54">
        <v>331</v>
      </c>
      <c r="E1262" s="54">
        <v>352</v>
      </c>
      <c r="F1262" s="54">
        <v>661</v>
      </c>
      <c r="G1262" s="54">
        <v>405</v>
      </c>
      <c r="H1262" s="54">
        <v>256</v>
      </c>
      <c r="I1262" s="54">
        <v>331</v>
      </c>
      <c r="J1262" s="54">
        <v>629</v>
      </c>
      <c r="K1262" s="54">
        <v>597</v>
      </c>
      <c r="L1262" s="54">
        <v>448</v>
      </c>
      <c r="M1262" s="54">
        <f t="shared" si="18"/>
        <v>832</v>
      </c>
      <c r="N1262" s="55">
        <v>5205</v>
      </c>
      <c r="O1262" s="54">
        <v>197</v>
      </c>
      <c r="P1262" s="54">
        <v>1</v>
      </c>
      <c r="Q1262" s="54">
        <v>322</v>
      </c>
      <c r="R1262" s="54">
        <v>966</v>
      </c>
      <c r="S1262" s="54">
        <v>308</v>
      </c>
      <c r="T1262" s="54">
        <v>646</v>
      </c>
      <c r="U1262" s="54">
        <v>725</v>
      </c>
      <c r="V1262" s="54">
        <v>690</v>
      </c>
      <c r="W1262" s="54">
        <v>1150</v>
      </c>
      <c r="X1262" s="54">
        <v>200</v>
      </c>
    </row>
    <row r="1263" spans="1:24">
      <c r="A1263" s="52">
        <v>46255</v>
      </c>
      <c r="B1263" s="53" t="s">
        <v>998</v>
      </c>
      <c r="C1263" s="54">
        <v>357</v>
      </c>
      <c r="D1263" s="54">
        <v>325</v>
      </c>
      <c r="E1263" s="54">
        <v>346</v>
      </c>
      <c r="F1263" s="54">
        <v>650</v>
      </c>
      <c r="G1263" s="54">
        <v>399</v>
      </c>
      <c r="H1263" s="54">
        <v>252</v>
      </c>
      <c r="I1263" s="54">
        <v>325</v>
      </c>
      <c r="J1263" s="54">
        <v>619</v>
      </c>
      <c r="K1263" s="54">
        <v>588</v>
      </c>
      <c r="L1263" s="54">
        <v>440</v>
      </c>
      <c r="M1263" s="54">
        <f t="shared" si="18"/>
        <v>820</v>
      </c>
      <c r="N1263" s="55">
        <v>5121</v>
      </c>
      <c r="O1263" s="54">
        <v>197</v>
      </c>
      <c r="P1263" s="54">
        <v>1</v>
      </c>
      <c r="Q1263" s="54">
        <v>322</v>
      </c>
      <c r="R1263" s="54">
        <v>966</v>
      </c>
      <c r="S1263" s="54">
        <v>308</v>
      </c>
      <c r="T1263" s="54">
        <v>646</v>
      </c>
      <c r="U1263" s="54">
        <v>725</v>
      </c>
      <c r="V1263" s="54">
        <v>690</v>
      </c>
      <c r="W1263" s="54">
        <v>1266</v>
      </c>
      <c r="X1263" s="54">
        <v>0</v>
      </c>
    </row>
    <row r="1264" spans="1:24">
      <c r="A1264" s="52">
        <v>46256</v>
      </c>
      <c r="B1264" s="53" t="s">
        <v>998</v>
      </c>
      <c r="C1264" s="54">
        <v>400</v>
      </c>
      <c r="D1264" s="54">
        <v>365</v>
      </c>
      <c r="E1264" s="54">
        <v>388</v>
      </c>
      <c r="F1264" s="54">
        <v>729</v>
      </c>
      <c r="G1264" s="54">
        <v>447</v>
      </c>
      <c r="H1264" s="54">
        <v>282</v>
      </c>
      <c r="I1264" s="54">
        <v>365</v>
      </c>
      <c r="J1264" s="54">
        <v>694</v>
      </c>
      <c r="K1264" s="54">
        <v>659</v>
      </c>
      <c r="L1264" s="54">
        <v>494</v>
      </c>
      <c r="M1264" s="54">
        <f t="shared" si="18"/>
        <v>917</v>
      </c>
      <c r="N1264" s="55">
        <v>5740</v>
      </c>
      <c r="O1264" s="54">
        <v>227</v>
      </c>
      <c r="P1264" s="54">
        <v>1</v>
      </c>
      <c r="Q1264" s="54">
        <v>371</v>
      </c>
      <c r="R1264" s="54">
        <v>1111</v>
      </c>
      <c r="S1264" s="54">
        <v>354</v>
      </c>
      <c r="T1264" s="54">
        <v>743</v>
      </c>
      <c r="U1264" s="54">
        <v>834</v>
      </c>
      <c r="V1264" s="54">
        <v>794</v>
      </c>
      <c r="W1264" s="54">
        <v>1305</v>
      </c>
      <c r="X1264" s="54">
        <v>0</v>
      </c>
    </row>
    <row r="1265" spans="1:24">
      <c r="A1265" s="52">
        <v>46257</v>
      </c>
      <c r="B1265" s="53" t="s">
        <v>998</v>
      </c>
      <c r="C1265" s="54">
        <v>424</v>
      </c>
      <c r="D1265" s="54">
        <v>387</v>
      </c>
      <c r="E1265" s="54">
        <v>412</v>
      </c>
      <c r="F1265" s="54">
        <v>773</v>
      </c>
      <c r="G1265" s="54">
        <v>474</v>
      </c>
      <c r="H1265" s="54">
        <v>299</v>
      </c>
      <c r="I1265" s="54">
        <v>387</v>
      </c>
      <c r="J1265" s="54">
        <v>736</v>
      </c>
      <c r="K1265" s="54">
        <v>698</v>
      </c>
      <c r="L1265" s="54">
        <v>524</v>
      </c>
      <c r="M1265" s="54">
        <f t="shared" si="18"/>
        <v>974</v>
      </c>
      <c r="N1265" s="55">
        <v>6088</v>
      </c>
      <c r="O1265" s="54">
        <v>227</v>
      </c>
      <c r="P1265" s="54">
        <v>1</v>
      </c>
      <c r="Q1265" s="54">
        <v>371</v>
      </c>
      <c r="R1265" s="54">
        <v>1111</v>
      </c>
      <c r="S1265" s="54">
        <v>354</v>
      </c>
      <c r="T1265" s="54">
        <v>743</v>
      </c>
      <c r="U1265" s="54">
        <v>834</v>
      </c>
      <c r="V1265" s="54">
        <v>794</v>
      </c>
      <c r="W1265" s="54">
        <v>1453</v>
      </c>
      <c r="X1265" s="54">
        <v>200</v>
      </c>
    </row>
    <row r="1266" spans="1:24">
      <c r="A1266" s="52">
        <v>46258</v>
      </c>
      <c r="B1266" s="53" t="s">
        <v>998</v>
      </c>
      <c r="C1266" s="54">
        <v>387</v>
      </c>
      <c r="D1266" s="54">
        <v>352</v>
      </c>
      <c r="E1266" s="54">
        <v>375</v>
      </c>
      <c r="F1266" s="54">
        <v>705</v>
      </c>
      <c r="G1266" s="54">
        <v>432</v>
      </c>
      <c r="H1266" s="54">
        <v>273</v>
      </c>
      <c r="I1266" s="54">
        <v>352</v>
      </c>
      <c r="J1266" s="54">
        <v>671</v>
      </c>
      <c r="K1266" s="54">
        <v>637</v>
      </c>
      <c r="L1266" s="54">
        <v>478</v>
      </c>
      <c r="M1266" s="54">
        <f t="shared" si="18"/>
        <v>888</v>
      </c>
      <c r="N1266" s="55">
        <v>5550</v>
      </c>
      <c r="O1266" s="54">
        <v>197</v>
      </c>
      <c r="P1266" s="54">
        <v>1</v>
      </c>
      <c r="Q1266" s="54">
        <v>322</v>
      </c>
      <c r="R1266" s="54">
        <v>966</v>
      </c>
      <c r="S1266" s="54">
        <v>308</v>
      </c>
      <c r="T1266" s="54">
        <v>646</v>
      </c>
      <c r="U1266" s="54">
        <v>725</v>
      </c>
      <c r="V1266" s="54">
        <v>690</v>
      </c>
      <c r="W1266" s="54">
        <v>1495</v>
      </c>
      <c r="X1266" s="54">
        <v>200</v>
      </c>
    </row>
    <row r="1267" spans="1:24">
      <c r="A1267" s="52">
        <v>46259</v>
      </c>
      <c r="B1267" s="53" t="s">
        <v>998</v>
      </c>
      <c r="C1267" s="54">
        <v>388</v>
      </c>
      <c r="D1267" s="54">
        <v>354</v>
      </c>
      <c r="E1267" s="54">
        <v>377</v>
      </c>
      <c r="F1267" s="54">
        <v>708</v>
      </c>
      <c r="G1267" s="54">
        <v>434</v>
      </c>
      <c r="H1267" s="54">
        <v>274</v>
      </c>
      <c r="I1267" s="54">
        <v>354</v>
      </c>
      <c r="J1267" s="54">
        <v>673</v>
      </c>
      <c r="K1267" s="54">
        <v>639</v>
      </c>
      <c r="L1267" s="54">
        <v>479</v>
      </c>
      <c r="M1267" s="54">
        <f t="shared" si="18"/>
        <v>890</v>
      </c>
      <c r="N1267" s="55">
        <v>5570</v>
      </c>
      <c r="O1267" s="54">
        <v>197</v>
      </c>
      <c r="P1267" s="54">
        <v>1</v>
      </c>
      <c r="Q1267" s="54">
        <v>322</v>
      </c>
      <c r="R1267" s="54">
        <v>966</v>
      </c>
      <c r="S1267" s="54">
        <v>308</v>
      </c>
      <c r="T1267" s="54">
        <v>646</v>
      </c>
      <c r="U1267" s="54">
        <v>725</v>
      </c>
      <c r="V1267" s="54">
        <v>690</v>
      </c>
      <c r="W1267" s="54">
        <v>1515</v>
      </c>
      <c r="X1267" s="54">
        <v>200</v>
      </c>
    </row>
    <row r="1268" spans="1:24">
      <c r="A1268" s="52">
        <v>46260</v>
      </c>
      <c r="B1268" s="53" t="s">
        <v>998</v>
      </c>
      <c r="C1268" s="54">
        <v>363</v>
      </c>
      <c r="D1268" s="54">
        <v>331</v>
      </c>
      <c r="E1268" s="54">
        <v>353</v>
      </c>
      <c r="F1268" s="54">
        <v>663</v>
      </c>
      <c r="G1268" s="54">
        <v>406</v>
      </c>
      <c r="H1268" s="54">
        <v>257</v>
      </c>
      <c r="I1268" s="54">
        <v>331</v>
      </c>
      <c r="J1268" s="54">
        <v>631</v>
      </c>
      <c r="K1268" s="54">
        <v>599</v>
      </c>
      <c r="L1268" s="54">
        <v>449</v>
      </c>
      <c r="M1268" s="54">
        <f t="shared" si="18"/>
        <v>834</v>
      </c>
      <c r="N1268" s="55">
        <v>5217</v>
      </c>
      <c r="O1268" s="54">
        <v>197</v>
      </c>
      <c r="P1268" s="54">
        <v>1</v>
      </c>
      <c r="Q1268" s="54">
        <v>322</v>
      </c>
      <c r="R1268" s="54">
        <v>966</v>
      </c>
      <c r="S1268" s="54">
        <v>308</v>
      </c>
      <c r="T1268" s="54">
        <v>646</v>
      </c>
      <c r="U1268" s="54">
        <v>725</v>
      </c>
      <c r="V1268" s="54">
        <v>690</v>
      </c>
      <c r="W1268" s="54">
        <v>1162</v>
      </c>
      <c r="X1268" s="54">
        <v>200</v>
      </c>
    </row>
    <row r="1269" spans="1:24">
      <c r="A1269" s="52">
        <v>46261</v>
      </c>
      <c r="B1269" s="53" t="s">
        <v>998</v>
      </c>
      <c r="C1269" s="54">
        <v>364</v>
      </c>
      <c r="D1269" s="54">
        <v>332</v>
      </c>
      <c r="E1269" s="54">
        <v>354</v>
      </c>
      <c r="F1269" s="54">
        <v>664</v>
      </c>
      <c r="G1269" s="54">
        <v>407</v>
      </c>
      <c r="H1269" s="54">
        <v>257</v>
      </c>
      <c r="I1269" s="54">
        <v>332</v>
      </c>
      <c r="J1269" s="54">
        <v>632</v>
      </c>
      <c r="K1269" s="54">
        <v>600</v>
      </c>
      <c r="L1269" s="54">
        <v>450</v>
      </c>
      <c r="M1269" s="54">
        <f t="shared" si="18"/>
        <v>839</v>
      </c>
      <c r="N1269" s="55">
        <v>5231</v>
      </c>
      <c r="O1269" s="54">
        <v>197</v>
      </c>
      <c r="P1269" s="54">
        <v>1</v>
      </c>
      <c r="Q1269" s="54">
        <v>322</v>
      </c>
      <c r="R1269" s="54">
        <v>966</v>
      </c>
      <c r="S1269" s="54">
        <v>308</v>
      </c>
      <c r="T1269" s="54">
        <v>646</v>
      </c>
      <c r="U1269" s="54">
        <v>725</v>
      </c>
      <c r="V1269" s="54">
        <v>690</v>
      </c>
      <c r="W1269" s="54">
        <v>1176</v>
      </c>
      <c r="X1269" s="54">
        <v>200</v>
      </c>
    </row>
    <row r="1270" spans="1:24">
      <c r="A1270" s="52">
        <v>46262</v>
      </c>
      <c r="B1270" s="53" t="s">
        <v>998</v>
      </c>
      <c r="C1270" s="54">
        <v>344</v>
      </c>
      <c r="D1270" s="54">
        <v>314</v>
      </c>
      <c r="E1270" s="54">
        <v>334</v>
      </c>
      <c r="F1270" s="54">
        <v>628</v>
      </c>
      <c r="G1270" s="54">
        <v>385</v>
      </c>
      <c r="H1270" s="54">
        <v>243</v>
      </c>
      <c r="I1270" s="54">
        <v>314</v>
      </c>
      <c r="J1270" s="54">
        <v>598</v>
      </c>
      <c r="K1270" s="54">
        <v>567</v>
      </c>
      <c r="L1270" s="54">
        <v>425</v>
      </c>
      <c r="M1270" s="54">
        <f t="shared" si="18"/>
        <v>792</v>
      </c>
      <c r="N1270" s="55">
        <v>4944</v>
      </c>
      <c r="O1270" s="54">
        <v>197</v>
      </c>
      <c r="P1270" s="54">
        <v>1</v>
      </c>
      <c r="Q1270" s="54">
        <v>322</v>
      </c>
      <c r="R1270" s="54">
        <v>967</v>
      </c>
      <c r="S1270" s="54">
        <v>308</v>
      </c>
      <c r="T1270" s="54">
        <v>647</v>
      </c>
      <c r="U1270" s="54">
        <v>725</v>
      </c>
      <c r="V1270" s="54">
        <v>690</v>
      </c>
      <c r="W1270" s="54">
        <v>1087</v>
      </c>
      <c r="X1270" s="54">
        <v>0</v>
      </c>
    </row>
    <row r="1271" spans="1:24">
      <c r="A1271" s="52">
        <v>46263</v>
      </c>
      <c r="B1271" s="53" t="s">
        <v>998</v>
      </c>
      <c r="C1271" s="54">
        <v>388</v>
      </c>
      <c r="D1271" s="54">
        <v>354</v>
      </c>
      <c r="E1271" s="54">
        <v>377</v>
      </c>
      <c r="F1271" s="54">
        <v>708</v>
      </c>
      <c r="G1271" s="54">
        <v>434</v>
      </c>
      <c r="H1271" s="54">
        <v>274</v>
      </c>
      <c r="I1271" s="54">
        <v>354</v>
      </c>
      <c r="J1271" s="54">
        <v>674</v>
      </c>
      <c r="K1271" s="54">
        <v>640</v>
      </c>
      <c r="L1271" s="54">
        <v>480</v>
      </c>
      <c r="M1271" s="54">
        <f t="shared" si="18"/>
        <v>894</v>
      </c>
      <c r="N1271" s="55">
        <v>5577</v>
      </c>
      <c r="O1271" s="54">
        <v>227</v>
      </c>
      <c r="P1271" s="54">
        <v>1</v>
      </c>
      <c r="Q1271" s="54">
        <v>372</v>
      </c>
      <c r="R1271" s="54">
        <v>1112</v>
      </c>
      <c r="S1271" s="54">
        <v>354</v>
      </c>
      <c r="T1271" s="54">
        <v>744</v>
      </c>
      <c r="U1271" s="54">
        <v>834</v>
      </c>
      <c r="V1271" s="54">
        <v>795</v>
      </c>
      <c r="W1271" s="54">
        <v>1138</v>
      </c>
      <c r="X1271" s="54">
        <v>0</v>
      </c>
    </row>
    <row r="1272" spans="1:24">
      <c r="A1272" s="52">
        <v>46264</v>
      </c>
      <c r="B1272" s="53" t="s">
        <v>998</v>
      </c>
      <c r="C1272" s="54">
        <v>393</v>
      </c>
      <c r="D1272" s="54">
        <v>358</v>
      </c>
      <c r="E1272" s="54">
        <v>381</v>
      </c>
      <c r="F1272" s="54">
        <v>716</v>
      </c>
      <c r="G1272" s="54">
        <v>439</v>
      </c>
      <c r="H1272" s="54">
        <v>277</v>
      </c>
      <c r="I1272" s="54">
        <v>358</v>
      </c>
      <c r="J1272" s="54">
        <v>681</v>
      </c>
      <c r="K1272" s="54">
        <v>647</v>
      </c>
      <c r="L1272" s="54">
        <v>485</v>
      </c>
      <c r="M1272" s="54">
        <f t="shared" si="18"/>
        <v>900</v>
      </c>
      <c r="N1272" s="55">
        <v>5635</v>
      </c>
      <c r="O1272" s="54">
        <v>227</v>
      </c>
      <c r="P1272" s="54">
        <v>1</v>
      </c>
      <c r="Q1272" s="54">
        <v>372</v>
      </c>
      <c r="R1272" s="54">
        <v>1112</v>
      </c>
      <c r="S1272" s="54">
        <v>354</v>
      </c>
      <c r="T1272" s="54">
        <v>744</v>
      </c>
      <c r="U1272" s="54">
        <v>834</v>
      </c>
      <c r="V1272" s="54">
        <v>795</v>
      </c>
      <c r="W1272" s="54">
        <v>996</v>
      </c>
      <c r="X1272" s="54">
        <v>200</v>
      </c>
    </row>
    <row r="1273" spans="1:24">
      <c r="A1273" s="52">
        <v>46265</v>
      </c>
      <c r="B1273" s="53" t="s">
        <v>998</v>
      </c>
      <c r="C1273" s="54">
        <v>344</v>
      </c>
      <c r="D1273" s="54">
        <v>314</v>
      </c>
      <c r="E1273" s="54">
        <v>334</v>
      </c>
      <c r="F1273" s="54">
        <v>628</v>
      </c>
      <c r="G1273" s="54">
        <v>385</v>
      </c>
      <c r="H1273" s="54">
        <v>243</v>
      </c>
      <c r="I1273" s="54">
        <v>314</v>
      </c>
      <c r="J1273" s="54">
        <v>598</v>
      </c>
      <c r="K1273" s="54">
        <v>567</v>
      </c>
      <c r="L1273" s="54">
        <v>425</v>
      </c>
      <c r="M1273" s="54">
        <f t="shared" si="18"/>
        <v>792</v>
      </c>
      <c r="N1273" s="55">
        <v>4944</v>
      </c>
      <c r="O1273" s="54">
        <v>197</v>
      </c>
      <c r="P1273" s="54">
        <v>1</v>
      </c>
      <c r="Q1273" s="54">
        <v>323</v>
      </c>
      <c r="R1273" s="54">
        <v>967</v>
      </c>
      <c r="S1273" s="54">
        <v>308</v>
      </c>
      <c r="T1273" s="54">
        <v>647</v>
      </c>
      <c r="U1273" s="54">
        <v>725</v>
      </c>
      <c r="V1273" s="54">
        <v>691</v>
      </c>
      <c r="W1273" s="54">
        <v>885</v>
      </c>
      <c r="X1273" s="54">
        <v>200</v>
      </c>
    </row>
    <row r="1274" spans="1:24">
      <c r="A1274" s="52">
        <v>46266</v>
      </c>
      <c r="B1274" s="53" t="s">
        <v>998</v>
      </c>
      <c r="C1274" s="54"/>
      <c r="D1274" s="54"/>
      <c r="E1274" s="54"/>
      <c r="F1274" s="54"/>
      <c r="G1274" s="54"/>
      <c r="H1274" s="54"/>
      <c r="I1274" s="54"/>
      <c r="J1274" s="54"/>
      <c r="K1274" s="54"/>
      <c r="L1274" s="54"/>
      <c r="M1274" s="54">
        <f t="shared" si="18"/>
        <v>0</v>
      </c>
      <c r="N1274" s="55"/>
      <c r="O1274" s="54"/>
      <c r="P1274" s="54"/>
      <c r="Q1274" s="54"/>
      <c r="R1274" s="54"/>
      <c r="S1274" s="54"/>
      <c r="T1274" s="54"/>
      <c r="U1274" s="54"/>
      <c r="V1274" s="54"/>
      <c r="W1274" s="54"/>
      <c r="X1274" s="54"/>
    </row>
    <row r="1275" spans="1:24">
      <c r="A1275" s="52">
        <v>46267</v>
      </c>
      <c r="B1275" s="53" t="s">
        <v>998</v>
      </c>
      <c r="C1275" s="54"/>
      <c r="D1275" s="54"/>
      <c r="E1275" s="54"/>
      <c r="F1275" s="54"/>
      <c r="G1275" s="54"/>
      <c r="H1275" s="54"/>
      <c r="I1275" s="54"/>
      <c r="J1275" s="54"/>
      <c r="K1275" s="54"/>
      <c r="L1275" s="54"/>
      <c r="M1275" s="54">
        <f t="shared" si="18"/>
        <v>0</v>
      </c>
      <c r="N1275" s="55"/>
      <c r="O1275" s="54"/>
      <c r="P1275" s="54"/>
      <c r="Q1275" s="54"/>
      <c r="R1275" s="54"/>
      <c r="S1275" s="54"/>
      <c r="T1275" s="54"/>
      <c r="U1275" s="54"/>
      <c r="V1275" s="54"/>
      <c r="W1275" s="54"/>
      <c r="X1275" s="54"/>
    </row>
    <row r="1276" spans="1:24">
      <c r="A1276" s="52">
        <v>46268</v>
      </c>
      <c r="B1276" s="53" t="s">
        <v>998</v>
      </c>
      <c r="C1276" s="54"/>
      <c r="D1276" s="54"/>
      <c r="E1276" s="54"/>
      <c r="F1276" s="54"/>
      <c r="G1276" s="54"/>
      <c r="H1276" s="54"/>
      <c r="I1276" s="54"/>
      <c r="J1276" s="54"/>
      <c r="K1276" s="54"/>
      <c r="L1276" s="54"/>
      <c r="M1276" s="54">
        <f t="shared" si="18"/>
        <v>0</v>
      </c>
      <c r="N1276" s="55"/>
      <c r="O1276" s="54"/>
      <c r="P1276" s="54"/>
      <c r="Q1276" s="54"/>
      <c r="R1276" s="54"/>
      <c r="S1276" s="54"/>
      <c r="T1276" s="54"/>
      <c r="U1276" s="54"/>
      <c r="V1276" s="54"/>
      <c r="W1276" s="54"/>
      <c r="X1276" s="54"/>
    </row>
    <row r="1277" spans="1:24">
      <c r="A1277" s="52">
        <v>46269</v>
      </c>
      <c r="B1277" s="53" t="s">
        <v>998</v>
      </c>
      <c r="C1277" s="54"/>
      <c r="D1277" s="54"/>
      <c r="E1277" s="54"/>
      <c r="F1277" s="54"/>
      <c r="G1277" s="54"/>
      <c r="H1277" s="54"/>
      <c r="I1277" s="54"/>
      <c r="J1277" s="54"/>
      <c r="K1277" s="54"/>
      <c r="L1277" s="54"/>
      <c r="M1277" s="54">
        <f t="shared" si="18"/>
        <v>0</v>
      </c>
      <c r="N1277" s="55"/>
      <c r="O1277" s="54"/>
      <c r="P1277" s="54"/>
      <c r="Q1277" s="54"/>
      <c r="R1277" s="54"/>
      <c r="S1277" s="54"/>
      <c r="T1277" s="54"/>
      <c r="U1277" s="54"/>
      <c r="V1277" s="54"/>
      <c r="W1277" s="54"/>
      <c r="X1277" s="54"/>
    </row>
    <row r="1278" spans="1:24">
      <c r="A1278" s="52">
        <v>46270</v>
      </c>
      <c r="B1278" s="53" t="s">
        <v>998</v>
      </c>
      <c r="C1278" s="54"/>
      <c r="D1278" s="54"/>
      <c r="E1278" s="54"/>
      <c r="F1278" s="54"/>
      <c r="G1278" s="54"/>
      <c r="H1278" s="54"/>
      <c r="I1278" s="54"/>
      <c r="J1278" s="54"/>
      <c r="K1278" s="54"/>
      <c r="L1278" s="54"/>
      <c r="M1278" s="54">
        <f t="shared" si="18"/>
        <v>0</v>
      </c>
      <c r="N1278" s="55"/>
      <c r="O1278" s="54"/>
      <c r="P1278" s="54"/>
      <c r="Q1278" s="54"/>
      <c r="R1278" s="54"/>
      <c r="S1278" s="54"/>
      <c r="T1278" s="54"/>
      <c r="U1278" s="54"/>
      <c r="V1278" s="54"/>
      <c r="W1278" s="54"/>
      <c r="X1278" s="54"/>
    </row>
    <row r="1279" spans="1:24">
      <c r="A1279" s="52">
        <v>46271</v>
      </c>
      <c r="B1279" s="53" t="s">
        <v>998</v>
      </c>
      <c r="C1279" s="54"/>
      <c r="D1279" s="54"/>
      <c r="E1279" s="54"/>
      <c r="F1279" s="54"/>
      <c r="G1279" s="54"/>
      <c r="H1279" s="54"/>
      <c r="I1279" s="54"/>
      <c r="J1279" s="54"/>
      <c r="K1279" s="54"/>
      <c r="L1279" s="54"/>
      <c r="M1279" s="54">
        <f t="shared" si="18"/>
        <v>0</v>
      </c>
      <c r="N1279" s="55"/>
      <c r="O1279" s="54"/>
      <c r="P1279" s="54"/>
      <c r="Q1279" s="54"/>
      <c r="R1279" s="54"/>
      <c r="S1279" s="54"/>
      <c r="T1279" s="54"/>
      <c r="U1279" s="54"/>
      <c r="V1279" s="54"/>
      <c r="W1279" s="54"/>
      <c r="X1279" s="54"/>
    </row>
    <row r="1280" spans="1:24">
      <c r="A1280" s="52">
        <v>46272</v>
      </c>
      <c r="B1280" s="53" t="s">
        <v>998</v>
      </c>
      <c r="C1280" s="54"/>
      <c r="D1280" s="54"/>
      <c r="E1280" s="54"/>
      <c r="F1280" s="54"/>
      <c r="G1280" s="54"/>
      <c r="H1280" s="54"/>
      <c r="I1280" s="54"/>
      <c r="J1280" s="54"/>
      <c r="K1280" s="54"/>
      <c r="L1280" s="54"/>
      <c r="M1280" s="54">
        <f t="shared" si="18"/>
        <v>0</v>
      </c>
      <c r="N1280" s="55"/>
      <c r="O1280" s="54"/>
      <c r="P1280" s="54"/>
      <c r="Q1280" s="54"/>
      <c r="R1280" s="54"/>
      <c r="S1280" s="54"/>
      <c r="T1280" s="54"/>
      <c r="U1280" s="54"/>
      <c r="V1280" s="54"/>
      <c r="W1280" s="54"/>
      <c r="X1280" s="54"/>
    </row>
    <row r="1281" spans="1:24">
      <c r="A1281" s="52">
        <v>46273</v>
      </c>
      <c r="B1281" s="53" t="s">
        <v>998</v>
      </c>
      <c r="C1281" s="54"/>
      <c r="D1281" s="54"/>
      <c r="E1281" s="54"/>
      <c r="F1281" s="54"/>
      <c r="G1281" s="54"/>
      <c r="H1281" s="54"/>
      <c r="I1281" s="54"/>
      <c r="J1281" s="54"/>
      <c r="K1281" s="54"/>
      <c r="L1281" s="54"/>
      <c r="M1281" s="54">
        <f t="shared" si="18"/>
        <v>0</v>
      </c>
      <c r="N1281" s="55"/>
      <c r="O1281" s="54"/>
      <c r="P1281" s="54"/>
      <c r="Q1281" s="54"/>
      <c r="R1281" s="54"/>
      <c r="S1281" s="54"/>
      <c r="T1281" s="54"/>
      <c r="U1281" s="54"/>
      <c r="V1281" s="54"/>
      <c r="W1281" s="54"/>
      <c r="X1281" s="54"/>
    </row>
    <row r="1282" spans="1:24">
      <c r="A1282" s="52">
        <v>46274</v>
      </c>
      <c r="B1282" s="53" t="s">
        <v>998</v>
      </c>
      <c r="C1282" s="54"/>
      <c r="D1282" s="54"/>
      <c r="E1282" s="54"/>
      <c r="F1282" s="54"/>
      <c r="G1282" s="54"/>
      <c r="H1282" s="54"/>
      <c r="I1282" s="54"/>
      <c r="J1282" s="54"/>
      <c r="K1282" s="54"/>
      <c r="L1282" s="54"/>
      <c r="M1282" s="54">
        <f t="shared" si="18"/>
        <v>0</v>
      </c>
      <c r="N1282" s="55"/>
      <c r="O1282" s="54"/>
      <c r="P1282" s="54"/>
      <c r="Q1282" s="54"/>
      <c r="R1282" s="54"/>
      <c r="S1282" s="54"/>
      <c r="T1282" s="54"/>
      <c r="U1282" s="54"/>
      <c r="V1282" s="54"/>
      <c r="W1282" s="54"/>
      <c r="X1282" s="54"/>
    </row>
    <row r="1283" spans="1:24">
      <c r="A1283" s="52">
        <v>46275</v>
      </c>
      <c r="B1283" s="53" t="s">
        <v>998</v>
      </c>
      <c r="C1283" s="54"/>
      <c r="D1283" s="54"/>
      <c r="E1283" s="54"/>
      <c r="F1283" s="54"/>
      <c r="G1283" s="54"/>
      <c r="H1283" s="54"/>
      <c r="I1283" s="54"/>
      <c r="J1283" s="54"/>
      <c r="K1283" s="54"/>
      <c r="L1283" s="54"/>
      <c r="M1283" s="54">
        <f t="shared" si="18"/>
        <v>0</v>
      </c>
      <c r="N1283" s="55"/>
      <c r="O1283" s="54"/>
      <c r="P1283" s="54"/>
      <c r="Q1283" s="54"/>
      <c r="R1283" s="54"/>
      <c r="S1283" s="54"/>
      <c r="T1283" s="54"/>
      <c r="U1283" s="54"/>
      <c r="V1283" s="54"/>
      <c r="W1283" s="54"/>
      <c r="X1283" s="54"/>
    </row>
    <row r="1284" spans="1:24">
      <c r="A1284" s="52">
        <v>46276</v>
      </c>
      <c r="B1284" s="53" t="s">
        <v>998</v>
      </c>
      <c r="C1284" s="54"/>
      <c r="D1284" s="54"/>
      <c r="E1284" s="54"/>
      <c r="F1284" s="54"/>
      <c r="G1284" s="54"/>
      <c r="H1284" s="54"/>
      <c r="I1284" s="54"/>
      <c r="J1284" s="54"/>
      <c r="K1284" s="54"/>
      <c r="L1284" s="54"/>
      <c r="M1284" s="54">
        <f t="shared" si="18"/>
        <v>0</v>
      </c>
      <c r="N1284" s="55"/>
      <c r="O1284" s="54"/>
      <c r="P1284" s="54"/>
      <c r="Q1284" s="54"/>
      <c r="R1284" s="54"/>
      <c r="S1284" s="54"/>
      <c r="T1284" s="54"/>
      <c r="U1284" s="54"/>
      <c r="V1284" s="54"/>
      <c r="W1284" s="54"/>
      <c r="X1284" s="54"/>
    </row>
    <row r="1285" spans="1:24">
      <c r="A1285" s="52">
        <v>46277</v>
      </c>
      <c r="B1285" s="53" t="s">
        <v>998</v>
      </c>
      <c r="C1285" s="54"/>
      <c r="D1285" s="54"/>
      <c r="E1285" s="54"/>
      <c r="F1285" s="54"/>
      <c r="G1285" s="54"/>
      <c r="H1285" s="54"/>
      <c r="I1285" s="54"/>
      <c r="J1285" s="54"/>
      <c r="K1285" s="54"/>
      <c r="L1285" s="54"/>
      <c r="M1285" s="54">
        <f t="shared" si="18"/>
        <v>0</v>
      </c>
      <c r="N1285" s="55"/>
      <c r="O1285" s="54"/>
      <c r="P1285" s="54"/>
      <c r="Q1285" s="54"/>
      <c r="R1285" s="54"/>
      <c r="S1285" s="54"/>
      <c r="T1285" s="54"/>
      <c r="U1285" s="54"/>
      <c r="V1285" s="54"/>
      <c r="W1285" s="54"/>
      <c r="X1285" s="54"/>
    </row>
    <row r="1286" spans="1:24">
      <c r="A1286" s="52">
        <v>46278</v>
      </c>
      <c r="B1286" s="53" t="s">
        <v>998</v>
      </c>
      <c r="C1286" s="54"/>
      <c r="D1286" s="54"/>
      <c r="E1286" s="54"/>
      <c r="F1286" s="54"/>
      <c r="G1286" s="54"/>
      <c r="H1286" s="54"/>
      <c r="I1286" s="54"/>
      <c r="J1286" s="54"/>
      <c r="K1286" s="54"/>
      <c r="L1286" s="54"/>
      <c r="M1286" s="54">
        <f t="shared" si="18"/>
        <v>0</v>
      </c>
      <c r="N1286" s="55"/>
      <c r="O1286" s="54"/>
      <c r="P1286" s="54"/>
      <c r="Q1286" s="54"/>
      <c r="R1286" s="54"/>
      <c r="S1286" s="54"/>
      <c r="T1286" s="54"/>
      <c r="U1286" s="54"/>
      <c r="V1286" s="54"/>
      <c r="W1286" s="54"/>
      <c r="X1286" s="54"/>
    </row>
    <row r="1287" spans="1:24">
      <c r="A1287" s="52">
        <v>46279</v>
      </c>
      <c r="B1287" s="53" t="s">
        <v>998</v>
      </c>
      <c r="C1287" s="54"/>
      <c r="D1287" s="54"/>
      <c r="E1287" s="54"/>
      <c r="F1287" s="54"/>
      <c r="G1287" s="54"/>
      <c r="H1287" s="54"/>
      <c r="I1287" s="54"/>
      <c r="J1287" s="54"/>
      <c r="K1287" s="54"/>
      <c r="L1287" s="54"/>
      <c r="M1287" s="54">
        <f t="shared" si="18"/>
        <v>0</v>
      </c>
      <c r="N1287" s="55"/>
      <c r="O1287" s="54"/>
      <c r="P1287" s="54"/>
      <c r="Q1287" s="54"/>
      <c r="R1287" s="54"/>
      <c r="S1287" s="54"/>
      <c r="T1287" s="54"/>
      <c r="U1287" s="54"/>
      <c r="V1287" s="54"/>
      <c r="W1287" s="54"/>
      <c r="X1287" s="54"/>
    </row>
    <row r="1288" spans="1:24">
      <c r="A1288" s="52">
        <v>46280</v>
      </c>
      <c r="B1288" s="53" t="s">
        <v>998</v>
      </c>
      <c r="C1288" s="54"/>
      <c r="D1288" s="54"/>
      <c r="E1288" s="54"/>
      <c r="F1288" s="54"/>
      <c r="G1288" s="54"/>
      <c r="H1288" s="54"/>
      <c r="I1288" s="54"/>
      <c r="J1288" s="54"/>
      <c r="K1288" s="54"/>
      <c r="L1288" s="54"/>
      <c r="M1288" s="54">
        <f t="shared" si="18"/>
        <v>0</v>
      </c>
      <c r="N1288" s="55"/>
      <c r="O1288" s="54"/>
      <c r="P1288" s="54"/>
      <c r="Q1288" s="54"/>
      <c r="R1288" s="54"/>
      <c r="S1288" s="54"/>
      <c r="T1288" s="54"/>
      <c r="U1288" s="54"/>
      <c r="V1288" s="54"/>
      <c r="W1288" s="54"/>
      <c r="X1288" s="54"/>
    </row>
    <row r="1289" spans="1:24">
      <c r="A1289" s="52">
        <v>46281</v>
      </c>
      <c r="B1289" s="53" t="s">
        <v>998</v>
      </c>
      <c r="C1289" s="54"/>
      <c r="D1289" s="54"/>
      <c r="E1289" s="54"/>
      <c r="F1289" s="54"/>
      <c r="G1289" s="54"/>
      <c r="H1289" s="54"/>
      <c r="I1289" s="54"/>
      <c r="J1289" s="54"/>
      <c r="K1289" s="54"/>
      <c r="L1289" s="54"/>
      <c r="M1289" s="54">
        <f t="shared" si="18"/>
        <v>0</v>
      </c>
      <c r="N1289" s="55"/>
      <c r="O1289" s="54"/>
      <c r="P1289" s="54"/>
      <c r="Q1289" s="54"/>
      <c r="R1289" s="54"/>
      <c r="S1289" s="54"/>
      <c r="T1289" s="54"/>
      <c r="U1289" s="54"/>
      <c r="V1289" s="54"/>
      <c r="W1289" s="54"/>
      <c r="X1289" s="54"/>
    </row>
    <row r="1290" spans="1:24">
      <c r="A1290" s="52">
        <v>46282</v>
      </c>
      <c r="B1290" s="53" t="s">
        <v>998</v>
      </c>
      <c r="C1290" s="54"/>
      <c r="D1290" s="54"/>
      <c r="E1290" s="54"/>
      <c r="F1290" s="54"/>
      <c r="G1290" s="54"/>
      <c r="H1290" s="54"/>
      <c r="I1290" s="54"/>
      <c r="J1290" s="54"/>
      <c r="K1290" s="54"/>
      <c r="L1290" s="54"/>
      <c r="M1290" s="54">
        <f t="shared" si="18"/>
        <v>0</v>
      </c>
      <c r="N1290" s="55"/>
      <c r="O1290" s="54"/>
      <c r="P1290" s="54"/>
      <c r="Q1290" s="54"/>
      <c r="R1290" s="54"/>
      <c r="S1290" s="54"/>
      <c r="T1290" s="54"/>
      <c r="U1290" s="54"/>
      <c r="V1290" s="54"/>
      <c r="W1290" s="54"/>
      <c r="X1290" s="54"/>
    </row>
    <row r="1291" spans="1:24">
      <c r="A1291" s="52">
        <v>46283</v>
      </c>
      <c r="B1291" s="53" t="s">
        <v>998</v>
      </c>
      <c r="C1291" s="54"/>
      <c r="D1291" s="54"/>
      <c r="E1291" s="54"/>
      <c r="F1291" s="54"/>
      <c r="G1291" s="54"/>
      <c r="H1291" s="54"/>
      <c r="I1291" s="54"/>
      <c r="J1291" s="54"/>
      <c r="K1291" s="54"/>
      <c r="L1291" s="54"/>
      <c r="M1291" s="54">
        <f t="shared" si="18"/>
        <v>0</v>
      </c>
      <c r="N1291" s="55"/>
      <c r="O1291" s="54"/>
      <c r="P1291" s="54"/>
      <c r="Q1291" s="54"/>
      <c r="R1291" s="54"/>
      <c r="S1291" s="54"/>
      <c r="T1291" s="54"/>
      <c r="U1291" s="54"/>
      <c r="V1291" s="54"/>
      <c r="W1291" s="54"/>
      <c r="X1291" s="54"/>
    </row>
    <row r="1292" spans="1:24">
      <c r="A1292" s="52">
        <v>46284</v>
      </c>
      <c r="B1292" s="53" t="s">
        <v>998</v>
      </c>
      <c r="C1292" s="54"/>
      <c r="D1292" s="54"/>
      <c r="E1292" s="54"/>
      <c r="F1292" s="54"/>
      <c r="G1292" s="54"/>
      <c r="H1292" s="54"/>
      <c r="I1292" s="54"/>
      <c r="J1292" s="54"/>
      <c r="K1292" s="54"/>
      <c r="L1292" s="54"/>
      <c r="M1292" s="54">
        <f t="shared" si="18"/>
        <v>0</v>
      </c>
      <c r="N1292" s="55"/>
      <c r="O1292" s="54"/>
      <c r="P1292" s="54"/>
      <c r="Q1292" s="54"/>
      <c r="R1292" s="54"/>
      <c r="S1292" s="54"/>
      <c r="T1292" s="54"/>
      <c r="U1292" s="54"/>
      <c r="V1292" s="54"/>
      <c r="W1292" s="54"/>
      <c r="X1292" s="54"/>
    </row>
    <row r="1293" spans="1:24">
      <c r="A1293" s="52">
        <v>46285</v>
      </c>
      <c r="B1293" s="53" t="s">
        <v>998</v>
      </c>
      <c r="C1293" s="54"/>
      <c r="D1293" s="54"/>
      <c r="E1293" s="54"/>
      <c r="F1293" s="54"/>
      <c r="G1293" s="54"/>
      <c r="H1293" s="54"/>
      <c r="I1293" s="54"/>
      <c r="J1293" s="54"/>
      <c r="K1293" s="54"/>
      <c r="L1293" s="54"/>
      <c r="M1293" s="54">
        <f t="shared" si="18"/>
        <v>0</v>
      </c>
      <c r="N1293" s="55"/>
      <c r="O1293" s="54"/>
      <c r="P1293" s="54"/>
      <c r="Q1293" s="54"/>
      <c r="R1293" s="54"/>
      <c r="S1293" s="54"/>
      <c r="T1293" s="54"/>
      <c r="U1293" s="54"/>
      <c r="V1293" s="54"/>
      <c r="W1293" s="54"/>
      <c r="X1293" s="54"/>
    </row>
    <row r="1294" spans="1:24">
      <c r="A1294" s="52">
        <v>46286</v>
      </c>
      <c r="B1294" s="53" t="s">
        <v>998</v>
      </c>
      <c r="C1294" s="54"/>
      <c r="D1294" s="54"/>
      <c r="E1294" s="54"/>
      <c r="F1294" s="54"/>
      <c r="G1294" s="54"/>
      <c r="H1294" s="54"/>
      <c r="I1294" s="54"/>
      <c r="J1294" s="54"/>
      <c r="K1294" s="54"/>
      <c r="L1294" s="54"/>
      <c r="M1294" s="54">
        <f t="shared" si="18"/>
        <v>0</v>
      </c>
      <c r="N1294" s="55"/>
      <c r="O1294" s="54"/>
      <c r="P1294" s="54"/>
      <c r="Q1294" s="54"/>
      <c r="R1294" s="54"/>
      <c r="S1294" s="54"/>
      <c r="T1294" s="54"/>
      <c r="U1294" s="54"/>
      <c r="V1294" s="54"/>
      <c r="W1294" s="54"/>
      <c r="X1294" s="54"/>
    </row>
    <row r="1295" spans="1:24">
      <c r="A1295" s="52">
        <v>46287</v>
      </c>
      <c r="B1295" s="53" t="s">
        <v>998</v>
      </c>
      <c r="C1295" s="54"/>
      <c r="D1295" s="54"/>
      <c r="E1295" s="54"/>
      <c r="F1295" s="54"/>
      <c r="G1295" s="54"/>
      <c r="H1295" s="54"/>
      <c r="I1295" s="54"/>
      <c r="J1295" s="54"/>
      <c r="K1295" s="54"/>
      <c r="L1295" s="54"/>
      <c r="M1295" s="54">
        <f t="shared" si="18"/>
        <v>0</v>
      </c>
      <c r="N1295" s="55"/>
      <c r="O1295" s="54"/>
      <c r="P1295" s="54"/>
      <c r="Q1295" s="54"/>
      <c r="R1295" s="54"/>
      <c r="S1295" s="54"/>
      <c r="T1295" s="54"/>
      <c r="U1295" s="54"/>
      <c r="V1295" s="54"/>
      <c r="W1295" s="54"/>
      <c r="X1295" s="54"/>
    </row>
    <row r="1296" spans="1:24">
      <c r="A1296" s="52">
        <v>46288</v>
      </c>
      <c r="B1296" s="53" t="s">
        <v>998</v>
      </c>
      <c r="C1296" s="54"/>
      <c r="D1296" s="54"/>
      <c r="E1296" s="54"/>
      <c r="F1296" s="54"/>
      <c r="G1296" s="54"/>
      <c r="H1296" s="54"/>
      <c r="I1296" s="54"/>
      <c r="J1296" s="54"/>
      <c r="K1296" s="54"/>
      <c r="L1296" s="54"/>
      <c r="M1296" s="54">
        <f t="shared" si="18"/>
        <v>0</v>
      </c>
      <c r="N1296" s="55"/>
      <c r="O1296" s="54"/>
      <c r="P1296" s="54"/>
      <c r="Q1296" s="54"/>
      <c r="R1296" s="54"/>
      <c r="S1296" s="54"/>
      <c r="T1296" s="54"/>
      <c r="U1296" s="54"/>
      <c r="V1296" s="54"/>
      <c r="W1296" s="54"/>
      <c r="X1296" s="54"/>
    </row>
    <row r="1297" spans="1:24">
      <c r="A1297" s="52">
        <v>46289</v>
      </c>
      <c r="B1297" s="53" t="s">
        <v>998</v>
      </c>
      <c r="C1297" s="54"/>
      <c r="D1297" s="54"/>
      <c r="E1297" s="54"/>
      <c r="F1297" s="54"/>
      <c r="G1297" s="54"/>
      <c r="H1297" s="54"/>
      <c r="I1297" s="54"/>
      <c r="J1297" s="54"/>
      <c r="K1297" s="54"/>
      <c r="L1297" s="54"/>
      <c r="M1297" s="54">
        <f t="shared" si="18"/>
        <v>0</v>
      </c>
      <c r="N1297" s="55"/>
      <c r="O1297" s="54"/>
      <c r="P1297" s="54"/>
      <c r="Q1297" s="54"/>
      <c r="R1297" s="54"/>
      <c r="S1297" s="54"/>
      <c r="T1297" s="54"/>
      <c r="U1297" s="54"/>
      <c r="V1297" s="54"/>
      <c r="W1297" s="54"/>
      <c r="X1297" s="54"/>
    </row>
    <row r="1298" spans="1:24">
      <c r="A1298" s="52">
        <v>46290</v>
      </c>
      <c r="B1298" s="53" t="s">
        <v>998</v>
      </c>
      <c r="C1298" s="54"/>
      <c r="D1298" s="54"/>
      <c r="E1298" s="54"/>
      <c r="F1298" s="54"/>
      <c r="G1298" s="54"/>
      <c r="H1298" s="54"/>
      <c r="I1298" s="54"/>
      <c r="J1298" s="54"/>
      <c r="K1298" s="54"/>
      <c r="L1298" s="54"/>
      <c r="M1298" s="54">
        <f t="shared" si="18"/>
        <v>0</v>
      </c>
      <c r="N1298" s="55"/>
      <c r="O1298" s="54"/>
      <c r="P1298" s="54"/>
      <c r="Q1298" s="54"/>
      <c r="R1298" s="54"/>
      <c r="S1298" s="54"/>
      <c r="T1298" s="54"/>
      <c r="U1298" s="54"/>
      <c r="V1298" s="54"/>
      <c r="W1298" s="54"/>
      <c r="X1298" s="54"/>
    </row>
    <row r="1299" spans="1:24">
      <c r="A1299" s="52">
        <v>46291</v>
      </c>
      <c r="B1299" s="53" t="s">
        <v>998</v>
      </c>
      <c r="C1299" s="54"/>
      <c r="D1299" s="54"/>
      <c r="E1299" s="54"/>
      <c r="F1299" s="54"/>
      <c r="G1299" s="54"/>
      <c r="H1299" s="54"/>
      <c r="I1299" s="54"/>
      <c r="J1299" s="54"/>
      <c r="K1299" s="54"/>
      <c r="L1299" s="54"/>
      <c r="M1299" s="54">
        <f t="shared" si="18"/>
        <v>0</v>
      </c>
      <c r="N1299" s="55"/>
      <c r="O1299" s="54"/>
      <c r="P1299" s="54"/>
      <c r="Q1299" s="54"/>
      <c r="R1299" s="54"/>
      <c r="S1299" s="54"/>
      <c r="T1299" s="54"/>
      <c r="U1299" s="54"/>
      <c r="V1299" s="54"/>
      <c r="W1299" s="54"/>
      <c r="X1299" s="54"/>
    </row>
    <row r="1300" spans="1:24">
      <c r="A1300" s="52">
        <v>46292</v>
      </c>
      <c r="B1300" s="53" t="s">
        <v>998</v>
      </c>
      <c r="C1300" s="54"/>
      <c r="D1300" s="54"/>
      <c r="E1300" s="54"/>
      <c r="F1300" s="54"/>
      <c r="G1300" s="54"/>
      <c r="H1300" s="54"/>
      <c r="I1300" s="54"/>
      <c r="J1300" s="54"/>
      <c r="K1300" s="54"/>
      <c r="L1300" s="54"/>
      <c r="M1300" s="54">
        <f t="shared" si="18"/>
        <v>0</v>
      </c>
      <c r="N1300" s="55"/>
      <c r="O1300" s="54"/>
      <c r="P1300" s="54"/>
      <c r="Q1300" s="54"/>
      <c r="R1300" s="54"/>
      <c r="S1300" s="54"/>
      <c r="T1300" s="54"/>
      <c r="U1300" s="54"/>
      <c r="V1300" s="54"/>
      <c r="W1300" s="54"/>
      <c r="X1300" s="54"/>
    </row>
    <row r="1301" spans="1:24">
      <c r="A1301" s="52">
        <v>46293</v>
      </c>
      <c r="B1301" s="53" t="s">
        <v>998</v>
      </c>
      <c r="C1301" s="54"/>
      <c r="D1301" s="54"/>
      <c r="E1301" s="54"/>
      <c r="F1301" s="54"/>
      <c r="G1301" s="54"/>
      <c r="H1301" s="54"/>
      <c r="I1301" s="54"/>
      <c r="J1301" s="54"/>
      <c r="K1301" s="54"/>
      <c r="L1301" s="54"/>
      <c r="M1301" s="54">
        <f t="shared" si="18"/>
        <v>0</v>
      </c>
      <c r="N1301" s="55"/>
      <c r="O1301" s="54"/>
      <c r="P1301" s="54"/>
      <c r="Q1301" s="54"/>
      <c r="R1301" s="54"/>
      <c r="S1301" s="54"/>
      <c r="T1301" s="54"/>
      <c r="U1301" s="54"/>
      <c r="V1301" s="54"/>
      <c r="W1301" s="54"/>
      <c r="X1301" s="54"/>
    </row>
    <row r="1302" spans="1:24">
      <c r="A1302" s="52">
        <v>46294</v>
      </c>
      <c r="B1302" s="53" t="s">
        <v>998</v>
      </c>
      <c r="C1302" s="54"/>
      <c r="D1302" s="54"/>
      <c r="E1302" s="54"/>
      <c r="F1302" s="54"/>
      <c r="G1302" s="54"/>
      <c r="H1302" s="54"/>
      <c r="I1302" s="54"/>
      <c r="J1302" s="54"/>
      <c r="K1302" s="54"/>
      <c r="L1302" s="54"/>
      <c r="M1302" s="54">
        <f t="shared" si="18"/>
        <v>0</v>
      </c>
      <c r="N1302" s="55"/>
      <c r="O1302" s="54"/>
      <c r="P1302" s="54"/>
      <c r="Q1302" s="54"/>
      <c r="R1302" s="54"/>
      <c r="S1302" s="54"/>
      <c r="T1302" s="54"/>
      <c r="U1302" s="54"/>
      <c r="V1302" s="54"/>
      <c r="W1302" s="54"/>
      <c r="X1302" s="54"/>
    </row>
    <row r="1303" spans="1:24">
      <c r="A1303" s="52">
        <v>46295</v>
      </c>
      <c r="B1303" s="53" t="s">
        <v>998</v>
      </c>
      <c r="C1303" s="54"/>
      <c r="D1303" s="54"/>
      <c r="E1303" s="54"/>
      <c r="F1303" s="54"/>
      <c r="G1303" s="54"/>
      <c r="H1303" s="54"/>
      <c r="I1303" s="54"/>
      <c r="J1303" s="54"/>
      <c r="K1303" s="54"/>
      <c r="L1303" s="54"/>
      <c r="M1303" s="54">
        <f t="shared" si="18"/>
        <v>0</v>
      </c>
      <c r="N1303" s="55"/>
      <c r="O1303" s="54"/>
      <c r="P1303" s="54"/>
      <c r="Q1303" s="54"/>
      <c r="R1303" s="54"/>
      <c r="S1303" s="54"/>
      <c r="T1303" s="54"/>
      <c r="U1303" s="54"/>
      <c r="V1303" s="54"/>
      <c r="W1303" s="54"/>
      <c r="X1303" s="54"/>
    </row>
    <row r="1304" spans="1:24">
      <c r="A1304" s="52">
        <v>46296</v>
      </c>
      <c r="B1304" s="53" t="s">
        <v>998</v>
      </c>
      <c r="C1304" s="54"/>
      <c r="D1304" s="54"/>
      <c r="E1304" s="54"/>
      <c r="F1304" s="54"/>
      <c r="G1304" s="54"/>
      <c r="H1304" s="54"/>
      <c r="I1304" s="54"/>
      <c r="J1304" s="54"/>
      <c r="K1304" s="54"/>
      <c r="L1304" s="54"/>
      <c r="M1304" s="54">
        <f t="shared" si="18"/>
        <v>0</v>
      </c>
      <c r="N1304" s="55"/>
      <c r="O1304" s="54"/>
      <c r="P1304" s="54"/>
      <c r="Q1304" s="54"/>
      <c r="R1304" s="54"/>
      <c r="S1304" s="54"/>
      <c r="T1304" s="54"/>
      <c r="U1304" s="54"/>
      <c r="V1304" s="54"/>
      <c r="W1304" s="54"/>
      <c r="X1304" s="54"/>
    </row>
    <row r="1305" spans="1:24">
      <c r="A1305" s="52">
        <v>46297</v>
      </c>
      <c r="B1305" s="53" t="s">
        <v>998</v>
      </c>
      <c r="C1305" s="54"/>
      <c r="D1305" s="54"/>
      <c r="E1305" s="54"/>
      <c r="F1305" s="54"/>
      <c r="G1305" s="54"/>
      <c r="H1305" s="54"/>
      <c r="I1305" s="54"/>
      <c r="J1305" s="54"/>
      <c r="K1305" s="54"/>
      <c r="L1305" s="54"/>
      <c r="M1305" s="54">
        <f t="shared" si="18"/>
        <v>0</v>
      </c>
      <c r="N1305" s="55"/>
      <c r="O1305" s="54"/>
      <c r="P1305" s="54"/>
      <c r="Q1305" s="54"/>
      <c r="R1305" s="54"/>
      <c r="S1305" s="54"/>
      <c r="T1305" s="54"/>
      <c r="U1305" s="54"/>
      <c r="V1305" s="54"/>
      <c r="W1305" s="54"/>
      <c r="X1305" s="54"/>
    </row>
    <row r="1306" spans="1:24">
      <c r="A1306" s="52">
        <v>46298</v>
      </c>
      <c r="B1306" s="53" t="s">
        <v>998</v>
      </c>
      <c r="C1306" s="54"/>
      <c r="D1306" s="54"/>
      <c r="E1306" s="54"/>
      <c r="F1306" s="54"/>
      <c r="G1306" s="54"/>
      <c r="H1306" s="54"/>
      <c r="I1306" s="54"/>
      <c r="J1306" s="54"/>
      <c r="K1306" s="54"/>
      <c r="L1306" s="54"/>
      <c r="M1306" s="54">
        <f t="shared" si="18"/>
        <v>0</v>
      </c>
      <c r="N1306" s="55"/>
      <c r="O1306" s="54"/>
      <c r="P1306" s="54"/>
      <c r="Q1306" s="54"/>
      <c r="R1306" s="54"/>
      <c r="S1306" s="54"/>
      <c r="T1306" s="54"/>
      <c r="U1306" s="54"/>
      <c r="V1306" s="54"/>
      <c r="W1306" s="54"/>
      <c r="X1306" s="54"/>
    </row>
    <row r="1307" spans="1:24">
      <c r="A1307" s="52">
        <v>46299</v>
      </c>
      <c r="B1307" s="53" t="s">
        <v>998</v>
      </c>
      <c r="C1307" s="54"/>
      <c r="D1307" s="54"/>
      <c r="E1307" s="54"/>
      <c r="F1307" s="54"/>
      <c r="G1307" s="54"/>
      <c r="H1307" s="54"/>
      <c r="I1307" s="54"/>
      <c r="J1307" s="54"/>
      <c r="K1307" s="54"/>
      <c r="L1307" s="54"/>
      <c r="M1307" s="54">
        <f t="shared" si="18"/>
        <v>0</v>
      </c>
      <c r="N1307" s="55"/>
      <c r="O1307" s="54"/>
      <c r="P1307" s="54"/>
      <c r="Q1307" s="54"/>
      <c r="R1307" s="54"/>
      <c r="S1307" s="54"/>
      <c r="T1307" s="54"/>
      <c r="U1307" s="54"/>
      <c r="V1307" s="54"/>
      <c r="W1307" s="54"/>
      <c r="X1307" s="54"/>
    </row>
    <row r="1308" spans="1:24">
      <c r="A1308" s="52">
        <v>46300</v>
      </c>
      <c r="B1308" s="53" t="s">
        <v>998</v>
      </c>
      <c r="C1308" s="54"/>
      <c r="D1308" s="54"/>
      <c r="E1308" s="54"/>
      <c r="F1308" s="54"/>
      <c r="G1308" s="54"/>
      <c r="H1308" s="54"/>
      <c r="I1308" s="54"/>
      <c r="J1308" s="54"/>
      <c r="K1308" s="54"/>
      <c r="L1308" s="54"/>
      <c r="M1308" s="54">
        <f t="shared" si="18"/>
        <v>0</v>
      </c>
      <c r="N1308" s="55"/>
      <c r="O1308" s="54"/>
      <c r="P1308" s="54"/>
      <c r="Q1308" s="54"/>
      <c r="R1308" s="54"/>
      <c r="S1308" s="54"/>
      <c r="T1308" s="54"/>
      <c r="U1308" s="54"/>
      <c r="V1308" s="54"/>
      <c r="W1308" s="54"/>
      <c r="X1308" s="54"/>
    </row>
    <row r="1309" spans="1:24">
      <c r="A1309" s="52">
        <v>46301</v>
      </c>
      <c r="B1309" s="53" t="s">
        <v>998</v>
      </c>
      <c r="C1309" s="54"/>
      <c r="D1309" s="54"/>
      <c r="E1309" s="54"/>
      <c r="F1309" s="54"/>
      <c r="G1309" s="54"/>
      <c r="H1309" s="54"/>
      <c r="I1309" s="54"/>
      <c r="J1309" s="54"/>
      <c r="K1309" s="54"/>
      <c r="L1309" s="54"/>
      <c r="M1309" s="54">
        <f t="shared" si="18"/>
        <v>0</v>
      </c>
      <c r="N1309" s="55"/>
      <c r="O1309" s="54"/>
      <c r="P1309" s="54"/>
      <c r="Q1309" s="54"/>
      <c r="R1309" s="54"/>
      <c r="S1309" s="54"/>
      <c r="T1309" s="54"/>
      <c r="U1309" s="54"/>
      <c r="V1309" s="54"/>
      <c r="W1309" s="54"/>
      <c r="X1309" s="54"/>
    </row>
    <row r="1310" spans="1:24">
      <c r="A1310" s="52">
        <v>46302</v>
      </c>
      <c r="B1310" s="53" t="s">
        <v>998</v>
      </c>
      <c r="C1310" s="54"/>
      <c r="D1310" s="54"/>
      <c r="E1310" s="54"/>
      <c r="F1310" s="54"/>
      <c r="G1310" s="54"/>
      <c r="H1310" s="54"/>
      <c r="I1310" s="54"/>
      <c r="J1310" s="54"/>
      <c r="K1310" s="54"/>
      <c r="L1310" s="54"/>
      <c r="M1310" s="54">
        <f t="shared" si="18"/>
        <v>0</v>
      </c>
      <c r="N1310" s="55"/>
      <c r="O1310" s="54"/>
      <c r="P1310" s="54"/>
      <c r="Q1310" s="54"/>
      <c r="R1310" s="54"/>
      <c r="S1310" s="54"/>
      <c r="T1310" s="54"/>
      <c r="U1310" s="54"/>
      <c r="V1310" s="54"/>
      <c r="W1310" s="54"/>
      <c r="X1310" s="54"/>
    </row>
    <row r="1311" spans="1:24">
      <c r="A1311" s="52">
        <v>46303</v>
      </c>
      <c r="B1311" s="53" t="s">
        <v>998</v>
      </c>
      <c r="C1311" s="54"/>
      <c r="D1311" s="54"/>
      <c r="E1311" s="54"/>
      <c r="F1311" s="54"/>
      <c r="G1311" s="54"/>
      <c r="H1311" s="54"/>
      <c r="I1311" s="54"/>
      <c r="J1311" s="54"/>
      <c r="K1311" s="54"/>
      <c r="L1311" s="54"/>
      <c r="M1311" s="54">
        <f t="shared" si="18"/>
        <v>0</v>
      </c>
      <c r="N1311" s="55"/>
      <c r="O1311" s="54"/>
      <c r="P1311" s="54"/>
      <c r="Q1311" s="54"/>
      <c r="R1311" s="54"/>
      <c r="S1311" s="54"/>
      <c r="T1311" s="54"/>
      <c r="U1311" s="54"/>
      <c r="V1311" s="54"/>
      <c r="W1311" s="54"/>
      <c r="X1311" s="54"/>
    </row>
    <row r="1312" spans="1:24">
      <c r="A1312" s="52">
        <v>46304</v>
      </c>
      <c r="B1312" s="53" t="s">
        <v>998</v>
      </c>
      <c r="C1312" s="54"/>
      <c r="D1312" s="54"/>
      <c r="E1312" s="54"/>
      <c r="F1312" s="54"/>
      <c r="G1312" s="54"/>
      <c r="H1312" s="54"/>
      <c r="I1312" s="54"/>
      <c r="J1312" s="54"/>
      <c r="K1312" s="54"/>
      <c r="L1312" s="54"/>
      <c r="M1312" s="54">
        <f t="shared" si="18"/>
        <v>0</v>
      </c>
      <c r="N1312" s="55"/>
      <c r="O1312" s="54"/>
      <c r="P1312" s="54"/>
      <c r="Q1312" s="54"/>
      <c r="R1312" s="54"/>
      <c r="S1312" s="54"/>
      <c r="T1312" s="54"/>
      <c r="U1312" s="54"/>
      <c r="V1312" s="54"/>
      <c r="W1312" s="54"/>
      <c r="X1312" s="54"/>
    </row>
    <row r="1313" spans="1:24">
      <c r="A1313" s="52">
        <v>46305</v>
      </c>
      <c r="B1313" s="53" t="s">
        <v>998</v>
      </c>
      <c r="C1313" s="54"/>
      <c r="D1313" s="54"/>
      <c r="E1313" s="54"/>
      <c r="F1313" s="54"/>
      <c r="G1313" s="54"/>
      <c r="H1313" s="54"/>
      <c r="I1313" s="54"/>
      <c r="J1313" s="54"/>
      <c r="K1313" s="54"/>
      <c r="L1313" s="54"/>
      <c r="M1313" s="54">
        <f t="shared" si="18"/>
        <v>0</v>
      </c>
      <c r="N1313" s="55"/>
      <c r="O1313" s="54"/>
      <c r="P1313" s="54"/>
      <c r="Q1313" s="54"/>
      <c r="R1313" s="54"/>
      <c r="S1313" s="54"/>
      <c r="T1313" s="54"/>
      <c r="U1313" s="54"/>
      <c r="V1313" s="54"/>
      <c r="W1313" s="54"/>
      <c r="X1313" s="54"/>
    </row>
    <row r="1314" spans="1:24">
      <c r="A1314" s="52">
        <v>46306</v>
      </c>
      <c r="B1314" s="53" t="s">
        <v>998</v>
      </c>
      <c r="C1314" s="54"/>
      <c r="D1314" s="54"/>
      <c r="E1314" s="54"/>
      <c r="F1314" s="54"/>
      <c r="G1314" s="54"/>
      <c r="H1314" s="54"/>
      <c r="I1314" s="54"/>
      <c r="J1314" s="54"/>
      <c r="K1314" s="54"/>
      <c r="L1314" s="54"/>
      <c r="M1314" s="54">
        <f t="shared" si="18"/>
        <v>0</v>
      </c>
      <c r="N1314" s="55"/>
      <c r="O1314" s="54"/>
      <c r="P1314" s="54"/>
      <c r="Q1314" s="54"/>
      <c r="R1314" s="54"/>
      <c r="S1314" s="54"/>
      <c r="T1314" s="54"/>
      <c r="U1314" s="54"/>
      <c r="V1314" s="54"/>
      <c r="W1314" s="54"/>
      <c r="X1314" s="54"/>
    </row>
    <row r="1315" spans="1:24">
      <c r="A1315" s="52">
        <v>46307</v>
      </c>
      <c r="B1315" s="53" t="s">
        <v>998</v>
      </c>
      <c r="C1315" s="54"/>
      <c r="D1315" s="54"/>
      <c r="E1315" s="54"/>
      <c r="F1315" s="54"/>
      <c r="G1315" s="54"/>
      <c r="H1315" s="54"/>
      <c r="I1315" s="54"/>
      <c r="J1315" s="54"/>
      <c r="K1315" s="54"/>
      <c r="L1315" s="54"/>
      <c r="M1315" s="54">
        <f t="shared" si="18"/>
        <v>0</v>
      </c>
      <c r="N1315" s="55"/>
      <c r="O1315" s="54"/>
      <c r="P1315" s="54"/>
      <c r="Q1315" s="54"/>
      <c r="R1315" s="54"/>
      <c r="S1315" s="54"/>
      <c r="T1315" s="54"/>
      <c r="U1315" s="54"/>
      <c r="V1315" s="54"/>
      <c r="W1315" s="54"/>
      <c r="X1315" s="54"/>
    </row>
    <row r="1316" spans="1:24">
      <c r="A1316" s="52">
        <v>46308</v>
      </c>
      <c r="B1316" s="53" t="s">
        <v>998</v>
      </c>
      <c r="C1316" s="54"/>
      <c r="D1316" s="54"/>
      <c r="E1316" s="54"/>
      <c r="F1316" s="54"/>
      <c r="G1316" s="54"/>
      <c r="H1316" s="54"/>
      <c r="I1316" s="54"/>
      <c r="J1316" s="54"/>
      <c r="K1316" s="54"/>
      <c r="L1316" s="54"/>
      <c r="M1316" s="54">
        <f t="shared" si="18"/>
        <v>0</v>
      </c>
      <c r="N1316" s="55"/>
      <c r="O1316" s="54"/>
      <c r="P1316" s="54"/>
      <c r="Q1316" s="54"/>
      <c r="R1316" s="54"/>
      <c r="S1316" s="54"/>
      <c r="T1316" s="54"/>
      <c r="U1316" s="54"/>
      <c r="V1316" s="54"/>
      <c r="W1316" s="54"/>
      <c r="X1316" s="54"/>
    </row>
    <row r="1317" spans="1:24">
      <c r="A1317" s="52">
        <v>46309</v>
      </c>
      <c r="B1317" s="53" t="s">
        <v>998</v>
      </c>
      <c r="C1317" s="54"/>
      <c r="D1317" s="54"/>
      <c r="E1317" s="54"/>
      <c r="F1317" s="54"/>
      <c r="G1317" s="54"/>
      <c r="H1317" s="54"/>
      <c r="I1317" s="54"/>
      <c r="J1317" s="54"/>
      <c r="K1317" s="54"/>
      <c r="L1317" s="54"/>
      <c r="M1317" s="54">
        <f t="shared" si="18"/>
        <v>0</v>
      </c>
      <c r="N1317" s="55"/>
      <c r="O1317" s="54"/>
      <c r="P1317" s="54"/>
      <c r="Q1317" s="54"/>
      <c r="R1317" s="54"/>
      <c r="S1317" s="54"/>
      <c r="T1317" s="54"/>
      <c r="U1317" s="54"/>
      <c r="V1317" s="54"/>
      <c r="W1317" s="54"/>
      <c r="X1317" s="54"/>
    </row>
    <row r="1318" spans="1:24">
      <c r="A1318" s="52">
        <v>46310</v>
      </c>
      <c r="B1318" s="53" t="s">
        <v>998</v>
      </c>
      <c r="C1318" s="54"/>
      <c r="D1318" s="54"/>
      <c r="E1318" s="54"/>
      <c r="F1318" s="54"/>
      <c r="G1318" s="54"/>
      <c r="H1318" s="54"/>
      <c r="I1318" s="54"/>
      <c r="J1318" s="54"/>
      <c r="K1318" s="54"/>
      <c r="L1318" s="54"/>
      <c r="M1318" s="54">
        <f t="shared" si="18"/>
        <v>0</v>
      </c>
      <c r="N1318" s="55"/>
      <c r="O1318" s="54"/>
      <c r="P1318" s="54"/>
      <c r="Q1318" s="54"/>
      <c r="R1318" s="54"/>
      <c r="S1318" s="54"/>
      <c r="T1318" s="54"/>
      <c r="U1318" s="54"/>
      <c r="V1318" s="54"/>
      <c r="W1318" s="54"/>
      <c r="X1318" s="54"/>
    </row>
    <row r="1319" spans="1:24">
      <c r="A1319" s="52">
        <v>46311</v>
      </c>
      <c r="B1319" s="53" t="s">
        <v>998</v>
      </c>
      <c r="C1319" s="54"/>
      <c r="D1319" s="54"/>
      <c r="E1319" s="54"/>
      <c r="F1319" s="54"/>
      <c r="G1319" s="54"/>
      <c r="H1319" s="54"/>
      <c r="I1319" s="54"/>
      <c r="J1319" s="54"/>
      <c r="K1319" s="54"/>
      <c r="L1319" s="54"/>
      <c r="M1319" s="54">
        <f t="shared" si="18"/>
        <v>0</v>
      </c>
      <c r="N1319" s="55"/>
      <c r="O1319" s="54"/>
      <c r="P1319" s="54"/>
      <c r="Q1319" s="54"/>
      <c r="R1319" s="54"/>
      <c r="S1319" s="54"/>
      <c r="T1319" s="54"/>
      <c r="U1319" s="54"/>
      <c r="V1319" s="54"/>
      <c r="W1319" s="54"/>
      <c r="X1319" s="54"/>
    </row>
    <row r="1320" spans="1:24">
      <c r="A1320" s="52">
        <v>46312</v>
      </c>
      <c r="B1320" s="53" t="s">
        <v>998</v>
      </c>
      <c r="C1320" s="54"/>
      <c r="D1320" s="54"/>
      <c r="E1320" s="54"/>
      <c r="F1320" s="54"/>
      <c r="G1320" s="54"/>
      <c r="H1320" s="54"/>
      <c r="I1320" s="54"/>
      <c r="J1320" s="54"/>
      <c r="K1320" s="54"/>
      <c r="L1320" s="54"/>
      <c r="M1320" s="54">
        <f t="shared" si="18"/>
        <v>0</v>
      </c>
      <c r="N1320" s="55"/>
      <c r="O1320" s="54"/>
      <c r="P1320" s="54"/>
      <c r="Q1320" s="54"/>
      <c r="R1320" s="54"/>
      <c r="S1320" s="54"/>
      <c r="T1320" s="54"/>
      <c r="U1320" s="54"/>
      <c r="V1320" s="54"/>
      <c r="W1320" s="54"/>
      <c r="X1320" s="54"/>
    </row>
    <row r="1321" spans="1:24">
      <c r="A1321" s="52">
        <v>46313</v>
      </c>
      <c r="B1321" s="53" t="s">
        <v>998</v>
      </c>
      <c r="C1321" s="54"/>
      <c r="D1321" s="54"/>
      <c r="E1321" s="54"/>
      <c r="F1321" s="54"/>
      <c r="G1321" s="54"/>
      <c r="H1321" s="54"/>
      <c r="I1321" s="54"/>
      <c r="J1321" s="54"/>
      <c r="K1321" s="54"/>
      <c r="L1321" s="54"/>
      <c r="M1321" s="54">
        <f t="shared" si="18"/>
        <v>0</v>
      </c>
      <c r="N1321" s="55"/>
      <c r="O1321" s="54"/>
      <c r="P1321" s="54"/>
      <c r="Q1321" s="54"/>
      <c r="R1321" s="54"/>
      <c r="S1321" s="54"/>
      <c r="T1321" s="54"/>
      <c r="U1321" s="54"/>
      <c r="V1321" s="54"/>
      <c r="W1321" s="54"/>
      <c r="X1321" s="54"/>
    </row>
    <row r="1322" spans="1:24">
      <c r="A1322" s="52">
        <v>46314</v>
      </c>
      <c r="B1322" s="53" t="s">
        <v>998</v>
      </c>
      <c r="C1322" s="54"/>
      <c r="D1322" s="54"/>
      <c r="E1322" s="54"/>
      <c r="F1322" s="54"/>
      <c r="G1322" s="54"/>
      <c r="H1322" s="54"/>
      <c r="I1322" s="54"/>
      <c r="J1322" s="54"/>
      <c r="K1322" s="54"/>
      <c r="L1322" s="54"/>
      <c r="M1322" s="54">
        <f t="shared" si="18"/>
        <v>0</v>
      </c>
      <c r="N1322" s="55"/>
      <c r="O1322" s="54"/>
      <c r="P1322" s="54"/>
      <c r="Q1322" s="54"/>
      <c r="R1322" s="54"/>
      <c r="S1322" s="54"/>
      <c r="T1322" s="54"/>
      <c r="U1322" s="54"/>
      <c r="V1322" s="54"/>
      <c r="W1322" s="54"/>
      <c r="X1322" s="54"/>
    </row>
    <row r="1323" spans="1:24">
      <c r="A1323" s="52">
        <v>46315</v>
      </c>
      <c r="B1323" s="53" t="s">
        <v>998</v>
      </c>
      <c r="C1323" s="54"/>
      <c r="D1323" s="54"/>
      <c r="E1323" s="54"/>
      <c r="F1323" s="54"/>
      <c r="G1323" s="54"/>
      <c r="H1323" s="54"/>
      <c r="I1323" s="54"/>
      <c r="J1323" s="54"/>
      <c r="K1323" s="54"/>
      <c r="L1323" s="54"/>
      <c r="M1323" s="54">
        <f t="shared" si="18"/>
        <v>0</v>
      </c>
      <c r="N1323" s="55"/>
      <c r="O1323" s="54"/>
      <c r="P1323" s="54"/>
      <c r="Q1323" s="54"/>
      <c r="R1323" s="54"/>
      <c r="S1323" s="54"/>
      <c r="T1323" s="54"/>
      <c r="U1323" s="54"/>
      <c r="V1323" s="54"/>
      <c r="W1323" s="54"/>
      <c r="X1323" s="54"/>
    </row>
    <row r="1324" spans="1:24">
      <c r="A1324" s="52">
        <v>46316</v>
      </c>
      <c r="B1324" s="53" t="s">
        <v>998</v>
      </c>
      <c r="C1324" s="54"/>
      <c r="D1324" s="54"/>
      <c r="E1324" s="54"/>
      <c r="F1324" s="54"/>
      <c r="G1324" s="54"/>
      <c r="H1324" s="54"/>
      <c r="I1324" s="54"/>
      <c r="J1324" s="54"/>
      <c r="K1324" s="54"/>
      <c r="L1324" s="54"/>
      <c r="M1324" s="54">
        <f t="shared" ref="M1324:M1387" si="19">N1324-SUM(C1324:L1324)</f>
        <v>0</v>
      </c>
      <c r="N1324" s="55"/>
      <c r="O1324" s="54"/>
      <c r="P1324" s="54"/>
      <c r="Q1324" s="54"/>
      <c r="R1324" s="54"/>
      <c r="S1324" s="54"/>
      <c r="T1324" s="54"/>
      <c r="U1324" s="54"/>
      <c r="V1324" s="54"/>
      <c r="W1324" s="54"/>
      <c r="X1324" s="54"/>
    </row>
    <row r="1325" spans="1:24">
      <c r="A1325" s="52">
        <v>46317</v>
      </c>
      <c r="B1325" s="53" t="s">
        <v>998</v>
      </c>
      <c r="C1325" s="54"/>
      <c r="D1325" s="54"/>
      <c r="E1325" s="54"/>
      <c r="F1325" s="54"/>
      <c r="G1325" s="54"/>
      <c r="H1325" s="54"/>
      <c r="I1325" s="54"/>
      <c r="J1325" s="54"/>
      <c r="K1325" s="54"/>
      <c r="L1325" s="54"/>
      <c r="M1325" s="54">
        <f t="shared" si="19"/>
        <v>0</v>
      </c>
      <c r="N1325" s="55"/>
      <c r="O1325" s="54"/>
      <c r="P1325" s="54"/>
      <c r="Q1325" s="54"/>
      <c r="R1325" s="54"/>
      <c r="S1325" s="54"/>
      <c r="T1325" s="54"/>
      <c r="U1325" s="54"/>
      <c r="V1325" s="54"/>
      <c r="W1325" s="54"/>
      <c r="X1325" s="54"/>
    </row>
    <row r="1326" spans="1:24">
      <c r="A1326" s="52">
        <v>46318</v>
      </c>
      <c r="B1326" s="53" t="s">
        <v>998</v>
      </c>
      <c r="C1326" s="54"/>
      <c r="D1326" s="54"/>
      <c r="E1326" s="54"/>
      <c r="F1326" s="54"/>
      <c r="G1326" s="54"/>
      <c r="H1326" s="54"/>
      <c r="I1326" s="54"/>
      <c r="J1326" s="54"/>
      <c r="K1326" s="54"/>
      <c r="L1326" s="54"/>
      <c r="M1326" s="54">
        <f t="shared" si="19"/>
        <v>0</v>
      </c>
      <c r="N1326" s="55"/>
      <c r="O1326" s="54"/>
      <c r="P1326" s="54"/>
      <c r="Q1326" s="54"/>
      <c r="R1326" s="54"/>
      <c r="S1326" s="54"/>
      <c r="T1326" s="54"/>
      <c r="U1326" s="54"/>
      <c r="V1326" s="54"/>
      <c r="W1326" s="54"/>
      <c r="X1326" s="54"/>
    </row>
    <row r="1327" spans="1:24">
      <c r="A1327" s="52">
        <v>46319</v>
      </c>
      <c r="B1327" s="53" t="s">
        <v>998</v>
      </c>
      <c r="C1327" s="54"/>
      <c r="D1327" s="54"/>
      <c r="E1327" s="54"/>
      <c r="F1327" s="54"/>
      <c r="G1327" s="54"/>
      <c r="H1327" s="54"/>
      <c r="I1327" s="54"/>
      <c r="J1327" s="54"/>
      <c r="K1327" s="54"/>
      <c r="L1327" s="54"/>
      <c r="M1327" s="54">
        <f t="shared" si="19"/>
        <v>0</v>
      </c>
      <c r="N1327" s="55"/>
      <c r="O1327" s="54"/>
      <c r="P1327" s="54"/>
      <c r="Q1327" s="54"/>
      <c r="R1327" s="54"/>
      <c r="S1327" s="54"/>
      <c r="T1327" s="54"/>
      <c r="U1327" s="54"/>
      <c r="V1327" s="54"/>
      <c r="W1327" s="54"/>
      <c r="X1327" s="54"/>
    </row>
    <row r="1328" spans="1:24">
      <c r="A1328" s="52">
        <v>46320</v>
      </c>
      <c r="B1328" s="53" t="s">
        <v>998</v>
      </c>
      <c r="C1328" s="54"/>
      <c r="D1328" s="54"/>
      <c r="E1328" s="54"/>
      <c r="F1328" s="54"/>
      <c r="G1328" s="54"/>
      <c r="H1328" s="54"/>
      <c r="I1328" s="54"/>
      <c r="J1328" s="54"/>
      <c r="K1328" s="54"/>
      <c r="L1328" s="54"/>
      <c r="M1328" s="54">
        <f t="shared" si="19"/>
        <v>0</v>
      </c>
      <c r="N1328" s="55"/>
      <c r="O1328" s="54"/>
      <c r="P1328" s="54"/>
      <c r="Q1328" s="54"/>
      <c r="R1328" s="54"/>
      <c r="S1328" s="54"/>
      <c r="T1328" s="54"/>
      <c r="U1328" s="54"/>
      <c r="V1328" s="54"/>
      <c r="W1328" s="54"/>
      <c r="X1328" s="54"/>
    </row>
    <row r="1329" spans="1:24">
      <c r="A1329" s="52">
        <v>46321</v>
      </c>
      <c r="B1329" s="53" t="s">
        <v>998</v>
      </c>
      <c r="C1329" s="54"/>
      <c r="D1329" s="54"/>
      <c r="E1329" s="54"/>
      <c r="F1329" s="54"/>
      <c r="G1329" s="54"/>
      <c r="H1329" s="54"/>
      <c r="I1329" s="54"/>
      <c r="J1329" s="54"/>
      <c r="K1329" s="54"/>
      <c r="L1329" s="54"/>
      <c r="M1329" s="54">
        <f t="shared" si="19"/>
        <v>0</v>
      </c>
      <c r="N1329" s="55"/>
      <c r="O1329" s="54"/>
      <c r="P1329" s="54"/>
      <c r="Q1329" s="54"/>
      <c r="R1329" s="54"/>
      <c r="S1329" s="54"/>
      <c r="T1329" s="54"/>
      <c r="U1329" s="54"/>
      <c r="V1329" s="54"/>
      <c r="W1329" s="54"/>
      <c r="X1329" s="54"/>
    </row>
    <row r="1330" spans="1:24">
      <c r="A1330" s="52">
        <v>46322</v>
      </c>
      <c r="B1330" s="53" t="s">
        <v>998</v>
      </c>
      <c r="C1330" s="54"/>
      <c r="D1330" s="54"/>
      <c r="E1330" s="54"/>
      <c r="F1330" s="54"/>
      <c r="G1330" s="54"/>
      <c r="H1330" s="54"/>
      <c r="I1330" s="54"/>
      <c r="J1330" s="54"/>
      <c r="K1330" s="54"/>
      <c r="L1330" s="54"/>
      <c r="M1330" s="54">
        <f t="shared" si="19"/>
        <v>0</v>
      </c>
      <c r="N1330" s="55"/>
      <c r="O1330" s="54"/>
      <c r="P1330" s="54"/>
      <c r="Q1330" s="54"/>
      <c r="R1330" s="54"/>
      <c r="S1330" s="54"/>
      <c r="T1330" s="54"/>
      <c r="U1330" s="54"/>
      <c r="V1330" s="54"/>
      <c r="W1330" s="54"/>
      <c r="X1330" s="54"/>
    </row>
    <row r="1331" spans="1:24">
      <c r="A1331" s="52">
        <v>46323</v>
      </c>
      <c r="B1331" s="53" t="s">
        <v>998</v>
      </c>
      <c r="C1331" s="54"/>
      <c r="D1331" s="54"/>
      <c r="E1331" s="54"/>
      <c r="F1331" s="54"/>
      <c r="G1331" s="54"/>
      <c r="H1331" s="54"/>
      <c r="I1331" s="54"/>
      <c r="J1331" s="54"/>
      <c r="K1331" s="54"/>
      <c r="L1331" s="54"/>
      <c r="M1331" s="54">
        <f t="shared" si="19"/>
        <v>0</v>
      </c>
      <c r="N1331" s="55"/>
      <c r="O1331" s="54"/>
      <c r="P1331" s="54"/>
      <c r="Q1331" s="54"/>
      <c r="R1331" s="54"/>
      <c r="S1331" s="54"/>
      <c r="T1331" s="54"/>
      <c r="U1331" s="54"/>
      <c r="V1331" s="54"/>
      <c r="W1331" s="54"/>
      <c r="X1331" s="54"/>
    </row>
    <row r="1332" spans="1:24">
      <c r="A1332" s="52">
        <v>46324</v>
      </c>
      <c r="B1332" s="53" t="s">
        <v>998</v>
      </c>
      <c r="C1332" s="54"/>
      <c r="D1332" s="54"/>
      <c r="E1332" s="54"/>
      <c r="F1332" s="54"/>
      <c r="G1332" s="54"/>
      <c r="H1332" s="54"/>
      <c r="I1332" s="54"/>
      <c r="J1332" s="54"/>
      <c r="K1332" s="54"/>
      <c r="L1332" s="54"/>
      <c r="M1332" s="54">
        <f t="shared" si="19"/>
        <v>0</v>
      </c>
      <c r="N1332" s="55"/>
      <c r="O1332" s="54"/>
      <c r="P1332" s="54"/>
      <c r="Q1332" s="54"/>
      <c r="R1332" s="54"/>
      <c r="S1332" s="54"/>
      <c r="T1332" s="54"/>
      <c r="U1332" s="54"/>
      <c r="V1332" s="54"/>
      <c r="W1332" s="54"/>
      <c r="X1332" s="54"/>
    </row>
    <row r="1333" spans="1:24">
      <c r="A1333" s="52">
        <v>46325</v>
      </c>
      <c r="B1333" s="53" t="s">
        <v>998</v>
      </c>
      <c r="C1333" s="54"/>
      <c r="D1333" s="54"/>
      <c r="E1333" s="54"/>
      <c r="F1333" s="54"/>
      <c r="G1333" s="54"/>
      <c r="H1333" s="54"/>
      <c r="I1333" s="54"/>
      <c r="J1333" s="54"/>
      <c r="K1333" s="54"/>
      <c r="L1333" s="54"/>
      <c r="M1333" s="54">
        <f t="shared" si="19"/>
        <v>0</v>
      </c>
      <c r="N1333" s="55"/>
      <c r="O1333" s="54"/>
      <c r="P1333" s="54"/>
      <c r="Q1333" s="54"/>
      <c r="R1333" s="54"/>
      <c r="S1333" s="54"/>
      <c r="T1333" s="54"/>
      <c r="U1333" s="54"/>
      <c r="V1333" s="54"/>
      <c r="W1333" s="54"/>
      <c r="X1333" s="54"/>
    </row>
    <row r="1334" spans="1:24">
      <c r="A1334" s="52">
        <v>46326</v>
      </c>
      <c r="B1334" s="53" t="s">
        <v>998</v>
      </c>
      <c r="C1334" s="54"/>
      <c r="D1334" s="54"/>
      <c r="E1334" s="54"/>
      <c r="F1334" s="54"/>
      <c r="G1334" s="54"/>
      <c r="H1334" s="54"/>
      <c r="I1334" s="54"/>
      <c r="J1334" s="54"/>
      <c r="K1334" s="54"/>
      <c r="L1334" s="54"/>
      <c r="M1334" s="54">
        <f t="shared" si="19"/>
        <v>0</v>
      </c>
      <c r="N1334" s="55"/>
      <c r="O1334" s="54"/>
      <c r="P1334" s="54"/>
      <c r="Q1334" s="54"/>
      <c r="R1334" s="54"/>
      <c r="S1334" s="54"/>
      <c r="T1334" s="54"/>
      <c r="U1334" s="54"/>
      <c r="V1334" s="54"/>
      <c r="W1334" s="54"/>
      <c r="X1334" s="54"/>
    </row>
    <row r="1335" spans="1:24">
      <c r="A1335" s="52">
        <v>46327</v>
      </c>
      <c r="B1335" s="53" t="s">
        <v>998</v>
      </c>
      <c r="C1335" s="54"/>
      <c r="D1335" s="54"/>
      <c r="E1335" s="54"/>
      <c r="F1335" s="54"/>
      <c r="G1335" s="54"/>
      <c r="H1335" s="54"/>
      <c r="I1335" s="54"/>
      <c r="J1335" s="54"/>
      <c r="K1335" s="54"/>
      <c r="L1335" s="54"/>
      <c r="M1335" s="54">
        <f t="shared" si="19"/>
        <v>0</v>
      </c>
      <c r="N1335" s="55"/>
      <c r="O1335" s="54"/>
      <c r="P1335" s="54"/>
      <c r="Q1335" s="54"/>
      <c r="R1335" s="54"/>
      <c r="S1335" s="54"/>
      <c r="T1335" s="54"/>
      <c r="U1335" s="54"/>
      <c r="V1335" s="54"/>
      <c r="W1335" s="54"/>
      <c r="X1335" s="54"/>
    </row>
    <row r="1336" spans="1:24">
      <c r="A1336" s="52">
        <v>46328</v>
      </c>
      <c r="B1336" s="53" t="s">
        <v>998</v>
      </c>
      <c r="C1336" s="54"/>
      <c r="D1336" s="54"/>
      <c r="E1336" s="54"/>
      <c r="F1336" s="54"/>
      <c r="G1336" s="54"/>
      <c r="H1336" s="54"/>
      <c r="I1336" s="54"/>
      <c r="J1336" s="54"/>
      <c r="K1336" s="54"/>
      <c r="L1336" s="54"/>
      <c r="M1336" s="54">
        <f t="shared" si="19"/>
        <v>0</v>
      </c>
      <c r="N1336" s="55"/>
      <c r="O1336" s="54"/>
      <c r="P1336" s="54"/>
      <c r="Q1336" s="54"/>
      <c r="R1336" s="54"/>
      <c r="S1336" s="54"/>
      <c r="T1336" s="54"/>
      <c r="U1336" s="54"/>
      <c r="V1336" s="54"/>
      <c r="W1336" s="54"/>
      <c r="X1336" s="54"/>
    </row>
    <row r="1337" spans="1:24">
      <c r="A1337" s="52">
        <v>46329</v>
      </c>
      <c r="B1337" s="53" t="s">
        <v>998</v>
      </c>
      <c r="C1337" s="54"/>
      <c r="D1337" s="54"/>
      <c r="E1337" s="54"/>
      <c r="F1337" s="54"/>
      <c r="G1337" s="54"/>
      <c r="H1337" s="54"/>
      <c r="I1337" s="54"/>
      <c r="J1337" s="54"/>
      <c r="K1337" s="54"/>
      <c r="L1337" s="54"/>
      <c r="M1337" s="54">
        <f t="shared" si="19"/>
        <v>0</v>
      </c>
      <c r="N1337" s="55"/>
      <c r="O1337" s="54"/>
      <c r="P1337" s="54"/>
      <c r="Q1337" s="54"/>
      <c r="R1337" s="54"/>
      <c r="S1337" s="54"/>
      <c r="T1337" s="54"/>
      <c r="U1337" s="54"/>
      <c r="V1337" s="54"/>
      <c r="W1337" s="54"/>
      <c r="X1337" s="54"/>
    </row>
    <row r="1338" spans="1:24">
      <c r="A1338" s="52">
        <v>46330</v>
      </c>
      <c r="B1338" s="53" t="s">
        <v>998</v>
      </c>
      <c r="C1338" s="54"/>
      <c r="D1338" s="54"/>
      <c r="E1338" s="54"/>
      <c r="F1338" s="54"/>
      <c r="G1338" s="54"/>
      <c r="H1338" s="54"/>
      <c r="I1338" s="54"/>
      <c r="J1338" s="54"/>
      <c r="K1338" s="54"/>
      <c r="L1338" s="54"/>
      <c r="M1338" s="54">
        <f t="shared" si="19"/>
        <v>0</v>
      </c>
      <c r="N1338" s="55"/>
      <c r="O1338" s="54"/>
      <c r="P1338" s="54"/>
      <c r="Q1338" s="54"/>
      <c r="R1338" s="54"/>
      <c r="S1338" s="54"/>
      <c r="T1338" s="54"/>
      <c r="U1338" s="54"/>
      <c r="V1338" s="54"/>
      <c r="W1338" s="54"/>
      <c r="X1338" s="54"/>
    </row>
    <row r="1339" spans="1:24">
      <c r="A1339" s="52">
        <v>46331</v>
      </c>
      <c r="B1339" s="53" t="s">
        <v>998</v>
      </c>
      <c r="C1339" s="54"/>
      <c r="D1339" s="54"/>
      <c r="E1339" s="54"/>
      <c r="F1339" s="54"/>
      <c r="G1339" s="54"/>
      <c r="H1339" s="54"/>
      <c r="I1339" s="54"/>
      <c r="J1339" s="54"/>
      <c r="K1339" s="54"/>
      <c r="L1339" s="54"/>
      <c r="M1339" s="54">
        <f t="shared" si="19"/>
        <v>0</v>
      </c>
      <c r="N1339" s="55"/>
      <c r="O1339" s="54"/>
      <c r="P1339" s="54"/>
      <c r="Q1339" s="54"/>
      <c r="R1339" s="54"/>
      <c r="S1339" s="54"/>
      <c r="T1339" s="54"/>
      <c r="U1339" s="54"/>
      <c r="V1339" s="54"/>
      <c r="W1339" s="54"/>
      <c r="X1339" s="54"/>
    </row>
    <row r="1340" spans="1:24">
      <c r="A1340" s="52">
        <v>46332</v>
      </c>
      <c r="B1340" s="53" t="s">
        <v>998</v>
      </c>
      <c r="C1340" s="54"/>
      <c r="D1340" s="54"/>
      <c r="E1340" s="54"/>
      <c r="F1340" s="54"/>
      <c r="G1340" s="54"/>
      <c r="H1340" s="54"/>
      <c r="I1340" s="54"/>
      <c r="J1340" s="54"/>
      <c r="K1340" s="54"/>
      <c r="L1340" s="54"/>
      <c r="M1340" s="54">
        <f t="shared" si="19"/>
        <v>0</v>
      </c>
      <c r="N1340" s="55"/>
      <c r="O1340" s="54"/>
      <c r="P1340" s="54"/>
      <c r="Q1340" s="54"/>
      <c r="R1340" s="54"/>
      <c r="S1340" s="54"/>
      <c r="T1340" s="54"/>
      <c r="U1340" s="54"/>
      <c r="V1340" s="54"/>
      <c r="W1340" s="54"/>
      <c r="X1340" s="54"/>
    </row>
    <row r="1341" spans="1:24">
      <c r="A1341" s="52">
        <v>46333</v>
      </c>
      <c r="B1341" s="53" t="s">
        <v>998</v>
      </c>
      <c r="C1341" s="54"/>
      <c r="D1341" s="54"/>
      <c r="E1341" s="54"/>
      <c r="F1341" s="54"/>
      <c r="G1341" s="54"/>
      <c r="H1341" s="54"/>
      <c r="I1341" s="54"/>
      <c r="J1341" s="54"/>
      <c r="K1341" s="54"/>
      <c r="L1341" s="54"/>
      <c r="M1341" s="54">
        <f t="shared" si="19"/>
        <v>0</v>
      </c>
      <c r="N1341" s="55"/>
      <c r="O1341" s="54"/>
      <c r="P1341" s="54"/>
      <c r="Q1341" s="54"/>
      <c r="R1341" s="54"/>
      <c r="S1341" s="54"/>
      <c r="T1341" s="54"/>
      <c r="U1341" s="54"/>
      <c r="V1341" s="54"/>
      <c r="W1341" s="54"/>
      <c r="X1341" s="54"/>
    </row>
    <row r="1342" spans="1:24">
      <c r="A1342" s="52">
        <v>46334</v>
      </c>
      <c r="B1342" s="53" t="s">
        <v>998</v>
      </c>
      <c r="C1342" s="54"/>
      <c r="D1342" s="54"/>
      <c r="E1342" s="54"/>
      <c r="F1342" s="54"/>
      <c r="G1342" s="54"/>
      <c r="H1342" s="54"/>
      <c r="I1342" s="54"/>
      <c r="J1342" s="54"/>
      <c r="K1342" s="54"/>
      <c r="L1342" s="54"/>
      <c r="M1342" s="54">
        <f t="shared" si="19"/>
        <v>0</v>
      </c>
      <c r="N1342" s="55"/>
      <c r="O1342" s="54"/>
      <c r="P1342" s="54"/>
      <c r="Q1342" s="54"/>
      <c r="R1342" s="54"/>
      <c r="S1342" s="54"/>
      <c r="T1342" s="54"/>
      <c r="U1342" s="54"/>
      <c r="V1342" s="54"/>
      <c r="W1342" s="54"/>
      <c r="X1342" s="54"/>
    </row>
    <row r="1343" spans="1:24">
      <c r="A1343" s="52">
        <v>46335</v>
      </c>
      <c r="B1343" s="53" t="s">
        <v>998</v>
      </c>
      <c r="C1343" s="54"/>
      <c r="D1343" s="54"/>
      <c r="E1343" s="54"/>
      <c r="F1343" s="54"/>
      <c r="G1343" s="54"/>
      <c r="H1343" s="54"/>
      <c r="I1343" s="54"/>
      <c r="J1343" s="54"/>
      <c r="K1343" s="54"/>
      <c r="L1343" s="54"/>
      <c r="M1343" s="54">
        <f t="shared" si="19"/>
        <v>0</v>
      </c>
      <c r="N1343" s="55"/>
      <c r="O1343" s="54"/>
      <c r="P1343" s="54"/>
      <c r="Q1343" s="54"/>
      <c r="R1343" s="54"/>
      <c r="S1343" s="54"/>
      <c r="T1343" s="54"/>
      <c r="U1343" s="54"/>
      <c r="V1343" s="54"/>
      <c r="W1343" s="54"/>
      <c r="X1343" s="54"/>
    </row>
    <row r="1344" spans="1:24">
      <c r="A1344" s="52">
        <v>46336</v>
      </c>
      <c r="B1344" s="53" t="s">
        <v>998</v>
      </c>
      <c r="C1344" s="54"/>
      <c r="D1344" s="54"/>
      <c r="E1344" s="54"/>
      <c r="F1344" s="54"/>
      <c r="G1344" s="54"/>
      <c r="H1344" s="54"/>
      <c r="I1344" s="54"/>
      <c r="J1344" s="54"/>
      <c r="K1344" s="54"/>
      <c r="L1344" s="54"/>
      <c r="M1344" s="54">
        <f t="shared" si="19"/>
        <v>0</v>
      </c>
      <c r="N1344" s="55"/>
      <c r="O1344" s="54"/>
      <c r="P1344" s="54"/>
      <c r="Q1344" s="54"/>
      <c r="R1344" s="54"/>
      <c r="S1344" s="54"/>
      <c r="T1344" s="54"/>
      <c r="U1344" s="54"/>
      <c r="V1344" s="54"/>
      <c r="W1344" s="54"/>
      <c r="X1344" s="54"/>
    </row>
    <row r="1345" spans="1:24">
      <c r="A1345" s="52">
        <v>46337</v>
      </c>
      <c r="B1345" s="53" t="s">
        <v>998</v>
      </c>
      <c r="C1345" s="54"/>
      <c r="D1345" s="54"/>
      <c r="E1345" s="54"/>
      <c r="F1345" s="54"/>
      <c r="G1345" s="54"/>
      <c r="H1345" s="54"/>
      <c r="I1345" s="54"/>
      <c r="J1345" s="54"/>
      <c r="K1345" s="54"/>
      <c r="L1345" s="54"/>
      <c r="M1345" s="54">
        <f t="shared" si="19"/>
        <v>0</v>
      </c>
      <c r="N1345" s="55"/>
      <c r="O1345" s="54"/>
      <c r="P1345" s="54"/>
      <c r="Q1345" s="54"/>
      <c r="R1345" s="54"/>
      <c r="S1345" s="54"/>
      <c r="T1345" s="54"/>
      <c r="U1345" s="54"/>
      <c r="V1345" s="54"/>
      <c r="W1345" s="54"/>
      <c r="X1345" s="54"/>
    </row>
    <row r="1346" spans="1:24">
      <c r="A1346" s="52">
        <v>46338</v>
      </c>
      <c r="B1346" s="53" t="s">
        <v>998</v>
      </c>
      <c r="C1346" s="54"/>
      <c r="D1346" s="54"/>
      <c r="E1346" s="54"/>
      <c r="F1346" s="54"/>
      <c r="G1346" s="54"/>
      <c r="H1346" s="54"/>
      <c r="I1346" s="54"/>
      <c r="J1346" s="54"/>
      <c r="K1346" s="54"/>
      <c r="L1346" s="54"/>
      <c r="M1346" s="54">
        <f t="shared" si="19"/>
        <v>0</v>
      </c>
      <c r="N1346" s="55"/>
      <c r="O1346" s="54"/>
      <c r="P1346" s="54"/>
      <c r="Q1346" s="54"/>
      <c r="R1346" s="54"/>
      <c r="S1346" s="54"/>
      <c r="T1346" s="54"/>
      <c r="U1346" s="54"/>
      <c r="V1346" s="54"/>
      <c r="W1346" s="54"/>
      <c r="X1346" s="54"/>
    </row>
    <row r="1347" spans="1:24">
      <c r="A1347" s="52">
        <v>46339</v>
      </c>
      <c r="B1347" s="53" t="s">
        <v>998</v>
      </c>
      <c r="C1347" s="54"/>
      <c r="D1347" s="54"/>
      <c r="E1347" s="54"/>
      <c r="F1347" s="54"/>
      <c r="G1347" s="54"/>
      <c r="H1347" s="54"/>
      <c r="I1347" s="54"/>
      <c r="J1347" s="54"/>
      <c r="K1347" s="54"/>
      <c r="L1347" s="54"/>
      <c r="M1347" s="54">
        <f t="shared" si="19"/>
        <v>0</v>
      </c>
      <c r="N1347" s="55"/>
      <c r="O1347" s="54"/>
      <c r="P1347" s="54"/>
      <c r="Q1347" s="54"/>
      <c r="R1347" s="54"/>
      <c r="S1347" s="54"/>
      <c r="T1347" s="54"/>
      <c r="U1347" s="54"/>
      <c r="V1347" s="54"/>
      <c r="W1347" s="54"/>
      <c r="X1347" s="54"/>
    </row>
    <row r="1348" spans="1:24">
      <c r="A1348" s="52">
        <v>46340</v>
      </c>
      <c r="B1348" s="53" t="s">
        <v>998</v>
      </c>
      <c r="C1348" s="54"/>
      <c r="D1348" s="54"/>
      <c r="E1348" s="54"/>
      <c r="F1348" s="54"/>
      <c r="G1348" s="54"/>
      <c r="H1348" s="54"/>
      <c r="I1348" s="54"/>
      <c r="J1348" s="54"/>
      <c r="K1348" s="54"/>
      <c r="L1348" s="54"/>
      <c r="M1348" s="54">
        <f t="shared" si="19"/>
        <v>0</v>
      </c>
      <c r="N1348" s="55"/>
      <c r="O1348" s="54"/>
      <c r="P1348" s="54"/>
      <c r="Q1348" s="54"/>
      <c r="R1348" s="54"/>
      <c r="S1348" s="54"/>
      <c r="T1348" s="54"/>
      <c r="U1348" s="54"/>
      <c r="V1348" s="54"/>
      <c r="W1348" s="54"/>
      <c r="X1348" s="54"/>
    </row>
    <row r="1349" spans="1:24">
      <c r="A1349" s="52">
        <v>46341</v>
      </c>
      <c r="B1349" s="53" t="s">
        <v>998</v>
      </c>
      <c r="C1349" s="54"/>
      <c r="D1349" s="54"/>
      <c r="E1349" s="54"/>
      <c r="F1349" s="54"/>
      <c r="G1349" s="54"/>
      <c r="H1349" s="54"/>
      <c r="I1349" s="54"/>
      <c r="J1349" s="54"/>
      <c r="K1349" s="54"/>
      <c r="L1349" s="54"/>
      <c r="M1349" s="54">
        <f t="shared" si="19"/>
        <v>0</v>
      </c>
      <c r="N1349" s="55"/>
      <c r="O1349" s="54"/>
      <c r="P1349" s="54"/>
      <c r="Q1349" s="54"/>
      <c r="R1349" s="54"/>
      <c r="S1349" s="54"/>
      <c r="T1349" s="54"/>
      <c r="U1349" s="54"/>
      <c r="V1349" s="54"/>
      <c r="W1349" s="54"/>
      <c r="X1349" s="54"/>
    </row>
    <row r="1350" spans="1:24">
      <c r="A1350" s="52">
        <v>46342</v>
      </c>
      <c r="B1350" s="53" t="s">
        <v>998</v>
      </c>
      <c r="C1350" s="54"/>
      <c r="D1350" s="54"/>
      <c r="E1350" s="54"/>
      <c r="F1350" s="54"/>
      <c r="G1350" s="54"/>
      <c r="H1350" s="54"/>
      <c r="I1350" s="54"/>
      <c r="J1350" s="54"/>
      <c r="K1350" s="54"/>
      <c r="L1350" s="54"/>
      <c r="M1350" s="54">
        <f t="shared" si="19"/>
        <v>0</v>
      </c>
      <c r="N1350" s="55"/>
      <c r="O1350" s="54"/>
      <c r="P1350" s="54"/>
      <c r="Q1350" s="54"/>
      <c r="R1350" s="54"/>
      <c r="S1350" s="54"/>
      <c r="T1350" s="54"/>
      <c r="U1350" s="54"/>
      <c r="V1350" s="54"/>
      <c r="W1350" s="54"/>
      <c r="X1350" s="54"/>
    </row>
    <row r="1351" spans="1:24">
      <c r="A1351" s="52">
        <v>46343</v>
      </c>
      <c r="B1351" s="53" t="s">
        <v>998</v>
      </c>
      <c r="C1351" s="54"/>
      <c r="D1351" s="54"/>
      <c r="E1351" s="54"/>
      <c r="F1351" s="54"/>
      <c r="G1351" s="54"/>
      <c r="H1351" s="54"/>
      <c r="I1351" s="54"/>
      <c r="J1351" s="54"/>
      <c r="K1351" s="54"/>
      <c r="L1351" s="54"/>
      <c r="M1351" s="54">
        <f t="shared" si="19"/>
        <v>0</v>
      </c>
      <c r="N1351" s="55"/>
      <c r="O1351" s="54"/>
      <c r="P1351" s="54"/>
      <c r="Q1351" s="54"/>
      <c r="R1351" s="54"/>
      <c r="S1351" s="54"/>
      <c r="T1351" s="54"/>
      <c r="U1351" s="54"/>
      <c r="V1351" s="54"/>
      <c r="W1351" s="54"/>
      <c r="X1351" s="54"/>
    </row>
    <row r="1352" spans="1:24">
      <c r="A1352" s="52">
        <v>46344</v>
      </c>
      <c r="B1352" s="53" t="s">
        <v>998</v>
      </c>
      <c r="C1352" s="54"/>
      <c r="D1352" s="54"/>
      <c r="E1352" s="54"/>
      <c r="F1352" s="54"/>
      <c r="G1352" s="54"/>
      <c r="H1352" s="54"/>
      <c r="I1352" s="54"/>
      <c r="J1352" s="54"/>
      <c r="K1352" s="54"/>
      <c r="L1352" s="54"/>
      <c r="M1352" s="54">
        <f t="shared" si="19"/>
        <v>0</v>
      </c>
      <c r="N1352" s="55"/>
      <c r="O1352" s="54"/>
      <c r="P1352" s="54"/>
      <c r="Q1352" s="54"/>
      <c r="R1352" s="54"/>
      <c r="S1352" s="54"/>
      <c r="T1352" s="54"/>
      <c r="U1352" s="54"/>
      <c r="V1352" s="54"/>
      <c r="W1352" s="54"/>
      <c r="X1352" s="54"/>
    </row>
    <row r="1353" spans="1:24">
      <c r="A1353" s="52">
        <v>46345</v>
      </c>
      <c r="B1353" s="53" t="s">
        <v>998</v>
      </c>
      <c r="C1353" s="54"/>
      <c r="D1353" s="54"/>
      <c r="E1353" s="54"/>
      <c r="F1353" s="54"/>
      <c r="G1353" s="54"/>
      <c r="H1353" s="54"/>
      <c r="I1353" s="54"/>
      <c r="J1353" s="54"/>
      <c r="K1353" s="54"/>
      <c r="L1353" s="54"/>
      <c r="M1353" s="54">
        <f t="shared" si="19"/>
        <v>0</v>
      </c>
      <c r="N1353" s="55"/>
      <c r="O1353" s="54"/>
      <c r="P1353" s="54"/>
      <c r="Q1353" s="54"/>
      <c r="R1353" s="54"/>
      <c r="S1353" s="54"/>
      <c r="T1353" s="54"/>
      <c r="U1353" s="54"/>
      <c r="V1353" s="54"/>
      <c r="W1353" s="54"/>
      <c r="X1353" s="54"/>
    </row>
    <row r="1354" spans="1:24">
      <c r="A1354" s="52">
        <v>46346</v>
      </c>
      <c r="B1354" s="53" t="s">
        <v>998</v>
      </c>
      <c r="C1354" s="54"/>
      <c r="D1354" s="54"/>
      <c r="E1354" s="54"/>
      <c r="F1354" s="54"/>
      <c r="G1354" s="54"/>
      <c r="H1354" s="54"/>
      <c r="I1354" s="54"/>
      <c r="J1354" s="54"/>
      <c r="K1354" s="54"/>
      <c r="L1354" s="54"/>
      <c r="M1354" s="54">
        <f t="shared" si="19"/>
        <v>0</v>
      </c>
      <c r="N1354" s="55"/>
      <c r="O1354" s="54"/>
      <c r="P1354" s="54"/>
      <c r="Q1354" s="54"/>
      <c r="R1354" s="54"/>
      <c r="S1354" s="54"/>
      <c r="T1354" s="54"/>
      <c r="U1354" s="54"/>
      <c r="V1354" s="54"/>
      <c r="W1354" s="54"/>
      <c r="X1354" s="54"/>
    </row>
    <row r="1355" spans="1:24">
      <c r="A1355" s="52">
        <v>46347</v>
      </c>
      <c r="B1355" s="53" t="s">
        <v>998</v>
      </c>
      <c r="C1355" s="54"/>
      <c r="D1355" s="54"/>
      <c r="E1355" s="54"/>
      <c r="F1355" s="54"/>
      <c r="G1355" s="54"/>
      <c r="H1355" s="54"/>
      <c r="I1355" s="54"/>
      <c r="J1355" s="54"/>
      <c r="K1355" s="54"/>
      <c r="L1355" s="54"/>
      <c r="M1355" s="54">
        <f t="shared" si="19"/>
        <v>0</v>
      </c>
      <c r="N1355" s="55"/>
      <c r="O1355" s="54"/>
      <c r="P1355" s="54"/>
      <c r="Q1355" s="54"/>
      <c r="R1355" s="54"/>
      <c r="S1355" s="54"/>
      <c r="T1355" s="54"/>
      <c r="U1355" s="54"/>
      <c r="V1355" s="54"/>
      <c r="W1355" s="54"/>
      <c r="X1355" s="54"/>
    </row>
    <row r="1356" spans="1:24">
      <c r="A1356" s="52">
        <v>46348</v>
      </c>
      <c r="B1356" s="53" t="s">
        <v>998</v>
      </c>
      <c r="C1356" s="54"/>
      <c r="D1356" s="54"/>
      <c r="E1356" s="54"/>
      <c r="F1356" s="54"/>
      <c r="G1356" s="54"/>
      <c r="H1356" s="54"/>
      <c r="I1356" s="54"/>
      <c r="J1356" s="54"/>
      <c r="K1356" s="54"/>
      <c r="L1356" s="54"/>
      <c r="M1356" s="54">
        <f t="shared" si="19"/>
        <v>0</v>
      </c>
      <c r="N1356" s="55"/>
      <c r="O1356" s="54"/>
      <c r="P1356" s="54"/>
      <c r="Q1356" s="54"/>
      <c r="R1356" s="54"/>
      <c r="S1356" s="54"/>
      <c r="T1356" s="54"/>
      <c r="U1356" s="54"/>
      <c r="V1356" s="54"/>
      <c r="W1356" s="54"/>
      <c r="X1356" s="54"/>
    </row>
    <row r="1357" spans="1:24">
      <c r="A1357" s="52">
        <v>46349</v>
      </c>
      <c r="B1357" s="53" t="s">
        <v>998</v>
      </c>
      <c r="C1357" s="54"/>
      <c r="D1357" s="54"/>
      <c r="E1357" s="54"/>
      <c r="F1357" s="54"/>
      <c r="G1357" s="54"/>
      <c r="H1357" s="54"/>
      <c r="I1357" s="54"/>
      <c r="J1357" s="54"/>
      <c r="K1357" s="54"/>
      <c r="L1357" s="54"/>
      <c r="M1357" s="54">
        <f t="shared" si="19"/>
        <v>0</v>
      </c>
      <c r="N1357" s="55"/>
      <c r="O1357" s="54"/>
      <c r="P1357" s="54"/>
      <c r="Q1357" s="54"/>
      <c r="R1357" s="54"/>
      <c r="S1357" s="54"/>
      <c r="T1357" s="54"/>
      <c r="U1357" s="54"/>
      <c r="V1357" s="54"/>
      <c r="W1357" s="54"/>
      <c r="X1357" s="54"/>
    </row>
    <row r="1358" spans="1:24">
      <c r="A1358" s="52">
        <v>46350</v>
      </c>
      <c r="B1358" s="53" t="s">
        <v>998</v>
      </c>
      <c r="C1358" s="54"/>
      <c r="D1358" s="54"/>
      <c r="E1358" s="54"/>
      <c r="F1358" s="54"/>
      <c r="G1358" s="54"/>
      <c r="H1358" s="54"/>
      <c r="I1358" s="54"/>
      <c r="J1358" s="54"/>
      <c r="K1358" s="54"/>
      <c r="L1358" s="54"/>
      <c r="M1358" s="54">
        <f t="shared" si="19"/>
        <v>0</v>
      </c>
      <c r="N1358" s="55"/>
      <c r="O1358" s="54"/>
      <c r="P1358" s="54"/>
      <c r="Q1358" s="54"/>
      <c r="R1358" s="54"/>
      <c r="S1358" s="54"/>
      <c r="T1358" s="54"/>
      <c r="U1358" s="54"/>
      <c r="V1358" s="54"/>
      <c r="W1358" s="54"/>
      <c r="X1358" s="54"/>
    </row>
    <row r="1359" spans="1:24">
      <c r="A1359" s="52">
        <v>46351</v>
      </c>
      <c r="B1359" s="53" t="s">
        <v>998</v>
      </c>
      <c r="C1359" s="54"/>
      <c r="D1359" s="54"/>
      <c r="E1359" s="54"/>
      <c r="F1359" s="54"/>
      <c r="G1359" s="54"/>
      <c r="H1359" s="54"/>
      <c r="I1359" s="54"/>
      <c r="J1359" s="54"/>
      <c r="K1359" s="54"/>
      <c r="L1359" s="54"/>
      <c r="M1359" s="54">
        <f t="shared" si="19"/>
        <v>0</v>
      </c>
      <c r="N1359" s="55"/>
      <c r="O1359" s="54"/>
      <c r="P1359" s="54"/>
      <c r="Q1359" s="54"/>
      <c r="R1359" s="54"/>
      <c r="S1359" s="54"/>
      <c r="T1359" s="54"/>
      <c r="U1359" s="54"/>
      <c r="V1359" s="54"/>
      <c r="W1359" s="54"/>
      <c r="X1359" s="54"/>
    </row>
    <row r="1360" spans="1:24">
      <c r="A1360" s="52">
        <v>46352</v>
      </c>
      <c r="B1360" s="53" t="s">
        <v>998</v>
      </c>
      <c r="C1360" s="54"/>
      <c r="D1360" s="54"/>
      <c r="E1360" s="54"/>
      <c r="F1360" s="54"/>
      <c r="G1360" s="54"/>
      <c r="H1360" s="54"/>
      <c r="I1360" s="54"/>
      <c r="J1360" s="54"/>
      <c r="K1360" s="54"/>
      <c r="L1360" s="54"/>
      <c r="M1360" s="54">
        <f t="shared" si="19"/>
        <v>0</v>
      </c>
      <c r="N1360" s="55"/>
      <c r="O1360" s="54"/>
      <c r="P1360" s="54"/>
      <c r="Q1360" s="54"/>
      <c r="R1360" s="54"/>
      <c r="S1360" s="54"/>
      <c r="T1360" s="54"/>
      <c r="U1360" s="54"/>
      <c r="V1360" s="54"/>
      <c r="W1360" s="54"/>
      <c r="X1360" s="54"/>
    </row>
    <row r="1361" spans="1:24">
      <c r="A1361" s="52">
        <v>46353</v>
      </c>
      <c r="B1361" s="53" t="s">
        <v>998</v>
      </c>
      <c r="C1361" s="54"/>
      <c r="D1361" s="54"/>
      <c r="E1361" s="54"/>
      <c r="F1361" s="54"/>
      <c r="G1361" s="54"/>
      <c r="H1361" s="54"/>
      <c r="I1361" s="54"/>
      <c r="J1361" s="54"/>
      <c r="K1361" s="54"/>
      <c r="L1361" s="54"/>
      <c r="M1361" s="54">
        <f t="shared" si="19"/>
        <v>0</v>
      </c>
      <c r="N1361" s="55"/>
      <c r="O1361" s="54"/>
      <c r="P1361" s="54"/>
      <c r="Q1361" s="54"/>
      <c r="R1361" s="54"/>
      <c r="S1361" s="54"/>
      <c r="T1361" s="54"/>
      <c r="U1361" s="54"/>
      <c r="V1361" s="54"/>
      <c r="W1361" s="54"/>
      <c r="X1361" s="54"/>
    </row>
    <row r="1362" spans="1:24">
      <c r="A1362" s="52">
        <v>46354</v>
      </c>
      <c r="B1362" s="53" t="s">
        <v>998</v>
      </c>
      <c r="C1362" s="54"/>
      <c r="D1362" s="54"/>
      <c r="E1362" s="54"/>
      <c r="F1362" s="54"/>
      <c r="G1362" s="54"/>
      <c r="H1362" s="54"/>
      <c r="I1362" s="54"/>
      <c r="J1362" s="54"/>
      <c r="K1362" s="54"/>
      <c r="L1362" s="54"/>
      <c r="M1362" s="54">
        <f t="shared" si="19"/>
        <v>0</v>
      </c>
      <c r="N1362" s="55"/>
      <c r="O1362" s="54"/>
      <c r="P1362" s="54"/>
      <c r="Q1362" s="54"/>
      <c r="R1362" s="54"/>
      <c r="S1362" s="54"/>
      <c r="T1362" s="54"/>
      <c r="U1362" s="54"/>
      <c r="V1362" s="54"/>
      <c r="W1362" s="54"/>
      <c r="X1362" s="54"/>
    </row>
    <row r="1363" spans="1:24">
      <c r="A1363" s="52">
        <v>46355</v>
      </c>
      <c r="B1363" s="53" t="s">
        <v>998</v>
      </c>
      <c r="C1363" s="54"/>
      <c r="D1363" s="54"/>
      <c r="E1363" s="54"/>
      <c r="F1363" s="54"/>
      <c r="G1363" s="54"/>
      <c r="H1363" s="54"/>
      <c r="I1363" s="54"/>
      <c r="J1363" s="54"/>
      <c r="K1363" s="54"/>
      <c r="L1363" s="54"/>
      <c r="M1363" s="54">
        <f t="shared" si="19"/>
        <v>0</v>
      </c>
      <c r="N1363" s="55"/>
      <c r="O1363" s="54"/>
      <c r="P1363" s="54"/>
      <c r="Q1363" s="54"/>
      <c r="R1363" s="54"/>
      <c r="S1363" s="54"/>
      <c r="T1363" s="54"/>
      <c r="U1363" s="54"/>
      <c r="V1363" s="54"/>
      <c r="W1363" s="54"/>
      <c r="X1363" s="54"/>
    </row>
    <row r="1364" spans="1:24">
      <c r="A1364" s="52">
        <v>46356</v>
      </c>
      <c r="B1364" s="53" t="s">
        <v>998</v>
      </c>
      <c r="C1364" s="54"/>
      <c r="D1364" s="54"/>
      <c r="E1364" s="54"/>
      <c r="F1364" s="54"/>
      <c r="G1364" s="54"/>
      <c r="H1364" s="54"/>
      <c r="I1364" s="54"/>
      <c r="J1364" s="54"/>
      <c r="K1364" s="54"/>
      <c r="L1364" s="54"/>
      <c r="M1364" s="54">
        <f t="shared" si="19"/>
        <v>0</v>
      </c>
      <c r="N1364" s="55"/>
      <c r="O1364" s="54"/>
      <c r="P1364" s="54"/>
      <c r="Q1364" s="54"/>
      <c r="R1364" s="54"/>
      <c r="S1364" s="54"/>
      <c r="T1364" s="54"/>
      <c r="U1364" s="54"/>
      <c r="V1364" s="54"/>
      <c r="W1364" s="54"/>
      <c r="X1364" s="54"/>
    </row>
    <row r="1365" spans="1:24">
      <c r="A1365" s="52">
        <v>46357</v>
      </c>
      <c r="B1365" s="53" t="s">
        <v>998</v>
      </c>
      <c r="C1365" s="54"/>
      <c r="D1365" s="54"/>
      <c r="E1365" s="54"/>
      <c r="F1365" s="54"/>
      <c r="G1365" s="54"/>
      <c r="H1365" s="54"/>
      <c r="I1365" s="54"/>
      <c r="J1365" s="54"/>
      <c r="K1365" s="54"/>
      <c r="L1365" s="54"/>
      <c r="M1365" s="54">
        <f t="shared" si="19"/>
        <v>0</v>
      </c>
      <c r="N1365" s="55"/>
      <c r="O1365" s="54"/>
      <c r="P1365" s="54"/>
      <c r="Q1365" s="54"/>
      <c r="R1365" s="54"/>
      <c r="S1365" s="54"/>
      <c r="T1365" s="54"/>
      <c r="U1365" s="54"/>
      <c r="V1365" s="54"/>
      <c r="W1365" s="54"/>
      <c r="X1365" s="54"/>
    </row>
    <row r="1366" spans="1:24">
      <c r="A1366" s="52">
        <v>46358</v>
      </c>
      <c r="B1366" s="53" t="s">
        <v>998</v>
      </c>
      <c r="C1366" s="54"/>
      <c r="D1366" s="54"/>
      <c r="E1366" s="54"/>
      <c r="F1366" s="54"/>
      <c r="G1366" s="54"/>
      <c r="H1366" s="54"/>
      <c r="I1366" s="54"/>
      <c r="J1366" s="54"/>
      <c r="K1366" s="54"/>
      <c r="L1366" s="54"/>
      <c r="M1366" s="54">
        <f t="shared" si="19"/>
        <v>0</v>
      </c>
      <c r="N1366" s="55"/>
      <c r="O1366" s="54"/>
      <c r="P1366" s="54"/>
      <c r="Q1366" s="54"/>
      <c r="R1366" s="54"/>
      <c r="S1366" s="54"/>
      <c r="T1366" s="54"/>
      <c r="U1366" s="54"/>
      <c r="V1366" s="54"/>
      <c r="W1366" s="54"/>
      <c r="X1366" s="54"/>
    </row>
    <row r="1367" spans="1:24">
      <c r="A1367" s="52">
        <v>46359</v>
      </c>
      <c r="B1367" s="53" t="s">
        <v>998</v>
      </c>
      <c r="C1367" s="54"/>
      <c r="D1367" s="54"/>
      <c r="E1367" s="54"/>
      <c r="F1367" s="54"/>
      <c r="G1367" s="54"/>
      <c r="H1367" s="54"/>
      <c r="I1367" s="54"/>
      <c r="J1367" s="54"/>
      <c r="K1367" s="54"/>
      <c r="L1367" s="54"/>
      <c r="M1367" s="54">
        <f t="shared" si="19"/>
        <v>0</v>
      </c>
      <c r="N1367" s="55"/>
      <c r="O1367" s="54"/>
      <c r="P1367" s="54"/>
      <c r="Q1367" s="54"/>
      <c r="R1367" s="54"/>
      <c r="S1367" s="54"/>
      <c r="T1367" s="54"/>
      <c r="U1367" s="54"/>
      <c r="V1367" s="54"/>
      <c r="W1367" s="54"/>
      <c r="X1367" s="54"/>
    </row>
    <row r="1368" spans="1:24">
      <c r="A1368" s="52">
        <v>46360</v>
      </c>
      <c r="B1368" s="53" t="s">
        <v>998</v>
      </c>
      <c r="C1368" s="54"/>
      <c r="D1368" s="54"/>
      <c r="E1368" s="54"/>
      <c r="F1368" s="54"/>
      <c r="G1368" s="54"/>
      <c r="H1368" s="54"/>
      <c r="I1368" s="54"/>
      <c r="J1368" s="54"/>
      <c r="K1368" s="54"/>
      <c r="L1368" s="54"/>
      <c r="M1368" s="54">
        <f t="shared" si="19"/>
        <v>0</v>
      </c>
      <c r="N1368" s="55"/>
      <c r="O1368" s="54"/>
      <c r="P1368" s="54"/>
      <c r="Q1368" s="54"/>
      <c r="R1368" s="54"/>
      <c r="S1368" s="54"/>
      <c r="T1368" s="54"/>
      <c r="U1368" s="54"/>
      <c r="V1368" s="54"/>
      <c r="W1368" s="54"/>
      <c r="X1368" s="54"/>
    </row>
    <row r="1369" spans="1:24">
      <c r="A1369" s="52">
        <v>46361</v>
      </c>
      <c r="B1369" s="53" t="s">
        <v>998</v>
      </c>
      <c r="C1369" s="54"/>
      <c r="D1369" s="54"/>
      <c r="E1369" s="54"/>
      <c r="F1369" s="54"/>
      <c r="G1369" s="54"/>
      <c r="H1369" s="54"/>
      <c r="I1369" s="54"/>
      <c r="J1369" s="54"/>
      <c r="K1369" s="54"/>
      <c r="L1369" s="54"/>
      <c r="M1369" s="54">
        <f t="shared" si="19"/>
        <v>0</v>
      </c>
      <c r="N1369" s="55"/>
      <c r="O1369" s="54"/>
      <c r="P1369" s="54"/>
      <c r="Q1369" s="54"/>
      <c r="R1369" s="54"/>
      <c r="S1369" s="54"/>
      <c r="T1369" s="54"/>
      <c r="U1369" s="54"/>
      <c r="V1369" s="54"/>
      <c r="W1369" s="54"/>
      <c r="X1369" s="54"/>
    </row>
    <row r="1370" spans="1:24">
      <c r="A1370" s="52">
        <v>46362</v>
      </c>
      <c r="B1370" s="53" t="s">
        <v>998</v>
      </c>
      <c r="C1370" s="54"/>
      <c r="D1370" s="54"/>
      <c r="E1370" s="54"/>
      <c r="F1370" s="54"/>
      <c r="G1370" s="54"/>
      <c r="H1370" s="54"/>
      <c r="I1370" s="54"/>
      <c r="J1370" s="54"/>
      <c r="K1370" s="54"/>
      <c r="L1370" s="54"/>
      <c r="M1370" s="54">
        <f t="shared" si="19"/>
        <v>0</v>
      </c>
      <c r="N1370" s="55"/>
      <c r="O1370" s="54"/>
      <c r="P1370" s="54"/>
      <c r="Q1370" s="54"/>
      <c r="R1370" s="54"/>
      <c r="S1370" s="54"/>
      <c r="T1370" s="54"/>
      <c r="U1370" s="54"/>
      <c r="V1370" s="54"/>
      <c r="W1370" s="54"/>
      <c r="X1370" s="54"/>
    </row>
    <row r="1371" spans="1:24">
      <c r="A1371" s="52">
        <v>46363</v>
      </c>
      <c r="B1371" s="53" t="s">
        <v>998</v>
      </c>
      <c r="C1371" s="54"/>
      <c r="D1371" s="54"/>
      <c r="E1371" s="54"/>
      <c r="F1371" s="54"/>
      <c r="G1371" s="54"/>
      <c r="H1371" s="54"/>
      <c r="I1371" s="54"/>
      <c r="J1371" s="54"/>
      <c r="K1371" s="54"/>
      <c r="L1371" s="54"/>
      <c r="M1371" s="54">
        <f t="shared" si="19"/>
        <v>0</v>
      </c>
      <c r="N1371" s="55"/>
      <c r="O1371" s="54"/>
      <c r="P1371" s="54"/>
      <c r="Q1371" s="54"/>
      <c r="R1371" s="54"/>
      <c r="S1371" s="54"/>
      <c r="T1371" s="54"/>
      <c r="U1371" s="54"/>
      <c r="V1371" s="54"/>
      <c r="W1371" s="54"/>
      <c r="X1371" s="54"/>
    </row>
    <row r="1372" spans="1:24">
      <c r="A1372" s="52">
        <v>46364</v>
      </c>
      <c r="B1372" s="53" t="s">
        <v>998</v>
      </c>
      <c r="C1372" s="54"/>
      <c r="D1372" s="54"/>
      <c r="E1372" s="54"/>
      <c r="F1372" s="54"/>
      <c r="G1372" s="54"/>
      <c r="H1372" s="54"/>
      <c r="I1372" s="54"/>
      <c r="J1372" s="54"/>
      <c r="K1372" s="54"/>
      <c r="L1372" s="54"/>
      <c r="M1372" s="54">
        <f t="shared" si="19"/>
        <v>0</v>
      </c>
      <c r="N1372" s="55"/>
      <c r="O1372" s="54"/>
      <c r="P1372" s="54"/>
      <c r="Q1372" s="54"/>
      <c r="R1372" s="54"/>
      <c r="S1372" s="54"/>
      <c r="T1372" s="54"/>
      <c r="U1372" s="54"/>
      <c r="V1372" s="54"/>
      <c r="W1372" s="54"/>
      <c r="X1372" s="54"/>
    </row>
    <row r="1373" spans="1:24">
      <c r="A1373" s="52">
        <v>46365</v>
      </c>
      <c r="B1373" s="53" t="s">
        <v>998</v>
      </c>
      <c r="C1373" s="54"/>
      <c r="D1373" s="54"/>
      <c r="E1373" s="54"/>
      <c r="F1373" s="54"/>
      <c r="G1373" s="54"/>
      <c r="H1373" s="54"/>
      <c r="I1373" s="54"/>
      <c r="J1373" s="54"/>
      <c r="K1373" s="54"/>
      <c r="L1373" s="54"/>
      <c r="M1373" s="54">
        <f t="shared" si="19"/>
        <v>0</v>
      </c>
      <c r="N1373" s="55"/>
      <c r="O1373" s="54"/>
      <c r="P1373" s="54"/>
      <c r="Q1373" s="54"/>
      <c r="R1373" s="54"/>
      <c r="S1373" s="54"/>
      <c r="T1373" s="54"/>
      <c r="U1373" s="54"/>
      <c r="V1373" s="54"/>
      <c r="W1373" s="54"/>
      <c r="X1373" s="54"/>
    </row>
    <row r="1374" spans="1:24">
      <c r="A1374" s="52">
        <v>46366</v>
      </c>
      <c r="B1374" s="53" t="s">
        <v>998</v>
      </c>
      <c r="C1374" s="54"/>
      <c r="D1374" s="54"/>
      <c r="E1374" s="54"/>
      <c r="F1374" s="54"/>
      <c r="G1374" s="54"/>
      <c r="H1374" s="54"/>
      <c r="I1374" s="54"/>
      <c r="J1374" s="54"/>
      <c r="K1374" s="54"/>
      <c r="L1374" s="54"/>
      <c r="M1374" s="54">
        <f t="shared" si="19"/>
        <v>0</v>
      </c>
      <c r="N1374" s="55"/>
      <c r="O1374" s="54"/>
      <c r="P1374" s="54"/>
      <c r="Q1374" s="54"/>
      <c r="R1374" s="54"/>
      <c r="S1374" s="54"/>
      <c r="T1374" s="54"/>
      <c r="U1374" s="54"/>
      <c r="V1374" s="54"/>
      <c r="W1374" s="54"/>
      <c r="X1374" s="54"/>
    </row>
    <row r="1375" spans="1:24">
      <c r="A1375" s="52">
        <v>46367</v>
      </c>
      <c r="B1375" s="53" t="s">
        <v>998</v>
      </c>
      <c r="C1375" s="54"/>
      <c r="D1375" s="54"/>
      <c r="E1375" s="54"/>
      <c r="F1375" s="54"/>
      <c r="G1375" s="54"/>
      <c r="H1375" s="54"/>
      <c r="I1375" s="54"/>
      <c r="J1375" s="54"/>
      <c r="K1375" s="54"/>
      <c r="L1375" s="54"/>
      <c r="M1375" s="54">
        <f t="shared" si="19"/>
        <v>0</v>
      </c>
      <c r="N1375" s="55"/>
      <c r="O1375" s="54"/>
      <c r="P1375" s="54"/>
      <c r="Q1375" s="54"/>
      <c r="R1375" s="54"/>
      <c r="S1375" s="54"/>
      <c r="T1375" s="54"/>
      <c r="U1375" s="54"/>
      <c r="V1375" s="54"/>
      <c r="W1375" s="54"/>
      <c r="X1375" s="54"/>
    </row>
    <row r="1376" spans="1:24">
      <c r="A1376" s="52">
        <v>46368</v>
      </c>
      <c r="B1376" s="53" t="s">
        <v>998</v>
      </c>
      <c r="C1376" s="54"/>
      <c r="D1376" s="54"/>
      <c r="E1376" s="54"/>
      <c r="F1376" s="54"/>
      <c r="G1376" s="54"/>
      <c r="H1376" s="54"/>
      <c r="I1376" s="54"/>
      <c r="J1376" s="54"/>
      <c r="K1376" s="54"/>
      <c r="L1376" s="54"/>
      <c r="M1376" s="54">
        <f t="shared" si="19"/>
        <v>0</v>
      </c>
      <c r="N1376" s="55"/>
      <c r="O1376" s="54"/>
      <c r="P1376" s="54"/>
      <c r="Q1376" s="54"/>
      <c r="R1376" s="54"/>
      <c r="S1376" s="54"/>
      <c r="T1376" s="54"/>
      <c r="U1376" s="54"/>
      <c r="V1376" s="54"/>
      <c r="W1376" s="54"/>
      <c r="X1376" s="54"/>
    </row>
    <row r="1377" spans="1:24">
      <c r="A1377" s="52">
        <v>46369</v>
      </c>
      <c r="B1377" s="53" t="s">
        <v>998</v>
      </c>
      <c r="C1377" s="54"/>
      <c r="D1377" s="54"/>
      <c r="E1377" s="54"/>
      <c r="F1377" s="54"/>
      <c r="G1377" s="54"/>
      <c r="H1377" s="54"/>
      <c r="I1377" s="54"/>
      <c r="J1377" s="54"/>
      <c r="K1377" s="54"/>
      <c r="L1377" s="54"/>
      <c r="M1377" s="54">
        <f t="shared" si="19"/>
        <v>0</v>
      </c>
      <c r="N1377" s="55"/>
      <c r="O1377" s="54"/>
      <c r="P1377" s="54"/>
      <c r="Q1377" s="54"/>
      <c r="R1377" s="54"/>
      <c r="S1377" s="54"/>
      <c r="T1377" s="54"/>
      <c r="U1377" s="54"/>
      <c r="V1377" s="54"/>
      <c r="W1377" s="54"/>
      <c r="X1377" s="54"/>
    </row>
    <row r="1378" spans="1:24">
      <c r="A1378" s="52">
        <v>46370</v>
      </c>
      <c r="B1378" s="53" t="s">
        <v>998</v>
      </c>
      <c r="C1378" s="54"/>
      <c r="D1378" s="54"/>
      <c r="E1378" s="54"/>
      <c r="F1378" s="54"/>
      <c r="G1378" s="54"/>
      <c r="H1378" s="54"/>
      <c r="I1378" s="54"/>
      <c r="J1378" s="54"/>
      <c r="K1378" s="54"/>
      <c r="L1378" s="54"/>
      <c r="M1378" s="54">
        <f t="shared" si="19"/>
        <v>0</v>
      </c>
      <c r="N1378" s="55"/>
      <c r="O1378" s="54"/>
      <c r="P1378" s="54"/>
      <c r="Q1378" s="54"/>
      <c r="R1378" s="54"/>
      <c r="S1378" s="54"/>
      <c r="T1378" s="54"/>
      <c r="U1378" s="54"/>
      <c r="V1378" s="54"/>
      <c r="W1378" s="54"/>
      <c r="X1378" s="54"/>
    </row>
    <row r="1379" spans="1:24">
      <c r="A1379" s="52">
        <v>46371</v>
      </c>
      <c r="B1379" s="53" t="s">
        <v>998</v>
      </c>
      <c r="C1379" s="54"/>
      <c r="D1379" s="54"/>
      <c r="E1379" s="54"/>
      <c r="F1379" s="54"/>
      <c r="G1379" s="54"/>
      <c r="H1379" s="54"/>
      <c r="I1379" s="54"/>
      <c r="J1379" s="54"/>
      <c r="K1379" s="54"/>
      <c r="L1379" s="54"/>
      <c r="M1379" s="54">
        <f t="shared" si="19"/>
        <v>0</v>
      </c>
      <c r="N1379" s="55"/>
      <c r="O1379" s="54"/>
      <c r="P1379" s="54"/>
      <c r="Q1379" s="54"/>
      <c r="R1379" s="54"/>
      <c r="S1379" s="54"/>
      <c r="T1379" s="54"/>
      <c r="U1379" s="54"/>
      <c r="V1379" s="54"/>
      <c r="W1379" s="54"/>
      <c r="X1379" s="54"/>
    </row>
    <row r="1380" spans="1:24">
      <c r="A1380" s="52">
        <v>46372</v>
      </c>
      <c r="B1380" s="53" t="s">
        <v>998</v>
      </c>
      <c r="C1380" s="54"/>
      <c r="D1380" s="54"/>
      <c r="E1380" s="54"/>
      <c r="F1380" s="54"/>
      <c r="G1380" s="54"/>
      <c r="H1380" s="54"/>
      <c r="I1380" s="54"/>
      <c r="J1380" s="54"/>
      <c r="K1380" s="54"/>
      <c r="L1380" s="54"/>
      <c r="M1380" s="54">
        <f t="shared" si="19"/>
        <v>0</v>
      </c>
      <c r="N1380" s="55"/>
      <c r="O1380" s="54"/>
      <c r="P1380" s="54"/>
      <c r="Q1380" s="54"/>
      <c r="R1380" s="54"/>
      <c r="S1380" s="54"/>
      <c r="T1380" s="54"/>
      <c r="U1380" s="54"/>
      <c r="V1380" s="54"/>
      <c r="W1380" s="54"/>
      <c r="X1380" s="54"/>
    </row>
    <row r="1381" spans="1:24">
      <c r="A1381" s="52">
        <v>46373</v>
      </c>
      <c r="B1381" s="53" t="s">
        <v>998</v>
      </c>
      <c r="C1381" s="54"/>
      <c r="D1381" s="54"/>
      <c r="E1381" s="54"/>
      <c r="F1381" s="54"/>
      <c r="G1381" s="54"/>
      <c r="H1381" s="54"/>
      <c r="I1381" s="54"/>
      <c r="J1381" s="54"/>
      <c r="K1381" s="54"/>
      <c r="L1381" s="54"/>
      <c r="M1381" s="54">
        <f t="shared" si="19"/>
        <v>0</v>
      </c>
      <c r="N1381" s="55"/>
      <c r="O1381" s="54"/>
      <c r="P1381" s="54"/>
      <c r="Q1381" s="54"/>
      <c r="R1381" s="54"/>
      <c r="S1381" s="54"/>
      <c r="T1381" s="54"/>
      <c r="U1381" s="54"/>
      <c r="V1381" s="54"/>
      <c r="W1381" s="54"/>
      <c r="X1381" s="54"/>
    </row>
    <row r="1382" spans="1:24">
      <c r="A1382" s="52">
        <v>46374</v>
      </c>
      <c r="B1382" s="53" t="s">
        <v>998</v>
      </c>
      <c r="C1382" s="54"/>
      <c r="D1382" s="54"/>
      <c r="E1382" s="54"/>
      <c r="F1382" s="54"/>
      <c r="G1382" s="54"/>
      <c r="H1382" s="54"/>
      <c r="I1382" s="54"/>
      <c r="J1382" s="54"/>
      <c r="K1382" s="54"/>
      <c r="L1382" s="54"/>
      <c r="M1382" s="54">
        <f t="shared" si="19"/>
        <v>0</v>
      </c>
      <c r="N1382" s="55"/>
      <c r="O1382" s="54"/>
      <c r="P1382" s="54"/>
      <c r="Q1382" s="54"/>
      <c r="R1382" s="54"/>
      <c r="S1382" s="54"/>
      <c r="T1382" s="54"/>
      <c r="U1382" s="54"/>
      <c r="V1382" s="54"/>
      <c r="W1382" s="54"/>
      <c r="X1382" s="54"/>
    </row>
    <row r="1383" spans="1:24">
      <c r="A1383" s="52">
        <v>46375</v>
      </c>
      <c r="B1383" s="53" t="s">
        <v>998</v>
      </c>
      <c r="C1383" s="54"/>
      <c r="D1383" s="54"/>
      <c r="E1383" s="54"/>
      <c r="F1383" s="54"/>
      <c r="G1383" s="54"/>
      <c r="H1383" s="54"/>
      <c r="I1383" s="54"/>
      <c r="J1383" s="54"/>
      <c r="K1383" s="54"/>
      <c r="L1383" s="54"/>
      <c r="M1383" s="54">
        <f t="shared" si="19"/>
        <v>0</v>
      </c>
      <c r="N1383" s="55"/>
      <c r="O1383" s="54"/>
      <c r="P1383" s="54"/>
      <c r="Q1383" s="54"/>
      <c r="R1383" s="54"/>
      <c r="S1383" s="54"/>
      <c r="T1383" s="54"/>
      <c r="U1383" s="54"/>
      <c r="V1383" s="54"/>
      <c r="W1383" s="54"/>
      <c r="X1383" s="54"/>
    </row>
    <row r="1384" spans="1:24">
      <c r="A1384" s="52">
        <v>46376</v>
      </c>
      <c r="B1384" s="53" t="s">
        <v>998</v>
      </c>
      <c r="C1384" s="54"/>
      <c r="D1384" s="54"/>
      <c r="E1384" s="54"/>
      <c r="F1384" s="54"/>
      <c r="G1384" s="54"/>
      <c r="H1384" s="54"/>
      <c r="I1384" s="54"/>
      <c r="J1384" s="54"/>
      <c r="K1384" s="54"/>
      <c r="L1384" s="54"/>
      <c r="M1384" s="54">
        <f t="shared" si="19"/>
        <v>0</v>
      </c>
      <c r="N1384" s="55"/>
      <c r="O1384" s="54"/>
      <c r="P1384" s="54"/>
      <c r="Q1384" s="54"/>
      <c r="R1384" s="54"/>
      <c r="S1384" s="54"/>
      <c r="T1384" s="54"/>
      <c r="U1384" s="54"/>
      <c r="V1384" s="54"/>
      <c r="W1384" s="54"/>
      <c r="X1384" s="54"/>
    </row>
    <row r="1385" spans="1:24">
      <c r="A1385" s="52">
        <v>46377</v>
      </c>
      <c r="B1385" s="53" t="s">
        <v>998</v>
      </c>
      <c r="C1385" s="54"/>
      <c r="D1385" s="54"/>
      <c r="E1385" s="54"/>
      <c r="F1385" s="54"/>
      <c r="G1385" s="54"/>
      <c r="H1385" s="54"/>
      <c r="I1385" s="54"/>
      <c r="J1385" s="54"/>
      <c r="K1385" s="54"/>
      <c r="L1385" s="54"/>
      <c r="M1385" s="54">
        <f t="shared" si="19"/>
        <v>0</v>
      </c>
      <c r="N1385" s="55"/>
      <c r="O1385" s="54"/>
      <c r="P1385" s="54"/>
      <c r="Q1385" s="54"/>
      <c r="R1385" s="54"/>
      <c r="S1385" s="54"/>
      <c r="T1385" s="54"/>
      <c r="U1385" s="54"/>
      <c r="V1385" s="54"/>
      <c r="W1385" s="54"/>
      <c r="X1385" s="54"/>
    </row>
    <row r="1386" spans="1:24">
      <c r="A1386" s="52">
        <v>46378</v>
      </c>
      <c r="B1386" s="53" t="s">
        <v>998</v>
      </c>
      <c r="C1386" s="54"/>
      <c r="D1386" s="54"/>
      <c r="E1386" s="54"/>
      <c r="F1386" s="54"/>
      <c r="G1386" s="54"/>
      <c r="H1386" s="54"/>
      <c r="I1386" s="54"/>
      <c r="J1386" s="54"/>
      <c r="K1386" s="54"/>
      <c r="L1386" s="54"/>
      <c r="M1386" s="54">
        <f t="shared" si="19"/>
        <v>0</v>
      </c>
      <c r="N1386" s="55"/>
      <c r="O1386" s="54"/>
      <c r="P1386" s="54"/>
      <c r="Q1386" s="54"/>
      <c r="R1386" s="54"/>
      <c r="S1386" s="54"/>
      <c r="T1386" s="54"/>
      <c r="U1386" s="54"/>
      <c r="V1386" s="54"/>
      <c r="W1386" s="54"/>
      <c r="X1386" s="54"/>
    </row>
    <row r="1387" spans="1:24">
      <c r="A1387" s="52">
        <v>46379</v>
      </c>
      <c r="B1387" s="53" t="s">
        <v>998</v>
      </c>
      <c r="C1387" s="54"/>
      <c r="D1387" s="54"/>
      <c r="E1387" s="54"/>
      <c r="F1387" s="54"/>
      <c r="G1387" s="54"/>
      <c r="H1387" s="54"/>
      <c r="I1387" s="54"/>
      <c r="J1387" s="54"/>
      <c r="K1387" s="54"/>
      <c r="L1387" s="54"/>
      <c r="M1387" s="54">
        <f t="shared" si="19"/>
        <v>0</v>
      </c>
      <c r="N1387" s="55"/>
      <c r="O1387" s="54"/>
      <c r="P1387" s="54"/>
      <c r="Q1387" s="54"/>
      <c r="R1387" s="54"/>
      <c r="S1387" s="54"/>
      <c r="T1387" s="54"/>
      <c r="U1387" s="54"/>
      <c r="V1387" s="54"/>
      <c r="W1387" s="54"/>
      <c r="X1387" s="54"/>
    </row>
    <row r="1388" spans="1:24">
      <c r="A1388" s="52">
        <v>46380</v>
      </c>
      <c r="B1388" s="53" t="s">
        <v>998</v>
      </c>
      <c r="C1388" s="54"/>
      <c r="D1388" s="54"/>
      <c r="E1388" s="54"/>
      <c r="F1388" s="54"/>
      <c r="G1388" s="54"/>
      <c r="H1388" s="54"/>
      <c r="I1388" s="54"/>
      <c r="J1388" s="54"/>
      <c r="K1388" s="54"/>
      <c r="L1388" s="54"/>
      <c r="M1388" s="54">
        <f t="shared" ref="M1388:M1395" si="20">N1388-SUM(C1388:L1388)</f>
        <v>0</v>
      </c>
      <c r="N1388" s="55"/>
      <c r="O1388" s="54"/>
      <c r="P1388" s="54"/>
      <c r="Q1388" s="54"/>
      <c r="R1388" s="54"/>
      <c r="S1388" s="54"/>
      <c r="T1388" s="54"/>
      <c r="U1388" s="54"/>
      <c r="V1388" s="54"/>
      <c r="W1388" s="54"/>
      <c r="X1388" s="54"/>
    </row>
    <row r="1389" spans="1:24">
      <c r="A1389" s="52">
        <v>46381</v>
      </c>
      <c r="B1389" s="53" t="s">
        <v>998</v>
      </c>
      <c r="C1389" s="54"/>
      <c r="D1389" s="54"/>
      <c r="E1389" s="54"/>
      <c r="F1389" s="54"/>
      <c r="G1389" s="54"/>
      <c r="H1389" s="54"/>
      <c r="I1389" s="54"/>
      <c r="J1389" s="54"/>
      <c r="K1389" s="54"/>
      <c r="L1389" s="54"/>
      <c r="M1389" s="54">
        <f t="shared" si="20"/>
        <v>0</v>
      </c>
      <c r="N1389" s="55"/>
      <c r="O1389" s="54"/>
      <c r="P1389" s="54"/>
      <c r="Q1389" s="54"/>
      <c r="R1389" s="54"/>
      <c r="S1389" s="54"/>
      <c r="T1389" s="54"/>
      <c r="U1389" s="54"/>
      <c r="V1389" s="54"/>
      <c r="W1389" s="54"/>
      <c r="X1389" s="54"/>
    </row>
    <row r="1390" spans="1:24">
      <c r="A1390" s="52">
        <v>46382</v>
      </c>
      <c r="B1390" s="53" t="s">
        <v>998</v>
      </c>
      <c r="C1390" s="54"/>
      <c r="D1390" s="54"/>
      <c r="E1390" s="54"/>
      <c r="F1390" s="54"/>
      <c r="G1390" s="54"/>
      <c r="H1390" s="54"/>
      <c r="I1390" s="54"/>
      <c r="J1390" s="54"/>
      <c r="K1390" s="54"/>
      <c r="L1390" s="54"/>
      <c r="M1390" s="54">
        <f t="shared" si="20"/>
        <v>0</v>
      </c>
      <c r="N1390" s="55"/>
      <c r="O1390" s="54"/>
      <c r="P1390" s="54"/>
      <c r="Q1390" s="54"/>
      <c r="R1390" s="54"/>
      <c r="S1390" s="54"/>
      <c r="T1390" s="54"/>
      <c r="U1390" s="54"/>
      <c r="V1390" s="54"/>
      <c r="W1390" s="54"/>
      <c r="X1390" s="54"/>
    </row>
    <row r="1391" spans="1:24">
      <c r="A1391" s="52">
        <v>46383</v>
      </c>
      <c r="B1391" s="53" t="s">
        <v>998</v>
      </c>
      <c r="C1391" s="54"/>
      <c r="D1391" s="54"/>
      <c r="E1391" s="54"/>
      <c r="F1391" s="54"/>
      <c r="G1391" s="54"/>
      <c r="H1391" s="54"/>
      <c r="I1391" s="54"/>
      <c r="J1391" s="54"/>
      <c r="K1391" s="54"/>
      <c r="L1391" s="54"/>
      <c r="M1391" s="54">
        <f t="shared" si="20"/>
        <v>0</v>
      </c>
      <c r="N1391" s="55"/>
      <c r="O1391" s="54"/>
      <c r="P1391" s="54"/>
      <c r="Q1391" s="54"/>
      <c r="R1391" s="54"/>
      <c r="S1391" s="54"/>
      <c r="T1391" s="54"/>
      <c r="U1391" s="54"/>
      <c r="V1391" s="54"/>
      <c r="W1391" s="54"/>
      <c r="X1391" s="54"/>
    </row>
    <row r="1392" spans="1:24">
      <c r="A1392" s="52">
        <v>46384</v>
      </c>
      <c r="B1392" s="53" t="s">
        <v>998</v>
      </c>
      <c r="C1392" s="54"/>
      <c r="D1392" s="54"/>
      <c r="E1392" s="54"/>
      <c r="F1392" s="54"/>
      <c r="G1392" s="54"/>
      <c r="H1392" s="54"/>
      <c r="I1392" s="54"/>
      <c r="J1392" s="54"/>
      <c r="K1392" s="54"/>
      <c r="L1392" s="54"/>
      <c r="M1392" s="54">
        <f t="shared" si="20"/>
        <v>0</v>
      </c>
      <c r="N1392" s="55"/>
      <c r="O1392" s="54"/>
      <c r="P1392" s="54"/>
      <c r="Q1392" s="54"/>
      <c r="R1392" s="54"/>
      <c r="S1392" s="54"/>
      <c r="T1392" s="54"/>
      <c r="U1392" s="54"/>
      <c r="V1392" s="54"/>
      <c r="W1392" s="54"/>
      <c r="X1392" s="54"/>
    </row>
    <row r="1393" spans="1:24">
      <c r="A1393" s="52">
        <v>46385</v>
      </c>
      <c r="B1393" s="53" t="s">
        <v>998</v>
      </c>
      <c r="C1393" s="54"/>
      <c r="D1393" s="54"/>
      <c r="E1393" s="54"/>
      <c r="F1393" s="54"/>
      <c r="G1393" s="54"/>
      <c r="H1393" s="54"/>
      <c r="I1393" s="54"/>
      <c r="J1393" s="54"/>
      <c r="K1393" s="54"/>
      <c r="L1393" s="54"/>
      <c r="M1393" s="54">
        <f t="shared" si="20"/>
        <v>0</v>
      </c>
      <c r="N1393" s="55"/>
      <c r="O1393" s="54"/>
      <c r="P1393" s="54"/>
      <c r="Q1393" s="54"/>
      <c r="R1393" s="54"/>
      <c r="S1393" s="54"/>
      <c r="T1393" s="54"/>
      <c r="U1393" s="54"/>
      <c r="V1393" s="54"/>
      <c r="W1393" s="54"/>
      <c r="X1393" s="54"/>
    </row>
    <row r="1394" spans="1:24">
      <c r="A1394" s="52">
        <v>46386</v>
      </c>
      <c r="B1394" s="53" t="s">
        <v>998</v>
      </c>
      <c r="C1394" s="54"/>
      <c r="D1394" s="54"/>
      <c r="E1394" s="54"/>
      <c r="F1394" s="54"/>
      <c r="G1394" s="54"/>
      <c r="H1394" s="54"/>
      <c r="I1394" s="54"/>
      <c r="J1394" s="54"/>
      <c r="K1394" s="54"/>
      <c r="L1394" s="54"/>
      <c r="M1394" s="54">
        <f t="shared" si="20"/>
        <v>0</v>
      </c>
      <c r="N1394" s="55"/>
      <c r="O1394" s="54"/>
      <c r="P1394" s="54"/>
      <c r="Q1394" s="54"/>
      <c r="R1394" s="54"/>
      <c r="S1394" s="54"/>
      <c r="T1394" s="54"/>
      <c r="U1394" s="54"/>
      <c r="V1394" s="54"/>
      <c r="W1394" s="54"/>
      <c r="X1394" s="54"/>
    </row>
    <row r="1395" spans="1:24">
      <c r="A1395" s="52">
        <v>46387</v>
      </c>
      <c r="B1395" s="53" t="s">
        <v>998</v>
      </c>
      <c r="C1395" s="54"/>
      <c r="D1395" s="54"/>
      <c r="E1395" s="54"/>
      <c r="F1395" s="54"/>
      <c r="G1395" s="54"/>
      <c r="H1395" s="54"/>
      <c r="I1395" s="54"/>
      <c r="J1395" s="54"/>
      <c r="K1395" s="54"/>
      <c r="L1395" s="54"/>
      <c r="M1395" s="54">
        <f t="shared" si="20"/>
        <v>0</v>
      </c>
      <c r="N1395" s="55"/>
      <c r="O1395" s="54"/>
      <c r="P1395" s="54"/>
      <c r="Q1395" s="54"/>
      <c r="R1395" s="54"/>
      <c r="S1395" s="54"/>
      <c r="T1395" s="54"/>
      <c r="U1395" s="54"/>
      <c r="V1395" s="54"/>
      <c r="W1395" s="54"/>
      <c r="X1395" s="54"/>
    </row>
  </sheetData>
  <autoFilter ref="A2:BP1226" xr:uid="{00000000-0009-0000-0000-000001000000}"/>
  <phoneticPr fontId="5" type="noConversion"/>
  <conditionalFormatting sqref="B1:B1048576">
    <cfRule type="cellIs" dxfId="3" priority="1" operator="equal">
      <formula>"NX8"</formula>
    </cfRule>
    <cfRule type="cellIs" dxfId="2" priority="2" operator="equal">
      <formula>"天籁·鸿蒙座舱"</formula>
    </cfRule>
    <cfRule type="cellIs" dxfId="1" priority="3" operator="equal">
      <formula>"N6"</formula>
    </cfRule>
    <cfRule type="cellIs" dxfId="0" priority="4" operator="equal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AF10"/>
  <sheetViews>
    <sheetView zoomScale="90" zoomScaleNormal="90" workbookViewId="0">
      <selection activeCell="M10" sqref="M10"/>
    </sheetView>
  </sheetViews>
  <sheetFormatPr defaultRowHeight="14.25"/>
  <cols>
    <col min="1" max="1" width="13" bestFit="1" customWidth="1"/>
    <col min="2" max="13" width="6.5" bestFit="1" customWidth="1"/>
    <col min="14" max="32" width="7.5" bestFit="1" customWidth="1"/>
  </cols>
  <sheetData>
    <row r="3" spans="1:32">
      <c r="A3" s="10" t="s">
        <v>338</v>
      </c>
      <c r="B3" s="15">
        <v>46082</v>
      </c>
      <c r="C3" s="15">
        <v>46083</v>
      </c>
      <c r="D3" s="15">
        <v>46084</v>
      </c>
      <c r="E3" s="15">
        <v>46085</v>
      </c>
      <c r="F3" s="15">
        <v>46086</v>
      </c>
      <c r="G3" s="15">
        <v>46087</v>
      </c>
      <c r="H3" s="15">
        <v>46088</v>
      </c>
      <c r="I3" s="15">
        <v>46089</v>
      </c>
      <c r="J3" s="15">
        <v>46090</v>
      </c>
      <c r="K3" s="15">
        <v>46091</v>
      </c>
      <c r="L3" s="15">
        <v>46092</v>
      </c>
      <c r="M3" s="15">
        <v>46093</v>
      </c>
      <c r="N3" s="15">
        <v>46094</v>
      </c>
      <c r="O3" s="15">
        <v>46095</v>
      </c>
      <c r="P3" s="15">
        <v>46096</v>
      </c>
      <c r="Q3" s="15">
        <v>46097</v>
      </c>
      <c r="R3" s="15">
        <v>46098</v>
      </c>
      <c r="S3" s="15">
        <v>46099</v>
      </c>
      <c r="T3" s="15">
        <v>46100</v>
      </c>
      <c r="U3" s="15">
        <v>46101</v>
      </c>
      <c r="V3" s="15">
        <v>46102</v>
      </c>
      <c r="W3" s="15">
        <v>46103</v>
      </c>
      <c r="X3" s="15">
        <v>46104</v>
      </c>
      <c r="Y3" s="15">
        <v>46105</v>
      </c>
      <c r="Z3" s="15">
        <v>46106</v>
      </c>
      <c r="AA3" s="15">
        <v>46107</v>
      </c>
      <c r="AB3" s="15">
        <v>46108</v>
      </c>
      <c r="AC3" s="15">
        <v>46109</v>
      </c>
      <c r="AD3" s="15">
        <v>46110</v>
      </c>
      <c r="AE3" s="15">
        <v>46111</v>
      </c>
      <c r="AF3" s="15">
        <v>46112</v>
      </c>
    </row>
    <row r="4" spans="1:32">
      <c r="A4" s="10" t="s">
        <v>339</v>
      </c>
      <c r="B4" s="15">
        <v>46113</v>
      </c>
      <c r="C4" s="15">
        <v>46114</v>
      </c>
      <c r="D4" s="15">
        <v>46115</v>
      </c>
      <c r="E4" s="15">
        <v>46116</v>
      </c>
      <c r="F4" s="15">
        <v>46117</v>
      </c>
      <c r="G4" s="15">
        <v>46118</v>
      </c>
      <c r="H4" s="15">
        <v>46119</v>
      </c>
      <c r="I4" s="15">
        <v>46120</v>
      </c>
      <c r="J4" s="15">
        <v>46121</v>
      </c>
      <c r="K4" s="15">
        <v>46122</v>
      </c>
      <c r="L4" s="15">
        <v>46123</v>
      </c>
      <c r="M4" s="15">
        <v>46124</v>
      </c>
      <c r="N4" s="15">
        <v>46125</v>
      </c>
      <c r="O4" s="15">
        <v>46126</v>
      </c>
      <c r="P4" s="15">
        <v>46127</v>
      </c>
      <c r="Q4" s="15">
        <v>46128</v>
      </c>
      <c r="R4" s="15">
        <v>46129</v>
      </c>
      <c r="S4" s="15">
        <v>46130</v>
      </c>
      <c r="T4" s="15">
        <v>46131</v>
      </c>
      <c r="U4" s="15">
        <v>46132</v>
      </c>
      <c r="V4" s="15">
        <v>46133</v>
      </c>
      <c r="W4" s="15">
        <v>46134</v>
      </c>
      <c r="X4" s="15">
        <v>46135</v>
      </c>
      <c r="Y4" s="15">
        <v>46136</v>
      </c>
      <c r="Z4" s="15">
        <v>46137</v>
      </c>
      <c r="AA4" s="15">
        <v>46138</v>
      </c>
      <c r="AB4" s="15">
        <v>46139</v>
      </c>
      <c r="AC4" s="15">
        <v>46140</v>
      </c>
      <c r="AD4" s="15">
        <v>46141</v>
      </c>
      <c r="AE4" s="15">
        <v>46142</v>
      </c>
    </row>
    <row r="5" spans="1:32">
      <c r="A5" t="s">
        <v>340</v>
      </c>
      <c r="B5">
        <f>SUMIFS(全国按日NEV!$F:$F,全国按日NEV!$C:$C,全车有效线索管控!B3)+SUMIFS(全国按日ICE!$G:$G,全国按日ICE!$B:$B,全车有效线索管控!B3)</f>
        <v>0</v>
      </c>
      <c r="C5">
        <f>SUMIFS(全国按日NEV!$F:$F,全国按日NEV!$C:$C,全车有效线索管控!C3)+SUMIFS(全国按日ICE!$G:$G,全国按日ICE!$B:$B,全车有效线索管控!C3)</f>
        <v>0</v>
      </c>
      <c r="D5">
        <f>SUMIFS(全国按日NEV!$F:$F,全国按日NEV!$C:$C,全车有效线索管控!D3)+SUMIFS(全国按日ICE!$G:$G,全国按日ICE!$B:$B,全车有效线索管控!D3)</f>
        <v>0</v>
      </c>
      <c r="E5">
        <f>SUMIFS(全国按日NEV!$F:$F,全国按日NEV!$C:$C,全车有效线索管控!E3)+SUMIFS(全国按日ICE!$G:$G,全国按日ICE!$B:$B,全车有效线索管控!E3)</f>
        <v>0</v>
      </c>
      <c r="F5">
        <f>SUMIFS(全国按日NEV!$F:$F,全国按日NEV!$C:$C,全车有效线索管控!F3)+SUMIFS(全国按日ICE!$G:$G,全国按日ICE!$B:$B,全车有效线索管控!F3)</f>
        <v>0</v>
      </c>
      <c r="G5">
        <f>SUMIFS(全国按日NEV!$F:$F,全国按日NEV!$C:$C,全车有效线索管控!G3)+SUMIFS(全国按日ICE!$G:$G,全国按日ICE!$B:$B,全车有效线索管控!G3)</f>
        <v>0</v>
      </c>
      <c r="H5">
        <f>SUMIFS(全国按日NEV!$F:$F,全国按日NEV!$C:$C,全车有效线索管控!H3)+SUMIFS(全国按日ICE!$G:$G,全国按日ICE!$B:$B,全车有效线索管控!H3)</f>
        <v>0</v>
      </c>
      <c r="I5">
        <f>SUMIFS(全国按日NEV!$F:$F,全国按日NEV!$C:$C,全车有效线索管控!I3)+SUMIFS(全国按日ICE!$G:$G,全国按日ICE!$B:$B,全车有效线索管控!I3)</f>
        <v>0</v>
      </c>
      <c r="J5">
        <f>SUMIFS(全国按日NEV!$F:$F,全国按日NEV!$C:$C,全车有效线索管控!J3)+SUMIFS(全国按日ICE!$G:$G,全国按日ICE!$B:$B,全车有效线索管控!J3)</f>
        <v>0</v>
      </c>
      <c r="K5">
        <f>SUMIFS(全国按日NEV!$F:$F,全国按日NEV!$C:$C,全车有效线索管控!K3)+SUMIFS(全国按日ICE!$G:$G,全国按日ICE!$B:$B,全车有效线索管控!K3)</f>
        <v>0</v>
      </c>
      <c r="L5">
        <f>SUMIFS(全国按日NEV!$F:$F,全国按日NEV!$C:$C,全车有效线索管控!L3)+SUMIFS(全国按日ICE!$G:$G,全国按日ICE!$B:$B,全车有效线索管控!L3)</f>
        <v>0</v>
      </c>
      <c r="M5">
        <f>SUMIFS(全国按日NEV!$F:$F,全国按日NEV!$C:$C,全车有效线索管控!M3)+SUMIFS(全国按日ICE!$G:$G,全国按日ICE!$B:$B,全车有效线索管控!M3)</f>
        <v>0</v>
      </c>
      <c r="N5">
        <f>SUMIFS(全国按日NEV!$F:$F,全国按日NEV!$C:$C,全车有效线索管控!N3)+SUMIFS(全国按日ICE!$G:$G,全国按日ICE!$B:$B,全车有效线索管控!N3)</f>
        <v>0</v>
      </c>
      <c r="O5">
        <f>SUMIFS(全国按日NEV!$F:$F,全国按日NEV!$C:$C,全车有效线索管控!O3)+SUMIFS(全国按日ICE!$G:$G,全国按日ICE!$B:$B,全车有效线索管控!O3)</f>
        <v>0</v>
      </c>
      <c r="P5">
        <f>SUMIFS(全国按日NEV!$F:$F,全国按日NEV!$C:$C,全车有效线索管控!P3)+SUMIFS(全国按日ICE!$G:$G,全国按日ICE!$B:$B,全车有效线索管控!P3)</f>
        <v>0</v>
      </c>
      <c r="Q5">
        <f>SUMIFS(全国按日NEV!$F:$F,全国按日NEV!$C:$C,全车有效线索管控!Q3)+SUMIFS(全国按日ICE!$G:$G,全国按日ICE!$B:$B,全车有效线索管控!Q3)</f>
        <v>0</v>
      </c>
      <c r="R5">
        <f>SUMIFS(全国按日NEV!$F:$F,全国按日NEV!$C:$C,全车有效线索管控!R3)+SUMIFS(全国按日ICE!$G:$G,全国按日ICE!$B:$B,全车有效线索管控!R3)</f>
        <v>0</v>
      </c>
      <c r="S5">
        <f>SUMIFS(全国按日NEV!$F:$F,全国按日NEV!$C:$C,全车有效线索管控!S3)+SUMIFS(全国按日ICE!$G:$G,全国按日ICE!$B:$B,全车有效线索管控!S3)</f>
        <v>0</v>
      </c>
      <c r="T5">
        <f>SUMIFS(全国按日NEV!$F:$F,全国按日NEV!$C:$C,全车有效线索管控!T3)+SUMIFS(全国按日ICE!$G:$G,全国按日ICE!$B:$B,全车有效线索管控!T3)</f>
        <v>0</v>
      </c>
      <c r="U5">
        <f>SUMIFS(全国按日NEV!$F:$F,全国按日NEV!$C:$C,全车有效线索管控!U3)+SUMIFS(全国按日ICE!$G:$G,全国按日ICE!$B:$B,全车有效线索管控!U3)</f>
        <v>0</v>
      </c>
      <c r="V5">
        <f>SUMIFS(全国按日NEV!$F:$F,全国按日NEV!$C:$C,全车有效线索管控!V3)+SUMIFS(全国按日ICE!$G:$G,全国按日ICE!$B:$B,全车有效线索管控!V3)</f>
        <v>0</v>
      </c>
      <c r="W5">
        <f>SUMIFS(全国按日NEV!$F:$F,全国按日NEV!$C:$C,全车有效线索管控!W3)+SUMIFS(全国按日ICE!$G:$G,全国按日ICE!$B:$B,全车有效线索管控!W3)</f>
        <v>0</v>
      </c>
      <c r="X5">
        <f>SUMIFS(全国按日NEV!$F:$F,全国按日NEV!$C:$C,全车有效线索管控!X3)+SUMIFS(全国按日ICE!$G:$G,全国按日ICE!$B:$B,全车有效线索管控!X3)</f>
        <v>0</v>
      </c>
      <c r="Y5">
        <f>SUMIFS(全国按日NEV!$F:$F,全国按日NEV!$C:$C,全车有效线索管控!Y3)+SUMIFS(全国按日ICE!$G:$G,全国按日ICE!$B:$B,全车有效线索管控!Y3)</f>
        <v>0</v>
      </c>
      <c r="Z5">
        <f>SUMIFS(全国按日NEV!$F:$F,全国按日NEV!$C:$C,全车有效线索管控!Z3)+SUMIFS(全国按日ICE!$G:$G,全国按日ICE!$B:$B,全车有效线索管控!Z3)</f>
        <v>0</v>
      </c>
      <c r="AA5">
        <f>SUMIFS(全国按日NEV!$F:$F,全国按日NEV!$C:$C,全车有效线索管控!AA3)+SUMIFS(全国按日ICE!$G:$G,全国按日ICE!$B:$B,全车有效线索管控!AA3)</f>
        <v>0</v>
      </c>
      <c r="AB5">
        <f>SUMIFS(全国按日NEV!$F:$F,全国按日NEV!$C:$C,全车有效线索管控!AB3)+SUMIFS(全国按日ICE!$G:$G,全国按日ICE!$B:$B,全车有效线索管控!AB3)</f>
        <v>0</v>
      </c>
      <c r="AC5">
        <f>SUMIFS(全国按日NEV!$F:$F,全国按日NEV!$C:$C,全车有效线索管控!AC3)+SUMIFS(全国按日ICE!$G:$G,全国按日ICE!$B:$B,全车有效线索管控!AC3)</f>
        <v>0</v>
      </c>
      <c r="AD5">
        <f>SUMIFS(全国按日NEV!$F:$F,全国按日NEV!$C:$C,全车有效线索管控!AD3)+SUMIFS(全国按日ICE!$G:$G,全国按日ICE!$B:$B,全车有效线索管控!AD3)</f>
        <v>0</v>
      </c>
      <c r="AE5">
        <f>SUMIFS(全国按日NEV!$F:$F,全国按日NEV!$C:$C,全车有效线索管控!AE3)+SUMIFS(全国按日ICE!$G:$G,全国按日ICE!$B:$B,全车有效线索管控!AE3)</f>
        <v>0</v>
      </c>
      <c r="AF5">
        <f>SUMIFS(全国按日NEV!$F:$F,全国按日NEV!$C:$C,全车有效线索管控!AF3)+SUMIFS(全国按日ICE!$G:$G,全国按日ICE!$B:$B,全车有效线索管控!AF3)</f>
        <v>0</v>
      </c>
    </row>
    <row r="6" spans="1:32">
      <c r="A6" t="s">
        <v>341</v>
      </c>
      <c r="B6">
        <f>SUMIFS(全国按日NEV!$F:$F,全国按日NEV!$C:$C,全车有效线索管控!B4)+SUMIFS(全国按日ICE!$G:$G,全国按日ICE!$B:$B,全车有效线索管控!B4)</f>
        <v>0</v>
      </c>
      <c r="C6">
        <f>SUMIFS(全国按日NEV!$F:$F,全国按日NEV!$C:$C,全车有效线索管控!C4)+SUMIFS(全国按日ICE!$G:$G,全国按日ICE!$B:$B,全车有效线索管控!C4)</f>
        <v>0</v>
      </c>
      <c r="D6">
        <f>SUMIFS(全国按日NEV!$F:$F,全国按日NEV!$C:$C,全车有效线索管控!D4)+SUMIFS(全国按日ICE!$G:$G,全国按日ICE!$B:$B,全车有效线索管控!D4)</f>
        <v>0</v>
      </c>
      <c r="E6">
        <f>SUMIFS(全国按日NEV!$F:$F,全国按日NEV!$C:$C,全车有效线索管控!E4)+SUMIFS(全国按日ICE!$G:$G,全国按日ICE!$B:$B,全车有效线索管控!E4)</f>
        <v>0</v>
      </c>
      <c r="F6">
        <f>SUMIFS(全国按日NEV!$F:$F,全国按日NEV!$C:$C,全车有效线索管控!F4)+SUMIFS(全国按日ICE!$G:$G,全国按日ICE!$B:$B,全车有效线索管控!F4)</f>
        <v>0</v>
      </c>
      <c r="G6">
        <f>SUMIFS(全国按日NEV!$F:$F,全国按日NEV!$C:$C,全车有效线索管控!G4)+SUMIFS(全国按日ICE!$G:$G,全国按日ICE!$B:$B,全车有效线索管控!G4)</f>
        <v>0</v>
      </c>
      <c r="H6">
        <f>SUMIFS(全国按日NEV!$F:$F,全国按日NEV!$C:$C,全车有效线索管控!H4)+SUMIFS(全国按日ICE!$G:$G,全国按日ICE!$B:$B,全车有效线索管控!H4)</f>
        <v>0</v>
      </c>
      <c r="I6">
        <f>SUMIFS(全国按日NEV!$F:$F,全国按日NEV!$C:$C,全车有效线索管控!I4)+SUMIFS(全国按日ICE!$G:$G,全国按日ICE!$B:$B,全车有效线索管控!I4)</f>
        <v>0</v>
      </c>
      <c r="J6">
        <f>SUMIFS(全国按日NEV!$F:$F,全国按日NEV!$C:$C,全车有效线索管控!J4)+SUMIFS(全国按日ICE!$G:$G,全国按日ICE!$B:$B,全车有效线索管控!J4)</f>
        <v>0</v>
      </c>
      <c r="K6">
        <f>SUMIFS(全国按日NEV!$F:$F,全国按日NEV!$C:$C,全车有效线索管控!K4)+SUMIFS(全国按日ICE!$G:$G,全国按日ICE!$B:$B,全车有效线索管控!K4)</f>
        <v>0</v>
      </c>
      <c r="L6">
        <f>SUMIFS(全国按日NEV!$F:$F,全国按日NEV!$C:$C,全车有效线索管控!L4)+SUMIFS(全国按日ICE!$G:$G,全国按日ICE!$B:$B,全车有效线索管控!L4)</f>
        <v>0</v>
      </c>
      <c r="M6">
        <f>SUMIFS(全国按日NEV!$F:$F,全国按日NEV!$C:$C,全车有效线索管控!M4)+SUMIFS(全国按日ICE!$G:$G,全国按日ICE!$B:$B,全车有效线索管控!M4)</f>
        <v>0</v>
      </c>
      <c r="N6">
        <f>SUMIFS(全国按日NEV!$F:$F,全国按日NEV!$C:$C,全车有效线索管控!N4)+SUMIFS(全国按日ICE!$G:$G,全国按日ICE!$B:$B,全车有效线索管控!N4)</f>
        <v>0</v>
      </c>
      <c r="O6">
        <f>SUMIFS(全国按日NEV!$F:$F,全国按日NEV!$C:$C,全车有效线索管控!O4)+SUMIFS(全国按日ICE!$G:$G,全国按日ICE!$B:$B,全车有效线索管控!O4)</f>
        <v>0</v>
      </c>
      <c r="P6">
        <f>SUMIFS(全国按日NEV!$F:$F,全国按日NEV!$C:$C,全车有效线索管控!P4)+SUMIFS(全国按日ICE!$G:$G,全国按日ICE!$B:$B,全车有效线索管控!P4)</f>
        <v>0</v>
      </c>
      <c r="Q6">
        <f>SUMIFS(全国按日NEV!$F:$F,全国按日NEV!$C:$C,全车有效线索管控!Q4)+SUMIFS(全国按日ICE!$G:$G,全国按日ICE!$B:$B,全车有效线索管控!Q4)</f>
        <v>0</v>
      </c>
      <c r="R6">
        <f>SUMIFS(全国按日NEV!$F:$F,全国按日NEV!$C:$C,全车有效线索管控!R4)+SUMIFS(全国按日ICE!$G:$G,全国按日ICE!$B:$B,全车有效线索管控!R4)</f>
        <v>0</v>
      </c>
      <c r="S6">
        <f>SUMIFS(全国按日NEV!$F:$F,全国按日NEV!$C:$C,全车有效线索管控!S4)+SUMIFS(全国按日ICE!$G:$G,全国按日ICE!$B:$B,全车有效线索管控!S4)</f>
        <v>0</v>
      </c>
      <c r="T6">
        <f>SUMIFS(全国按日NEV!$F:$F,全国按日NEV!$C:$C,全车有效线索管控!T4)+SUMIFS(全国按日ICE!$G:$G,全国按日ICE!$B:$B,全车有效线索管控!T4)</f>
        <v>0</v>
      </c>
      <c r="U6">
        <f>SUMIFS(全国按日NEV!$F:$F,全国按日NEV!$C:$C,全车有效线索管控!U4)+SUMIFS(全国按日ICE!$G:$G,全国按日ICE!$B:$B,全车有效线索管控!U4)</f>
        <v>0</v>
      </c>
      <c r="V6">
        <f>SUMIFS(全国按日NEV!$F:$F,全国按日NEV!$C:$C,全车有效线索管控!V4)+SUMIFS(全国按日ICE!$G:$G,全国按日ICE!$B:$B,全车有效线索管控!V4)</f>
        <v>0</v>
      </c>
      <c r="W6">
        <f>SUMIFS(全国按日NEV!$F:$F,全国按日NEV!$C:$C,全车有效线索管控!W4)+SUMIFS(全国按日ICE!$G:$G,全国按日ICE!$B:$B,全车有效线索管控!W4)</f>
        <v>0</v>
      </c>
      <c r="X6">
        <f>SUMIFS(全国按日NEV!$F:$F,全国按日NEV!$C:$C,全车有效线索管控!X4)+SUMIFS(全国按日ICE!$G:$G,全国按日ICE!$B:$B,全车有效线索管控!X4)</f>
        <v>0</v>
      </c>
      <c r="Y6">
        <f>SUMIFS(全国按日NEV!$F:$F,全国按日NEV!$C:$C,全车有效线索管控!Y4)+SUMIFS(全国按日ICE!$G:$G,全国按日ICE!$B:$B,全车有效线索管控!Y4)</f>
        <v>0</v>
      </c>
      <c r="Z6">
        <f>SUMIFS(全国按日NEV!$F:$F,全国按日NEV!$C:$C,全车有效线索管控!Z4)+SUMIFS(全国按日ICE!$G:$G,全国按日ICE!$B:$B,全车有效线索管控!Z4)</f>
        <v>0</v>
      </c>
      <c r="AA6">
        <f>SUMIFS(全国按日NEV!$F:$F,全国按日NEV!$C:$C,全车有效线索管控!AA4)+SUMIFS(全国按日ICE!$G:$G,全国按日ICE!$B:$B,全车有效线索管控!AA4)</f>
        <v>0</v>
      </c>
      <c r="AB6">
        <f>SUMIFS(全国按日NEV!$F:$F,全国按日NEV!$C:$C,全车有效线索管控!AB4)+SUMIFS(全国按日ICE!$G:$G,全国按日ICE!$B:$B,全车有效线索管控!AB4)</f>
        <v>0</v>
      </c>
      <c r="AC6">
        <f>SUMIFS(全国按日NEV!$F:$F,全国按日NEV!$C:$C,全车有效线索管控!AC4)+SUMIFS(全国按日ICE!$G:$G,全国按日ICE!$B:$B,全车有效线索管控!AC4)</f>
        <v>0</v>
      </c>
      <c r="AD6">
        <f>SUMIFS(全国按日NEV!$F:$F,全国按日NEV!$C:$C,全车有效线索管控!AD4)+SUMIFS(全国按日ICE!$G:$G,全国按日ICE!$B:$B,全车有效线索管控!AD4)</f>
        <v>0</v>
      </c>
      <c r="AE6">
        <f>SUMIFS(全国按日NEV!$F:$F,全国按日NEV!$C:$C,全车有效线索管控!AE4)+SUMIFS(全国按日ICE!$G:$G,全国按日ICE!$B:$B,全车有效线索管控!AE4)</f>
        <v>0</v>
      </c>
    </row>
    <row r="7" spans="1:32">
      <c r="A7" t="s">
        <v>342</v>
      </c>
      <c r="B7">
        <f>SUM($B$5)</f>
        <v>0</v>
      </c>
      <c r="C7">
        <f>SUM($B$5:C5)</f>
        <v>0</v>
      </c>
      <c r="D7">
        <f>SUM($B$5:D5)</f>
        <v>0</v>
      </c>
      <c r="E7">
        <f>SUM($B$5:E5)</f>
        <v>0</v>
      </c>
      <c r="F7">
        <f>SUM($B$5:F5)</f>
        <v>0</v>
      </c>
      <c r="G7">
        <f>SUM($B$5:G5)</f>
        <v>0</v>
      </c>
      <c r="H7">
        <f>SUM($B$5:H5)</f>
        <v>0</v>
      </c>
      <c r="I7">
        <f>SUM($B$5:I5)</f>
        <v>0</v>
      </c>
      <c r="J7">
        <f>SUM($B$5:J5)</f>
        <v>0</v>
      </c>
      <c r="K7">
        <f>SUM($B$5:K5)</f>
        <v>0</v>
      </c>
      <c r="L7">
        <f>SUM($B$5:L5)</f>
        <v>0</v>
      </c>
      <c r="M7">
        <f>SUM($B$5:M5)</f>
        <v>0</v>
      </c>
      <c r="N7">
        <f>SUM($B$5:N5)</f>
        <v>0</v>
      </c>
      <c r="O7">
        <f>SUM($B$5:O5)</f>
        <v>0</v>
      </c>
      <c r="P7">
        <f>SUM($B$5:P5)</f>
        <v>0</v>
      </c>
      <c r="Q7">
        <f>SUM($B$5:Q5)</f>
        <v>0</v>
      </c>
      <c r="R7">
        <f>SUM($B$5:R5)</f>
        <v>0</v>
      </c>
      <c r="S7">
        <f>SUM($B$5:S5)</f>
        <v>0</v>
      </c>
      <c r="T7">
        <f>SUM($B$5:T5)</f>
        <v>0</v>
      </c>
      <c r="U7">
        <f>SUM($B$5:U5)</f>
        <v>0</v>
      </c>
      <c r="V7">
        <f>SUM($B$5:V5)</f>
        <v>0</v>
      </c>
      <c r="W7">
        <f>SUM($B$5:W5)</f>
        <v>0</v>
      </c>
      <c r="X7">
        <f>SUM($B$5:X5)</f>
        <v>0</v>
      </c>
      <c r="Y7">
        <f>SUM($B$5:Y5)</f>
        <v>0</v>
      </c>
      <c r="Z7">
        <f>SUM($B$5:Z5)</f>
        <v>0</v>
      </c>
      <c r="AA7">
        <f>SUM($B$5:AA5)</f>
        <v>0</v>
      </c>
      <c r="AB7">
        <f>SUM($B$5:AB5)</f>
        <v>0</v>
      </c>
      <c r="AC7">
        <f>SUM($B$5:AC5)</f>
        <v>0</v>
      </c>
      <c r="AD7">
        <f>SUM($B$5:AD5)</f>
        <v>0</v>
      </c>
      <c r="AE7">
        <f>SUM($B$5:AE5)</f>
        <v>0</v>
      </c>
      <c r="AF7">
        <f>SUM($B$5:AF5)</f>
        <v>0</v>
      </c>
    </row>
    <row r="8" spans="1:32">
      <c r="A8" t="s">
        <v>343</v>
      </c>
      <c r="B8">
        <f ca="1">IF(B4&lt;(TODAY()-1),SUM($B$6),NA())</f>
        <v>0</v>
      </c>
      <c r="C8">
        <f ca="1">IF(B4&lt;(TODAY()-1),SUM($B$6:C6),NA())</f>
        <v>0</v>
      </c>
      <c r="D8">
        <f ca="1">IF(C4&lt;(TODAY()-1),SUM($B$6:D6),NA())</f>
        <v>0</v>
      </c>
      <c r="E8">
        <f ca="1">IF(D4&lt;(TODAY()-1),SUM($B$6:E6),NA())</f>
        <v>0</v>
      </c>
      <c r="F8">
        <f ca="1">IF(E4&lt;(TODAY()-1),SUM($B$6:F6),NA())</f>
        <v>0</v>
      </c>
      <c r="G8">
        <f ca="1">IF(F4&lt;(TODAY()-1),SUM($B$6:G6),NA())</f>
        <v>0</v>
      </c>
      <c r="H8">
        <f ca="1">IF(G4&lt;(TODAY()-1),SUM($B$6:H6),NA())</f>
        <v>0</v>
      </c>
      <c r="I8">
        <f ca="1">IF(H4&lt;(TODAY()-1),SUM($B$6:I6),NA())</f>
        <v>0</v>
      </c>
      <c r="J8">
        <f ca="1">IF(I4&lt;(TODAY()-1),SUM($B$6:J6),NA())</f>
        <v>0</v>
      </c>
      <c r="K8">
        <f ca="1">IF(J4&lt;(TODAY()-1),SUM($B$6:K6),NA())</f>
        <v>0</v>
      </c>
      <c r="L8">
        <f ca="1">IF(K4&lt;(TODAY()-1),SUM($B$6:L6),NA())</f>
        <v>0</v>
      </c>
      <c r="M8">
        <f ca="1">IF(L4&lt;(TODAY()-1),SUM($B$6:M6),NA())</f>
        <v>0</v>
      </c>
      <c r="N8">
        <f ca="1">IF(M4&lt;(TODAY()-1),SUM($B$6:N6),NA())</f>
        <v>0</v>
      </c>
      <c r="O8">
        <f ca="1">IF(N4&lt;(TODAY()-1),SUM($B$6:O6),NA())</f>
        <v>0</v>
      </c>
      <c r="P8">
        <f ca="1">IF(O4&lt;(TODAY()-1),SUM($B$6:P6),NA())</f>
        <v>0</v>
      </c>
      <c r="Q8">
        <f ca="1">IF(P4&lt;(TODAY()-1),SUM($B$6:Q6),NA())</f>
        <v>0</v>
      </c>
      <c r="R8">
        <f ca="1">IF(Q4&lt;(TODAY()-1),SUM($B$6:R6),NA())</f>
        <v>0</v>
      </c>
      <c r="S8">
        <f ca="1">IF(R4&lt;(TODAY()-1),SUM($B$6:S6),NA())</f>
        <v>0</v>
      </c>
      <c r="T8">
        <f ca="1">IF(S4&lt;(TODAY()-1),SUM($B$6:T6),NA())</f>
        <v>0</v>
      </c>
      <c r="U8">
        <f ca="1">IF(T4&lt;(TODAY()-1),SUM($B$6:U6),NA())</f>
        <v>0</v>
      </c>
      <c r="V8">
        <f ca="1">IF(U4&lt;(TODAY()-1),SUM($B$6:V6),NA())</f>
        <v>0</v>
      </c>
      <c r="W8">
        <f ca="1">IF(V4&lt;(TODAY()-1),SUM($B$6:W6),NA())</f>
        <v>0</v>
      </c>
      <c r="X8">
        <f ca="1">IF(W4&lt;(TODAY()-1),SUM($B$6:X6),NA())</f>
        <v>0</v>
      </c>
      <c r="Y8">
        <f ca="1">IF(X4&lt;(TODAY()-1),SUM($B$6:Y6),NA())</f>
        <v>0</v>
      </c>
      <c r="Z8">
        <f ca="1">IF(Y4&lt;(TODAY()-1),SUM($B$6:Z6),NA())</f>
        <v>0</v>
      </c>
      <c r="AA8">
        <f ca="1">IF(Z4&lt;(TODAY()-1),SUM($B$6:AA6),NA())</f>
        <v>0</v>
      </c>
      <c r="AB8">
        <f ca="1">IF(AA4&lt;(TODAY()-1),SUM($B$6:AB6),NA())</f>
        <v>0</v>
      </c>
      <c r="AC8">
        <f ca="1">IF(AB4&lt;(TODAY()-1),SUM($B$6:AC6),NA())</f>
        <v>0</v>
      </c>
      <c r="AD8">
        <f ca="1">IF(AC4&lt;(TODAY()-1),SUM($B$6:AD6),NA())</f>
        <v>0</v>
      </c>
      <c r="AE8">
        <f ca="1">IF(AD4&lt;(TODAY()-1),SUM($B$6:AE6),NA())</f>
        <v>0</v>
      </c>
      <c r="AF8">
        <f ca="1">IF(AE4&lt;(TODAY()-1),SUM($B$6:AF6),NA())</f>
        <v>0</v>
      </c>
    </row>
    <row r="9" spans="1:32">
      <c r="A9" s="10" t="s">
        <v>344</v>
      </c>
      <c r="B9" s="16" t="str">
        <f t="shared" ref="B9:AF9" si="0">IF(B6&lt;&gt;0,B6/B5-1,"-")</f>
        <v>-</v>
      </c>
      <c r="C9" s="16" t="str">
        <f t="shared" si="0"/>
        <v>-</v>
      </c>
      <c r="D9" s="16" t="str">
        <f t="shared" si="0"/>
        <v>-</v>
      </c>
      <c r="E9" s="16" t="str">
        <f t="shared" si="0"/>
        <v>-</v>
      </c>
      <c r="F9" s="16" t="str">
        <f t="shared" si="0"/>
        <v>-</v>
      </c>
      <c r="G9" s="16" t="str">
        <f t="shared" si="0"/>
        <v>-</v>
      </c>
      <c r="H9" s="16" t="str">
        <f t="shared" si="0"/>
        <v>-</v>
      </c>
      <c r="I9" s="16" t="str">
        <f t="shared" si="0"/>
        <v>-</v>
      </c>
      <c r="J9" s="16" t="str">
        <f t="shared" si="0"/>
        <v>-</v>
      </c>
      <c r="K9" s="16" t="str">
        <f t="shared" si="0"/>
        <v>-</v>
      </c>
      <c r="L9" s="16" t="str">
        <f t="shared" si="0"/>
        <v>-</v>
      </c>
      <c r="M9" s="16" t="str">
        <f t="shared" si="0"/>
        <v>-</v>
      </c>
      <c r="N9" s="16" t="str">
        <f t="shared" si="0"/>
        <v>-</v>
      </c>
      <c r="O9" s="16" t="str">
        <f t="shared" si="0"/>
        <v>-</v>
      </c>
      <c r="P9" s="16" t="str">
        <f t="shared" si="0"/>
        <v>-</v>
      </c>
      <c r="Q9" s="16" t="str">
        <f t="shared" si="0"/>
        <v>-</v>
      </c>
      <c r="R9" s="16" t="str">
        <f t="shared" si="0"/>
        <v>-</v>
      </c>
      <c r="S9" s="16" t="str">
        <f t="shared" si="0"/>
        <v>-</v>
      </c>
      <c r="T9" s="16" t="str">
        <f t="shared" si="0"/>
        <v>-</v>
      </c>
      <c r="U9" s="16" t="str">
        <f t="shared" si="0"/>
        <v>-</v>
      </c>
      <c r="V9" s="16" t="str">
        <f t="shared" si="0"/>
        <v>-</v>
      </c>
      <c r="W9" s="16" t="str">
        <f t="shared" si="0"/>
        <v>-</v>
      </c>
      <c r="X9" s="16" t="str">
        <f t="shared" si="0"/>
        <v>-</v>
      </c>
      <c r="Y9" s="16" t="str">
        <f t="shared" si="0"/>
        <v>-</v>
      </c>
      <c r="Z9" s="16" t="str">
        <f t="shared" si="0"/>
        <v>-</v>
      </c>
      <c r="AA9" s="16" t="str">
        <f t="shared" si="0"/>
        <v>-</v>
      </c>
      <c r="AB9" s="16" t="str">
        <f t="shared" si="0"/>
        <v>-</v>
      </c>
      <c r="AC9" s="16" t="str">
        <f t="shared" si="0"/>
        <v>-</v>
      </c>
      <c r="AD9" s="16" t="str">
        <f t="shared" si="0"/>
        <v>-</v>
      </c>
      <c r="AE9" s="16" t="str">
        <f t="shared" si="0"/>
        <v>-</v>
      </c>
      <c r="AF9" s="16" t="str">
        <f t="shared" si="0"/>
        <v>-</v>
      </c>
    </row>
    <row r="10" spans="1:32">
      <c r="A10" s="10" t="s">
        <v>345</v>
      </c>
      <c r="B10" s="16" t="str">
        <f t="shared" ref="B10:AF10" ca="1" si="1">IFERROR(B8/B7-1,"-")</f>
        <v>-</v>
      </c>
      <c r="C10" s="16" t="str">
        <f t="shared" ca="1" si="1"/>
        <v>-</v>
      </c>
      <c r="D10" s="16" t="str">
        <f t="shared" ca="1" si="1"/>
        <v>-</v>
      </c>
      <c r="E10" s="16" t="str">
        <f t="shared" ca="1" si="1"/>
        <v>-</v>
      </c>
      <c r="F10" s="16" t="str">
        <f t="shared" ca="1" si="1"/>
        <v>-</v>
      </c>
      <c r="G10" s="16" t="str">
        <f t="shared" ca="1" si="1"/>
        <v>-</v>
      </c>
      <c r="H10" s="16" t="str">
        <f t="shared" ca="1" si="1"/>
        <v>-</v>
      </c>
      <c r="I10" s="16" t="str">
        <f t="shared" ca="1" si="1"/>
        <v>-</v>
      </c>
      <c r="J10" s="16" t="str">
        <f t="shared" ca="1" si="1"/>
        <v>-</v>
      </c>
      <c r="K10" s="16" t="str">
        <f t="shared" ca="1" si="1"/>
        <v>-</v>
      </c>
      <c r="L10" s="16" t="str">
        <f t="shared" ca="1" si="1"/>
        <v>-</v>
      </c>
      <c r="M10" s="16" t="str">
        <f t="shared" ca="1" si="1"/>
        <v>-</v>
      </c>
      <c r="N10" s="16" t="str">
        <f t="shared" ca="1" si="1"/>
        <v>-</v>
      </c>
      <c r="O10" s="16" t="str">
        <f t="shared" ca="1" si="1"/>
        <v>-</v>
      </c>
      <c r="P10" s="16" t="str">
        <f t="shared" ca="1" si="1"/>
        <v>-</v>
      </c>
      <c r="Q10" s="16" t="str">
        <f t="shared" ca="1" si="1"/>
        <v>-</v>
      </c>
      <c r="R10" s="16" t="str">
        <f t="shared" ca="1" si="1"/>
        <v>-</v>
      </c>
      <c r="S10" s="16" t="str">
        <f t="shared" ca="1" si="1"/>
        <v>-</v>
      </c>
      <c r="T10" s="16" t="str">
        <f t="shared" ca="1" si="1"/>
        <v>-</v>
      </c>
      <c r="U10" s="16" t="str">
        <f t="shared" ca="1" si="1"/>
        <v>-</v>
      </c>
      <c r="V10" s="16" t="str">
        <f t="shared" ca="1" si="1"/>
        <v>-</v>
      </c>
      <c r="W10" s="16" t="str">
        <f t="shared" ca="1" si="1"/>
        <v>-</v>
      </c>
      <c r="X10" s="16" t="str">
        <f t="shared" ca="1" si="1"/>
        <v>-</v>
      </c>
      <c r="Y10" s="16" t="str">
        <f t="shared" ca="1" si="1"/>
        <v>-</v>
      </c>
      <c r="Z10" s="16" t="str">
        <f t="shared" ca="1" si="1"/>
        <v>-</v>
      </c>
      <c r="AA10" s="16" t="str">
        <f t="shared" ca="1" si="1"/>
        <v>-</v>
      </c>
      <c r="AB10" s="16" t="str">
        <f t="shared" ca="1" si="1"/>
        <v>-</v>
      </c>
      <c r="AC10" s="16" t="str">
        <f t="shared" ca="1" si="1"/>
        <v>-</v>
      </c>
      <c r="AD10" s="16" t="str">
        <f t="shared" ca="1" si="1"/>
        <v>-</v>
      </c>
      <c r="AE10" s="16" t="str">
        <f t="shared" ca="1" si="1"/>
        <v>-</v>
      </c>
      <c r="AF10" s="16" t="str">
        <f t="shared" ca="1" si="1"/>
        <v>-</v>
      </c>
    </row>
  </sheetData>
  <phoneticPr fontId="5" type="noConversion"/>
  <pageMargins left="0.7" right="0.7" top="0.75" bottom="0.75" header="0.3" footer="0.3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0.79998168889431442"/>
  </sheetPr>
  <dimension ref="A1:BH374"/>
  <sheetViews>
    <sheetView workbookViewId="0">
      <selection activeCell="F3" sqref="F3"/>
    </sheetView>
  </sheetViews>
  <sheetFormatPr defaultColWidth="10"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5" width="12.5" customWidth="1"/>
    <col min="46" max="46" width="9.75" customWidth="1"/>
    <col min="47" max="47" width="6.75" customWidth="1"/>
    <col min="48" max="48" width="7.5" customWidth="1"/>
    <col min="49" max="51" width="6.125" customWidth="1"/>
    <col min="52" max="53" width="8.125" customWidth="1"/>
    <col min="54" max="55" width="9.75" customWidth="1"/>
    <col min="56" max="56" width="9.5" customWidth="1"/>
    <col min="57" max="60" width="8.125" customWidth="1"/>
    <col min="61" max="92" width="9.75" customWidth="1"/>
  </cols>
  <sheetData>
    <row r="1" spans="1:60" ht="22.7" customHeight="1">
      <c r="A1" s="43" t="s">
        <v>0</v>
      </c>
      <c r="B1" s="43" t="s">
        <v>346</v>
      </c>
      <c r="C1" s="43" t="s">
        <v>333</v>
      </c>
      <c r="D1" s="43" t="s">
        <v>347</v>
      </c>
      <c r="E1" s="43" t="s">
        <v>348</v>
      </c>
      <c r="F1" s="44"/>
      <c r="G1" s="44"/>
      <c r="H1" s="44"/>
      <c r="I1" s="45"/>
      <c r="J1" s="43" t="s">
        <v>349</v>
      </c>
      <c r="K1" s="44"/>
      <c r="L1" s="44"/>
      <c r="M1" s="44"/>
      <c r="N1" s="44"/>
      <c r="O1" s="44"/>
      <c r="P1" s="44"/>
      <c r="Q1" s="45"/>
      <c r="R1" s="43" t="s">
        <v>350</v>
      </c>
      <c r="S1" s="44"/>
      <c r="T1" s="44"/>
      <c r="U1" s="44"/>
      <c r="V1" s="45"/>
      <c r="W1" s="43" t="s">
        <v>351</v>
      </c>
      <c r="X1" s="44"/>
      <c r="Y1" s="44"/>
      <c r="Z1" s="44"/>
      <c r="AA1" s="44"/>
      <c r="AB1" s="45"/>
      <c r="AC1" s="43" t="s">
        <v>352</v>
      </c>
      <c r="AD1" s="44"/>
      <c r="AE1" s="44"/>
      <c r="AF1" s="44"/>
      <c r="AG1" s="44"/>
      <c r="AH1" s="45"/>
      <c r="AI1" s="43" t="s">
        <v>353</v>
      </c>
      <c r="AJ1" s="44"/>
      <c r="AK1" s="44"/>
      <c r="AL1" s="44"/>
      <c r="AM1" s="44"/>
      <c r="AN1" s="44"/>
      <c r="AO1" s="44"/>
      <c r="AP1" s="44"/>
      <c r="AQ1" s="44"/>
      <c r="AR1" s="44"/>
      <c r="AS1" s="45"/>
      <c r="AT1" s="43" t="s">
        <v>354</v>
      </c>
      <c r="AU1" s="44"/>
      <c r="AV1" s="44"/>
      <c r="AW1" s="44"/>
      <c r="AX1" s="44"/>
      <c r="AY1" s="44"/>
      <c r="AZ1" s="44"/>
      <c r="BA1" s="44"/>
      <c r="BB1" s="44"/>
      <c r="BC1" s="45"/>
      <c r="BD1" s="43" t="s">
        <v>355</v>
      </c>
      <c r="BE1" s="44"/>
      <c r="BF1" s="44"/>
      <c r="BG1" s="44"/>
      <c r="BH1" s="45"/>
    </row>
    <row r="2" spans="1:60" ht="42.95" customHeight="1">
      <c r="A2" s="47"/>
      <c r="B2" s="47"/>
      <c r="C2" s="47"/>
      <c r="D2" s="47"/>
      <c r="E2" s="29" t="s">
        <v>356</v>
      </c>
      <c r="F2" s="29" t="s">
        <v>6</v>
      </c>
      <c r="G2" s="29" t="s">
        <v>357</v>
      </c>
      <c r="H2" s="29" t="s">
        <v>358</v>
      </c>
      <c r="I2" s="29" t="s">
        <v>359</v>
      </c>
      <c r="J2" s="29" t="s">
        <v>360</v>
      </c>
      <c r="K2" s="30" t="s">
        <v>361</v>
      </c>
      <c r="L2" s="29" t="s">
        <v>362</v>
      </c>
      <c r="M2" s="29" t="s">
        <v>363</v>
      </c>
      <c r="N2" s="29" t="s">
        <v>364</v>
      </c>
      <c r="O2" s="29" t="s">
        <v>365</v>
      </c>
      <c r="P2" s="29" t="s">
        <v>366</v>
      </c>
      <c r="Q2" s="29" t="s">
        <v>367</v>
      </c>
      <c r="R2" s="29" t="s">
        <v>368</v>
      </c>
      <c r="S2" s="29" t="s">
        <v>369</v>
      </c>
      <c r="T2" s="29" t="s">
        <v>370</v>
      </c>
      <c r="U2" s="29" t="s">
        <v>371</v>
      </c>
      <c r="V2" s="29" t="s">
        <v>372</v>
      </c>
      <c r="W2" s="29" t="s">
        <v>11</v>
      </c>
      <c r="X2" s="29" t="s">
        <v>373</v>
      </c>
      <c r="Y2" s="29" t="s">
        <v>374</v>
      </c>
      <c r="Z2" s="29" t="s">
        <v>375</v>
      </c>
      <c r="AA2" s="29" t="s">
        <v>376</v>
      </c>
      <c r="AB2" s="29" t="s">
        <v>377</v>
      </c>
      <c r="AC2" s="29" t="s">
        <v>378</v>
      </c>
      <c r="AD2" s="29" t="s">
        <v>379</v>
      </c>
      <c r="AE2" s="29" t="s">
        <v>380</v>
      </c>
      <c r="AF2" s="29" t="s">
        <v>381</v>
      </c>
      <c r="AG2" s="29" t="s">
        <v>382</v>
      </c>
      <c r="AH2" s="29" t="s">
        <v>383</v>
      </c>
      <c r="AI2" s="29" t="s">
        <v>384</v>
      </c>
      <c r="AJ2" s="29" t="s">
        <v>385</v>
      </c>
      <c r="AK2" s="29" t="s">
        <v>386</v>
      </c>
      <c r="AL2" s="29" t="s">
        <v>387</v>
      </c>
      <c r="AM2" s="29" t="s">
        <v>388</v>
      </c>
      <c r="AN2" s="29" t="s">
        <v>389</v>
      </c>
      <c r="AO2" s="29" t="s">
        <v>390</v>
      </c>
      <c r="AP2" s="29" t="s">
        <v>391</v>
      </c>
      <c r="AQ2" s="29" t="s">
        <v>392</v>
      </c>
      <c r="AR2" s="29" t="s">
        <v>393</v>
      </c>
      <c r="AS2" s="29" t="s">
        <v>394</v>
      </c>
      <c r="AT2" s="29" t="s">
        <v>395</v>
      </c>
      <c r="AU2" s="29" t="s">
        <v>396</v>
      </c>
      <c r="AV2" s="29" t="s">
        <v>397</v>
      </c>
      <c r="AW2" s="29" t="s">
        <v>398</v>
      </c>
      <c r="AX2" s="29" t="s">
        <v>399</v>
      </c>
      <c r="AY2" s="29" t="s">
        <v>400</v>
      </c>
      <c r="AZ2" s="29" t="s">
        <v>401</v>
      </c>
      <c r="BA2" s="29" t="s">
        <v>402</v>
      </c>
      <c r="BB2" s="29" t="s">
        <v>403</v>
      </c>
      <c r="BC2" s="29" t="s">
        <v>404</v>
      </c>
      <c r="BD2" s="29" t="s">
        <v>405</v>
      </c>
      <c r="BE2" s="29" t="s">
        <v>406</v>
      </c>
      <c r="BF2" s="29" t="s">
        <v>407</v>
      </c>
      <c r="BG2" s="29" t="s">
        <v>408</v>
      </c>
      <c r="BH2" s="29" t="s">
        <v>409</v>
      </c>
    </row>
    <row r="3" spans="1:60" ht="19.5" customHeight="1">
      <c r="A3" s="46" t="s">
        <v>22</v>
      </c>
      <c r="B3" s="44"/>
      <c r="C3" s="44"/>
      <c r="D3" s="45"/>
      <c r="E3" s="31">
        <v>776601</v>
      </c>
      <c r="F3" s="31">
        <v>688874</v>
      </c>
      <c r="G3" s="32">
        <v>0.88703723018641489</v>
      </c>
      <c r="H3" s="31">
        <v>346276</v>
      </c>
      <c r="I3" s="33">
        <v>0.44588662646584282</v>
      </c>
      <c r="J3" s="31">
        <v>808612</v>
      </c>
      <c r="K3" s="31">
        <v>785461</v>
      </c>
      <c r="L3" s="32">
        <v>0.97099999999999997</v>
      </c>
      <c r="M3" s="31">
        <v>4023652</v>
      </c>
      <c r="N3" s="31">
        <v>4004664</v>
      </c>
      <c r="O3" s="31">
        <v>3958901</v>
      </c>
      <c r="P3" s="32">
        <v>0.98390740551121225</v>
      </c>
      <c r="Q3" s="31">
        <v>17811</v>
      </c>
      <c r="R3" s="31">
        <v>939321</v>
      </c>
      <c r="S3" s="31">
        <v>435507</v>
      </c>
      <c r="T3" s="32">
        <v>0.46364022522651999</v>
      </c>
      <c r="U3" s="31">
        <v>201802</v>
      </c>
      <c r="V3" s="32">
        <v>0.21483816501494171</v>
      </c>
      <c r="W3" s="31">
        <v>120359</v>
      </c>
      <c r="X3" s="32">
        <v>0.15498177313704209</v>
      </c>
      <c r="Y3" s="31">
        <v>296184</v>
      </c>
      <c r="Z3" s="34">
        <v>0.38138503555880049</v>
      </c>
      <c r="AA3" s="31">
        <v>20399</v>
      </c>
      <c r="AB3" s="32">
        <v>2.6267027727237019E-2</v>
      </c>
      <c r="AC3" s="31">
        <v>86249</v>
      </c>
      <c r="AD3" s="32">
        <v>0.1110596046103469</v>
      </c>
      <c r="AE3" s="31">
        <v>15162</v>
      </c>
      <c r="AF3" s="32">
        <v>0.17579334253150761</v>
      </c>
      <c r="AG3" s="31">
        <v>79544</v>
      </c>
      <c r="AH3" s="32">
        <v>0.92225996823151568</v>
      </c>
      <c r="AI3" s="35">
        <v>85235</v>
      </c>
      <c r="AJ3" s="32">
        <v>0.1097539148159737</v>
      </c>
      <c r="AK3" s="35">
        <v>5541</v>
      </c>
      <c r="AL3" s="32">
        <v>0.87751510529711974</v>
      </c>
      <c r="AM3" s="35">
        <v>82544</v>
      </c>
      <c r="AN3" s="35">
        <v>74795</v>
      </c>
      <c r="AO3" s="32">
        <v>9.6310718116510277E-2</v>
      </c>
      <c r="AP3" s="32">
        <v>0.8671984602720032</v>
      </c>
      <c r="AQ3" s="33">
        <v>0.96573635376566969</v>
      </c>
      <c r="AR3" s="33">
        <v>2.4257230283288911E-2</v>
      </c>
      <c r="AS3" s="33">
        <v>1.4041062086664689E-2</v>
      </c>
      <c r="AT3" s="35">
        <v>0</v>
      </c>
      <c r="AU3" s="35">
        <v>0</v>
      </c>
      <c r="AV3" s="35">
        <v>18321</v>
      </c>
      <c r="AW3" s="35">
        <v>15834</v>
      </c>
      <c r="AX3" s="35">
        <v>15861</v>
      </c>
      <c r="AY3" s="35">
        <v>17824</v>
      </c>
      <c r="AZ3" s="32">
        <v>2.038884832751954E-2</v>
      </c>
      <c r="BA3" s="32">
        <v>2.0423615215535391E-2</v>
      </c>
      <c r="BB3" s="32">
        <v>2.2951296740539869E-2</v>
      </c>
      <c r="BC3" s="32">
        <v>0.21205962965438871</v>
      </c>
      <c r="BD3" s="35">
        <v>0</v>
      </c>
      <c r="BE3" s="35">
        <v>55</v>
      </c>
      <c r="BF3" s="33">
        <v>0.98139051577555259</v>
      </c>
      <c r="BG3" s="33">
        <v>0.99443671766342145</v>
      </c>
      <c r="BH3" s="33">
        <v>0.98649906890130357</v>
      </c>
    </row>
    <row r="4" spans="1:60" ht="19.5" customHeight="1">
      <c r="A4" s="36">
        <v>1</v>
      </c>
      <c r="B4" s="31" t="s">
        <v>410</v>
      </c>
      <c r="C4" s="37">
        <v>46174</v>
      </c>
      <c r="D4" s="31"/>
      <c r="E4" s="31">
        <v>43</v>
      </c>
      <c r="F4" s="31">
        <v>43</v>
      </c>
      <c r="G4" s="32">
        <v>1</v>
      </c>
      <c r="H4" s="31">
        <v>43</v>
      </c>
      <c r="I4" s="33">
        <v>1</v>
      </c>
      <c r="J4" s="31">
        <v>0</v>
      </c>
      <c r="K4" s="31">
        <v>0</v>
      </c>
      <c r="L4" s="32">
        <v>0</v>
      </c>
      <c r="M4" s="31">
        <v>2</v>
      </c>
      <c r="N4" s="31">
        <v>2</v>
      </c>
      <c r="O4" s="31">
        <v>2</v>
      </c>
      <c r="P4" s="32">
        <v>1</v>
      </c>
      <c r="Q4" s="31">
        <v>0</v>
      </c>
      <c r="R4" s="31">
        <v>0</v>
      </c>
      <c r="S4" s="31">
        <v>0</v>
      </c>
      <c r="T4" s="32">
        <v>0</v>
      </c>
      <c r="U4" s="31">
        <v>0</v>
      </c>
      <c r="V4" s="32">
        <v>0</v>
      </c>
      <c r="W4" s="31">
        <v>2</v>
      </c>
      <c r="X4" s="32">
        <v>4.6511627906976737E-2</v>
      </c>
      <c r="Y4" s="31">
        <v>10</v>
      </c>
      <c r="Z4" s="34">
        <v>0.23255813953488369</v>
      </c>
      <c r="AA4" s="31">
        <v>0</v>
      </c>
      <c r="AB4" s="32">
        <v>0</v>
      </c>
      <c r="AC4" s="31">
        <v>0</v>
      </c>
      <c r="AD4" s="32">
        <v>0</v>
      </c>
      <c r="AE4" s="31">
        <v>0</v>
      </c>
      <c r="AF4" s="32">
        <v>0</v>
      </c>
      <c r="AG4" s="31">
        <v>0</v>
      </c>
      <c r="AH4" s="32">
        <v>0</v>
      </c>
      <c r="AI4" s="35">
        <v>0</v>
      </c>
      <c r="AJ4" s="32">
        <v>0</v>
      </c>
      <c r="AK4" s="35">
        <v>0</v>
      </c>
      <c r="AL4" s="32">
        <v>0</v>
      </c>
      <c r="AM4" s="35">
        <v>0</v>
      </c>
      <c r="AN4" s="35">
        <v>0</v>
      </c>
      <c r="AO4" s="32">
        <v>0</v>
      </c>
      <c r="AP4" s="32">
        <v>0</v>
      </c>
      <c r="AQ4" s="33"/>
      <c r="AR4" s="33" t="s">
        <v>411</v>
      </c>
      <c r="AS4" s="33" t="s">
        <v>411</v>
      </c>
      <c r="AT4" s="35">
        <v>0</v>
      </c>
      <c r="AU4" s="35">
        <v>0</v>
      </c>
      <c r="AV4" s="35">
        <v>0</v>
      </c>
      <c r="AW4" s="35">
        <v>0</v>
      </c>
      <c r="AX4" s="35">
        <v>0</v>
      </c>
      <c r="AY4" s="35">
        <v>0</v>
      </c>
      <c r="AZ4" s="32">
        <v>0</v>
      </c>
      <c r="BA4" s="32">
        <v>0</v>
      </c>
      <c r="BB4" s="32">
        <v>0</v>
      </c>
      <c r="BC4" s="32">
        <v>0</v>
      </c>
      <c r="BD4" s="35">
        <v>0</v>
      </c>
      <c r="BE4" s="35">
        <v>0</v>
      </c>
      <c r="BF4" s="33" t="s">
        <v>412</v>
      </c>
      <c r="BG4" s="33" t="s">
        <v>412</v>
      </c>
      <c r="BH4" s="33">
        <v>1</v>
      </c>
    </row>
    <row r="5" spans="1:60" ht="19.5" customHeight="1">
      <c r="A5" s="36">
        <v>2</v>
      </c>
      <c r="B5" s="31" t="s">
        <v>410</v>
      </c>
      <c r="C5" s="37">
        <v>46174</v>
      </c>
      <c r="D5" s="31" t="s">
        <v>413</v>
      </c>
      <c r="E5" s="31">
        <v>2</v>
      </c>
      <c r="F5" s="31">
        <v>1</v>
      </c>
      <c r="G5" s="32">
        <v>0.5</v>
      </c>
      <c r="H5" s="31">
        <v>0</v>
      </c>
      <c r="I5" s="33">
        <v>0</v>
      </c>
      <c r="J5" s="31">
        <v>2</v>
      </c>
      <c r="K5" s="31">
        <v>2</v>
      </c>
      <c r="L5" s="32">
        <v>1</v>
      </c>
      <c r="M5" s="31">
        <v>3</v>
      </c>
      <c r="N5" s="31">
        <v>2</v>
      </c>
      <c r="O5" s="31">
        <v>3</v>
      </c>
      <c r="P5" s="32">
        <v>1</v>
      </c>
      <c r="Q5" s="31">
        <v>0</v>
      </c>
      <c r="R5" s="31">
        <v>0</v>
      </c>
      <c r="S5" s="31">
        <v>0</v>
      </c>
      <c r="T5" s="32">
        <v>0</v>
      </c>
      <c r="U5" s="31">
        <v>0</v>
      </c>
      <c r="V5" s="32">
        <v>0</v>
      </c>
      <c r="W5" s="31">
        <v>0</v>
      </c>
      <c r="X5" s="32">
        <v>0</v>
      </c>
      <c r="Y5" s="31">
        <v>0</v>
      </c>
      <c r="Z5" s="34">
        <v>0</v>
      </c>
      <c r="AA5" s="31">
        <v>0</v>
      </c>
      <c r="AB5" s="32">
        <v>0</v>
      </c>
      <c r="AC5" s="31">
        <v>0</v>
      </c>
      <c r="AD5" s="32">
        <v>0</v>
      </c>
      <c r="AE5" s="31">
        <v>0</v>
      </c>
      <c r="AF5" s="32">
        <v>0</v>
      </c>
      <c r="AG5" s="31">
        <v>0</v>
      </c>
      <c r="AH5" s="32">
        <v>0</v>
      </c>
      <c r="AI5" s="35">
        <v>0</v>
      </c>
      <c r="AJ5" s="32">
        <v>0</v>
      </c>
      <c r="AK5" s="35">
        <v>0</v>
      </c>
      <c r="AL5" s="32">
        <v>0</v>
      </c>
      <c r="AM5" s="35">
        <v>0</v>
      </c>
      <c r="AN5" s="35">
        <v>0</v>
      </c>
      <c r="AO5" s="32">
        <v>0</v>
      </c>
      <c r="AP5" s="32">
        <v>0</v>
      </c>
      <c r="AQ5" s="33"/>
      <c r="AR5" s="33" t="s">
        <v>411</v>
      </c>
      <c r="AS5" s="33" t="s">
        <v>411</v>
      </c>
      <c r="AT5" s="35">
        <v>0</v>
      </c>
      <c r="AU5" s="35">
        <v>0</v>
      </c>
      <c r="AV5" s="35">
        <v>0</v>
      </c>
      <c r="AW5" s="35">
        <v>0</v>
      </c>
      <c r="AX5" s="35">
        <v>0</v>
      </c>
      <c r="AY5" s="35">
        <v>0</v>
      </c>
      <c r="AZ5" s="32">
        <v>0</v>
      </c>
      <c r="BA5" s="32">
        <v>0</v>
      </c>
      <c r="BB5" s="32">
        <v>0</v>
      </c>
      <c r="BC5" s="32">
        <v>0</v>
      </c>
      <c r="BD5" s="35">
        <v>0</v>
      </c>
      <c r="BE5" s="35">
        <v>0</v>
      </c>
      <c r="BF5" s="33" t="s">
        <v>412</v>
      </c>
      <c r="BG5" s="33" t="s">
        <v>412</v>
      </c>
      <c r="BH5" s="33" t="s">
        <v>412</v>
      </c>
    </row>
    <row r="6" spans="1:60" ht="19.5" customHeight="1">
      <c r="A6" s="36">
        <v>3</v>
      </c>
      <c r="B6" s="31" t="s">
        <v>410</v>
      </c>
      <c r="C6" s="37">
        <v>46174</v>
      </c>
      <c r="D6" s="31" t="s">
        <v>335</v>
      </c>
      <c r="E6" s="31">
        <v>2979</v>
      </c>
      <c r="F6" s="31">
        <v>2647</v>
      </c>
      <c r="G6" s="32">
        <v>0.88855320577374963</v>
      </c>
      <c r="H6" s="31">
        <v>1025</v>
      </c>
      <c r="I6" s="33">
        <v>0.34407519301779121</v>
      </c>
      <c r="J6" s="31">
        <v>3253</v>
      </c>
      <c r="K6" s="31">
        <v>3191</v>
      </c>
      <c r="L6" s="32">
        <v>0.98099999999999998</v>
      </c>
      <c r="M6" s="31">
        <v>13673</v>
      </c>
      <c r="N6" s="31">
        <v>13239</v>
      </c>
      <c r="O6" s="31">
        <v>13473</v>
      </c>
      <c r="P6" s="32">
        <v>0.98537263219483651</v>
      </c>
      <c r="Q6" s="31">
        <v>13</v>
      </c>
      <c r="R6" s="31">
        <v>0</v>
      </c>
      <c r="S6" s="31">
        <v>0</v>
      </c>
      <c r="T6" s="32">
        <v>0</v>
      </c>
      <c r="U6" s="31">
        <v>0</v>
      </c>
      <c r="V6" s="32">
        <v>0</v>
      </c>
      <c r="W6" s="31">
        <v>186</v>
      </c>
      <c r="X6" s="32">
        <v>6.2437059415911378E-2</v>
      </c>
      <c r="Y6" s="31">
        <v>570</v>
      </c>
      <c r="Z6" s="34">
        <v>0.19133937562940581</v>
      </c>
      <c r="AA6" s="31">
        <v>23</v>
      </c>
      <c r="AB6" s="32">
        <v>7.7207116482040953E-3</v>
      </c>
      <c r="AC6" s="31">
        <v>124</v>
      </c>
      <c r="AD6" s="32">
        <v>4.1624706277274257E-2</v>
      </c>
      <c r="AE6" s="31">
        <v>17</v>
      </c>
      <c r="AF6" s="32">
        <v>0.1370967741935484</v>
      </c>
      <c r="AG6" s="31">
        <v>118</v>
      </c>
      <c r="AH6" s="32">
        <v>0.95161290322580649</v>
      </c>
      <c r="AI6" s="35">
        <v>123</v>
      </c>
      <c r="AJ6" s="32">
        <v>4.1289023162134952E-2</v>
      </c>
      <c r="AK6" s="35">
        <v>5</v>
      </c>
      <c r="AL6" s="32">
        <v>0.82926829268292679</v>
      </c>
      <c r="AM6" s="35">
        <v>117</v>
      </c>
      <c r="AN6" s="35">
        <v>102</v>
      </c>
      <c r="AO6" s="32">
        <v>3.4239677744209468E-2</v>
      </c>
      <c r="AP6" s="32">
        <v>0.82258064516129037</v>
      </c>
      <c r="AQ6" s="33">
        <v>0.97637795275590555</v>
      </c>
      <c r="AR6" s="33" t="s">
        <v>411</v>
      </c>
      <c r="AS6" s="33">
        <v>0</v>
      </c>
      <c r="AT6" s="35">
        <v>0</v>
      </c>
      <c r="AU6" s="35">
        <v>0</v>
      </c>
      <c r="AV6" s="35">
        <v>43</v>
      </c>
      <c r="AW6" s="35">
        <v>38</v>
      </c>
      <c r="AX6" s="35">
        <v>40</v>
      </c>
      <c r="AY6" s="35">
        <v>35</v>
      </c>
      <c r="AZ6" s="32">
        <v>1.2755958375293719E-2</v>
      </c>
      <c r="BA6" s="32">
        <v>1.342732460557234E-2</v>
      </c>
      <c r="BB6" s="32">
        <v>1.17489090298758E-2</v>
      </c>
      <c r="BC6" s="32">
        <v>0.39215686274509798</v>
      </c>
      <c r="BD6" s="35">
        <v>0</v>
      </c>
      <c r="BE6" s="35">
        <v>0</v>
      </c>
      <c r="BF6" s="33">
        <v>1</v>
      </c>
      <c r="BG6" s="33">
        <v>1</v>
      </c>
      <c r="BH6" s="33" t="s">
        <v>412</v>
      </c>
    </row>
    <row r="7" spans="1:60" ht="19.5" customHeight="1">
      <c r="A7" s="36">
        <v>4</v>
      </c>
      <c r="B7" s="31" t="s">
        <v>410</v>
      </c>
      <c r="C7" s="37">
        <v>46174</v>
      </c>
      <c r="D7" s="31" t="s">
        <v>334</v>
      </c>
      <c r="E7" s="31">
        <v>2130</v>
      </c>
      <c r="F7" s="31">
        <v>1915</v>
      </c>
      <c r="G7" s="32">
        <v>0.89906103286384975</v>
      </c>
      <c r="H7" s="31">
        <v>835</v>
      </c>
      <c r="I7" s="33">
        <v>0.392018779342723</v>
      </c>
      <c r="J7" s="31">
        <v>2085</v>
      </c>
      <c r="K7" s="31">
        <v>2035</v>
      </c>
      <c r="L7" s="32">
        <v>0.97599999999999998</v>
      </c>
      <c r="M7" s="31">
        <v>9934</v>
      </c>
      <c r="N7" s="31">
        <v>9347</v>
      </c>
      <c r="O7" s="31">
        <v>9786</v>
      </c>
      <c r="P7" s="32">
        <v>0.98510167102878998</v>
      </c>
      <c r="Q7" s="31">
        <v>19</v>
      </c>
      <c r="R7" s="31">
        <v>0</v>
      </c>
      <c r="S7" s="31">
        <v>0</v>
      </c>
      <c r="T7" s="32">
        <v>0</v>
      </c>
      <c r="U7" s="31">
        <v>0</v>
      </c>
      <c r="V7" s="32">
        <v>0</v>
      </c>
      <c r="W7" s="31">
        <v>151</v>
      </c>
      <c r="X7" s="32">
        <v>7.0892018779342716E-2</v>
      </c>
      <c r="Y7" s="31">
        <v>458</v>
      </c>
      <c r="Z7" s="34">
        <v>0.21502347417840381</v>
      </c>
      <c r="AA7" s="31">
        <v>15</v>
      </c>
      <c r="AB7" s="32">
        <v>7.0422535211267607E-3</v>
      </c>
      <c r="AC7" s="31">
        <v>125</v>
      </c>
      <c r="AD7" s="32">
        <v>5.8685446009389672E-2</v>
      </c>
      <c r="AE7" s="31">
        <v>22</v>
      </c>
      <c r="AF7" s="32">
        <v>0.17599999999999999</v>
      </c>
      <c r="AG7" s="31">
        <v>123</v>
      </c>
      <c r="AH7" s="32">
        <v>0.98399999999999999</v>
      </c>
      <c r="AI7" s="35">
        <v>126</v>
      </c>
      <c r="AJ7" s="32">
        <v>5.9154929577464793E-2</v>
      </c>
      <c r="AK7" s="35">
        <v>9</v>
      </c>
      <c r="AL7" s="32">
        <v>0.81746031746031744</v>
      </c>
      <c r="AM7" s="35">
        <v>122</v>
      </c>
      <c r="AN7" s="35">
        <v>103</v>
      </c>
      <c r="AO7" s="32">
        <v>4.8356807511737092E-2</v>
      </c>
      <c r="AP7" s="32">
        <v>0.82399999999999995</v>
      </c>
      <c r="AQ7" s="33">
        <v>0.98555956678700363</v>
      </c>
      <c r="AR7" s="33" t="s">
        <v>411</v>
      </c>
      <c r="AS7" s="33">
        <v>0</v>
      </c>
      <c r="AT7" s="35">
        <v>0</v>
      </c>
      <c r="AU7" s="35">
        <v>0</v>
      </c>
      <c r="AV7" s="35">
        <v>55</v>
      </c>
      <c r="AW7" s="35">
        <v>48</v>
      </c>
      <c r="AX7" s="35">
        <v>50</v>
      </c>
      <c r="AY7" s="35">
        <v>34</v>
      </c>
      <c r="AZ7" s="32">
        <v>2.2535211267605638E-2</v>
      </c>
      <c r="BA7" s="32">
        <v>2.3474178403755871E-2</v>
      </c>
      <c r="BB7" s="32">
        <v>1.5962441314553991E-2</v>
      </c>
      <c r="BC7" s="32">
        <v>0.4854368932038835</v>
      </c>
      <c r="BD7" s="35">
        <v>0</v>
      </c>
      <c r="BE7" s="35">
        <v>0</v>
      </c>
      <c r="BF7" s="33">
        <v>1</v>
      </c>
      <c r="BG7" s="33">
        <v>1</v>
      </c>
      <c r="BH7" s="33" t="s">
        <v>412</v>
      </c>
    </row>
    <row r="8" spans="1:60" ht="19.5" customHeight="1">
      <c r="A8" s="36">
        <v>5</v>
      </c>
      <c r="B8" s="31" t="s">
        <v>410</v>
      </c>
      <c r="C8" s="37">
        <v>46174</v>
      </c>
      <c r="D8" s="31" t="s">
        <v>337</v>
      </c>
      <c r="E8" s="31">
        <v>5350</v>
      </c>
      <c r="F8" s="31">
        <v>4740</v>
      </c>
      <c r="G8" s="32">
        <v>0.88598130841121492</v>
      </c>
      <c r="H8" s="31">
        <v>1271</v>
      </c>
      <c r="I8" s="33">
        <v>0.23757009345794389</v>
      </c>
      <c r="J8" s="31">
        <v>7470</v>
      </c>
      <c r="K8" s="31">
        <v>7261</v>
      </c>
      <c r="L8" s="32">
        <v>0.97199999999999998</v>
      </c>
      <c r="M8" s="31">
        <v>30709</v>
      </c>
      <c r="N8" s="31">
        <v>28685</v>
      </c>
      <c r="O8" s="31">
        <v>30245</v>
      </c>
      <c r="P8" s="32">
        <v>0.98489042300302843</v>
      </c>
      <c r="Q8" s="31">
        <v>64</v>
      </c>
      <c r="R8" s="31">
        <v>0</v>
      </c>
      <c r="S8" s="31">
        <v>0</v>
      </c>
      <c r="T8" s="32">
        <v>0</v>
      </c>
      <c r="U8" s="31">
        <v>0</v>
      </c>
      <c r="V8" s="32">
        <v>0</v>
      </c>
      <c r="W8" s="31">
        <v>436</v>
      </c>
      <c r="X8" s="32">
        <v>8.1495327102803744E-2</v>
      </c>
      <c r="Y8" s="31">
        <v>1315</v>
      </c>
      <c r="Z8" s="34">
        <v>0.24579439252336449</v>
      </c>
      <c r="AA8" s="31">
        <v>50</v>
      </c>
      <c r="AB8" s="32">
        <v>9.3457943925233638E-3</v>
      </c>
      <c r="AC8" s="31">
        <v>697</v>
      </c>
      <c r="AD8" s="32">
        <v>0.13028037383177571</v>
      </c>
      <c r="AE8" s="31">
        <v>141</v>
      </c>
      <c r="AF8" s="32">
        <v>0.20229555236728841</v>
      </c>
      <c r="AG8" s="31">
        <v>676</v>
      </c>
      <c r="AH8" s="32">
        <v>0.96987087517934001</v>
      </c>
      <c r="AI8" s="35">
        <v>765</v>
      </c>
      <c r="AJ8" s="32">
        <v>0.1429906542056075</v>
      </c>
      <c r="AK8" s="35">
        <v>37</v>
      </c>
      <c r="AL8" s="32">
        <v>0.88888888888888884</v>
      </c>
      <c r="AM8" s="35">
        <v>745</v>
      </c>
      <c r="AN8" s="35">
        <v>680</v>
      </c>
      <c r="AO8" s="32">
        <v>0.12710280373831781</v>
      </c>
      <c r="AP8" s="32">
        <v>0.97560975609756095</v>
      </c>
      <c r="AQ8" s="33">
        <v>0.97177419354838712</v>
      </c>
      <c r="AR8" s="33" t="s">
        <v>411</v>
      </c>
      <c r="AS8" s="33">
        <v>0</v>
      </c>
      <c r="AT8" s="35">
        <v>0</v>
      </c>
      <c r="AU8" s="35">
        <v>0</v>
      </c>
      <c r="AV8" s="35">
        <v>90</v>
      </c>
      <c r="AW8" s="35">
        <v>71</v>
      </c>
      <c r="AX8" s="35">
        <v>79</v>
      </c>
      <c r="AY8" s="35">
        <v>118</v>
      </c>
      <c r="AZ8" s="32">
        <v>1.3271028037383181E-2</v>
      </c>
      <c r="BA8" s="32">
        <v>1.4766355140186919E-2</v>
      </c>
      <c r="BB8" s="32">
        <v>2.2056074766355141E-2</v>
      </c>
      <c r="BC8" s="32">
        <v>0.1161764705882353</v>
      </c>
      <c r="BD8" s="35">
        <v>0</v>
      </c>
      <c r="BE8" s="35">
        <v>0</v>
      </c>
      <c r="BF8" s="33">
        <v>0.98529411764705888</v>
      </c>
      <c r="BG8" s="33">
        <v>1</v>
      </c>
      <c r="BH8" s="33" t="s">
        <v>412</v>
      </c>
    </row>
    <row r="9" spans="1:60" ht="19.5" customHeight="1">
      <c r="A9" s="36">
        <v>6</v>
      </c>
      <c r="B9" s="31" t="s">
        <v>410</v>
      </c>
      <c r="C9" s="37">
        <v>46174</v>
      </c>
      <c r="D9" s="31" t="s">
        <v>336</v>
      </c>
      <c r="E9" s="31">
        <v>2976</v>
      </c>
      <c r="F9" s="31">
        <v>2689</v>
      </c>
      <c r="G9" s="32">
        <v>0.90356182795698925</v>
      </c>
      <c r="H9" s="31">
        <v>1583</v>
      </c>
      <c r="I9" s="33">
        <v>0.53192204301075274</v>
      </c>
      <c r="J9" s="31">
        <v>3625</v>
      </c>
      <c r="K9" s="31">
        <v>3549</v>
      </c>
      <c r="L9" s="32">
        <v>0.97899999999999998</v>
      </c>
      <c r="M9" s="31">
        <v>17439</v>
      </c>
      <c r="N9" s="31">
        <v>16624</v>
      </c>
      <c r="O9" s="31">
        <v>17209</v>
      </c>
      <c r="P9" s="32">
        <v>0.98681117036527322</v>
      </c>
      <c r="Q9" s="31">
        <v>18</v>
      </c>
      <c r="R9" s="31">
        <v>0</v>
      </c>
      <c r="S9" s="31">
        <v>0</v>
      </c>
      <c r="T9" s="32">
        <v>0</v>
      </c>
      <c r="U9" s="31">
        <v>0</v>
      </c>
      <c r="V9" s="32">
        <v>0</v>
      </c>
      <c r="W9" s="31">
        <v>215</v>
      </c>
      <c r="X9" s="32">
        <v>7.2244623655913984E-2</v>
      </c>
      <c r="Y9" s="31">
        <v>512</v>
      </c>
      <c r="Z9" s="34">
        <v>0.17204301075268821</v>
      </c>
      <c r="AA9" s="31">
        <v>86</v>
      </c>
      <c r="AB9" s="32">
        <v>2.889784946236559E-2</v>
      </c>
      <c r="AC9" s="31">
        <v>271</v>
      </c>
      <c r="AD9" s="32">
        <v>9.106182795698925E-2</v>
      </c>
      <c r="AE9" s="31">
        <v>52</v>
      </c>
      <c r="AF9" s="32">
        <v>0.1918819188191882</v>
      </c>
      <c r="AG9" s="31">
        <v>262</v>
      </c>
      <c r="AH9" s="32">
        <v>0.96678966789667897</v>
      </c>
      <c r="AI9" s="35">
        <v>269</v>
      </c>
      <c r="AJ9" s="32">
        <v>9.0389784946236562E-2</v>
      </c>
      <c r="AK9" s="35">
        <v>17</v>
      </c>
      <c r="AL9" s="32">
        <v>0.93308550185873607</v>
      </c>
      <c r="AM9" s="35">
        <v>263</v>
      </c>
      <c r="AN9" s="35">
        <v>251</v>
      </c>
      <c r="AO9" s="32">
        <v>8.434139784946236E-2</v>
      </c>
      <c r="AP9" s="32">
        <v>0.92619926199261993</v>
      </c>
      <c r="AQ9" s="33">
        <v>0.96666666666666667</v>
      </c>
      <c r="AR9" s="33" t="s">
        <v>411</v>
      </c>
      <c r="AS9" s="33">
        <v>0</v>
      </c>
      <c r="AT9" s="35">
        <v>0</v>
      </c>
      <c r="AU9" s="35">
        <v>0</v>
      </c>
      <c r="AV9" s="35">
        <v>56</v>
      </c>
      <c r="AW9" s="35">
        <v>45</v>
      </c>
      <c r="AX9" s="35">
        <v>51</v>
      </c>
      <c r="AY9" s="35">
        <v>46</v>
      </c>
      <c r="AZ9" s="32">
        <v>1.5120967741935481E-2</v>
      </c>
      <c r="BA9" s="32">
        <v>1.7137096774193551E-2</v>
      </c>
      <c r="BB9" s="32">
        <v>1.545698924731183E-2</v>
      </c>
      <c r="BC9" s="32">
        <v>0.20318725099601601</v>
      </c>
      <c r="BD9" s="35">
        <v>0</v>
      </c>
      <c r="BE9" s="35">
        <v>2</v>
      </c>
      <c r="BF9" s="33">
        <v>0.94594594594594594</v>
      </c>
      <c r="BG9" s="33">
        <v>0.83333333333333337</v>
      </c>
      <c r="BH9" s="33" t="s">
        <v>412</v>
      </c>
    </row>
    <row r="10" spans="1:60" ht="19.5" customHeight="1">
      <c r="A10" s="36">
        <v>7</v>
      </c>
      <c r="B10" s="31" t="s">
        <v>410</v>
      </c>
      <c r="C10" s="37">
        <v>46175</v>
      </c>
      <c r="D10" s="31"/>
      <c r="E10" s="31">
        <v>33</v>
      </c>
      <c r="F10" s="31">
        <v>33</v>
      </c>
      <c r="G10" s="32">
        <v>1</v>
      </c>
      <c r="H10" s="31">
        <v>33</v>
      </c>
      <c r="I10" s="33">
        <v>1</v>
      </c>
      <c r="J10" s="31">
        <v>0</v>
      </c>
      <c r="K10" s="31">
        <v>0</v>
      </c>
      <c r="L10" s="32">
        <v>0</v>
      </c>
      <c r="M10" s="31">
        <v>0</v>
      </c>
      <c r="N10" s="31">
        <v>0</v>
      </c>
      <c r="O10" s="31">
        <v>0</v>
      </c>
      <c r="P10" s="32">
        <v>0</v>
      </c>
      <c r="Q10" s="31">
        <v>0</v>
      </c>
      <c r="R10" s="31">
        <v>0</v>
      </c>
      <c r="S10" s="31">
        <v>0</v>
      </c>
      <c r="T10" s="32">
        <v>0</v>
      </c>
      <c r="U10" s="31">
        <v>0</v>
      </c>
      <c r="V10" s="32">
        <v>0</v>
      </c>
      <c r="W10" s="31">
        <v>9</v>
      </c>
      <c r="X10" s="32">
        <v>0.27272727272727271</v>
      </c>
      <c r="Y10" s="31">
        <v>6</v>
      </c>
      <c r="Z10" s="34">
        <v>0.1818181818181818</v>
      </c>
      <c r="AA10" s="31">
        <v>0</v>
      </c>
      <c r="AB10" s="32">
        <v>0</v>
      </c>
      <c r="AC10" s="31">
        <v>0</v>
      </c>
      <c r="AD10" s="32">
        <v>0</v>
      </c>
      <c r="AE10" s="31">
        <v>0</v>
      </c>
      <c r="AF10" s="32">
        <v>0</v>
      </c>
      <c r="AG10" s="31">
        <v>0</v>
      </c>
      <c r="AH10" s="32">
        <v>0</v>
      </c>
      <c r="AI10" s="35">
        <v>0</v>
      </c>
      <c r="AJ10" s="32">
        <v>0</v>
      </c>
      <c r="AK10" s="35">
        <v>0</v>
      </c>
      <c r="AL10" s="32">
        <v>0</v>
      </c>
      <c r="AM10" s="35">
        <v>0</v>
      </c>
      <c r="AN10" s="35">
        <v>0</v>
      </c>
      <c r="AO10" s="32">
        <v>0</v>
      </c>
      <c r="AP10" s="32">
        <v>0</v>
      </c>
      <c r="AQ10" s="33"/>
      <c r="AR10" s="33" t="s">
        <v>411</v>
      </c>
      <c r="AS10" s="33" t="s">
        <v>411</v>
      </c>
      <c r="AT10" s="35">
        <v>0</v>
      </c>
      <c r="AU10" s="35">
        <v>0</v>
      </c>
      <c r="AV10" s="35">
        <v>0</v>
      </c>
      <c r="AW10" s="35">
        <v>0</v>
      </c>
      <c r="AX10" s="35">
        <v>0</v>
      </c>
      <c r="AY10" s="35">
        <v>0</v>
      </c>
      <c r="AZ10" s="32">
        <v>0</v>
      </c>
      <c r="BA10" s="32">
        <v>0</v>
      </c>
      <c r="BB10" s="32">
        <v>0</v>
      </c>
      <c r="BC10" s="32">
        <v>0</v>
      </c>
      <c r="BD10" s="35">
        <v>0</v>
      </c>
      <c r="BE10" s="35">
        <v>1</v>
      </c>
      <c r="BF10" s="33" t="s">
        <v>412</v>
      </c>
      <c r="BG10" s="33" t="s">
        <v>412</v>
      </c>
      <c r="BH10" s="33">
        <v>0.98305084745762716</v>
      </c>
    </row>
    <row r="11" spans="1:60" ht="19.5" customHeight="1">
      <c r="A11" s="36">
        <v>8</v>
      </c>
      <c r="B11" s="31" t="s">
        <v>410</v>
      </c>
      <c r="C11" s="37">
        <v>46175</v>
      </c>
      <c r="D11" s="31" t="s">
        <v>413</v>
      </c>
      <c r="E11" s="31">
        <v>2</v>
      </c>
      <c r="F11" s="31">
        <v>2</v>
      </c>
      <c r="G11" s="32">
        <v>1</v>
      </c>
      <c r="H11" s="31">
        <v>1</v>
      </c>
      <c r="I11" s="33">
        <v>0.5</v>
      </c>
      <c r="J11" s="31">
        <v>0</v>
      </c>
      <c r="K11" s="31">
        <v>0</v>
      </c>
      <c r="L11" s="32">
        <v>0</v>
      </c>
      <c r="M11" s="31">
        <v>0</v>
      </c>
      <c r="N11" s="31">
        <v>0</v>
      </c>
      <c r="O11" s="31">
        <v>0</v>
      </c>
      <c r="P11" s="32">
        <v>0</v>
      </c>
      <c r="Q11" s="31">
        <v>0</v>
      </c>
      <c r="R11" s="31">
        <v>0</v>
      </c>
      <c r="S11" s="31">
        <v>0</v>
      </c>
      <c r="T11" s="32">
        <v>0</v>
      </c>
      <c r="U11" s="31">
        <v>0</v>
      </c>
      <c r="V11" s="32">
        <v>0</v>
      </c>
      <c r="W11" s="31">
        <v>0</v>
      </c>
      <c r="X11" s="32">
        <v>0</v>
      </c>
      <c r="Y11" s="31">
        <v>0</v>
      </c>
      <c r="Z11" s="34">
        <v>0</v>
      </c>
      <c r="AA11" s="31">
        <v>0</v>
      </c>
      <c r="AB11" s="32">
        <v>0</v>
      </c>
      <c r="AC11" s="31">
        <v>0</v>
      </c>
      <c r="AD11" s="32">
        <v>0</v>
      </c>
      <c r="AE11" s="31">
        <v>0</v>
      </c>
      <c r="AF11" s="32">
        <v>0</v>
      </c>
      <c r="AG11" s="31">
        <v>0</v>
      </c>
      <c r="AH11" s="32">
        <v>0</v>
      </c>
      <c r="AI11" s="35">
        <v>0</v>
      </c>
      <c r="AJ11" s="32">
        <v>0</v>
      </c>
      <c r="AK11" s="35">
        <v>0</v>
      </c>
      <c r="AL11" s="32">
        <v>0</v>
      </c>
      <c r="AM11" s="35">
        <v>0</v>
      </c>
      <c r="AN11" s="35">
        <v>0</v>
      </c>
      <c r="AO11" s="32">
        <v>0</v>
      </c>
      <c r="AP11" s="32">
        <v>0</v>
      </c>
      <c r="AQ11" s="33"/>
      <c r="AR11" s="33" t="s">
        <v>411</v>
      </c>
      <c r="AS11" s="33" t="s">
        <v>411</v>
      </c>
      <c r="AT11" s="35">
        <v>0</v>
      </c>
      <c r="AU11" s="35">
        <v>0</v>
      </c>
      <c r="AV11" s="35">
        <v>0</v>
      </c>
      <c r="AW11" s="35">
        <v>0</v>
      </c>
      <c r="AX11" s="35">
        <v>0</v>
      </c>
      <c r="AY11" s="35">
        <v>0</v>
      </c>
      <c r="AZ11" s="32">
        <v>0</v>
      </c>
      <c r="BA11" s="32">
        <v>0</v>
      </c>
      <c r="BB11" s="32">
        <v>0</v>
      </c>
      <c r="BC11" s="32">
        <v>0</v>
      </c>
      <c r="BD11" s="35">
        <v>0</v>
      </c>
      <c r="BE11" s="35">
        <v>0</v>
      </c>
      <c r="BF11" s="33" t="s">
        <v>412</v>
      </c>
      <c r="BG11" s="33" t="s">
        <v>412</v>
      </c>
      <c r="BH11" s="33" t="s">
        <v>412</v>
      </c>
    </row>
    <row r="12" spans="1:60" ht="19.5" customHeight="1">
      <c r="A12" s="36">
        <v>9</v>
      </c>
      <c r="B12" s="31" t="s">
        <v>410</v>
      </c>
      <c r="C12" s="37">
        <v>46175</v>
      </c>
      <c r="D12" s="31" t="s">
        <v>335</v>
      </c>
      <c r="E12" s="31">
        <v>3249</v>
      </c>
      <c r="F12" s="31">
        <v>2907</v>
      </c>
      <c r="G12" s="32">
        <v>0.89473684210526316</v>
      </c>
      <c r="H12" s="31">
        <v>1220</v>
      </c>
      <c r="I12" s="33">
        <v>0.37550015389350572</v>
      </c>
      <c r="J12" s="31">
        <v>3086</v>
      </c>
      <c r="K12" s="31">
        <v>3024</v>
      </c>
      <c r="L12" s="32">
        <v>0.98</v>
      </c>
      <c r="M12" s="31">
        <v>14091</v>
      </c>
      <c r="N12" s="31">
        <v>13583</v>
      </c>
      <c r="O12" s="31">
        <v>13910</v>
      </c>
      <c r="P12" s="32">
        <v>0.98715492158115103</v>
      </c>
      <c r="Q12" s="31">
        <v>7</v>
      </c>
      <c r="R12" s="31">
        <v>0</v>
      </c>
      <c r="S12" s="31">
        <v>0</v>
      </c>
      <c r="T12" s="32">
        <v>0</v>
      </c>
      <c r="U12" s="31">
        <v>0</v>
      </c>
      <c r="V12" s="32">
        <v>0</v>
      </c>
      <c r="W12" s="31">
        <v>365</v>
      </c>
      <c r="X12" s="32">
        <v>0.1123422591566636</v>
      </c>
      <c r="Y12" s="31">
        <v>791</v>
      </c>
      <c r="Z12" s="34">
        <v>0.2434595260080025</v>
      </c>
      <c r="AA12" s="31">
        <v>40</v>
      </c>
      <c r="AB12" s="32">
        <v>1.2311480455524781E-2</v>
      </c>
      <c r="AC12" s="31">
        <v>155</v>
      </c>
      <c r="AD12" s="32">
        <v>4.7706986765158513E-2</v>
      </c>
      <c r="AE12" s="31">
        <v>29</v>
      </c>
      <c r="AF12" s="32">
        <v>0.18709677419354839</v>
      </c>
      <c r="AG12" s="31">
        <v>149</v>
      </c>
      <c r="AH12" s="32">
        <v>0.96129032258064517</v>
      </c>
      <c r="AI12" s="35">
        <v>159</v>
      </c>
      <c r="AJ12" s="32">
        <v>4.8938134810710993E-2</v>
      </c>
      <c r="AK12" s="35">
        <v>13</v>
      </c>
      <c r="AL12" s="32">
        <v>0.83647798742138368</v>
      </c>
      <c r="AM12" s="35">
        <v>156</v>
      </c>
      <c r="AN12" s="35">
        <v>133</v>
      </c>
      <c r="AO12" s="32">
        <v>4.0935672514619881E-2</v>
      </c>
      <c r="AP12" s="32">
        <v>0.85806451612903223</v>
      </c>
      <c r="AQ12" s="33">
        <v>1</v>
      </c>
      <c r="AR12" s="33" t="s">
        <v>411</v>
      </c>
      <c r="AS12" s="33">
        <v>0</v>
      </c>
      <c r="AT12" s="35">
        <v>0</v>
      </c>
      <c r="AU12" s="35">
        <v>0</v>
      </c>
      <c r="AV12" s="35">
        <v>31</v>
      </c>
      <c r="AW12" s="35">
        <v>28</v>
      </c>
      <c r="AX12" s="35">
        <v>31</v>
      </c>
      <c r="AY12" s="35">
        <v>35</v>
      </c>
      <c r="AZ12" s="32">
        <v>8.618036318867343E-3</v>
      </c>
      <c r="BA12" s="32">
        <v>9.5413973530317029E-3</v>
      </c>
      <c r="BB12" s="32">
        <v>1.0772545398584179E-2</v>
      </c>
      <c r="BC12" s="32">
        <v>0.23308270676691731</v>
      </c>
      <c r="BD12" s="35">
        <v>0</v>
      </c>
      <c r="BE12" s="35">
        <v>0</v>
      </c>
      <c r="BF12" s="33">
        <v>1</v>
      </c>
      <c r="BG12" s="33">
        <v>1</v>
      </c>
      <c r="BH12" s="33" t="s">
        <v>412</v>
      </c>
    </row>
    <row r="13" spans="1:60" ht="19.5" customHeight="1">
      <c r="A13" s="36">
        <v>10</v>
      </c>
      <c r="B13" s="31" t="s">
        <v>410</v>
      </c>
      <c r="C13" s="37">
        <v>46175</v>
      </c>
      <c r="D13" s="31" t="s">
        <v>334</v>
      </c>
      <c r="E13" s="31">
        <v>2020</v>
      </c>
      <c r="F13" s="31">
        <v>1805</v>
      </c>
      <c r="G13" s="32">
        <v>0.89356435643564358</v>
      </c>
      <c r="H13" s="31">
        <v>745</v>
      </c>
      <c r="I13" s="33">
        <v>0.36881188118811881</v>
      </c>
      <c r="J13" s="31">
        <v>1618</v>
      </c>
      <c r="K13" s="31">
        <v>1579</v>
      </c>
      <c r="L13" s="32">
        <v>0.97599999999999998</v>
      </c>
      <c r="M13" s="31">
        <v>8659</v>
      </c>
      <c r="N13" s="31">
        <v>8616</v>
      </c>
      <c r="O13" s="31">
        <v>8544</v>
      </c>
      <c r="P13" s="32">
        <v>0.98671902067213302</v>
      </c>
      <c r="Q13" s="31">
        <v>11</v>
      </c>
      <c r="R13" s="31">
        <v>0</v>
      </c>
      <c r="S13" s="31">
        <v>0</v>
      </c>
      <c r="T13" s="32">
        <v>0</v>
      </c>
      <c r="U13" s="31">
        <v>0</v>
      </c>
      <c r="V13" s="32">
        <v>0</v>
      </c>
      <c r="W13" s="31">
        <v>199</v>
      </c>
      <c r="X13" s="32">
        <v>9.8514851485148519E-2</v>
      </c>
      <c r="Y13" s="31">
        <v>537</v>
      </c>
      <c r="Z13" s="34">
        <v>0.26584158415841591</v>
      </c>
      <c r="AA13" s="31">
        <v>20</v>
      </c>
      <c r="AB13" s="32">
        <v>9.9009900990099011E-3</v>
      </c>
      <c r="AC13" s="31">
        <v>124</v>
      </c>
      <c r="AD13" s="32">
        <v>6.1386138613861392E-2</v>
      </c>
      <c r="AE13" s="31">
        <v>28</v>
      </c>
      <c r="AF13" s="32">
        <v>0.22580645161290319</v>
      </c>
      <c r="AG13" s="31">
        <v>119</v>
      </c>
      <c r="AH13" s="32">
        <v>0.95967741935483875</v>
      </c>
      <c r="AI13" s="35">
        <v>137</v>
      </c>
      <c r="AJ13" s="32">
        <v>6.7821782178217827E-2</v>
      </c>
      <c r="AK13" s="35">
        <v>7</v>
      </c>
      <c r="AL13" s="32">
        <v>0.85401459854014594</v>
      </c>
      <c r="AM13" s="35">
        <v>135</v>
      </c>
      <c r="AN13" s="35">
        <v>117</v>
      </c>
      <c r="AO13" s="32">
        <v>5.7920792079207917E-2</v>
      </c>
      <c r="AP13" s="32">
        <v>0.94354838709677424</v>
      </c>
      <c r="AQ13" s="33">
        <v>0.98230088495575218</v>
      </c>
      <c r="AR13" s="33" t="s">
        <v>411</v>
      </c>
      <c r="AS13" s="33">
        <v>0</v>
      </c>
      <c r="AT13" s="35">
        <v>0</v>
      </c>
      <c r="AU13" s="35">
        <v>0</v>
      </c>
      <c r="AV13" s="35">
        <v>33</v>
      </c>
      <c r="AW13" s="35">
        <v>29</v>
      </c>
      <c r="AX13" s="35">
        <v>32</v>
      </c>
      <c r="AY13" s="35">
        <v>43</v>
      </c>
      <c r="AZ13" s="32">
        <v>1.4356435643564361E-2</v>
      </c>
      <c r="BA13" s="32">
        <v>1.5841584158415838E-2</v>
      </c>
      <c r="BB13" s="32">
        <v>2.1287128712871289E-2</v>
      </c>
      <c r="BC13" s="32">
        <v>0.27350427350427348</v>
      </c>
      <c r="BD13" s="35">
        <v>0</v>
      </c>
      <c r="BE13" s="35">
        <v>0</v>
      </c>
      <c r="BF13" s="33">
        <v>1</v>
      </c>
      <c r="BG13" s="33">
        <v>1</v>
      </c>
      <c r="BH13" s="33" t="s">
        <v>412</v>
      </c>
    </row>
    <row r="14" spans="1:60" ht="19.5" customHeight="1">
      <c r="A14" s="36">
        <v>11</v>
      </c>
      <c r="B14" s="31" t="s">
        <v>410</v>
      </c>
      <c r="C14" s="37">
        <v>46175</v>
      </c>
      <c r="D14" s="31" t="s">
        <v>337</v>
      </c>
      <c r="E14" s="31">
        <v>5212</v>
      </c>
      <c r="F14" s="31">
        <v>4587</v>
      </c>
      <c r="G14" s="32">
        <v>0.88008442056792013</v>
      </c>
      <c r="H14" s="31">
        <v>1773</v>
      </c>
      <c r="I14" s="33">
        <v>0.34017651573292401</v>
      </c>
      <c r="J14" s="31">
        <v>4971</v>
      </c>
      <c r="K14" s="31">
        <v>4830</v>
      </c>
      <c r="L14" s="32">
        <v>0.97199999999999998</v>
      </c>
      <c r="M14" s="31">
        <v>26416</v>
      </c>
      <c r="N14" s="31">
        <v>25324</v>
      </c>
      <c r="O14" s="31">
        <v>26045</v>
      </c>
      <c r="P14" s="32">
        <v>0.98595548152634771</v>
      </c>
      <c r="Q14" s="31">
        <v>48</v>
      </c>
      <c r="R14" s="31">
        <v>0</v>
      </c>
      <c r="S14" s="31">
        <v>0</v>
      </c>
      <c r="T14" s="32">
        <v>0</v>
      </c>
      <c r="U14" s="31">
        <v>0</v>
      </c>
      <c r="V14" s="32">
        <v>0</v>
      </c>
      <c r="W14" s="31">
        <v>463</v>
      </c>
      <c r="X14" s="32">
        <v>8.8833461243284728E-2</v>
      </c>
      <c r="Y14" s="31">
        <v>1212</v>
      </c>
      <c r="Z14" s="34">
        <v>0.2325402916346892</v>
      </c>
      <c r="AA14" s="31">
        <v>46</v>
      </c>
      <c r="AB14" s="32">
        <v>8.8257866462010739E-3</v>
      </c>
      <c r="AC14" s="31">
        <v>827</v>
      </c>
      <c r="AD14" s="32">
        <v>0.15867229470452801</v>
      </c>
      <c r="AE14" s="31">
        <v>154</v>
      </c>
      <c r="AF14" s="32">
        <v>0.18621523579201929</v>
      </c>
      <c r="AG14" s="31">
        <v>795</v>
      </c>
      <c r="AH14" s="32">
        <v>0.96130592503022971</v>
      </c>
      <c r="AI14" s="35">
        <v>865</v>
      </c>
      <c r="AJ14" s="32">
        <v>0.16596316193399849</v>
      </c>
      <c r="AK14" s="35">
        <v>41</v>
      </c>
      <c r="AL14" s="32">
        <v>0.89479768786127167</v>
      </c>
      <c r="AM14" s="35">
        <v>858</v>
      </c>
      <c r="AN14" s="35">
        <v>774</v>
      </c>
      <c r="AO14" s="32">
        <v>0.1485034535686876</v>
      </c>
      <c r="AP14" s="32">
        <v>0.93591293833131806</v>
      </c>
      <c r="AQ14" s="33">
        <v>0.97631578947368425</v>
      </c>
      <c r="AR14" s="33" t="s">
        <v>411</v>
      </c>
      <c r="AS14" s="33">
        <v>0</v>
      </c>
      <c r="AT14" s="35">
        <v>0</v>
      </c>
      <c r="AU14" s="35">
        <v>0</v>
      </c>
      <c r="AV14" s="35">
        <v>81</v>
      </c>
      <c r="AW14" s="35">
        <v>63</v>
      </c>
      <c r="AX14" s="35">
        <v>77</v>
      </c>
      <c r="AY14" s="35">
        <v>121</v>
      </c>
      <c r="AZ14" s="32">
        <v>1.2087490406753649E-2</v>
      </c>
      <c r="BA14" s="32">
        <v>1.4773599386032231E-2</v>
      </c>
      <c r="BB14" s="32">
        <v>2.3215656178050648E-2</v>
      </c>
      <c r="BC14" s="32">
        <v>9.9483204134366926E-2</v>
      </c>
      <c r="BD14" s="35">
        <v>0</v>
      </c>
      <c r="BE14" s="35">
        <v>1</v>
      </c>
      <c r="BF14" s="33">
        <v>0.95833333333333337</v>
      </c>
      <c r="BG14" s="33">
        <v>1</v>
      </c>
      <c r="BH14" s="33" t="s">
        <v>412</v>
      </c>
    </row>
    <row r="15" spans="1:60" ht="19.5" customHeight="1">
      <c r="A15" s="36">
        <v>12</v>
      </c>
      <c r="B15" s="31" t="s">
        <v>410</v>
      </c>
      <c r="C15" s="37">
        <v>46175</v>
      </c>
      <c r="D15" s="31" t="s">
        <v>336</v>
      </c>
      <c r="E15" s="31">
        <v>2409</v>
      </c>
      <c r="F15" s="31">
        <v>2188</v>
      </c>
      <c r="G15" s="32">
        <v>0.90826068908260693</v>
      </c>
      <c r="H15" s="31">
        <v>1234</v>
      </c>
      <c r="I15" s="33">
        <v>0.51224574512245746</v>
      </c>
      <c r="J15" s="31">
        <v>2958</v>
      </c>
      <c r="K15" s="31">
        <v>2903</v>
      </c>
      <c r="L15" s="32">
        <v>0.98099999999999998</v>
      </c>
      <c r="M15" s="31">
        <v>15875</v>
      </c>
      <c r="N15" s="31">
        <v>15673</v>
      </c>
      <c r="O15" s="31">
        <v>15637</v>
      </c>
      <c r="P15" s="32">
        <v>0.98500787401574808</v>
      </c>
      <c r="Q15" s="31">
        <v>19</v>
      </c>
      <c r="R15" s="31">
        <v>0</v>
      </c>
      <c r="S15" s="31">
        <v>0</v>
      </c>
      <c r="T15" s="32">
        <v>0</v>
      </c>
      <c r="U15" s="31">
        <v>0</v>
      </c>
      <c r="V15" s="32">
        <v>0</v>
      </c>
      <c r="W15" s="31">
        <v>254</v>
      </c>
      <c r="X15" s="32">
        <v>0.1054379410543794</v>
      </c>
      <c r="Y15" s="31">
        <v>585</v>
      </c>
      <c r="Z15" s="34">
        <v>0.2428393524283935</v>
      </c>
      <c r="AA15" s="31">
        <v>83</v>
      </c>
      <c r="AB15" s="32">
        <v>3.4454130344541298E-2</v>
      </c>
      <c r="AC15" s="31">
        <v>283</v>
      </c>
      <c r="AD15" s="32">
        <v>0.1174761311747613</v>
      </c>
      <c r="AE15" s="31">
        <v>58</v>
      </c>
      <c r="AF15" s="32">
        <v>0.20494699646643111</v>
      </c>
      <c r="AG15" s="31">
        <v>278</v>
      </c>
      <c r="AH15" s="32">
        <v>0.98233215547703179</v>
      </c>
      <c r="AI15" s="35">
        <v>272</v>
      </c>
      <c r="AJ15" s="32">
        <v>0.1129099211290992</v>
      </c>
      <c r="AK15" s="35">
        <v>19</v>
      </c>
      <c r="AL15" s="32">
        <v>0.93014705882352944</v>
      </c>
      <c r="AM15" s="35">
        <v>271</v>
      </c>
      <c r="AN15" s="35">
        <v>253</v>
      </c>
      <c r="AO15" s="32">
        <v>0.1050228310502283</v>
      </c>
      <c r="AP15" s="32">
        <v>0.89399293286219084</v>
      </c>
      <c r="AQ15" s="33">
        <v>0.96442687747035571</v>
      </c>
      <c r="AR15" s="33" t="s">
        <v>411</v>
      </c>
      <c r="AS15" s="33">
        <v>0</v>
      </c>
      <c r="AT15" s="35">
        <v>0</v>
      </c>
      <c r="AU15" s="35">
        <v>0</v>
      </c>
      <c r="AV15" s="35">
        <v>39</v>
      </c>
      <c r="AW15" s="35">
        <v>37</v>
      </c>
      <c r="AX15" s="35">
        <v>35</v>
      </c>
      <c r="AY15" s="35">
        <v>45</v>
      </c>
      <c r="AZ15" s="32">
        <v>1.53590701535907E-2</v>
      </c>
      <c r="BA15" s="32">
        <v>1.4528850145288499E-2</v>
      </c>
      <c r="BB15" s="32">
        <v>1.86799501867995E-2</v>
      </c>
      <c r="BC15" s="32">
        <v>0.13833992094861661</v>
      </c>
      <c r="BD15" s="35">
        <v>0</v>
      </c>
      <c r="BE15" s="35">
        <v>0</v>
      </c>
      <c r="BF15" s="33">
        <v>1</v>
      </c>
      <c r="BG15" s="33">
        <v>1</v>
      </c>
      <c r="BH15" s="33" t="s">
        <v>412</v>
      </c>
    </row>
    <row r="16" spans="1:60" ht="19.5" customHeight="1">
      <c r="A16" s="36">
        <v>13</v>
      </c>
      <c r="B16" s="31" t="s">
        <v>410</v>
      </c>
      <c r="C16" s="37">
        <v>46176</v>
      </c>
      <c r="D16" s="31"/>
      <c r="E16" s="31">
        <v>30</v>
      </c>
      <c r="F16" s="31">
        <v>30</v>
      </c>
      <c r="G16" s="32">
        <v>1</v>
      </c>
      <c r="H16" s="31">
        <v>30</v>
      </c>
      <c r="I16" s="33">
        <v>1</v>
      </c>
      <c r="J16" s="31">
        <v>0</v>
      </c>
      <c r="K16" s="31">
        <v>0</v>
      </c>
      <c r="L16" s="32">
        <v>0</v>
      </c>
      <c r="M16" s="31">
        <v>1</v>
      </c>
      <c r="N16" s="31">
        <v>0</v>
      </c>
      <c r="O16" s="31">
        <v>1</v>
      </c>
      <c r="P16" s="32">
        <v>1</v>
      </c>
      <c r="Q16" s="31">
        <v>0</v>
      </c>
      <c r="R16" s="31">
        <v>0</v>
      </c>
      <c r="S16" s="31">
        <v>0</v>
      </c>
      <c r="T16" s="32">
        <v>0</v>
      </c>
      <c r="U16" s="31">
        <v>0</v>
      </c>
      <c r="V16" s="32">
        <v>0</v>
      </c>
      <c r="W16" s="31">
        <v>36</v>
      </c>
      <c r="X16" s="32">
        <v>1.2</v>
      </c>
      <c r="Y16" s="31">
        <v>12</v>
      </c>
      <c r="Z16" s="34">
        <v>0.4</v>
      </c>
      <c r="AA16" s="31">
        <v>0</v>
      </c>
      <c r="AB16" s="32">
        <v>0</v>
      </c>
      <c r="AC16" s="31">
        <v>0</v>
      </c>
      <c r="AD16" s="32">
        <v>0</v>
      </c>
      <c r="AE16" s="31">
        <v>0</v>
      </c>
      <c r="AF16" s="32">
        <v>0</v>
      </c>
      <c r="AG16" s="31">
        <v>0</v>
      </c>
      <c r="AH16" s="32">
        <v>0</v>
      </c>
      <c r="AI16" s="35">
        <v>0</v>
      </c>
      <c r="AJ16" s="32">
        <v>0</v>
      </c>
      <c r="AK16" s="35">
        <v>0</v>
      </c>
      <c r="AL16" s="32">
        <v>0</v>
      </c>
      <c r="AM16" s="35">
        <v>0</v>
      </c>
      <c r="AN16" s="35">
        <v>0</v>
      </c>
      <c r="AO16" s="32">
        <v>0</v>
      </c>
      <c r="AP16" s="32">
        <v>0</v>
      </c>
      <c r="AQ16" s="33"/>
      <c r="AR16" s="33" t="s">
        <v>411</v>
      </c>
      <c r="AS16" s="33" t="s">
        <v>411</v>
      </c>
      <c r="AT16" s="35">
        <v>0</v>
      </c>
      <c r="AU16" s="35">
        <v>0</v>
      </c>
      <c r="AV16" s="35">
        <v>0</v>
      </c>
      <c r="AW16" s="35">
        <v>0</v>
      </c>
      <c r="AX16" s="35">
        <v>0</v>
      </c>
      <c r="AY16" s="35">
        <v>0</v>
      </c>
      <c r="AZ16" s="32">
        <v>0</v>
      </c>
      <c r="BA16" s="32">
        <v>0</v>
      </c>
      <c r="BB16" s="32">
        <v>0</v>
      </c>
      <c r="BC16" s="32">
        <v>0</v>
      </c>
      <c r="BD16" s="35">
        <v>0</v>
      </c>
      <c r="BE16" s="35">
        <v>0</v>
      </c>
      <c r="BF16" s="33" t="s">
        <v>412</v>
      </c>
      <c r="BG16" s="33" t="s">
        <v>412</v>
      </c>
      <c r="BH16" s="33">
        <v>0.9916666666666667</v>
      </c>
    </row>
    <row r="17" spans="1:60" ht="19.5" customHeight="1">
      <c r="A17" s="36">
        <v>14</v>
      </c>
      <c r="B17" s="31" t="s">
        <v>410</v>
      </c>
      <c r="C17" s="37">
        <v>46176</v>
      </c>
      <c r="D17" s="31" t="s">
        <v>413</v>
      </c>
      <c r="E17" s="31">
        <v>3</v>
      </c>
      <c r="F17" s="31">
        <v>3</v>
      </c>
      <c r="G17" s="32">
        <v>1</v>
      </c>
      <c r="H17" s="31">
        <v>1</v>
      </c>
      <c r="I17" s="33">
        <v>0.33333333333333331</v>
      </c>
      <c r="J17" s="31">
        <v>0</v>
      </c>
      <c r="K17" s="31">
        <v>0</v>
      </c>
      <c r="L17" s="32">
        <v>0</v>
      </c>
      <c r="M17" s="31">
        <v>0</v>
      </c>
      <c r="N17" s="31">
        <v>0</v>
      </c>
      <c r="O17" s="31">
        <v>0</v>
      </c>
      <c r="P17" s="32">
        <v>0</v>
      </c>
      <c r="Q17" s="31">
        <v>0</v>
      </c>
      <c r="R17" s="31">
        <v>0</v>
      </c>
      <c r="S17" s="31">
        <v>0</v>
      </c>
      <c r="T17" s="32">
        <v>0</v>
      </c>
      <c r="U17" s="31">
        <v>0</v>
      </c>
      <c r="V17" s="32">
        <v>0</v>
      </c>
      <c r="W17" s="31">
        <v>0</v>
      </c>
      <c r="X17" s="32">
        <v>0</v>
      </c>
      <c r="Y17" s="31">
        <v>0</v>
      </c>
      <c r="Z17" s="34">
        <v>0</v>
      </c>
      <c r="AA17" s="31">
        <v>0</v>
      </c>
      <c r="AB17" s="32">
        <v>0</v>
      </c>
      <c r="AC17" s="31">
        <v>0</v>
      </c>
      <c r="AD17" s="32">
        <v>0</v>
      </c>
      <c r="AE17" s="31">
        <v>0</v>
      </c>
      <c r="AF17" s="32">
        <v>0</v>
      </c>
      <c r="AG17" s="31">
        <v>0</v>
      </c>
      <c r="AH17" s="32">
        <v>0</v>
      </c>
      <c r="AI17" s="35">
        <v>0</v>
      </c>
      <c r="AJ17" s="32">
        <v>0</v>
      </c>
      <c r="AK17" s="35">
        <v>0</v>
      </c>
      <c r="AL17" s="32">
        <v>0</v>
      </c>
      <c r="AM17" s="35">
        <v>0</v>
      </c>
      <c r="AN17" s="35">
        <v>0</v>
      </c>
      <c r="AO17" s="32">
        <v>0</v>
      </c>
      <c r="AP17" s="32">
        <v>0</v>
      </c>
      <c r="AQ17" s="33"/>
      <c r="AR17" s="33" t="s">
        <v>411</v>
      </c>
      <c r="AS17" s="33" t="s">
        <v>411</v>
      </c>
      <c r="AT17" s="35">
        <v>0</v>
      </c>
      <c r="AU17" s="35">
        <v>0</v>
      </c>
      <c r="AV17" s="35">
        <v>0</v>
      </c>
      <c r="AW17" s="35">
        <v>0</v>
      </c>
      <c r="AX17" s="35">
        <v>0</v>
      </c>
      <c r="AY17" s="35">
        <v>0</v>
      </c>
      <c r="AZ17" s="32">
        <v>0</v>
      </c>
      <c r="BA17" s="32">
        <v>0</v>
      </c>
      <c r="BB17" s="32">
        <v>0</v>
      </c>
      <c r="BC17" s="32">
        <v>0</v>
      </c>
      <c r="BD17" s="35">
        <v>0</v>
      </c>
      <c r="BE17" s="35">
        <v>0</v>
      </c>
      <c r="BF17" s="33" t="s">
        <v>412</v>
      </c>
      <c r="BG17" s="33" t="s">
        <v>412</v>
      </c>
      <c r="BH17" s="33" t="s">
        <v>412</v>
      </c>
    </row>
    <row r="18" spans="1:60" ht="19.5" customHeight="1">
      <c r="A18" s="36">
        <v>15</v>
      </c>
      <c r="B18" s="31" t="s">
        <v>410</v>
      </c>
      <c r="C18" s="37">
        <v>46176</v>
      </c>
      <c r="D18" s="31" t="s">
        <v>335</v>
      </c>
      <c r="E18" s="31">
        <v>2912</v>
      </c>
      <c r="F18" s="31">
        <v>2607</v>
      </c>
      <c r="G18" s="32">
        <v>0.89526098901098905</v>
      </c>
      <c r="H18" s="31">
        <v>1085</v>
      </c>
      <c r="I18" s="33">
        <v>0.37259615384615391</v>
      </c>
      <c r="J18" s="31">
        <v>2705</v>
      </c>
      <c r="K18" s="31">
        <v>2645</v>
      </c>
      <c r="L18" s="32">
        <v>0.97799999999999998</v>
      </c>
      <c r="M18" s="31">
        <v>13378</v>
      </c>
      <c r="N18" s="31">
        <v>13138</v>
      </c>
      <c r="O18" s="31">
        <v>13191</v>
      </c>
      <c r="P18" s="32">
        <v>0.98602182687995221</v>
      </c>
      <c r="Q18" s="31">
        <v>33</v>
      </c>
      <c r="R18" s="31">
        <v>0</v>
      </c>
      <c r="S18" s="31">
        <v>0</v>
      </c>
      <c r="T18" s="32">
        <v>0</v>
      </c>
      <c r="U18" s="31">
        <v>0</v>
      </c>
      <c r="V18" s="32">
        <v>0</v>
      </c>
      <c r="W18" s="31">
        <v>334</v>
      </c>
      <c r="X18" s="32">
        <v>0.11469780219780221</v>
      </c>
      <c r="Y18" s="31">
        <v>1580</v>
      </c>
      <c r="Z18" s="34">
        <v>0.54258241758241754</v>
      </c>
      <c r="AA18" s="31">
        <v>32</v>
      </c>
      <c r="AB18" s="32">
        <v>1.098901098901099E-2</v>
      </c>
      <c r="AC18" s="31">
        <v>156</v>
      </c>
      <c r="AD18" s="32">
        <v>5.3571428571428568E-2</v>
      </c>
      <c r="AE18" s="31">
        <v>31</v>
      </c>
      <c r="AF18" s="32">
        <v>0.19871794871794871</v>
      </c>
      <c r="AG18" s="31">
        <v>152</v>
      </c>
      <c r="AH18" s="32">
        <v>0.97435897435897434</v>
      </c>
      <c r="AI18" s="35">
        <v>165</v>
      </c>
      <c r="AJ18" s="32">
        <v>5.6662087912087912E-2</v>
      </c>
      <c r="AK18" s="35">
        <v>15</v>
      </c>
      <c r="AL18" s="32">
        <v>0.87272727272727268</v>
      </c>
      <c r="AM18" s="35">
        <v>158</v>
      </c>
      <c r="AN18" s="35">
        <v>144</v>
      </c>
      <c r="AO18" s="32">
        <v>4.9450549450549448E-2</v>
      </c>
      <c r="AP18" s="32">
        <v>0.92307692307692313</v>
      </c>
      <c r="AQ18" s="33">
        <v>1</v>
      </c>
      <c r="AR18" s="33" t="s">
        <v>411</v>
      </c>
      <c r="AS18" s="33">
        <v>0</v>
      </c>
      <c r="AT18" s="35">
        <v>0</v>
      </c>
      <c r="AU18" s="35">
        <v>0</v>
      </c>
      <c r="AV18" s="35">
        <v>27</v>
      </c>
      <c r="AW18" s="35">
        <v>21</v>
      </c>
      <c r="AX18" s="35">
        <v>23</v>
      </c>
      <c r="AY18" s="35">
        <v>58</v>
      </c>
      <c r="AZ18" s="32">
        <v>7.2115384615384619E-3</v>
      </c>
      <c r="BA18" s="32">
        <v>7.898351648351648E-3</v>
      </c>
      <c r="BB18" s="32">
        <v>1.991758241758242E-2</v>
      </c>
      <c r="BC18" s="32">
        <v>0.15972222222222221</v>
      </c>
      <c r="BD18" s="35">
        <v>0</v>
      </c>
      <c r="BE18" s="35">
        <v>0</v>
      </c>
      <c r="BF18" s="33">
        <v>1</v>
      </c>
      <c r="BG18" s="33">
        <v>1</v>
      </c>
      <c r="BH18" s="33" t="s">
        <v>412</v>
      </c>
    </row>
    <row r="19" spans="1:60" ht="19.5" customHeight="1">
      <c r="A19" s="36">
        <v>16</v>
      </c>
      <c r="B19" s="31" t="s">
        <v>410</v>
      </c>
      <c r="C19" s="37">
        <v>46176</v>
      </c>
      <c r="D19" s="31" t="s">
        <v>334</v>
      </c>
      <c r="E19" s="31">
        <v>2119</v>
      </c>
      <c r="F19" s="31">
        <v>1893</v>
      </c>
      <c r="G19" s="32">
        <v>0.8933459178857952</v>
      </c>
      <c r="H19" s="31">
        <v>733</v>
      </c>
      <c r="I19" s="33">
        <v>0.3459178857951864</v>
      </c>
      <c r="J19" s="31">
        <v>1323</v>
      </c>
      <c r="K19" s="31">
        <v>1294</v>
      </c>
      <c r="L19" s="32">
        <v>0.97799999999999998</v>
      </c>
      <c r="M19" s="31">
        <v>8496</v>
      </c>
      <c r="N19" s="31">
        <v>8274</v>
      </c>
      <c r="O19" s="31">
        <v>8385</v>
      </c>
      <c r="P19" s="32">
        <v>0.98693502824858759</v>
      </c>
      <c r="Q19" s="31">
        <v>15</v>
      </c>
      <c r="R19" s="31">
        <v>0</v>
      </c>
      <c r="S19" s="31">
        <v>0</v>
      </c>
      <c r="T19" s="32">
        <v>0</v>
      </c>
      <c r="U19" s="31">
        <v>0</v>
      </c>
      <c r="V19" s="32">
        <v>0</v>
      </c>
      <c r="W19" s="31">
        <v>265</v>
      </c>
      <c r="X19" s="32">
        <v>0.1250589900896649</v>
      </c>
      <c r="Y19" s="31">
        <v>919</v>
      </c>
      <c r="Z19" s="34">
        <v>0.43369513921661162</v>
      </c>
      <c r="AA19" s="31">
        <v>13</v>
      </c>
      <c r="AB19" s="32">
        <v>6.1349693251533744E-3</v>
      </c>
      <c r="AC19" s="31">
        <v>154</v>
      </c>
      <c r="AD19" s="32">
        <v>7.2675790467201504E-2</v>
      </c>
      <c r="AE19" s="31">
        <v>28</v>
      </c>
      <c r="AF19" s="32">
        <v>0.1818181818181818</v>
      </c>
      <c r="AG19" s="31">
        <v>152</v>
      </c>
      <c r="AH19" s="32">
        <v>0.98701298701298701</v>
      </c>
      <c r="AI19" s="35">
        <v>148</v>
      </c>
      <c r="AJ19" s="32">
        <v>6.9844266163284568E-2</v>
      </c>
      <c r="AK19" s="35">
        <v>12</v>
      </c>
      <c r="AL19" s="32">
        <v>0.89189189189189189</v>
      </c>
      <c r="AM19" s="35">
        <v>143</v>
      </c>
      <c r="AN19" s="35">
        <v>132</v>
      </c>
      <c r="AO19" s="32">
        <v>6.229353468617272E-2</v>
      </c>
      <c r="AP19" s="32">
        <v>0.8571428571428571</v>
      </c>
      <c r="AQ19" s="33">
        <v>0.96124031007751942</v>
      </c>
      <c r="AR19" s="33" t="s">
        <v>411</v>
      </c>
      <c r="AS19" s="33">
        <v>0</v>
      </c>
      <c r="AT19" s="35">
        <v>0</v>
      </c>
      <c r="AU19" s="35">
        <v>0</v>
      </c>
      <c r="AV19" s="35">
        <v>41</v>
      </c>
      <c r="AW19" s="35">
        <v>36</v>
      </c>
      <c r="AX19" s="35">
        <v>32</v>
      </c>
      <c r="AY19" s="35">
        <v>30</v>
      </c>
      <c r="AZ19" s="32">
        <v>1.6989145823501649E-2</v>
      </c>
      <c r="BA19" s="32">
        <v>1.5101462954223689E-2</v>
      </c>
      <c r="BB19" s="32">
        <v>1.4157621519584711E-2</v>
      </c>
      <c r="BC19" s="32">
        <v>0.2424242424242424</v>
      </c>
      <c r="BD19" s="35">
        <v>0</v>
      </c>
      <c r="BE19" s="35">
        <v>0</v>
      </c>
      <c r="BF19" s="33">
        <v>0.93333333333333335</v>
      </c>
      <c r="BG19" s="33">
        <v>1</v>
      </c>
      <c r="BH19" s="33" t="s">
        <v>412</v>
      </c>
    </row>
    <row r="20" spans="1:60" ht="19.5" customHeight="1">
      <c r="A20" s="36">
        <v>17</v>
      </c>
      <c r="B20" s="31" t="s">
        <v>410</v>
      </c>
      <c r="C20" s="37">
        <v>46176</v>
      </c>
      <c r="D20" s="31" t="s">
        <v>337</v>
      </c>
      <c r="E20" s="31">
        <v>5464</v>
      </c>
      <c r="F20" s="31">
        <v>4866</v>
      </c>
      <c r="G20" s="32">
        <v>0.89055636896046853</v>
      </c>
      <c r="H20" s="31">
        <v>2034</v>
      </c>
      <c r="I20" s="33">
        <v>0.37225475841874078</v>
      </c>
      <c r="J20" s="31">
        <v>5251</v>
      </c>
      <c r="K20" s="31">
        <v>5116</v>
      </c>
      <c r="L20" s="32">
        <v>0.97399999999999998</v>
      </c>
      <c r="M20" s="31">
        <v>27577</v>
      </c>
      <c r="N20" s="31">
        <v>26744</v>
      </c>
      <c r="O20" s="31">
        <v>27225</v>
      </c>
      <c r="P20" s="32">
        <v>0.98723573992820102</v>
      </c>
      <c r="Q20" s="31">
        <v>37</v>
      </c>
      <c r="R20" s="31">
        <v>0</v>
      </c>
      <c r="S20" s="31">
        <v>0</v>
      </c>
      <c r="T20" s="32">
        <v>0</v>
      </c>
      <c r="U20" s="31">
        <v>0</v>
      </c>
      <c r="V20" s="32">
        <v>0</v>
      </c>
      <c r="W20" s="31">
        <v>648</v>
      </c>
      <c r="X20" s="32">
        <v>0.1185944363103953</v>
      </c>
      <c r="Y20" s="31">
        <v>1804</v>
      </c>
      <c r="Z20" s="34">
        <v>0.3301610541727672</v>
      </c>
      <c r="AA20" s="31">
        <v>47</v>
      </c>
      <c r="AB20" s="32">
        <v>8.6017569546120061E-3</v>
      </c>
      <c r="AC20" s="31">
        <v>807</v>
      </c>
      <c r="AD20" s="32">
        <v>0.1476939970717423</v>
      </c>
      <c r="AE20" s="31">
        <v>126</v>
      </c>
      <c r="AF20" s="32">
        <v>0.1561338289962825</v>
      </c>
      <c r="AG20" s="31">
        <v>775</v>
      </c>
      <c r="AH20" s="32">
        <v>0.9603469640644362</v>
      </c>
      <c r="AI20" s="35">
        <v>847</v>
      </c>
      <c r="AJ20" s="32">
        <v>0.1550146412884334</v>
      </c>
      <c r="AK20" s="35">
        <v>51</v>
      </c>
      <c r="AL20" s="32">
        <v>0.89610389610389607</v>
      </c>
      <c r="AM20" s="35">
        <v>833</v>
      </c>
      <c r="AN20" s="35">
        <v>759</v>
      </c>
      <c r="AO20" s="32">
        <v>0.13890922401171299</v>
      </c>
      <c r="AP20" s="32">
        <v>0.94052044609665431</v>
      </c>
      <c r="AQ20" s="33">
        <v>0.97566628041714953</v>
      </c>
      <c r="AR20" s="33" t="s">
        <v>411</v>
      </c>
      <c r="AS20" s="33">
        <v>0</v>
      </c>
      <c r="AT20" s="35">
        <v>0</v>
      </c>
      <c r="AU20" s="35">
        <v>0</v>
      </c>
      <c r="AV20" s="35">
        <v>94</v>
      </c>
      <c r="AW20" s="35">
        <v>84</v>
      </c>
      <c r="AX20" s="35">
        <v>83</v>
      </c>
      <c r="AY20" s="35">
        <v>101</v>
      </c>
      <c r="AZ20" s="32">
        <v>1.537335285505124E-2</v>
      </c>
      <c r="BA20" s="32">
        <v>1.519033674963397E-2</v>
      </c>
      <c r="BB20" s="32">
        <v>1.8484626647144949E-2</v>
      </c>
      <c r="BC20" s="32">
        <v>0.10935441370223981</v>
      </c>
      <c r="BD20" s="35">
        <v>0</v>
      </c>
      <c r="BE20" s="35">
        <v>0</v>
      </c>
      <c r="BF20" s="33">
        <v>1</v>
      </c>
      <c r="BG20" s="33">
        <v>1</v>
      </c>
      <c r="BH20" s="33" t="s">
        <v>412</v>
      </c>
    </row>
    <row r="21" spans="1:60" ht="19.5" customHeight="1">
      <c r="A21" s="36">
        <v>18</v>
      </c>
      <c r="B21" s="31" t="s">
        <v>410</v>
      </c>
      <c r="C21" s="37">
        <v>46176</v>
      </c>
      <c r="D21" s="31" t="s">
        <v>336</v>
      </c>
      <c r="E21" s="31">
        <v>2399</v>
      </c>
      <c r="F21" s="31">
        <v>2174</v>
      </c>
      <c r="G21" s="32">
        <v>0.90621092121717384</v>
      </c>
      <c r="H21" s="31">
        <v>1223</v>
      </c>
      <c r="I21" s="33">
        <v>0.50979574822842855</v>
      </c>
      <c r="J21" s="31">
        <v>2744</v>
      </c>
      <c r="K21" s="31">
        <v>2696</v>
      </c>
      <c r="L21" s="32">
        <v>0.98299999999999998</v>
      </c>
      <c r="M21" s="31">
        <v>15874</v>
      </c>
      <c r="N21" s="31">
        <v>15732</v>
      </c>
      <c r="O21" s="31">
        <v>15677</v>
      </c>
      <c r="P21" s="32">
        <v>0.98758976943429511</v>
      </c>
      <c r="Q21" s="31">
        <v>12</v>
      </c>
      <c r="R21" s="31">
        <v>0</v>
      </c>
      <c r="S21" s="31">
        <v>0</v>
      </c>
      <c r="T21" s="32">
        <v>0</v>
      </c>
      <c r="U21" s="31">
        <v>0</v>
      </c>
      <c r="V21" s="32">
        <v>0</v>
      </c>
      <c r="W21" s="31">
        <v>362</v>
      </c>
      <c r="X21" s="32">
        <v>0.15089620675281371</v>
      </c>
      <c r="Y21" s="31">
        <v>1144</v>
      </c>
      <c r="Z21" s="34">
        <v>0.47686536056690287</v>
      </c>
      <c r="AA21" s="31">
        <v>78</v>
      </c>
      <c r="AB21" s="32">
        <v>3.2513547311379738E-2</v>
      </c>
      <c r="AC21" s="31">
        <v>320</v>
      </c>
      <c r="AD21" s="32">
        <v>0.1333889120466861</v>
      </c>
      <c r="AE21" s="31">
        <v>50</v>
      </c>
      <c r="AF21" s="32">
        <v>0.15625</v>
      </c>
      <c r="AG21" s="31">
        <v>307</v>
      </c>
      <c r="AH21" s="32">
        <v>0.95937499999999998</v>
      </c>
      <c r="AI21" s="35">
        <v>292</v>
      </c>
      <c r="AJ21" s="32">
        <v>0.1217173822426011</v>
      </c>
      <c r="AK21" s="35">
        <v>19</v>
      </c>
      <c r="AL21" s="32">
        <v>0.95890410958904104</v>
      </c>
      <c r="AM21" s="35">
        <v>288</v>
      </c>
      <c r="AN21" s="35">
        <v>280</v>
      </c>
      <c r="AO21" s="32">
        <v>0.1167152980408504</v>
      </c>
      <c r="AP21" s="32">
        <v>0.875</v>
      </c>
      <c r="AQ21" s="33">
        <v>0.9550561797752809</v>
      </c>
      <c r="AR21" s="33" t="s">
        <v>411</v>
      </c>
      <c r="AS21" s="33">
        <v>0</v>
      </c>
      <c r="AT21" s="35">
        <v>0</v>
      </c>
      <c r="AU21" s="35">
        <v>0</v>
      </c>
      <c r="AV21" s="35">
        <v>52</v>
      </c>
      <c r="AW21" s="35">
        <v>47</v>
      </c>
      <c r="AX21" s="35">
        <v>52</v>
      </c>
      <c r="AY21" s="35">
        <v>48</v>
      </c>
      <c r="AZ21" s="32">
        <v>1.9591496456857021E-2</v>
      </c>
      <c r="BA21" s="32">
        <v>2.167569820758649E-2</v>
      </c>
      <c r="BB21" s="32">
        <v>2.0008336807002921E-2</v>
      </c>
      <c r="BC21" s="32">
        <v>0.18571428571428569</v>
      </c>
      <c r="BD21" s="35">
        <v>0</v>
      </c>
      <c r="BE21" s="35">
        <v>0</v>
      </c>
      <c r="BF21" s="33">
        <v>1</v>
      </c>
      <c r="BG21" s="33">
        <v>1</v>
      </c>
      <c r="BH21" s="33" t="s">
        <v>412</v>
      </c>
    </row>
    <row r="22" spans="1:60" ht="19.5" customHeight="1">
      <c r="A22" s="36">
        <v>19</v>
      </c>
      <c r="B22" s="31" t="s">
        <v>410</v>
      </c>
      <c r="C22" s="37">
        <v>46177</v>
      </c>
      <c r="D22" s="31"/>
      <c r="E22" s="31">
        <v>33</v>
      </c>
      <c r="F22" s="31">
        <v>33</v>
      </c>
      <c r="G22" s="32">
        <v>1</v>
      </c>
      <c r="H22" s="31">
        <v>33</v>
      </c>
      <c r="I22" s="33">
        <v>1</v>
      </c>
      <c r="J22" s="31">
        <v>0</v>
      </c>
      <c r="K22" s="31">
        <v>0</v>
      </c>
      <c r="L22" s="32">
        <v>0</v>
      </c>
      <c r="M22" s="31">
        <v>2</v>
      </c>
      <c r="N22" s="31">
        <v>2</v>
      </c>
      <c r="O22" s="31">
        <v>2</v>
      </c>
      <c r="P22" s="32">
        <v>1</v>
      </c>
      <c r="Q22" s="31">
        <v>0</v>
      </c>
      <c r="R22" s="31">
        <v>0</v>
      </c>
      <c r="S22" s="31">
        <v>0</v>
      </c>
      <c r="T22" s="32">
        <v>0</v>
      </c>
      <c r="U22" s="31">
        <v>0</v>
      </c>
      <c r="V22" s="32">
        <v>0</v>
      </c>
      <c r="W22" s="31">
        <v>37</v>
      </c>
      <c r="X22" s="32">
        <v>1.1212121212121211</v>
      </c>
      <c r="Y22" s="31">
        <v>11</v>
      </c>
      <c r="Z22" s="34">
        <v>0.33333333333333331</v>
      </c>
      <c r="AA22" s="31">
        <v>0</v>
      </c>
      <c r="AB22" s="32">
        <v>0</v>
      </c>
      <c r="AC22" s="31">
        <v>0</v>
      </c>
      <c r="AD22" s="32">
        <v>0</v>
      </c>
      <c r="AE22" s="31">
        <v>0</v>
      </c>
      <c r="AF22" s="32">
        <v>0</v>
      </c>
      <c r="AG22" s="31">
        <v>0</v>
      </c>
      <c r="AH22" s="32">
        <v>0</v>
      </c>
      <c r="AI22" s="35">
        <v>0</v>
      </c>
      <c r="AJ22" s="32">
        <v>0</v>
      </c>
      <c r="AK22" s="35">
        <v>0</v>
      </c>
      <c r="AL22" s="32">
        <v>0</v>
      </c>
      <c r="AM22" s="35">
        <v>0</v>
      </c>
      <c r="AN22" s="35">
        <v>0</v>
      </c>
      <c r="AO22" s="32">
        <v>0</v>
      </c>
      <c r="AP22" s="32">
        <v>0</v>
      </c>
      <c r="AQ22" s="33"/>
      <c r="AR22" s="33" t="s">
        <v>411</v>
      </c>
      <c r="AS22" s="33" t="s">
        <v>411</v>
      </c>
      <c r="AT22" s="35">
        <v>0</v>
      </c>
      <c r="AU22" s="35">
        <v>0</v>
      </c>
      <c r="AV22" s="35">
        <v>0</v>
      </c>
      <c r="AW22" s="35">
        <v>0</v>
      </c>
      <c r="AX22" s="35">
        <v>0</v>
      </c>
      <c r="AY22" s="35">
        <v>0</v>
      </c>
      <c r="AZ22" s="32">
        <v>0</v>
      </c>
      <c r="BA22" s="32">
        <v>0</v>
      </c>
      <c r="BB22" s="32">
        <v>0</v>
      </c>
      <c r="BC22" s="32">
        <v>0</v>
      </c>
      <c r="BD22" s="35">
        <v>0</v>
      </c>
      <c r="BE22" s="35">
        <v>1</v>
      </c>
      <c r="BF22" s="33" t="s">
        <v>412</v>
      </c>
      <c r="BG22" s="33" t="s">
        <v>412</v>
      </c>
      <c r="BH22" s="33">
        <v>0.96153846153846156</v>
      </c>
    </row>
    <row r="23" spans="1:60" ht="19.5" customHeight="1">
      <c r="A23" s="36">
        <v>20</v>
      </c>
      <c r="B23" s="31" t="s">
        <v>410</v>
      </c>
      <c r="C23" s="37">
        <v>46177</v>
      </c>
      <c r="D23" s="31" t="s">
        <v>413</v>
      </c>
      <c r="E23" s="31">
        <v>1</v>
      </c>
      <c r="F23" s="31">
        <v>1</v>
      </c>
      <c r="G23" s="32">
        <v>1</v>
      </c>
      <c r="H23" s="31">
        <v>0</v>
      </c>
      <c r="I23" s="33">
        <v>0</v>
      </c>
      <c r="J23" s="31">
        <v>0</v>
      </c>
      <c r="K23" s="31">
        <v>0</v>
      </c>
      <c r="L23" s="32">
        <v>0</v>
      </c>
      <c r="M23" s="31">
        <v>0</v>
      </c>
      <c r="N23" s="31">
        <v>0</v>
      </c>
      <c r="O23" s="31">
        <v>0</v>
      </c>
      <c r="P23" s="32">
        <v>0</v>
      </c>
      <c r="Q23" s="31">
        <v>0</v>
      </c>
      <c r="R23" s="31">
        <v>0</v>
      </c>
      <c r="S23" s="31">
        <v>0</v>
      </c>
      <c r="T23" s="32">
        <v>0</v>
      </c>
      <c r="U23" s="31">
        <v>0</v>
      </c>
      <c r="V23" s="32">
        <v>0</v>
      </c>
      <c r="W23" s="31">
        <v>0</v>
      </c>
      <c r="X23" s="32">
        <v>0</v>
      </c>
      <c r="Y23" s="31">
        <v>0</v>
      </c>
      <c r="Z23" s="34">
        <v>0</v>
      </c>
      <c r="AA23" s="31">
        <v>0</v>
      </c>
      <c r="AB23" s="32">
        <v>0</v>
      </c>
      <c r="AC23" s="31">
        <v>0</v>
      </c>
      <c r="AD23" s="32">
        <v>0</v>
      </c>
      <c r="AE23" s="31">
        <v>0</v>
      </c>
      <c r="AF23" s="32">
        <v>0</v>
      </c>
      <c r="AG23" s="31">
        <v>0</v>
      </c>
      <c r="AH23" s="32">
        <v>0</v>
      </c>
      <c r="AI23" s="35">
        <v>0</v>
      </c>
      <c r="AJ23" s="32">
        <v>0</v>
      </c>
      <c r="AK23" s="35">
        <v>0</v>
      </c>
      <c r="AL23" s="32">
        <v>0</v>
      </c>
      <c r="AM23" s="35">
        <v>0</v>
      </c>
      <c r="AN23" s="35">
        <v>0</v>
      </c>
      <c r="AO23" s="32">
        <v>0</v>
      </c>
      <c r="AP23" s="32">
        <v>0</v>
      </c>
      <c r="AQ23" s="33"/>
      <c r="AR23" s="33" t="s">
        <v>411</v>
      </c>
      <c r="AS23" s="33" t="s">
        <v>411</v>
      </c>
      <c r="AT23" s="35">
        <v>0</v>
      </c>
      <c r="AU23" s="35">
        <v>0</v>
      </c>
      <c r="AV23" s="35">
        <v>0</v>
      </c>
      <c r="AW23" s="35">
        <v>0</v>
      </c>
      <c r="AX23" s="35">
        <v>0</v>
      </c>
      <c r="AY23" s="35">
        <v>0</v>
      </c>
      <c r="AZ23" s="32">
        <v>0</v>
      </c>
      <c r="BA23" s="32">
        <v>0</v>
      </c>
      <c r="BB23" s="32">
        <v>0</v>
      </c>
      <c r="BC23" s="32">
        <v>0</v>
      </c>
      <c r="BD23" s="35">
        <v>0</v>
      </c>
      <c r="BE23" s="35">
        <v>0</v>
      </c>
      <c r="BF23" s="33" t="s">
        <v>412</v>
      </c>
      <c r="BG23" s="33" t="s">
        <v>412</v>
      </c>
      <c r="BH23" s="33" t="s">
        <v>412</v>
      </c>
    </row>
    <row r="24" spans="1:60" ht="19.5" customHeight="1">
      <c r="A24" s="36">
        <v>21</v>
      </c>
      <c r="B24" s="31" t="s">
        <v>410</v>
      </c>
      <c r="C24" s="37">
        <v>46177</v>
      </c>
      <c r="D24" s="31" t="s">
        <v>335</v>
      </c>
      <c r="E24" s="31">
        <v>2831</v>
      </c>
      <c r="F24" s="31">
        <v>2504</v>
      </c>
      <c r="G24" s="32">
        <v>0.88449311197456726</v>
      </c>
      <c r="H24" s="31">
        <v>1116</v>
      </c>
      <c r="I24" s="33">
        <v>0.39420699399505482</v>
      </c>
      <c r="J24" s="31">
        <v>2939</v>
      </c>
      <c r="K24" s="31">
        <v>2864</v>
      </c>
      <c r="L24" s="32">
        <v>0.97399999999999998</v>
      </c>
      <c r="M24" s="31">
        <v>12688</v>
      </c>
      <c r="N24" s="31">
        <v>12725</v>
      </c>
      <c r="O24" s="31">
        <v>12547</v>
      </c>
      <c r="P24" s="32">
        <v>0.98888713745271117</v>
      </c>
      <c r="Q24" s="31">
        <v>6</v>
      </c>
      <c r="R24" s="31">
        <v>0</v>
      </c>
      <c r="S24" s="31">
        <v>0</v>
      </c>
      <c r="T24" s="32">
        <v>0</v>
      </c>
      <c r="U24" s="31">
        <v>0</v>
      </c>
      <c r="V24" s="32">
        <v>0</v>
      </c>
      <c r="W24" s="31">
        <v>359</v>
      </c>
      <c r="X24" s="32">
        <v>0.12681031437654541</v>
      </c>
      <c r="Y24" s="31">
        <v>1481</v>
      </c>
      <c r="Z24" s="34">
        <v>0.5231367008124338</v>
      </c>
      <c r="AA24" s="31">
        <v>24</v>
      </c>
      <c r="AB24" s="32">
        <v>8.477569763334511E-3</v>
      </c>
      <c r="AC24" s="31">
        <v>174</v>
      </c>
      <c r="AD24" s="32">
        <v>6.1462380784175201E-2</v>
      </c>
      <c r="AE24" s="31">
        <v>43</v>
      </c>
      <c r="AF24" s="32">
        <v>0.2471264367816092</v>
      </c>
      <c r="AG24" s="31">
        <v>171</v>
      </c>
      <c r="AH24" s="32">
        <v>0.98275862068965514</v>
      </c>
      <c r="AI24" s="35">
        <v>175</v>
      </c>
      <c r="AJ24" s="32">
        <v>6.1815612857647473E-2</v>
      </c>
      <c r="AK24" s="35">
        <v>23</v>
      </c>
      <c r="AL24" s="32">
        <v>0.87428571428571433</v>
      </c>
      <c r="AM24" s="35">
        <v>169</v>
      </c>
      <c r="AN24" s="35">
        <v>153</v>
      </c>
      <c r="AO24" s="32">
        <v>5.4044507241257513E-2</v>
      </c>
      <c r="AP24" s="32">
        <v>0.87931034482758619</v>
      </c>
      <c r="AQ24" s="33">
        <v>0.98692810457516345</v>
      </c>
      <c r="AR24" s="33" t="s">
        <v>411</v>
      </c>
      <c r="AS24" s="33">
        <v>0</v>
      </c>
      <c r="AT24" s="35">
        <v>0</v>
      </c>
      <c r="AU24" s="35">
        <v>0</v>
      </c>
      <c r="AV24" s="35">
        <v>42</v>
      </c>
      <c r="AW24" s="35">
        <v>38</v>
      </c>
      <c r="AX24" s="35">
        <v>36</v>
      </c>
      <c r="AY24" s="35">
        <v>47</v>
      </c>
      <c r="AZ24" s="32">
        <v>1.342281879194631E-2</v>
      </c>
      <c r="BA24" s="32">
        <v>1.271635464500177E-2</v>
      </c>
      <c r="BB24" s="32">
        <v>1.660190745319675E-2</v>
      </c>
      <c r="BC24" s="32">
        <v>0.23529411764705879</v>
      </c>
      <c r="BD24" s="35">
        <v>0</v>
      </c>
      <c r="BE24" s="35">
        <v>0</v>
      </c>
      <c r="BF24" s="33">
        <v>1</v>
      </c>
      <c r="BG24" s="33">
        <v>1</v>
      </c>
      <c r="BH24" s="33" t="s">
        <v>412</v>
      </c>
    </row>
    <row r="25" spans="1:60" ht="19.5" customHeight="1">
      <c r="A25" s="36">
        <v>22</v>
      </c>
      <c r="B25" s="31" t="s">
        <v>410</v>
      </c>
      <c r="C25" s="37">
        <v>46177</v>
      </c>
      <c r="D25" s="31" t="s">
        <v>334</v>
      </c>
      <c r="E25" s="31">
        <v>2107</v>
      </c>
      <c r="F25" s="31">
        <v>1844</v>
      </c>
      <c r="G25" s="32">
        <v>0.87517797816801135</v>
      </c>
      <c r="H25" s="31">
        <v>847</v>
      </c>
      <c r="I25" s="33">
        <v>0.4019933554817276</v>
      </c>
      <c r="J25" s="31">
        <v>2296</v>
      </c>
      <c r="K25" s="31">
        <v>2240</v>
      </c>
      <c r="L25" s="32">
        <v>0.97599999999999998</v>
      </c>
      <c r="M25" s="31">
        <v>9414</v>
      </c>
      <c r="N25" s="31">
        <v>9361</v>
      </c>
      <c r="O25" s="31">
        <v>9275</v>
      </c>
      <c r="P25" s="32">
        <v>0.98523475674527294</v>
      </c>
      <c r="Q25" s="31">
        <v>13</v>
      </c>
      <c r="R25" s="31">
        <v>0</v>
      </c>
      <c r="S25" s="31">
        <v>0</v>
      </c>
      <c r="T25" s="32">
        <v>0</v>
      </c>
      <c r="U25" s="31">
        <v>0</v>
      </c>
      <c r="V25" s="32">
        <v>0</v>
      </c>
      <c r="W25" s="31">
        <v>236</v>
      </c>
      <c r="X25" s="32">
        <v>0.1120075937351685</v>
      </c>
      <c r="Y25" s="31">
        <v>977</v>
      </c>
      <c r="Z25" s="34">
        <v>0.4636924537256763</v>
      </c>
      <c r="AA25" s="31">
        <v>14</v>
      </c>
      <c r="AB25" s="32">
        <v>6.6445182724252493E-3</v>
      </c>
      <c r="AC25" s="31">
        <v>159</v>
      </c>
      <c r="AD25" s="32">
        <v>7.546274323682961E-2</v>
      </c>
      <c r="AE25" s="31">
        <v>27</v>
      </c>
      <c r="AF25" s="32">
        <v>0.169811320754717</v>
      </c>
      <c r="AG25" s="31">
        <v>149</v>
      </c>
      <c r="AH25" s="32">
        <v>0.93710691823899372</v>
      </c>
      <c r="AI25" s="35">
        <v>138</v>
      </c>
      <c r="AJ25" s="32">
        <v>6.5495965828191741E-2</v>
      </c>
      <c r="AK25" s="35">
        <v>9</v>
      </c>
      <c r="AL25" s="32">
        <v>0.84057971014492749</v>
      </c>
      <c r="AM25" s="35">
        <v>138</v>
      </c>
      <c r="AN25" s="35">
        <v>116</v>
      </c>
      <c r="AO25" s="32">
        <v>5.5054579971523493E-2</v>
      </c>
      <c r="AP25" s="32">
        <v>0.72955974842767291</v>
      </c>
      <c r="AQ25" s="33">
        <v>0.9726027397260274</v>
      </c>
      <c r="AR25" s="33" t="s">
        <v>411</v>
      </c>
      <c r="AS25" s="33">
        <v>0</v>
      </c>
      <c r="AT25" s="35">
        <v>0</v>
      </c>
      <c r="AU25" s="35">
        <v>0</v>
      </c>
      <c r="AV25" s="35">
        <v>32</v>
      </c>
      <c r="AW25" s="35">
        <v>29</v>
      </c>
      <c r="AX25" s="35">
        <v>27</v>
      </c>
      <c r="AY25" s="35">
        <v>43</v>
      </c>
      <c r="AZ25" s="32">
        <v>1.376364499288087E-2</v>
      </c>
      <c r="BA25" s="32">
        <v>1.2814428096820121E-2</v>
      </c>
      <c r="BB25" s="32">
        <v>2.0408163265306121E-2</v>
      </c>
      <c r="BC25" s="32">
        <v>0.23275862068965519</v>
      </c>
      <c r="BD25" s="35">
        <v>0</v>
      </c>
      <c r="BE25" s="35">
        <v>0</v>
      </c>
      <c r="BF25" s="33">
        <v>1</v>
      </c>
      <c r="BG25" s="33">
        <v>1</v>
      </c>
      <c r="BH25" s="33" t="s">
        <v>412</v>
      </c>
    </row>
    <row r="26" spans="1:60" ht="19.5" customHeight="1">
      <c r="A26" s="36">
        <v>23</v>
      </c>
      <c r="B26" s="31" t="s">
        <v>410</v>
      </c>
      <c r="C26" s="37">
        <v>46177</v>
      </c>
      <c r="D26" s="31" t="s">
        <v>337</v>
      </c>
      <c r="E26" s="31">
        <v>5194</v>
      </c>
      <c r="F26" s="31">
        <v>4572</v>
      </c>
      <c r="G26" s="32">
        <v>0.8802464381979207</v>
      </c>
      <c r="H26" s="31">
        <v>1505</v>
      </c>
      <c r="I26" s="33">
        <v>0.28975741239892178</v>
      </c>
      <c r="J26" s="31">
        <v>3828</v>
      </c>
      <c r="K26" s="31">
        <v>3726</v>
      </c>
      <c r="L26" s="32">
        <v>0.97299999999999998</v>
      </c>
      <c r="M26" s="31">
        <v>24466</v>
      </c>
      <c r="N26" s="31">
        <v>24116</v>
      </c>
      <c r="O26" s="31">
        <v>24166</v>
      </c>
      <c r="P26" s="32">
        <v>0.98773808550641706</v>
      </c>
      <c r="Q26" s="31">
        <v>41</v>
      </c>
      <c r="R26" s="31">
        <v>0</v>
      </c>
      <c r="S26" s="31">
        <v>0</v>
      </c>
      <c r="T26" s="32">
        <v>0</v>
      </c>
      <c r="U26" s="31">
        <v>0</v>
      </c>
      <c r="V26" s="32">
        <v>0</v>
      </c>
      <c r="W26" s="31">
        <v>775</v>
      </c>
      <c r="X26" s="32">
        <v>0.14921062764728529</v>
      </c>
      <c r="Y26" s="31">
        <v>1430</v>
      </c>
      <c r="Z26" s="34">
        <v>0.27531767423950709</v>
      </c>
      <c r="AA26" s="31">
        <v>51</v>
      </c>
      <c r="AB26" s="32">
        <v>9.8190219484020017E-3</v>
      </c>
      <c r="AC26" s="31">
        <v>891</v>
      </c>
      <c r="AD26" s="32">
        <v>0.17154408933384671</v>
      </c>
      <c r="AE26" s="31">
        <v>140</v>
      </c>
      <c r="AF26" s="32">
        <v>0.15712682379349049</v>
      </c>
      <c r="AG26" s="31">
        <v>867</v>
      </c>
      <c r="AH26" s="32">
        <v>0.97306397306397308</v>
      </c>
      <c r="AI26" s="35">
        <v>912</v>
      </c>
      <c r="AJ26" s="32">
        <v>0.1755872160184829</v>
      </c>
      <c r="AK26" s="35">
        <v>46</v>
      </c>
      <c r="AL26" s="32">
        <v>0.9057017543859649</v>
      </c>
      <c r="AM26" s="35">
        <v>897</v>
      </c>
      <c r="AN26" s="35">
        <v>826</v>
      </c>
      <c r="AO26" s="32">
        <v>0.1590296495956873</v>
      </c>
      <c r="AP26" s="32">
        <v>0.92704826038159371</v>
      </c>
      <c r="AQ26" s="33">
        <v>0.98899755501222497</v>
      </c>
      <c r="AR26" s="33" t="s">
        <v>411</v>
      </c>
      <c r="AS26" s="33">
        <v>0</v>
      </c>
      <c r="AT26" s="35">
        <v>0</v>
      </c>
      <c r="AU26" s="35">
        <v>0</v>
      </c>
      <c r="AV26" s="35">
        <v>79</v>
      </c>
      <c r="AW26" s="35">
        <v>70</v>
      </c>
      <c r="AX26" s="35">
        <v>71</v>
      </c>
      <c r="AY26" s="35">
        <v>130</v>
      </c>
      <c r="AZ26" s="32">
        <v>1.3477088948787059E-2</v>
      </c>
      <c r="BA26" s="32">
        <v>1.366961879091259E-2</v>
      </c>
      <c r="BB26" s="32">
        <v>2.5028879476318829E-2</v>
      </c>
      <c r="BC26" s="32">
        <v>8.5956416464891036E-2</v>
      </c>
      <c r="BD26" s="35">
        <v>0</v>
      </c>
      <c r="BE26" s="35">
        <v>1</v>
      </c>
      <c r="BF26" s="33">
        <v>0.98529411764705888</v>
      </c>
      <c r="BG26" s="33">
        <v>1</v>
      </c>
      <c r="BH26" s="33" t="s">
        <v>412</v>
      </c>
    </row>
    <row r="27" spans="1:60" ht="19.5" customHeight="1">
      <c r="A27" s="36">
        <v>24</v>
      </c>
      <c r="B27" s="31" t="s">
        <v>410</v>
      </c>
      <c r="C27" s="37">
        <v>46177</v>
      </c>
      <c r="D27" s="31" t="s">
        <v>336</v>
      </c>
      <c r="E27" s="31">
        <v>2467</v>
      </c>
      <c r="F27" s="31">
        <v>2232</v>
      </c>
      <c r="G27" s="32">
        <v>0.90474260235103365</v>
      </c>
      <c r="H27" s="31">
        <v>1237</v>
      </c>
      <c r="I27" s="33">
        <v>0.50141872719902714</v>
      </c>
      <c r="J27" s="31">
        <v>3281</v>
      </c>
      <c r="K27" s="31">
        <v>3216</v>
      </c>
      <c r="L27" s="32">
        <v>0.98</v>
      </c>
      <c r="M27" s="31">
        <v>16361</v>
      </c>
      <c r="N27" s="31">
        <v>16188</v>
      </c>
      <c r="O27" s="31">
        <v>16189</v>
      </c>
      <c r="P27" s="32">
        <v>0.98948719515922012</v>
      </c>
      <c r="Q27" s="31">
        <v>20</v>
      </c>
      <c r="R27" s="31">
        <v>0</v>
      </c>
      <c r="S27" s="31">
        <v>0</v>
      </c>
      <c r="T27" s="32">
        <v>0</v>
      </c>
      <c r="U27" s="31">
        <v>0</v>
      </c>
      <c r="V27" s="32">
        <v>0</v>
      </c>
      <c r="W27" s="31">
        <v>274</v>
      </c>
      <c r="X27" s="32">
        <v>0.11106607215241179</v>
      </c>
      <c r="Y27" s="31">
        <v>1129</v>
      </c>
      <c r="Z27" s="34">
        <v>0.45764085934333198</v>
      </c>
      <c r="AA27" s="31">
        <v>77</v>
      </c>
      <c r="AB27" s="32">
        <v>3.1211998378597491E-2</v>
      </c>
      <c r="AC27" s="31">
        <v>321</v>
      </c>
      <c r="AD27" s="32">
        <v>0.1301175516822051</v>
      </c>
      <c r="AE27" s="31">
        <v>76</v>
      </c>
      <c r="AF27" s="32">
        <v>0.2367601246105919</v>
      </c>
      <c r="AG27" s="31">
        <v>305</v>
      </c>
      <c r="AH27" s="32">
        <v>0.95015576323987538</v>
      </c>
      <c r="AI27" s="35">
        <v>330</v>
      </c>
      <c r="AJ27" s="32">
        <v>0.1337657073368464</v>
      </c>
      <c r="AK27" s="35">
        <v>36</v>
      </c>
      <c r="AL27" s="32">
        <v>0.94545454545454544</v>
      </c>
      <c r="AM27" s="35">
        <v>326</v>
      </c>
      <c r="AN27" s="35">
        <v>312</v>
      </c>
      <c r="AO27" s="32">
        <v>0.12646939602756391</v>
      </c>
      <c r="AP27" s="32">
        <v>0.9719626168224299</v>
      </c>
      <c r="AQ27" s="33">
        <v>0.98920863309352514</v>
      </c>
      <c r="AR27" s="33" t="s">
        <v>411</v>
      </c>
      <c r="AS27" s="33">
        <v>0</v>
      </c>
      <c r="AT27" s="35">
        <v>0</v>
      </c>
      <c r="AU27" s="35">
        <v>0</v>
      </c>
      <c r="AV27" s="35">
        <v>59</v>
      </c>
      <c r="AW27" s="35">
        <v>55</v>
      </c>
      <c r="AX27" s="35">
        <v>54</v>
      </c>
      <c r="AY27" s="35">
        <v>57</v>
      </c>
      <c r="AZ27" s="32">
        <v>2.2294284556141061E-2</v>
      </c>
      <c r="BA27" s="32">
        <v>2.188893392784759E-2</v>
      </c>
      <c r="BB27" s="32">
        <v>2.3104985812728011E-2</v>
      </c>
      <c r="BC27" s="32">
        <v>0.1730769230769231</v>
      </c>
      <c r="BD27" s="35">
        <v>0</v>
      </c>
      <c r="BE27" s="35">
        <v>0</v>
      </c>
      <c r="BF27" s="33">
        <v>0.94444444444444442</v>
      </c>
      <c r="BG27" s="33">
        <v>1</v>
      </c>
      <c r="BH27" s="33" t="s">
        <v>412</v>
      </c>
    </row>
    <row r="28" spans="1:60" ht="25.7" customHeight="1">
      <c r="A28" s="36">
        <v>25</v>
      </c>
      <c r="B28" s="31" t="s">
        <v>410</v>
      </c>
      <c r="C28" s="37">
        <v>46178</v>
      </c>
      <c r="D28" s="31"/>
      <c r="E28" s="31">
        <v>28</v>
      </c>
      <c r="F28" s="31">
        <v>28</v>
      </c>
      <c r="G28" s="32">
        <v>1</v>
      </c>
      <c r="H28" s="31">
        <v>28</v>
      </c>
      <c r="I28" s="33">
        <v>1</v>
      </c>
      <c r="J28" s="31">
        <v>0</v>
      </c>
      <c r="K28" s="31">
        <v>0</v>
      </c>
      <c r="L28" s="32">
        <v>0</v>
      </c>
      <c r="M28" s="31">
        <v>1</v>
      </c>
      <c r="N28" s="31">
        <v>0</v>
      </c>
      <c r="O28" s="31">
        <v>0</v>
      </c>
      <c r="P28" s="32">
        <v>0</v>
      </c>
      <c r="Q28" s="31">
        <v>1</v>
      </c>
      <c r="R28" s="31">
        <v>0</v>
      </c>
      <c r="S28" s="31">
        <v>0</v>
      </c>
      <c r="T28" s="32">
        <v>0</v>
      </c>
      <c r="U28" s="31">
        <v>0</v>
      </c>
      <c r="V28" s="32">
        <v>0</v>
      </c>
      <c r="W28" s="31">
        <v>11</v>
      </c>
      <c r="X28" s="32">
        <v>0.39285714285714279</v>
      </c>
      <c r="Y28" s="31">
        <v>31</v>
      </c>
      <c r="Z28" s="34">
        <v>1.107142857142857</v>
      </c>
      <c r="AA28" s="31">
        <v>0</v>
      </c>
      <c r="AB28" s="32">
        <v>0</v>
      </c>
      <c r="AC28" s="31">
        <v>0</v>
      </c>
      <c r="AD28" s="32">
        <v>0</v>
      </c>
      <c r="AE28" s="31">
        <v>0</v>
      </c>
      <c r="AF28" s="32">
        <v>0</v>
      </c>
      <c r="AG28" s="31">
        <v>0</v>
      </c>
      <c r="AH28" s="32">
        <v>0</v>
      </c>
      <c r="AI28" s="35">
        <v>0</v>
      </c>
      <c r="AJ28" s="32">
        <v>0</v>
      </c>
      <c r="AK28" s="35">
        <v>0</v>
      </c>
      <c r="AL28" s="32">
        <v>0</v>
      </c>
      <c r="AM28" s="35">
        <v>0</v>
      </c>
      <c r="AN28" s="35">
        <v>0</v>
      </c>
      <c r="AO28" s="32">
        <v>0</v>
      </c>
      <c r="AP28" s="32">
        <v>0</v>
      </c>
      <c r="AQ28" s="33"/>
      <c r="AR28" s="33" t="s">
        <v>411</v>
      </c>
      <c r="AS28" s="33" t="s">
        <v>411</v>
      </c>
      <c r="AT28" s="35">
        <v>0</v>
      </c>
      <c r="AU28" s="35">
        <v>0</v>
      </c>
      <c r="AV28" s="35">
        <v>0</v>
      </c>
      <c r="AW28" s="35">
        <v>0</v>
      </c>
      <c r="AX28" s="35">
        <v>0</v>
      </c>
      <c r="AY28" s="35">
        <v>0</v>
      </c>
      <c r="AZ28" s="32">
        <v>0</v>
      </c>
      <c r="BA28" s="32">
        <v>0</v>
      </c>
      <c r="BB28" s="32">
        <v>0</v>
      </c>
      <c r="BC28" s="32">
        <v>0</v>
      </c>
      <c r="BD28" s="35">
        <v>0</v>
      </c>
      <c r="BE28" s="35">
        <v>1</v>
      </c>
      <c r="BF28" s="33" t="s">
        <v>412</v>
      </c>
      <c r="BG28" s="33" t="s">
        <v>412</v>
      </c>
      <c r="BH28" s="33">
        <v>0.984375</v>
      </c>
    </row>
    <row r="29" spans="1:60" ht="19.5" customHeight="1">
      <c r="A29" s="36">
        <v>26</v>
      </c>
      <c r="B29" s="31" t="s">
        <v>410</v>
      </c>
      <c r="C29" s="37">
        <v>46178</v>
      </c>
      <c r="D29" s="31" t="s">
        <v>413</v>
      </c>
      <c r="E29" s="31">
        <v>3</v>
      </c>
      <c r="F29" s="31">
        <v>3</v>
      </c>
      <c r="G29" s="32">
        <v>1</v>
      </c>
      <c r="H29" s="31">
        <v>0</v>
      </c>
      <c r="I29" s="33">
        <v>0</v>
      </c>
      <c r="J29" s="31">
        <v>1</v>
      </c>
      <c r="K29" s="31">
        <v>1</v>
      </c>
      <c r="L29" s="32">
        <v>1</v>
      </c>
      <c r="M29" s="31">
        <v>1</v>
      </c>
      <c r="N29" s="31">
        <v>0</v>
      </c>
      <c r="O29" s="31">
        <v>1</v>
      </c>
      <c r="P29" s="32">
        <v>1</v>
      </c>
      <c r="Q29" s="31">
        <v>0</v>
      </c>
      <c r="R29" s="31">
        <v>0</v>
      </c>
      <c r="S29" s="31">
        <v>0</v>
      </c>
      <c r="T29" s="32">
        <v>0</v>
      </c>
      <c r="U29" s="31">
        <v>0</v>
      </c>
      <c r="V29" s="32">
        <v>0</v>
      </c>
      <c r="W29" s="31">
        <v>0</v>
      </c>
      <c r="X29" s="32">
        <v>0</v>
      </c>
      <c r="Y29" s="31">
        <v>0</v>
      </c>
      <c r="Z29" s="34">
        <v>0</v>
      </c>
      <c r="AA29" s="31">
        <v>0</v>
      </c>
      <c r="AB29" s="32">
        <v>0</v>
      </c>
      <c r="AC29" s="31">
        <v>0</v>
      </c>
      <c r="AD29" s="32">
        <v>0</v>
      </c>
      <c r="AE29" s="31">
        <v>0</v>
      </c>
      <c r="AF29" s="32">
        <v>0</v>
      </c>
      <c r="AG29" s="31">
        <v>0</v>
      </c>
      <c r="AH29" s="32">
        <v>0</v>
      </c>
      <c r="AI29" s="35">
        <v>0</v>
      </c>
      <c r="AJ29" s="32">
        <v>0</v>
      </c>
      <c r="AK29" s="35">
        <v>0</v>
      </c>
      <c r="AL29" s="32">
        <v>0</v>
      </c>
      <c r="AM29" s="35">
        <v>0</v>
      </c>
      <c r="AN29" s="35">
        <v>0</v>
      </c>
      <c r="AO29" s="32">
        <v>0</v>
      </c>
      <c r="AP29" s="32">
        <v>0</v>
      </c>
      <c r="AQ29" s="33"/>
      <c r="AR29" s="33" t="s">
        <v>411</v>
      </c>
      <c r="AS29" s="33" t="s">
        <v>411</v>
      </c>
      <c r="AT29" s="35">
        <v>0</v>
      </c>
      <c r="AU29" s="35">
        <v>0</v>
      </c>
      <c r="AV29" s="35">
        <v>0</v>
      </c>
      <c r="AW29" s="35">
        <v>0</v>
      </c>
      <c r="AX29" s="35">
        <v>0</v>
      </c>
      <c r="AY29" s="35">
        <v>0</v>
      </c>
      <c r="AZ29" s="32">
        <v>0</v>
      </c>
      <c r="BA29" s="32">
        <v>0</v>
      </c>
      <c r="BB29" s="32">
        <v>0</v>
      </c>
      <c r="BC29" s="32">
        <v>0</v>
      </c>
      <c r="BD29" s="35">
        <v>0</v>
      </c>
      <c r="BE29" s="35">
        <v>0</v>
      </c>
      <c r="BF29" s="33" t="s">
        <v>412</v>
      </c>
      <c r="BG29" s="33" t="s">
        <v>412</v>
      </c>
      <c r="BH29" s="33" t="s">
        <v>412</v>
      </c>
    </row>
    <row r="30" spans="1:60" ht="19.5" customHeight="1">
      <c r="A30" s="36">
        <v>27</v>
      </c>
      <c r="B30" s="31" t="s">
        <v>410</v>
      </c>
      <c r="C30" s="37">
        <v>46178</v>
      </c>
      <c r="D30" s="31" t="s">
        <v>335</v>
      </c>
      <c r="E30" s="31">
        <v>3223</v>
      </c>
      <c r="F30" s="31">
        <v>2909</v>
      </c>
      <c r="G30" s="32">
        <v>0.90257524045919946</v>
      </c>
      <c r="H30" s="31">
        <v>1181</v>
      </c>
      <c r="I30" s="33">
        <v>0.36642879304995352</v>
      </c>
      <c r="J30" s="31">
        <v>2863</v>
      </c>
      <c r="K30" s="31">
        <v>2772</v>
      </c>
      <c r="L30" s="32">
        <v>0.96799999999999997</v>
      </c>
      <c r="M30" s="31">
        <v>13456</v>
      </c>
      <c r="N30" s="31">
        <v>13717</v>
      </c>
      <c r="O30" s="31">
        <v>13304</v>
      </c>
      <c r="P30" s="32">
        <v>0.98870392390011885</v>
      </c>
      <c r="Q30" s="31">
        <v>45</v>
      </c>
      <c r="R30" s="31">
        <v>0</v>
      </c>
      <c r="S30" s="31">
        <v>0</v>
      </c>
      <c r="T30" s="32">
        <v>0</v>
      </c>
      <c r="U30" s="31">
        <v>0</v>
      </c>
      <c r="V30" s="32">
        <v>0</v>
      </c>
      <c r="W30" s="31">
        <v>250</v>
      </c>
      <c r="X30" s="32">
        <v>7.7567483710828417E-2</v>
      </c>
      <c r="Y30" s="31">
        <v>1581</v>
      </c>
      <c r="Z30" s="34">
        <v>0.49053676698727888</v>
      </c>
      <c r="AA30" s="31">
        <v>34</v>
      </c>
      <c r="AB30" s="32">
        <v>1.054917778467267E-2</v>
      </c>
      <c r="AC30" s="31">
        <v>199</v>
      </c>
      <c r="AD30" s="32">
        <v>6.1743717033819423E-2</v>
      </c>
      <c r="AE30" s="31">
        <v>45</v>
      </c>
      <c r="AF30" s="32">
        <v>0.22613065326633169</v>
      </c>
      <c r="AG30" s="31">
        <v>196</v>
      </c>
      <c r="AH30" s="32">
        <v>0.98492462311557794</v>
      </c>
      <c r="AI30" s="35">
        <v>205</v>
      </c>
      <c r="AJ30" s="32">
        <v>6.3605336642879304E-2</v>
      </c>
      <c r="AK30" s="35">
        <v>23</v>
      </c>
      <c r="AL30" s="32">
        <v>0.92195121951219516</v>
      </c>
      <c r="AM30" s="35">
        <v>202</v>
      </c>
      <c r="AN30" s="35">
        <v>189</v>
      </c>
      <c r="AO30" s="32">
        <v>5.8641017685386293E-2</v>
      </c>
      <c r="AP30" s="32">
        <v>0.94974874371859297</v>
      </c>
      <c r="AQ30" s="33">
        <v>0.97674418604651159</v>
      </c>
      <c r="AR30" s="33" t="s">
        <v>411</v>
      </c>
      <c r="AS30" s="33">
        <v>0</v>
      </c>
      <c r="AT30" s="35">
        <v>0</v>
      </c>
      <c r="AU30" s="35">
        <v>0</v>
      </c>
      <c r="AV30" s="35">
        <v>34</v>
      </c>
      <c r="AW30" s="35">
        <v>30</v>
      </c>
      <c r="AX30" s="35">
        <v>29</v>
      </c>
      <c r="AY30" s="35">
        <v>59</v>
      </c>
      <c r="AZ30" s="32">
        <v>9.3080980452994108E-3</v>
      </c>
      <c r="BA30" s="32">
        <v>8.9978281104560968E-3</v>
      </c>
      <c r="BB30" s="32">
        <v>1.8305926155755509E-2</v>
      </c>
      <c r="BC30" s="32">
        <v>0.1534391534391534</v>
      </c>
      <c r="BD30" s="35">
        <v>0</v>
      </c>
      <c r="BE30" s="35">
        <v>0</v>
      </c>
      <c r="BF30" s="33">
        <v>0.95833333333333337</v>
      </c>
      <c r="BG30" s="33">
        <v>1</v>
      </c>
      <c r="BH30" s="33" t="s">
        <v>412</v>
      </c>
    </row>
    <row r="31" spans="1:60" ht="19.5" customHeight="1">
      <c r="A31" s="36">
        <v>28</v>
      </c>
      <c r="B31" s="31" t="s">
        <v>410</v>
      </c>
      <c r="C31" s="37">
        <v>46178</v>
      </c>
      <c r="D31" s="31" t="s">
        <v>334</v>
      </c>
      <c r="E31" s="31">
        <v>2333</v>
      </c>
      <c r="F31" s="31">
        <v>2060</v>
      </c>
      <c r="G31" s="32">
        <v>0.88298328332618947</v>
      </c>
      <c r="H31" s="31">
        <v>908</v>
      </c>
      <c r="I31" s="33">
        <v>0.3891984569224175</v>
      </c>
      <c r="J31" s="31">
        <v>1882</v>
      </c>
      <c r="K31" s="31">
        <v>1794</v>
      </c>
      <c r="L31" s="32">
        <v>0.95299999999999996</v>
      </c>
      <c r="M31" s="31">
        <v>8973</v>
      </c>
      <c r="N31" s="31">
        <v>9194</v>
      </c>
      <c r="O31" s="31">
        <v>8815</v>
      </c>
      <c r="P31" s="32">
        <v>0.98239161930235153</v>
      </c>
      <c r="Q31" s="31">
        <v>62</v>
      </c>
      <c r="R31" s="31">
        <v>0</v>
      </c>
      <c r="S31" s="31">
        <v>0</v>
      </c>
      <c r="T31" s="32">
        <v>0</v>
      </c>
      <c r="U31" s="31">
        <v>0</v>
      </c>
      <c r="V31" s="32">
        <v>0</v>
      </c>
      <c r="W31" s="31">
        <v>185</v>
      </c>
      <c r="X31" s="32">
        <v>7.9297042434633522E-2</v>
      </c>
      <c r="Y31" s="31">
        <v>973</v>
      </c>
      <c r="Z31" s="34">
        <v>0.41705957993999138</v>
      </c>
      <c r="AA31" s="31">
        <v>20</v>
      </c>
      <c r="AB31" s="32">
        <v>8.5726532361765969E-3</v>
      </c>
      <c r="AC31" s="31">
        <v>210</v>
      </c>
      <c r="AD31" s="32">
        <v>9.0012858979854268E-2</v>
      </c>
      <c r="AE31" s="31">
        <v>26</v>
      </c>
      <c r="AF31" s="32">
        <v>0.1238095238095238</v>
      </c>
      <c r="AG31" s="31">
        <v>199</v>
      </c>
      <c r="AH31" s="32">
        <v>0.94761904761904758</v>
      </c>
      <c r="AI31" s="35">
        <v>203</v>
      </c>
      <c r="AJ31" s="32">
        <v>8.7012430347192457E-2</v>
      </c>
      <c r="AK31" s="35">
        <v>13</v>
      </c>
      <c r="AL31" s="32">
        <v>0.86206896551724133</v>
      </c>
      <c r="AM31" s="35">
        <v>203</v>
      </c>
      <c r="AN31" s="35">
        <v>175</v>
      </c>
      <c r="AO31" s="32">
        <v>7.5010715816545226E-2</v>
      </c>
      <c r="AP31" s="32">
        <v>0.83333333333333337</v>
      </c>
      <c r="AQ31" s="33">
        <v>1</v>
      </c>
      <c r="AR31" s="33" t="s">
        <v>411</v>
      </c>
      <c r="AS31" s="33">
        <v>0</v>
      </c>
      <c r="AT31" s="35">
        <v>0</v>
      </c>
      <c r="AU31" s="35">
        <v>0</v>
      </c>
      <c r="AV31" s="35">
        <v>44</v>
      </c>
      <c r="AW31" s="35">
        <v>39</v>
      </c>
      <c r="AX31" s="35">
        <v>42</v>
      </c>
      <c r="AY31" s="35">
        <v>44</v>
      </c>
      <c r="AZ31" s="32">
        <v>1.6716673810544359E-2</v>
      </c>
      <c r="BA31" s="32">
        <v>1.800257179597085E-2</v>
      </c>
      <c r="BB31" s="32">
        <v>1.885983711958851E-2</v>
      </c>
      <c r="BC31" s="32">
        <v>0.24</v>
      </c>
      <c r="BD31" s="35">
        <v>0</v>
      </c>
      <c r="BE31" s="35">
        <v>0</v>
      </c>
      <c r="BF31" s="33">
        <v>1</v>
      </c>
      <c r="BG31" s="33">
        <v>1</v>
      </c>
      <c r="BH31" s="33" t="s">
        <v>412</v>
      </c>
    </row>
    <row r="32" spans="1:60" ht="19.5" customHeight="1">
      <c r="A32" s="36">
        <v>29</v>
      </c>
      <c r="B32" s="31" t="s">
        <v>410</v>
      </c>
      <c r="C32" s="37">
        <v>46178</v>
      </c>
      <c r="D32" s="31" t="s">
        <v>337</v>
      </c>
      <c r="E32" s="31">
        <v>5327</v>
      </c>
      <c r="F32" s="31">
        <v>4736</v>
      </c>
      <c r="G32" s="32">
        <v>0.88905575370752765</v>
      </c>
      <c r="H32" s="31">
        <v>1966</v>
      </c>
      <c r="I32" s="33">
        <v>0.36906326262436651</v>
      </c>
      <c r="J32" s="31">
        <v>6892</v>
      </c>
      <c r="K32" s="31">
        <v>6773</v>
      </c>
      <c r="L32" s="32">
        <v>0.98299999999999998</v>
      </c>
      <c r="M32" s="31">
        <v>27654</v>
      </c>
      <c r="N32" s="31">
        <v>28040</v>
      </c>
      <c r="O32" s="31">
        <v>27330</v>
      </c>
      <c r="P32" s="32">
        <v>0.98828379257973531</v>
      </c>
      <c r="Q32" s="31">
        <v>72</v>
      </c>
      <c r="R32" s="31">
        <v>0</v>
      </c>
      <c r="S32" s="31">
        <v>0</v>
      </c>
      <c r="T32" s="32">
        <v>0</v>
      </c>
      <c r="U32" s="31">
        <v>0</v>
      </c>
      <c r="V32" s="32">
        <v>0</v>
      </c>
      <c r="W32" s="31">
        <v>500</v>
      </c>
      <c r="X32" s="32">
        <v>9.3861460484325129E-2</v>
      </c>
      <c r="Y32" s="31">
        <v>1667</v>
      </c>
      <c r="Z32" s="34">
        <v>0.31293410925474002</v>
      </c>
      <c r="AA32" s="31">
        <v>57</v>
      </c>
      <c r="AB32" s="32">
        <v>1.0700206495213071E-2</v>
      </c>
      <c r="AC32" s="31">
        <v>916</v>
      </c>
      <c r="AD32" s="32">
        <v>0.17195419560728359</v>
      </c>
      <c r="AE32" s="31">
        <v>146</v>
      </c>
      <c r="AF32" s="32">
        <v>0.15938864628820959</v>
      </c>
      <c r="AG32" s="31">
        <v>889</v>
      </c>
      <c r="AH32" s="32">
        <v>0.97052401746724892</v>
      </c>
      <c r="AI32" s="35">
        <v>949</v>
      </c>
      <c r="AJ32" s="32">
        <v>0.1781490519992491</v>
      </c>
      <c r="AK32" s="35">
        <v>48</v>
      </c>
      <c r="AL32" s="32">
        <v>0.89884088514225502</v>
      </c>
      <c r="AM32" s="35">
        <v>930</v>
      </c>
      <c r="AN32" s="35">
        <v>853</v>
      </c>
      <c r="AO32" s="32">
        <v>0.16012765158625869</v>
      </c>
      <c r="AP32" s="32">
        <v>0.93122270742358082</v>
      </c>
      <c r="AQ32" s="33">
        <v>0.96004566210045661</v>
      </c>
      <c r="AR32" s="33" t="s">
        <v>411</v>
      </c>
      <c r="AS32" s="33">
        <v>0</v>
      </c>
      <c r="AT32" s="35">
        <v>0</v>
      </c>
      <c r="AU32" s="35">
        <v>0</v>
      </c>
      <c r="AV32" s="35">
        <v>88</v>
      </c>
      <c r="AW32" s="35">
        <v>70</v>
      </c>
      <c r="AX32" s="35">
        <v>69</v>
      </c>
      <c r="AY32" s="35">
        <v>167</v>
      </c>
      <c r="AZ32" s="32">
        <v>1.314060446780552E-2</v>
      </c>
      <c r="BA32" s="32">
        <v>1.295288154683687E-2</v>
      </c>
      <c r="BB32" s="32">
        <v>3.1349727801764593E-2</v>
      </c>
      <c r="BC32" s="32">
        <v>8.0890973036342323E-2</v>
      </c>
      <c r="BD32" s="35">
        <v>0</v>
      </c>
      <c r="BE32" s="35">
        <v>0</v>
      </c>
      <c r="BF32" s="33">
        <v>0.99295774647887325</v>
      </c>
      <c r="BG32" s="33">
        <v>1</v>
      </c>
      <c r="BH32" s="33" t="s">
        <v>412</v>
      </c>
    </row>
    <row r="33" spans="1:60" ht="19.5" customHeight="1">
      <c r="A33" s="36">
        <v>30</v>
      </c>
      <c r="B33" s="31" t="s">
        <v>410</v>
      </c>
      <c r="C33" s="37">
        <v>46178</v>
      </c>
      <c r="D33" s="31" t="s">
        <v>336</v>
      </c>
      <c r="E33" s="31">
        <v>2734</v>
      </c>
      <c r="F33" s="31">
        <v>2476</v>
      </c>
      <c r="G33" s="32">
        <v>0.90563277249451357</v>
      </c>
      <c r="H33" s="31">
        <v>1345</v>
      </c>
      <c r="I33" s="33">
        <v>0.49195318215069489</v>
      </c>
      <c r="J33" s="31">
        <v>3236</v>
      </c>
      <c r="K33" s="31">
        <v>3144</v>
      </c>
      <c r="L33" s="32">
        <v>0.97199999999999998</v>
      </c>
      <c r="M33" s="31">
        <v>16463</v>
      </c>
      <c r="N33" s="31">
        <v>16852</v>
      </c>
      <c r="O33" s="31">
        <v>16278</v>
      </c>
      <c r="P33" s="32">
        <v>0.98876267994897649</v>
      </c>
      <c r="Q33" s="31">
        <v>57</v>
      </c>
      <c r="R33" s="31">
        <v>0</v>
      </c>
      <c r="S33" s="31">
        <v>0</v>
      </c>
      <c r="T33" s="32">
        <v>0</v>
      </c>
      <c r="U33" s="31">
        <v>0</v>
      </c>
      <c r="V33" s="32">
        <v>0</v>
      </c>
      <c r="W33" s="31">
        <v>269</v>
      </c>
      <c r="X33" s="32">
        <v>9.8390636430138997E-2</v>
      </c>
      <c r="Y33" s="31">
        <v>1008</v>
      </c>
      <c r="Z33" s="34">
        <v>0.36869056327724947</v>
      </c>
      <c r="AA33" s="31">
        <v>74</v>
      </c>
      <c r="AB33" s="32">
        <v>2.7066569129480619E-2</v>
      </c>
      <c r="AC33" s="31">
        <v>357</v>
      </c>
      <c r="AD33" s="32">
        <v>0.1305779078273592</v>
      </c>
      <c r="AE33" s="31">
        <v>66</v>
      </c>
      <c r="AF33" s="32">
        <v>0.18487394957983189</v>
      </c>
      <c r="AG33" s="31">
        <v>343</v>
      </c>
      <c r="AH33" s="32">
        <v>0.96078431372549022</v>
      </c>
      <c r="AI33" s="35">
        <v>351</v>
      </c>
      <c r="AJ33" s="32">
        <v>0.12838332114118511</v>
      </c>
      <c r="AK33" s="35">
        <v>35</v>
      </c>
      <c r="AL33" s="32">
        <v>0.90313390313390318</v>
      </c>
      <c r="AM33" s="35">
        <v>345</v>
      </c>
      <c r="AN33" s="35">
        <v>317</v>
      </c>
      <c r="AO33" s="32">
        <v>0.1159473299195318</v>
      </c>
      <c r="AP33" s="32">
        <v>0.88795518207282909</v>
      </c>
      <c r="AQ33" s="33">
        <v>0.97187500000000004</v>
      </c>
      <c r="AR33" s="33" t="s">
        <v>411</v>
      </c>
      <c r="AS33" s="33">
        <v>0</v>
      </c>
      <c r="AT33" s="35">
        <v>0</v>
      </c>
      <c r="AU33" s="35">
        <v>0</v>
      </c>
      <c r="AV33" s="35">
        <v>41</v>
      </c>
      <c r="AW33" s="35">
        <v>38</v>
      </c>
      <c r="AX33" s="35">
        <v>39</v>
      </c>
      <c r="AY33" s="35">
        <v>51</v>
      </c>
      <c r="AZ33" s="32">
        <v>1.389904901243599E-2</v>
      </c>
      <c r="BA33" s="32">
        <v>1.426481346013168E-2</v>
      </c>
      <c r="BB33" s="32">
        <v>1.8653986832479881E-2</v>
      </c>
      <c r="BC33" s="32">
        <v>0.1230283911671924</v>
      </c>
      <c r="BD33" s="35">
        <v>0</v>
      </c>
      <c r="BE33" s="35">
        <v>0</v>
      </c>
      <c r="BF33" s="33">
        <v>0.97916666666666663</v>
      </c>
      <c r="BG33" s="33">
        <v>1</v>
      </c>
      <c r="BH33" s="33" t="s">
        <v>412</v>
      </c>
    </row>
    <row r="34" spans="1:60" ht="19.5" customHeight="1">
      <c r="A34" s="36">
        <v>31</v>
      </c>
      <c r="B34" s="31" t="s">
        <v>410</v>
      </c>
      <c r="C34" s="37">
        <v>46179</v>
      </c>
      <c r="D34" s="31"/>
      <c r="E34" s="31">
        <v>58</v>
      </c>
      <c r="F34" s="31">
        <v>58</v>
      </c>
      <c r="G34" s="32">
        <v>1</v>
      </c>
      <c r="H34" s="31">
        <v>58</v>
      </c>
      <c r="I34" s="33">
        <v>1</v>
      </c>
      <c r="J34" s="31">
        <v>0</v>
      </c>
      <c r="K34" s="31">
        <v>0</v>
      </c>
      <c r="L34" s="32">
        <v>0</v>
      </c>
      <c r="M34" s="31">
        <v>2</v>
      </c>
      <c r="N34" s="31">
        <v>0</v>
      </c>
      <c r="O34" s="31">
        <v>0</v>
      </c>
      <c r="P34" s="32">
        <v>0</v>
      </c>
      <c r="Q34" s="31">
        <v>2</v>
      </c>
      <c r="R34" s="31">
        <v>0</v>
      </c>
      <c r="S34" s="31">
        <v>0</v>
      </c>
      <c r="T34" s="32">
        <v>0</v>
      </c>
      <c r="U34" s="31">
        <v>0</v>
      </c>
      <c r="V34" s="32">
        <v>0</v>
      </c>
      <c r="W34" s="31">
        <v>27</v>
      </c>
      <c r="X34" s="32">
        <v>0.46551724137931028</v>
      </c>
      <c r="Y34" s="31">
        <v>13</v>
      </c>
      <c r="Z34" s="34">
        <v>0.22413793103448279</v>
      </c>
      <c r="AA34" s="31">
        <v>0</v>
      </c>
      <c r="AB34" s="32">
        <v>0</v>
      </c>
      <c r="AC34" s="31">
        <v>0</v>
      </c>
      <c r="AD34" s="32">
        <v>0</v>
      </c>
      <c r="AE34" s="31">
        <v>0</v>
      </c>
      <c r="AF34" s="32">
        <v>0</v>
      </c>
      <c r="AG34" s="31">
        <v>0</v>
      </c>
      <c r="AH34" s="32">
        <v>0</v>
      </c>
      <c r="AI34" s="35">
        <v>0</v>
      </c>
      <c r="AJ34" s="32">
        <v>0</v>
      </c>
      <c r="AK34" s="35">
        <v>0</v>
      </c>
      <c r="AL34" s="32">
        <v>0</v>
      </c>
      <c r="AM34" s="35">
        <v>0</v>
      </c>
      <c r="AN34" s="35">
        <v>0</v>
      </c>
      <c r="AO34" s="32">
        <v>0</v>
      </c>
      <c r="AP34" s="32">
        <v>0</v>
      </c>
      <c r="AQ34" s="33"/>
      <c r="AR34" s="33" t="s">
        <v>411</v>
      </c>
      <c r="AS34" s="33" t="s">
        <v>411</v>
      </c>
      <c r="AT34" s="35">
        <v>0</v>
      </c>
      <c r="AU34" s="35">
        <v>0</v>
      </c>
      <c r="AV34" s="35">
        <v>0</v>
      </c>
      <c r="AW34" s="35">
        <v>0</v>
      </c>
      <c r="AX34" s="35">
        <v>0</v>
      </c>
      <c r="AY34" s="35">
        <v>0</v>
      </c>
      <c r="AZ34" s="32">
        <v>0</v>
      </c>
      <c r="BA34" s="32">
        <v>0</v>
      </c>
      <c r="BB34" s="32">
        <v>0</v>
      </c>
      <c r="BC34" s="32">
        <v>0</v>
      </c>
      <c r="BD34" s="35">
        <v>0</v>
      </c>
      <c r="BE34" s="35">
        <v>0</v>
      </c>
      <c r="BF34" s="33" t="s">
        <v>412</v>
      </c>
      <c r="BG34" s="33" t="s">
        <v>412</v>
      </c>
      <c r="BH34" s="33">
        <v>0.99159663865546221</v>
      </c>
    </row>
    <row r="35" spans="1:60" ht="19.5" customHeight="1">
      <c r="A35" s="36">
        <v>32</v>
      </c>
      <c r="B35" s="31" t="s">
        <v>410</v>
      </c>
      <c r="C35" s="37">
        <v>46179</v>
      </c>
      <c r="D35" s="31" t="s">
        <v>413</v>
      </c>
      <c r="E35" s="31">
        <v>1</v>
      </c>
      <c r="F35" s="31">
        <v>1</v>
      </c>
      <c r="G35" s="32">
        <v>1</v>
      </c>
      <c r="H35" s="31">
        <v>0</v>
      </c>
      <c r="I35" s="33">
        <v>0</v>
      </c>
      <c r="J35" s="31">
        <v>1</v>
      </c>
      <c r="K35" s="31">
        <v>1</v>
      </c>
      <c r="L35" s="32">
        <v>1</v>
      </c>
      <c r="M35" s="31">
        <v>1</v>
      </c>
      <c r="N35" s="31">
        <v>1</v>
      </c>
      <c r="O35" s="31">
        <v>1</v>
      </c>
      <c r="P35" s="32">
        <v>1</v>
      </c>
      <c r="Q35" s="31">
        <v>0</v>
      </c>
      <c r="R35" s="31">
        <v>0</v>
      </c>
      <c r="S35" s="31">
        <v>0</v>
      </c>
      <c r="T35" s="32">
        <v>0</v>
      </c>
      <c r="U35" s="31">
        <v>0</v>
      </c>
      <c r="V35" s="32">
        <v>0</v>
      </c>
      <c r="W35" s="31">
        <v>0</v>
      </c>
      <c r="X35" s="32">
        <v>0</v>
      </c>
      <c r="Y35" s="31">
        <v>0</v>
      </c>
      <c r="Z35" s="34">
        <v>0</v>
      </c>
      <c r="AA35" s="31">
        <v>0</v>
      </c>
      <c r="AB35" s="32">
        <v>0</v>
      </c>
      <c r="AC35" s="31">
        <v>1</v>
      </c>
      <c r="AD35" s="32">
        <v>1</v>
      </c>
      <c r="AE35" s="31">
        <v>0</v>
      </c>
      <c r="AF35" s="32">
        <v>0</v>
      </c>
      <c r="AG35" s="31">
        <v>1</v>
      </c>
      <c r="AH35" s="32">
        <v>1</v>
      </c>
      <c r="AI35" s="35">
        <v>0</v>
      </c>
      <c r="AJ35" s="32">
        <v>0</v>
      </c>
      <c r="AK35" s="35">
        <v>0</v>
      </c>
      <c r="AL35" s="32">
        <v>0</v>
      </c>
      <c r="AM35" s="35">
        <v>0</v>
      </c>
      <c r="AN35" s="35">
        <v>0</v>
      </c>
      <c r="AO35" s="32">
        <v>0</v>
      </c>
      <c r="AP35" s="32">
        <v>0</v>
      </c>
      <c r="AQ35" s="33"/>
      <c r="AR35" s="33" t="s">
        <v>411</v>
      </c>
      <c r="AS35" s="33" t="s">
        <v>411</v>
      </c>
      <c r="AT35" s="35">
        <v>0</v>
      </c>
      <c r="AU35" s="35">
        <v>0</v>
      </c>
      <c r="AV35" s="35">
        <v>0</v>
      </c>
      <c r="AW35" s="35">
        <v>0</v>
      </c>
      <c r="AX35" s="35">
        <v>0</v>
      </c>
      <c r="AY35" s="35">
        <v>0</v>
      </c>
      <c r="AZ35" s="32">
        <v>0</v>
      </c>
      <c r="BA35" s="32">
        <v>0</v>
      </c>
      <c r="BB35" s="32">
        <v>0</v>
      </c>
      <c r="BC35" s="32">
        <v>0</v>
      </c>
      <c r="BD35" s="35">
        <v>0</v>
      </c>
      <c r="BE35" s="35">
        <v>0</v>
      </c>
      <c r="BF35" s="33" t="s">
        <v>412</v>
      </c>
      <c r="BG35" s="33" t="s">
        <v>412</v>
      </c>
      <c r="BH35" s="33" t="s">
        <v>412</v>
      </c>
    </row>
    <row r="36" spans="1:60" ht="19.5" customHeight="1">
      <c r="A36" s="36">
        <v>33</v>
      </c>
      <c r="B36" s="31" t="s">
        <v>410</v>
      </c>
      <c r="C36" s="37">
        <v>46179</v>
      </c>
      <c r="D36" s="31" t="s">
        <v>335</v>
      </c>
      <c r="E36" s="31">
        <v>3909</v>
      </c>
      <c r="F36" s="31">
        <v>3488</v>
      </c>
      <c r="G36" s="32">
        <v>0.89229982092606808</v>
      </c>
      <c r="H36" s="31">
        <v>1540</v>
      </c>
      <c r="I36" s="33">
        <v>0.39396265029419292</v>
      </c>
      <c r="J36" s="31">
        <v>4252</v>
      </c>
      <c r="K36" s="31">
        <v>4190</v>
      </c>
      <c r="L36" s="32">
        <v>0.98499999999999999</v>
      </c>
      <c r="M36" s="31">
        <v>15423</v>
      </c>
      <c r="N36" s="31">
        <v>16132</v>
      </c>
      <c r="O36" s="31">
        <v>15272</v>
      </c>
      <c r="P36" s="32">
        <v>0.99020942747844132</v>
      </c>
      <c r="Q36" s="31">
        <v>23</v>
      </c>
      <c r="R36" s="31">
        <v>0</v>
      </c>
      <c r="S36" s="31">
        <v>0</v>
      </c>
      <c r="T36" s="32">
        <v>0</v>
      </c>
      <c r="U36" s="31">
        <v>0</v>
      </c>
      <c r="V36" s="32">
        <v>0</v>
      </c>
      <c r="W36" s="31">
        <v>385</v>
      </c>
      <c r="X36" s="32">
        <v>9.8490662573548216E-2</v>
      </c>
      <c r="Y36" s="31">
        <v>928</v>
      </c>
      <c r="Z36" s="34">
        <v>0.2374008697876695</v>
      </c>
      <c r="AA36" s="31">
        <v>29</v>
      </c>
      <c r="AB36" s="32">
        <v>7.418777180864671E-3</v>
      </c>
      <c r="AC36" s="31">
        <v>313</v>
      </c>
      <c r="AD36" s="32">
        <v>8.0071629572780759E-2</v>
      </c>
      <c r="AE36" s="31">
        <v>41</v>
      </c>
      <c r="AF36" s="32">
        <v>0.13099041533546329</v>
      </c>
      <c r="AG36" s="31">
        <v>304</v>
      </c>
      <c r="AH36" s="32">
        <v>0.97124600638977632</v>
      </c>
      <c r="AI36" s="35">
        <v>315</v>
      </c>
      <c r="AJ36" s="32">
        <v>8.0583269378357636E-2</v>
      </c>
      <c r="AK36" s="35">
        <v>29</v>
      </c>
      <c r="AL36" s="32">
        <v>0.8571428571428571</v>
      </c>
      <c r="AM36" s="35">
        <v>299</v>
      </c>
      <c r="AN36" s="35">
        <v>270</v>
      </c>
      <c r="AO36" s="32">
        <v>6.9071373752877974E-2</v>
      </c>
      <c r="AP36" s="32">
        <v>0.86261980830670926</v>
      </c>
      <c r="AQ36" s="33">
        <v>0.98857142857142855</v>
      </c>
      <c r="AR36" s="33" t="s">
        <v>411</v>
      </c>
      <c r="AS36" s="33">
        <v>0</v>
      </c>
      <c r="AT36" s="35">
        <v>0</v>
      </c>
      <c r="AU36" s="35">
        <v>0</v>
      </c>
      <c r="AV36" s="35">
        <v>68</v>
      </c>
      <c r="AW36" s="35">
        <v>66</v>
      </c>
      <c r="AX36" s="35">
        <v>61</v>
      </c>
      <c r="AY36" s="35">
        <v>38</v>
      </c>
      <c r="AZ36" s="32">
        <v>1.6884113584036839E-2</v>
      </c>
      <c r="BA36" s="32">
        <v>1.5605014070094649E-2</v>
      </c>
      <c r="BB36" s="32">
        <v>9.721156305960604E-3</v>
      </c>
      <c r="BC36" s="32">
        <v>0.22592592592592589</v>
      </c>
      <c r="BD36" s="35">
        <v>0</v>
      </c>
      <c r="BE36" s="35">
        <v>0</v>
      </c>
      <c r="BF36" s="33">
        <v>1</v>
      </c>
      <c r="BG36" s="33">
        <v>1</v>
      </c>
      <c r="BH36" s="33" t="s">
        <v>412</v>
      </c>
    </row>
    <row r="37" spans="1:60" ht="19.5" customHeight="1">
      <c r="A37" s="36">
        <v>34</v>
      </c>
      <c r="B37" s="31" t="s">
        <v>410</v>
      </c>
      <c r="C37" s="37">
        <v>46179</v>
      </c>
      <c r="D37" s="31" t="s">
        <v>334</v>
      </c>
      <c r="E37" s="31">
        <v>2308</v>
      </c>
      <c r="F37" s="31">
        <v>2070</v>
      </c>
      <c r="G37" s="32">
        <v>0.89688041594454071</v>
      </c>
      <c r="H37" s="31">
        <v>953</v>
      </c>
      <c r="I37" s="33">
        <v>0.41291161178509528</v>
      </c>
      <c r="J37" s="31">
        <v>2462</v>
      </c>
      <c r="K37" s="31">
        <v>2410</v>
      </c>
      <c r="L37" s="32">
        <v>0.97899999999999998</v>
      </c>
      <c r="M37" s="31">
        <v>9665</v>
      </c>
      <c r="N37" s="31">
        <v>10059</v>
      </c>
      <c r="O37" s="31">
        <v>9556</v>
      </c>
      <c r="P37" s="32">
        <v>0.98872219348163481</v>
      </c>
      <c r="Q37" s="31">
        <v>17</v>
      </c>
      <c r="R37" s="31">
        <v>0</v>
      </c>
      <c r="S37" s="31">
        <v>0</v>
      </c>
      <c r="T37" s="32">
        <v>0</v>
      </c>
      <c r="U37" s="31">
        <v>0</v>
      </c>
      <c r="V37" s="32">
        <v>0</v>
      </c>
      <c r="W37" s="31">
        <v>349</v>
      </c>
      <c r="X37" s="32">
        <v>0.15121317157712311</v>
      </c>
      <c r="Y37" s="31">
        <v>624</v>
      </c>
      <c r="Z37" s="34">
        <v>0.27036395147313691</v>
      </c>
      <c r="AA37" s="31">
        <v>11</v>
      </c>
      <c r="AB37" s="32">
        <v>4.7660311958405543E-3</v>
      </c>
      <c r="AC37" s="31">
        <v>312</v>
      </c>
      <c r="AD37" s="32">
        <v>0.13518197573656851</v>
      </c>
      <c r="AE37" s="31">
        <v>49</v>
      </c>
      <c r="AF37" s="32">
        <v>0.15705128205128199</v>
      </c>
      <c r="AG37" s="31">
        <v>302</v>
      </c>
      <c r="AH37" s="32">
        <v>0.96794871794871795</v>
      </c>
      <c r="AI37" s="35">
        <v>306</v>
      </c>
      <c r="AJ37" s="32">
        <v>0.13258232235701911</v>
      </c>
      <c r="AK37" s="35">
        <v>14</v>
      </c>
      <c r="AL37" s="32">
        <v>0.84640522875816993</v>
      </c>
      <c r="AM37" s="35">
        <v>294</v>
      </c>
      <c r="AN37" s="35">
        <v>259</v>
      </c>
      <c r="AO37" s="32">
        <v>0.1122183708838821</v>
      </c>
      <c r="AP37" s="32">
        <v>0.83012820512820518</v>
      </c>
      <c r="AQ37" s="33">
        <v>0.98412698412698407</v>
      </c>
      <c r="AR37" s="33" t="s">
        <v>411</v>
      </c>
      <c r="AS37" s="33">
        <v>0</v>
      </c>
      <c r="AT37" s="35">
        <v>0</v>
      </c>
      <c r="AU37" s="35">
        <v>0</v>
      </c>
      <c r="AV37" s="35">
        <v>62</v>
      </c>
      <c r="AW37" s="35">
        <v>55</v>
      </c>
      <c r="AX37" s="35">
        <v>53</v>
      </c>
      <c r="AY37" s="35">
        <v>40</v>
      </c>
      <c r="AZ37" s="32">
        <v>2.383015597920277E-2</v>
      </c>
      <c r="BA37" s="32">
        <v>2.2963604852686309E-2</v>
      </c>
      <c r="BB37" s="32">
        <v>1.7331022530329289E-2</v>
      </c>
      <c r="BC37" s="32">
        <v>0.20463320463320461</v>
      </c>
      <c r="BD37" s="35">
        <v>0</v>
      </c>
      <c r="BE37" s="35">
        <v>0</v>
      </c>
      <c r="BF37" s="33">
        <v>0.97674418604651159</v>
      </c>
      <c r="BG37" s="33">
        <v>1</v>
      </c>
      <c r="BH37" s="33" t="s">
        <v>412</v>
      </c>
    </row>
    <row r="38" spans="1:60" ht="19.5" customHeight="1">
      <c r="A38" s="36">
        <v>35</v>
      </c>
      <c r="B38" s="31" t="s">
        <v>410</v>
      </c>
      <c r="C38" s="37">
        <v>46179</v>
      </c>
      <c r="D38" s="31" t="s">
        <v>337</v>
      </c>
      <c r="E38" s="31">
        <v>6701</v>
      </c>
      <c r="F38" s="31">
        <v>5904</v>
      </c>
      <c r="G38" s="32">
        <v>0.88106252798089835</v>
      </c>
      <c r="H38" s="31">
        <v>1878</v>
      </c>
      <c r="I38" s="33">
        <v>0.28025667810774513</v>
      </c>
      <c r="J38" s="31">
        <v>5331</v>
      </c>
      <c r="K38" s="31">
        <v>5190</v>
      </c>
      <c r="L38" s="32">
        <v>0.97399999999999998</v>
      </c>
      <c r="M38" s="31">
        <v>26926</v>
      </c>
      <c r="N38" s="31">
        <v>28438</v>
      </c>
      <c r="O38" s="31">
        <v>26613</v>
      </c>
      <c r="P38" s="32">
        <v>0.98837554779766768</v>
      </c>
      <c r="Q38" s="31">
        <v>31</v>
      </c>
      <c r="R38" s="31">
        <v>0</v>
      </c>
      <c r="S38" s="31">
        <v>0</v>
      </c>
      <c r="T38" s="32">
        <v>0</v>
      </c>
      <c r="U38" s="31">
        <v>0</v>
      </c>
      <c r="V38" s="32">
        <v>0</v>
      </c>
      <c r="W38" s="31">
        <v>932</v>
      </c>
      <c r="X38" s="32">
        <v>0.13908371884793311</v>
      </c>
      <c r="Y38" s="31">
        <v>1410</v>
      </c>
      <c r="Z38" s="34">
        <v>0.21041635576779591</v>
      </c>
      <c r="AA38" s="31">
        <v>39</v>
      </c>
      <c r="AB38" s="32">
        <v>5.8200268616624383E-3</v>
      </c>
      <c r="AC38" s="31">
        <v>1313</v>
      </c>
      <c r="AD38" s="32">
        <v>0.19594090434263539</v>
      </c>
      <c r="AE38" s="31">
        <v>216</v>
      </c>
      <c r="AF38" s="32">
        <v>0.16450875856816449</v>
      </c>
      <c r="AG38" s="31">
        <v>1269</v>
      </c>
      <c r="AH38" s="32">
        <v>0.96648895658796652</v>
      </c>
      <c r="AI38" s="35">
        <v>1399</v>
      </c>
      <c r="AJ38" s="32">
        <v>0.2087748097298911</v>
      </c>
      <c r="AK38" s="35">
        <v>76</v>
      </c>
      <c r="AL38" s="32">
        <v>0.88348820586132948</v>
      </c>
      <c r="AM38" s="35">
        <v>1333</v>
      </c>
      <c r="AN38" s="35">
        <v>1236</v>
      </c>
      <c r="AO38" s="32">
        <v>0.1844500820773019</v>
      </c>
      <c r="AP38" s="32">
        <v>0.94135567402894138</v>
      </c>
      <c r="AQ38" s="33">
        <v>0.97480832420591457</v>
      </c>
      <c r="AR38" s="33" t="s">
        <v>411</v>
      </c>
      <c r="AS38" s="33">
        <v>0</v>
      </c>
      <c r="AT38" s="35">
        <v>0</v>
      </c>
      <c r="AU38" s="35">
        <v>0</v>
      </c>
      <c r="AV38" s="35">
        <v>211</v>
      </c>
      <c r="AW38" s="35">
        <v>200</v>
      </c>
      <c r="AX38" s="35">
        <v>189</v>
      </c>
      <c r="AY38" s="35">
        <v>131</v>
      </c>
      <c r="AZ38" s="32">
        <v>2.9846291598268911E-2</v>
      </c>
      <c r="BA38" s="32">
        <v>2.820474556036413E-2</v>
      </c>
      <c r="BB38" s="32">
        <v>1.954932099686614E-2</v>
      </c>
      <c r="BC38" s="32">
        <v>0.15291262135922329</v>
      </c>
      <c r="BD38" s="35">
        <v>0</v>
      </c>
      <c r="BE38" s="35">
        <v>0</v>
      </c>
      <c r="BF38" s="33">
        <v>0.99126637554585151</v>
      </c>
      <c r="BG38" s="33">
        <v>1</v>
      </c>
      <c r="BH38" s="33" t="s">
        <v>412</v>
      </c>
    </row>
    <row r="39" spans="1:60" ht="19.5" customHeight="1">
      <c r="A39" s="36">
        <v>36</v>
      </c>
      <c r="B39" s="31" t="s">
        <v>410</v>
      </c>
      <c r="C39" s="37">
        <v>46179</v>
      </c>
      <c r="D39" s="31" t="s">
        <v>336</v>
      </c>
      <c r="E39" s="31">
        <v>3017</v>
      </c>
      <c r="F39" s="31">
        <v>2792</v>
      </c>
      <c r="G39" s="32">
        <v>0.92542260523699038</v>
      </c>
      <c r="H39" s="31">
        <v>1522</v>
      </c>
      <c r="I39" s="33">
        <v>0.50447464368578054</v>
      </c>
      <c r="J39" s="31">
        <v>3430</v>
      </c>
      <c r="K39" s="31">
        <v>3386</v>
      </c>
      <c r="L39" s="32">
        <v>0.98699999999999999</v>
      </c>
      <c r="M39" s="31">
        <v>16897</v>
      </c>
      <c r="N39" s="31">
        <v>17254</v>
      </c>
      <c r="O39" s="31">
        <v>16748</v>
      </c>
      <c r="P39" s="32">
        <v>0.99118186660353913</v>
      </c>
      <c r="Q39" s="31">
        <v>15</v>
      </c>
      <c r="R39" s="31">
        <v>0</v>
      </c>
      <c r="S39" s="31">
        <v>0</v>
      </c>
      <c r="T39" s="32">
        <v>0</v>
      </c>
      <c r="U39" s="31">
        <v>0</v>
      </c>
      <c r="V39" s="32">
        <v>0</v>
      </c>
      <c r="W39" s="31">
        <v>463</v>
      </c>
      <c r="X39" s="32">
        <v>0.15346370566788201</v>
      </c>
      <c r="Y39" s="31">
        <v>792</v>
      </c>
      <c r="Z39" s="34">
        <v>0.26251242956579379</v>
      </c>
      <c r="AA39" s="31">
        <v>76</v>
      </c>
      <c r="AB39" s="32">
        <v>2.5190586675505468E-2</v>
      </c>
      <c r="AC39" s="31">
        <v>545</v>
      </c>
      <c r="AD39" s="32">
        <v>0.1806430228704011</v>
      </c>
      <c r="AE39" s="31">
        <v>83</v>
      </c>
      <c r="AF39" s="32">
        <v>0.15229357798165141</v>
      </c>
      <c r="AG39" s="31">
        <v>529</v>
      </c>
      <c r="AH39" s="32">
        <v>0.97064220183486238</v>
      </c>
      <c r="AI39" s="35">
        <v>544</v>
      </c>
      <c r="AJ39" s="32">
        <v>0.18031156778256549</v>
      </c>
      <c r="AK39" s="35">
        <v>42</v>
      </c>
      <c r="AL39" s="32">
        <v>0.91360294117647056</v>
      </c>
      <c r="AM39" s="35">
        <v>536</v>
      </c>
      <c r="AN39" s="35">
        <v>497</v>
      </c>
      <c r="AO39" s="32">
        <v>0.16473317865429241</v>
      </c>
      <c r="AP39" s="32">
        <v>0.91192660550458715</v>
      </c>
      <c r="AQ39" s="33">
        <v>0.98603351955307261</v>
      </c>
      <c r="AR39" s="33" t="s">
        <v>411</v>
      </c>
      <c r="AS39" s="33">
        <v>0</v>
      </c>
      <c r="AT39" s="35">
        <v>0</v>
      </c>
      <c r="AU39" s="35">
        <v>0</v>
      </c>
      <c r="AV39" s="35">
        <v>99</v>
      </c>
      <c r="AW39" s="35">
        <v>95</v>
      </c>
      <c r="AX39" s="35">
        <v>90</v>
      </c>
      <c r="AY39" s="35">
        <v>45</v>
      </c>
      <c r="AZ39" s="32">
        <v>3.1488233344381833E-2</v>
      </c>
      <c r="BA39" s="32">
        <v>2.9830957905203841E-2</v>
      </c>
      <c r="BB39" s="32">
        <v>1.491547895260192E-2</v>
      </c>
      <c r="BC39" s="32">
        <v>0.18108651911468809</v>
      </c>
      <c r="BD39" s="35">
        <v>0</v>
      </c>
      <c r="BE39" s="35">
        <v>1</v>
      </c>
      <c r="BF39" s="33">
        <v>0.95081967213114749</v>
      </c>
      <c r="BG39" s="33">
        <v>1</v>
      </c>
      <c r="BH39" s="33" t="s">
        <v>412</v>
      </c>
    </row>
    <row r="40" spans="1:60" ht="19.5" customHeight="1">
      <c r="A40" s="36">
        <v>37</v>
      </c>
      <c r="B40" s="31" t="s">
        <v>410</v>
      </c>
      <c r="C40" s="37">
        <v>46180</v>
      </c>
      <c r="D40" s="31"/>
      <c r="E40" s="31">
        <v>57</v>
      </c>
      <c r="F40" s="31">
        <v>56</v>
      </c>
      <c r="G40" s="32">
        <v>0.98245614035087714</v>
      </c>
      <c r="H40" s="31">
        <v>57</v>
      </c>
      <c r="I40" s="33">
        <v>1</v>
      </c>
      <c r="J40" s="31">
        <v>0</v>
      </c>
      <c r="K40" s="31">
        <v>0</v>
      </c>
      <c r="L40" s="32">
        <v>0</v>
      </c>
      <c r="M40" s="31">
        <v>2</v>
      </c>
      <c r="N40" s="31">
        <v>2</v>
      </c>
      <c r="O40" s="31">
        <v>2</v>
      </c>
      <c r="P40" s="32">
        <v>1</v>
      </c>
      <c r="Q40" s="31">
        <v>0</v>
      </c>
      <c r="R40" s="31">
        <v>0</v>
      </c>
      <c r="S40" s="31">
        <v>0</v>
      </c>
      <c r="T40" s="32">
        <v>0</v>
      </c>
      <c r="U40" s="31">
        <v>0</v>
      </c>
      <c r="V40" s="32">
        <v>0</v>
      </c>
      <c r="W40" s="31">
        <v>11</v>
      </c>
      <c r="X40" s="32">
        <v>0.19298245614035089</v>
      </c>
      <c r="Y40" s="31">
        <v>10</v>
      </c>
      <c r="Z40" s="34">
        <v>0.17543859649122809</v>
      </c>
      <c r="AA40" s="31">
        <v>0</v>
      </c>
      <c r="AB40" s="32">
        <v>0</v>
      </c>
      <c r="AC40" s="31">
        <v>0</v>
      </c>
      <c r="AD40" s="32">
        <v>0</v>
      </c>
      <c r="AE40" s="31">
        <v>0</v>
      </c>
      <c r="AF40" s="32">
        <v>0</v>
      </c>
      <c r="AG40" s="31">
        <v>0</v>
      </c>
      <c r="AH40" s="32">
        <v>0</v>
      </c>
      <c r="AI40" s="35">
        <v>0</v>
      </c>
      <c r="AJ40" s="32">
        <v>0</v>
      </c>
      <c r="AK40" s="35">
        <v>0</v>
      </c>
      <c r="AL40" s="32">
        <v>0</v>
      </c>
      <c r="AM40" s="35">
        <v>0</v>
      </c>
      <c r="AN40" s="35">
        <v>0</v>
      </c>
      <c r="AO40" s="32">
        <v>0</v>
      </c>
      <c r="AP40" s="32">
        <v>0</v>
      </c>
      <c r="AQ40" s="33"/>
      <c r="AR40" s="33" t="s">
        <v>411</v>
      </c>
      <c r="AS40" s="33" t="s">
        <v>411</v>
      </c>
      <c r="AT40" s="35">
        <v>0</v>
      </c>
      <c r="AU40" s="35">
        <v>0</v>
      </c>
      <c r="AV40" s="35">
        <v>0</v>
      </c>
      <c r="AW40" s="35">
        <v>0</v>
      </c>
      <c r="AX40" s="35">
        <v>0</v>
      </c>
      <c r="AY40" s="35">
        <v>0</v>
      </c>
      <c r="AZ40" s="32">
        <v>0</v>
      </c>
      <c r="BA40" s="32">
        <v>0</v>
      </c>
      <c r="BB40" s="32">
        <v>0</v>
      </c>
      <c r="BC40" s="32">
        <v>0</v>
      </c>
      <c r="BD40" s="35">
        <v>0</v>
      </c>
      <c r="BE40" s="35">
        <v>0</v>
      </c>
      <c r="BF40" s="33" t="s">
        <v>412</v>
      </c>
      <c r="BG40" s="33" t="s">
        <v>412</v>
      </c>
      <c r="BH40" s="33">
        <v>0.978494623655914</v>
      </c>
    </row>
    <row r="41" spans="1:60" ht="19.5" customHeight="1">
      <c r="A41" s="36">
        <v>38</v>
      </c>
      <c r="B41" s="31" t="s">
        <v>410</v>
      </c>
      <c r="C41" s="37">
        <v>46180</v>
      </c>
      <c r="D41" s="31" t="s">
        <v>413</v>
      </c>
      <c r="E41" s="31">
        <v>0</v>
      </c>
      <c r="F41" s="31">
        <v>0</v>
      </c>
      <c r="G41" s="32">
        <v>0</v>
      </c>
      <c r="H41" s="31">
        <v>0</v>
      </c>
      <c r="I41" s="33">
        <v>0</v>
      </c>
      <c r="J41" s="31">
        <v>0</v>
      </c>
      <c r="K41" s="31">
        <v>0</v>
      </c>
      <c r="L41" s="32">
        <v>0</v>
      </c>
      <c r="M41" s="31">
        <v>0</v>
      </c>
      <c r="N41" s="31">
        <v>1</v>
      </c>
      <c r="O41" s="31">
        <v>0</v>
      </c>
      <c r="P41" s="32">
        <v>0</v>
      </c>
      <c r="Q41" s="31">
        <v>0</v>
      </c>
      <c r="R41" s="31">
        <v>0</v>
      </c>
      <c r="S41" s="31">
        <v>0</v>
      </c>
      <c r="T41" s="32">
        <v>0</v>
      </c>
      <c r="U41" s="31">
        <v>0</v>
      </c>
      <c r="V41" s="32">
        <v>0</v>
      </c>
      <c r="W41" s="31">
        <v>0</v>
      </c>
      <c r="X41" s="32">
        <v>0</v>
      </c>
      <c r="Y41" s="31">
        <v>0</v>
      </c>
      <c r="Z41" s="34">
        <v>0</v>
      </c>
      <c r="AA41" s="31">
        <v>0</v>
      </c>
      <c r="AB41" s="32">
        <v>0</v>
      </c>
      <c r="AC41" s="31">
        <v>0</v>
      </c>
      <c r="AD41" s="32">
        <v>0</v>
      </c>
      <c r="AE41" s="31">
        <v>0</v>
      </c>
      <c r="AF41" s="32">
        <v>0</v>
      </c>
      <c r="AG41" s="31">
        <v>0</v>
      </c>
      <c r="AH41" s="32">
        <v>0</v>
      </c>
      <c r="AI41" s="35">
        <v>0</v>
      </c>
      <c r="AJ41" s="32">
        <v>0</v>
      </c>
      <c r="AK41" s="35">
        <v>0</v>
      </c>
      <c r="AL41" s="32">
        <v>0</v>
      </c>
      <c r="AM41" s="35">
        <v>0</v>
      </c>
      <c r="AN41" s="35">
        <v>0</v>
      </c>
      <c r="AO41" s="32">
        <v>0</v>
      </c>
      <c r="AP41" s="32">
        <v>0</v>
      </c>
      <c r="AQ41" s="33"/>
      <c r="AR41" s="33" t="s">
        <v>411</v>
      </c>
      <c r="AS41" s="33" t="s">
        <v>411</v>
      </c>
      <c r="AT41" s="35">
        <v>0</v>
      </c>
      <c r="AU41" s="35">
        <v>0</v>
      </c>
      <c r="AV41" s="35">
        <v>0</v>
      </c>
      <c r="AW41" s="35">
        <v>0</v>
      </c>
      <c r="AX41" s="35">
        <v>0</v>
      </c>
      <c r="AY41" s="35">
        <v>0</v>
      </c>
      <c r="AZ41" s="32">
        <v>0</v>
      </c>
      <c r="BA41" s="32">
        <v>0</v>
      </c>
      <c r="BB41" s="32">
        <v>0</v>
      </c>
      <c r="BC41" s="32">
        <v>0</v>
      </c>
      <c r="BD41" s="35">
        <v>0</v>
      </c>
      <c r="BE41" s="35">
        <v>0</v>
      </c>
      <c r="BF41" s="33" t="s">
        <v>412</v>
      </c>
      <c r="BG41" s="33" t="s">
        <v>412</v>
      </c>
      <c r="BH41" s="33" t="s">
        <v>412</v>
      </c>
    </row>
    <row r="42" spans="1:60" ht="19.5" customHeight="1">
      <c r="A42" s="36">
        <v>39</v>
      </c>
      <c r="B42" s="31" t="s">
        <v>410</v>
      </c>
      <c r="C42" s="37">
        <v>46180</v>
      </c>
      <c r="D42" s="31" t="s">
        <v>335</v>
      </c>
      <c r="E42" s="31">
        <v>3495</v>
      </c>
      <c r="F42" s="31">
        <v>3133</v>
      </c>
      <c r="G42" s="32">
        <v>0.89642346208869816</v>
      </c>
      <c r="H42" s="31">
        <v>1483</v>
      </c>
      <c r="I42" s="33">
        <v>0.42432045779685262</v>
      </c>
      <c r="J42" s="31">
        <v>4060</v>
      </c>
      <c r="K42" s="31">
        <v>3992</v>
      </c>
      <c r="L42" s="32">
        <v>0.98299999999999998</v>
      </c>
      <c r="M42" s="31">
        <v>14837</v>
      </c>
      <c r="N42" s="31">
        <v>14950</v>
      </c>
      <c r="O42" s="31">
        <v>14655</v>
      </c>
      <c r="P42" s="32">
        <v>0.98773336927950395</v>
      </c>
      <c r="Q42" s="31">
        <v>20</v>
      </c>
      <c r="R42" s="31">
        <v>0</v>
      </c>
      <c r="S42" s="31">
        <v>0</v>
      </c>
      <c r="T42" s="32">
        <v>0</v>
      </c>
      <c r="U42" s="31">
        <v>0</v>
      </c>
      <c r="V42" s="32">
        <v>0</v>
      </c>
      <c r="W42" s="31">
        <v>461</v>
      </c>
      <c r="X42" s="32">
        <v>0.1319027181688126</v>
      </c>
      <c r="Y42" s="31">
        <v>1065</v>
      </c>
      <c r="Z42" s="34">
        <v>0.30472103004291851</v>
      </c>
      <c r="AA42" s="31">
        <v>28</v>
      </c>
      <c r="AB42" s="32">
        <v>8.0114449213161652E-3</v>
      </c>
      <c r="AC42" s="31">
        <v>314</v>
      </c>
      <c r="AD42" s="32">
        <v>8.9842632331902719E-2</v>
      </c>
      <c r="AE42" s="31">
        <v>46</v>
      </c>
      <c r="AF42" s="32">
        <v>0.1464968152866242</v>
      </c>
      <c r="AG42" s="31">
        <v>296</v>
      </c>
      <c r="AH42" s="32">
        <v>0.9426751592356688</v>
      </c>
      <c r="AI42" s="35">
        <v>320</v>
      </c>
      <c r="AJ42" s="32">
        <v>9.1559370529327611E-2</v>
      </c>
      <c r="AK42" s="35">
        <v>20</v>
      </c>
      <c r="AL42" s="32">
        <v>0.83750000000000002</v>
      </c>
      <c r="AM42" s="35">
        <v>309</v>
      </c>
      <c r="AN42" s="35">
        <v>268</v>
      </c>
      <c r="AO42" s="32">
        <v>7.6680972818311877E-2</v>
      </c>
      <c r="AP42" s="32">
        <v>0.85350318471337583</v>
      </c>
      <c r="AQ42" s="33">
        <v>0.97058823529411764</v>
      </c>
      <c r="AR42" s="33" t="s">
        <v>411</v>
      </c>
      <c r="AS42" s="33">
        <v>0</v>
      </c>
      <c r="AT42" s="35">
        <v>0</v>
      </c>
      <c r="AU42" s="35">
        <v>0</v>
      </c>
      <c r="AV42" s="35">
        <v>82</v>
      </c>
      <c r="AW42" s="35">
        <v>73</v>
      </c>
      <c r="AX42" s="35">
        <v>71</v>
      </c>
      <c r="AY42" s="35">
        <v>39</v>
      </c>
      <c r="AZ42" s="32">
        <v>2.088698140200286E-2</v>
      </c>
      <c r="BA42" s="32">
        <v>2.0314735336194559E-2</v>
      </c>
      <c r="BB42" s="32">
        <v>1.11587982832618E-2</v>
      </c>
      <c r="BC42" s="32">
        <v>0.26492537313432829</v>
      </c>
      <c r="BD42" s="35">
        <v>0</v>
      </c>
      <c r="BE42" s="35">
        <v>0</v>
      </c>
      <c r="BF42" s="33">
        <v>1</v>
      </c>
      <c r="BG42" s="33">
        <v>1</v>
      </c>
      <c r="BH42" s="33" t="s">
        <v>412</v>
      </c>
    </row>
    <row r="43" spans="1:60" ht="19.5" customHeight="1">
      <c r="A43" s="36">
        <v>40</v>
      </c>
      <c r="B43" s="31" t="s">
        <v>410</v>
      </c>
      <c r="C43" s="37">
        <v>46180</v>
      </c>
      <c r="D43" s="31" t="s">
        <v>334</v>
      </c>
      <c r="E43" s="31">
        <v>2305</v>
      </c>
      <c r="F43" s="31">
        <v>2076</v>
      </c>
      <c r="G43" s="32">
        <v>0.90065075921908899</v>
      </c>
      <c r="H43" s="31">
        <v>965</v>
      </c>
      <c r="I43" s="33">
        <v>0.41865509761388292</v>
      </c>
      <c r="J43" s="31">
        <v>2528</v>
      </c>
      <c r="K43" s="31">
        <v>2469</v>
      </c>
      <c r="L43" s="32">
        <v>0.97699999999999998</v>
      </c>
      <c r="M43" s="31">
        <v>10501</v>
      </c>
      <c r="N43" s="31">
        <v>10668</v>
      </c>
      <c r="O43" s="31">
        <v>10361</v>
      </c>
      <c r="P43" s="32">
        <v>0.98666793638701078</v>
      </c>
      <c r="Q43" s="31">
        <v>15</v>
      </c>
      <c r="R43" s="31">
        <v>0</v>
      </c>
      <c r="S43" s="31">
        <v>0</v>
      </c>
      <c r="T43" s="32">
        <v>0</v>
      </c>
      <c r="U43" s="31">
        <v>0</v>
      </c>
      <c r="V43" s="32">
        <v>0</v>
      </c>
      <c r="W43" s="31">
        <v>279</v>
      </c>
      <c r="X43" s="32">
        <v>0.1210412147505423</v>
      </c>
      <c r="Y43" s="31">
        <v>708</v>
      </c>
      <c r="Z43" s="34">
        <v>0.30715835140997833</v>
      </c>
      <c r="AA43" s="31">
        <v>15</v>
      </c>
      <c r="AB43" s="32">
        <v>6.5075921908893707E-3</v>
      </c>
      <c r="AC43" s="31">
        <v>350</v>
      </c>
      <c r="AD43" s="32">
        <v>0.15184381778741871</v>
      </c>
      <c r="AE43" s="31">
        <v>48</v>
      </c>
      <c r="AF43" s="32">
        <v>0.13714285714285709</v>
      </c>
      <c r="AG43" s="31">
        <v>332</v>
      </c>
      <c r="AH43" s="32">
        <v>0.94857142857142862</v>
      </c>
      <c r="AI43" s="35">
        <v>340</v>
      </c>
      <c r="AJ43" s="32">
        <v>0.1475054229934924</v>
      </c>
      <c r="AK43" s="35">
        <v>13</v>
      </c>
      <c r="AL43" s="32">
        <v>0.8529411764705882</v>
      </c>
      <c r="AM43" s="35">
        <v>326</v>
      </c>
      <c r="AN43" s="35">
        <v>290</v>
      </c>
      <c r="AO43" s="32">
        <v>0.12581344902386121</v>
      </c>
      <c r="AP43" s="32">
        <v>0.82857142857142863</v>
      </c>
      <c r="AQ43" s="33">
        <v>0.97841726618705038</v>
      </c>
      <c r="AR43" s="33" t="s">
        <v>411</v>
      </c>
      <c r="AS43" s="33">
        <v>0</v>
      </c>
      <c r="AT43" s="35">
        <v>0</v>
      </c>
      <c r="AU43" s="35">
        <v>0</v>
      </c>
      <c r="AV43" s="35">
        <v>77</v>
      </c>
      <c r="AW43" s="35">
        <v>70</v>
      </c>
      <c r="AX43" s="35">
        <v>67</v>
      </c>
      <c r="AY43" s="35">
        <v>29</v>
      </c>
      <c r="AZ43" s="32">
        <v>3.0368763557483729E-2</v>
      </c>
      <c r="BA43" s="32">
        <v>2.9067245119305859E-2</v>
      </c>
      <c r="BB43" s="32">
        <v>1.258134490238612E-2</v>
      </c>
      <c r="BC43" s="32">
        <v>0.23103448275862071</v>
      </c>
      <c r="BD43" s="35">
        <v>0</v>
      </c>
      <c r="BE43" s="35">
        <v>0</v>
      </c>
      <c r="BF43" s="33">
        <v>1</v>
      </c>
      <c r="BG43" s="33">
        <v>1</v>
      </c>
      <c r="BH43" s="33" t="s">
        <v>412</v>
      </c>
    </row>
    <row r="44" spans="1:60" ht="19.5" customHeight="1">
      <c r="A44" s="36">
        <v>41</v>
      </c>
      <c r="B44" s="31" t="s">
        <v>410</v>
      </c>
      <c r="C44" s="37">
        <v>46180</v>
      </c>
      <c r="D44" s="31" t="s">
        <v>337</v>
      </c>
      <c r="E44" s="31">
        <v>6666</v>
      </c>
      <c r="F44" s="31">
        <v>5969</v>
      </c>
      <c r="G44" s="32">
        <v>0.8954395439543954</v>
      </c>
      <c r="H44" s="31">
        <v>2157</v>
      </c>
      <c r="I44" s="33">
        <v>0.3235823582358236</v>
      </c>
      <c r="J44" s="31">
        <v>7883</v>
      </c>
      <c r="K44" s="31">
        <v>7735</v>
      </c>
      <c r="L44" s="32">
        <v>0.98099999999999998</v>
      </c>
      <c r="M44" s="31">
        <v>30341</v>
      </c>
      <c r="N44" s="31">
        <v>30157</v>
      </c>
      <c r="O44" s="31">
        <v>29961</v>
      </c>
      <c r="P44" s="32">
        <v>0.98747569295672522</v>
      </c>
      <c r="Q44" s="31">
        <v>27</v>
      </c>
      <c r="R44" s="31">
        <v>0</v>
      </c>
      <c r="S44" s="31">
        <v>0</v>
      </c>
      <c r="T44" s="32">
        <v>0</v>
      </c>
      <c r="U44" s="31">
        <v>0</v>
      </c>
      <c r="V44" s="32">
        <v>0</v>
      </c>
      <c r="W44" s="31">
        <v>790</v>
      </c>
      <c r="X44" s="32">
        <v>0.11851185118511851</v>
      </c>
      <c r="Y44" s="31">
        <v>1654</v>
      </c>
      <c r="Z44" s="34">
        <v>0.2481248124812481</v>
      </c>
      <c r="AA44" s="31">
        <v>36</v>
      </c>
      <c r="AB44" s="32">
        <v>5.4005400540054014E-3</v>
      </c>
      <c r="AC44" s="31">
        <v>1374</v>
      </c>
      <c r="AD44" s="32">
        <v>0.2061206120612061</v>
      </c>
      <c r="AE44" s="31">
        <v>236</v>
      </c>
      <c r="AF44" s="32">
        <v>0.1717612809315866</v>
      </c>
      <c r="AG44" s="31">
        <v>1318</v>
      </c>
      <c r="AH44" s="32">
        <v>0.95924308588064044</v>
      </c>
      <c r="AI44" s="35">
        <v>1449</v>
      </c>
      <c r="AJ44" s="32">
        <v>0.21737173717371741</v>
      </c>
      <c r="AK44" s="35">
        <v>73</v>
      </c>
      <c r="AL44" s="32">
        <v>0.89510006901311245</v>
      </c>
      <c r="AM44" s="35">
        <v>1386</v>
      </c>
      <c r="AN44" s="35">
        <v>1297</v>
      </c>
      <c r="AO44" s="32">
        <v>0.19456945694569461</v>
      </c>
      <c r="AP44" s="32">
        <v>0.94395924308588064</v>
      </c>
      <c r="AQ44" s="33">
        <v>0.97043214556482182</v>
      </c>
      <c r="AR44" s="33" t="s">
        <v>411</v>
      </c>
      <c r="AS44" s="33">
        <v>0</v>
      </c>
      <c r="AT44" s="35">
        <v>0</v>
      </c>
      <c r="AU44" s="35">
        <v>0</v>
      </c>
      <c r="AV44" s="35">
        <v>226</v>
      </c>
      <c r="AW44" s="35">
        <v>210</v>
      </c>
      <c r="AX44" s="35">
        <v>209</v>
      </c>
      <c r="AY44" s="35">
        <v>94</v>
      </c>
      <c r="AZ44" s="32">
        <v>3.1503150315031501E-2</v>
      </c>
      <c r="BA44" s="32">
        <v>3.1353135313531351E-2</v>
      </c>
      <c r="BB44" s="32">
        <v>1.41014101410141E-2</v>
      </c>
      <c r="BC44" s="32">
        <v>0.16114109483423281</v>
      </c>
      <c r="BD44" s="35">
        <v>0</v>
      </c>
      <c r="BE44" s="35">
        <v>0</v>
      </c>
      <c r="BF44" s="33">
        <v>0.99065420560747663</v>
      </c>
      <c r="BG44" s="33">
        <v>1</v>
      </c>
      <c r="BH44" s="33" t="s">
        <v>412</v>
      </c>
    </row>
    <row r="45" spans="1:60" ht="19.5" customHeight="1">
      <c r="A45" s="36">
        <v>42</v>
      </c>
      <c r="B45" s="31" t="s">
        <v>410</v>
      </c>
      <c r="C45" s="37">
        <v>46180</v>
      </c>
      <c r="D45" s="31" t="s">
        <v>336</v>
      </c>
      <c r="E45" s="31">
        <v>3249</v>
      </c>
      <c r="F45" s="31">
        <v>2987</v>
      </c>
      <c r="G45" s="32">
        <v>0.9193598030163127</v>
      </c>
      <c r="H45" s="31">
        <v>1738</v>
      </c>
      <c r="I45" s="33">
        <v>0.53493382579255155</v>
      </c>
      <c r="J45" s="31">
        <v>3906</v>
      </c>
      <c r="K45" s="31">
        <v>3842</v>
      </c>
      <c r="L45" s="32">
        <v>0.98399999999999999</v>
      </c>
      <c r="M45" s="31">
        <v>18067</v>
      </c>
      <c r="N45" s="31">
        <v>18438</v>
      </c>
      <c r="O45" s="31">
        <v>17863</v>
      </c>
      <c r="P45" s="32">
        <v>0.98870869541152373</v>
      </c>
      <c r="Q45" s="31">
        <v>22</v>
      </c>
      <c r="R45" s="31">
        <v>0</v>
      </c>
      <c r="S45" s="31">
        <v>0</v>
      </c>
      <c r="T45" s="32">
        <v>0</v>
      </c>
      <c r="U45" s="31">
        <v>0</v>
      </c>
      <c r="V45" s="32">
        <v>0</v>
      </c>
      <c r="W45" s="31">
        <v>380</v>
      </c>
      <c r="X45" s="32">
        <v>0.1169590643274854</v>
      </c>
      <c r="Y45" s="31">
        <v>935</v>
      </c>
      <c r="Z45" s="34">
        <v>0.28778085564789158</v>
      </c>
      <c r="AA45" s="31">
        <v>77</v>
      </c>
      <c r="AB45" s="32">
        <v>2.3699599876885191E-2</v>
      </c>
      <c r="AC45" s="31">
        <v>609</v>
      </c>
      <c r="AD45" s="32">
        <v>0.18744228993536469</v>
      </c>
      <c r="AE45" s="31">
        <v>98</v>
      </c>
      <c r="AF45" s="32">
        <v>0.16091954022988511</v>
      </c>
      <c r="AG45" s="31">
        <v>587</v>
      </c>
      <c r="AH45" s="32">
        <v>0.96387520525451564</v>
      </c>
      <c r="AI45" s="35">
        <v>587</v>
      </c>
      <c r="AJ45" s="32">
        <v>0.1806709756848261</v>
      </c>
      <c r="AK45" s="35">
        <v>31</v>
      </c>
      <c r="AL45" s="32">
        <v>0.92163543441226581</v>
      </c>
      <c r="AM45" s="35">
        <v>581</v>
      </c>
      <c r="AN45" s="35">
        <v>541</v>
      </c>
      <c r="AO45" s="32">
        <v>0.1665127731609726</v>
      </c>
      <c r="AP45" s="32">
        <v>0.88834154351395733</v>
      </c>
      <c r="AQ45" s="33">
        <v>0.95922330097087383</v>
      </c>
      <c r="AR45" s="33" t="s">
        <v>411</v>
      </c>
      <c r="AS45" s="33">
        <v>0</v>
      </c>
      <c r="AT45" s="35">
        <v>0</v>
      </c>
      <c r="AU45" s="35">
        <v>0</v>
      </c>
      <c r="AV45" s="35">
        <v>125</v>
      </c>
      <c r="AW45" s="35">
        <v>120</v>
      </c>
      <c r="AX45" s="35">
        <v>115</v>
      </c>
      <c r="AY45" s="35">
        <v>36</v>
      </c>
      <c r="AZ45" s="32">
        <v>3.6934441366574332E-2</v>
      </c>
      <c r="BA45" s="32">
        <v>3.5395506309633742E-2</v>
      </c>
      <c r="BB45" s="32">
        <v>1.1080332409972299E-2</v>
      </c>
      <c r="BC45" s="32">
        <v>0.21256931608133089</v>
      </c>
      <c r="BD45" s="35">
        <v>0</v>
      </c>
      <c r="BE45" s="35">
        <v>0</v>
      </c>
      <c r="BF45" s="33">
        <v>1</v>
      </c>
      <c r="BG45" s="33">
        <v>1</v>
      </c>
      <c r="BH45" s="33" t="s">
        <v>412</v>
      </c>
    </row>
    <row r="46" spans="1:60" ht="19.5" customHeight="1">
      <c r="A46" s="36">
        <v>43</v>
      </c>
      <c r="B46" s="31" t="s">
        <v>410</v>
      </c>
      <c r="C46" s="37">
        <v>46181</v>
      </c>
      <c r="D46" s="31"/>
      <c r="E46" s="31">
        <v>36</v>
      </c>
      <c r="F46" s="31">
        <v>36</v>
      </c>
      <c r="G46" s="32">
        <v>1</v>
      </c>
      <c r="H46" s="31">
        <v>36</v>
      </c>
      <c r="I46" s="33">
        <v>1</v>
      </c>
      <c r="J46" s="31">
        <v>0</v>
      </c>
      <c r="K46" s="31">
        <v>0</v>
      </c>
      <c r="L46" s="32">
        <v>0</v>
      </c>
      <c r="M46" s="31">
        <v>0</v>
      </c>
      <c r="N46" s="31">
        <v>1</v>
      </c>
      <c r="O46" s="31">
        <v>0</v>
      </c>
      <c r="P46" s="32">
        <v>0</v>
      </c>
      <c r="Q46" s="31">
        <v>0</v>
      </c>
      <c r="R46" s="31">
        <v>0</v>
      </c>
      <c r="S46" s="31">
        <v>0</v>
      </c>
      <c r="T46" s="32">
        <v>0</v>
      </c>
      <c r="U46" s="31">
        <v>0</v>
      </c>
      <c r="V46" s="32">
        <v>0</v>
      </c>
      <c r="W46" s="31">
        <v>15</v>
      </c>
      <c r="X46" s="32">
        <v>0.41666666666666669</v>
      </c>
      <c r="Y46" s="31">
        <v>17</v>
      </c>
      <c r="Z46" s="34">
        <v>0.47222222222222221</v>
      </c>
      <c r="AA46" s="31">
        <v>0</v>
      </c>
      <c r="AB46" s="32">
        <v>0</v>
      </c>
      <c r="AC46" s="31">
        <v>0</v>
      </c>
      <c r="AD46" s="32">
        <v>0</v>
      </c>
      <c r="AE46" s="31">
        <v>0</v>
      </c>
      <c r="AF46" s="32">
        <v>0</v>
      </c>
      <c r="AG46" s="31">
        <v>0</v>
      </c>
      <c r="AH46" s="32">
        <v>0</v>
      </c>
      <c r="AI46" s="35">
        <v>0</v>
      </c>
      <c r="AJ46" s="32">
        <v>0</v>
      </c>
      <c r="AK46" s="35">
        <v>0</v>
      </c>
      <c r="AL46" s="32">
        <v>0</v>
      </c>
      <c r="AM46" s="35">
        <v>0</v>
      </c>
      <c r="AN46" s="35">
        <v>0</v>
      </c>
      <c r="AO46" s="32">
        <v>0</v>
      </c>
      <c r="AP46" s="32">
        <v>0</v>
      </c>
      <c r="AQ46" s="33"/>
      <c r="AR46" s="33" t="s">
        <v>411</v>
      </c>
      <c r="AS46" s="33" t="s">
        <v>411</v>
      </c>
      <c r="AT46" s="35">
        <v>0</v>
      </c>
      <c r="AU46" s="35">
        <v>0</v>
      </c>
      <c r="AV46" s="35">
        <v>0</v>
      </c>
      <c r="AW46" s="35">
        <v>0</v>
      </c>
      <c r="AX46" s="35">
        <v>0</v>
      </c>
      <c r="AY46" s="35">
        <v>0</v>
      </c>
      <c r="AZ46" s="32">
        <v>0</v>
      </c>
      <c r="BA46" s="32">
        <v>0</v>
      </c>
      <c r="BB46" s="32">
        <v>0</v>
      </c>
      <c r="BC46" s="32">
        <v>0</v>
      </c>
      <c r="BD46" s="35">
        <v>0</v>
      </c>
      <c r="BE46" s="35">
        <v>0</v>
      </c>
      <c r="BF46" s="33" t="s">
        <v>412</v>
      </c>
      <c r="BG46" s="33" t="s">
        <v>412</v>
      </c>
      <c r="BH46" s="33">
        <v>1</v>
      </c>
    </row>
    <row r="47" spans="1:60" ht="19.5" customHeight="1">
      <c r="A47" s="36">
        <v>44</v>
      </c>
      <c r="B47" s="31" t="s">
        <v>410</v>
      </c>
      <c r="C47" s="37">
        <v>46181</v>
      </c>
      <c r="D47" s="31" t="s">
        <v>413</v>
      </c>
      <c r="E47" s="31">
        <v>0</v>
      </c>
      <c r="F47" s="31">
        <v>0</v>
      </c>
      <c r="G47" s="32">
        <v>0</v>
      </c>
      <c r="H47" s="31">
        <v>0</v>
      </c>
      <c r="I47" s="33">
        <v>0</v>
      </c>
      <c r="J47" s="31">
        <v>2</v>
      </c>
      <c r="K47" s="31">
        <v>2</v>
      </c>
      <c r="L47" s="32">
        <v>1</v>
      </c>
      <c r="M47" s="31">
        <v>3</v>
      </c>
      <c r="N47" s="31">
        <v>3</v>
      </c>
      <c r="O47" s="31">
        <v>3</v>
      </c>
      <c r="P47" s="32">
        <v>1</v>
      </c>
      <c r="Q47" s="31">
        <v>0</v>
      </c>
      <c r="R47" s="31">
        <v>0</v>
      </c>
      <c r="S47" s="31">
        <v>0</v>
      </c>
      <c r="T47" s="32">
        <v>0</v>
      </c>
      <c r="U47" s="31">
        <v>0</v>
      </c>
      <c r="V47" s="32">
        <v>0</v>
      </c>
      <c r="W47" s="31">
        <v>0</v>
      </c>
      <c r="X47" s="32">
        <v>0</v>
      </c>
      <c r="Y47" s="31">
        <v>0</v>
      </c>
      <c r="Z47" s="34">
        <v>0</v>
      </c>
      <c r="AA47" s="31">
        <v>0</v>
      </c>
      <c r="AB47" s="32">
        <v>0</v>
      </c>
      <c r="AC47" s="31">
        <v>0</v>
      </c>
      <c r="AD47" s="32">
        <v>0</v>
      </c>
      <c r="AE47" s="31">
        <v>1</v>
      </c>
      <c r="AF47" s="32">
        <v>0</v>
      </c>
      <c r="AG47" s="31">
        <v>0</v>
      </c>
      <c r="AH47" s="32">
        <v>0</v>
      </c>
      <c r="AI47" s="35">
        <v>0</v>
      </c>
      <c r="AJ47" s="32">
        <v>0</v>
      </c>
      <c r="AK47" s="35">
        <v>0</v>
      </c>
      <c r="AL47" s="32">
        <v>0</v>
      </c>
      <c r="AM47" s="35">
        <v>0</v>
      </c>
      <c r="AN47" s="35">
        <v>0</v>
      </c>
      <c r="AO47" s="32">
        <v>0</v>
      </c>
      <c r="AP47" s="32">
        <v>0</v>
      </c>
      <c r="AQ47" s="33"/>
      <c r="AR47" s="33" t="s">
        <v>411</v>
      </c>
      <c r="AS47" s="33" t="s">
        <v>411</v>
      </c>
      <c r="AT47" s="35">
        <v>0</v>
      </c>
      <c r="AU47" s="35">
        <v>0</v>
      </c>
      <c r="AV47" s="35">
        <v>0</v>
      </c>
      <c r="AW47" s="35">
        <v>0</v>
      </c>
      <c r="AX47" s="35">
        <v>0</v>
      </c>
      <c r="AY47" s="35">
        <v>0</v>
      </c>
      <c r="AZ47" s="32">
        <v>0</v>
      </c>
      <c r="BA47" s="32">
        <v>0</v>
      </c>
      <c r="BB47" s="32">
        <v>0</v>
      </c>
      <c r="BC47" s="32">
        <v>0</v>
      </c>
      <c r="BD47" s="35">
        <v>0</v>
      </c>
      <c r="BE47" s="35">
        <v>0</v>
      </c>
      <c r="BF47" s="33" t="s">
        <v>412</v>
      </c>
      <c r="BG47" s="33" t="s">
        <v>412</v>
      </c>
      <c r="BH47" s="33" t="s">
        <v>412</v>
      </c>
    </row>
    <row r="48" spans="1:60" ht="19.5" customHeight="1">
      <c r="A48" s="36">
        <v>45</v>
      </c>
      <c r="B48" s="31" t="s">
        <v>410</v>
      </c>
      <c r="C48" s="37">
        <v>46181</v>
      </c>
      <c r="D48" s="31" t="s">
        <v>335</v>
      </c>
      <c r="E48" s="31">
        <v>3688</v>
      </c>
      <c r="F48" s="31">
        <v>3298</v>
      </c>
      <c r="G48" s="32">
        <v>0.89425162689804771</v>
      </c>
      <c r="H48" s="31">
        <v>1524</v>
      </c>
      <c r="I48" s="33">
        <v>0.41323210412147499</v>
      </c>
      <c r="J48" s="31">
        <v>3799</v>
      </c>
      <c r="K48" s="31">
        <v>3731</v>
      </c>
      <c r="L48" s="32">
        <v>0.98199999999999998</v>
      </c>
      <c r="M48" s="31">
        <v>14324</v>
      </c>
      <c r="N48" s="31">
        <v>14204</v>
      </c>
      <c r="O48" s="31">
        <v>14119</v>
      </c>
      <c r="P48" s="32">
        <v>0.98568835520804243</v>
      </c>
      <c r="Q48" s="31">
        <v>26</v>
      </c>
      <c r="R48" s="31">
        <v>0</v>
      </c>
      <c r="S48" s="31">
        <v>0</v>
      </c>
      <c r="T48" s="32">
        <v>0</v>
      </c>
      <c r="U48" s="31">
        <v>0</v>
      </c>
      <c r="V48" s="32">
        <v>0</v>
      </c>
      <c r="W48" s="31">
        <v>306</v>
      </c>
      <c r="X48" s="32">
        <v>8.2971800433839477E-2</v>
      </c>
      <c r="Y48" s="31">
        <v>1286</v>
      </c>
      <c r="Z48" s="34">
        <v>0.34869848156182209</v>
      </c>
      <c r="AA48" s="31">
        <v>28</v>
      </c>
      <c r="AB48" s="32">
        <v>7.5921908893709323E-3</v>
      </c>
      <c r="AC48" s="31">
        <v>199</v>
      </c>
      <c r="AD48" s="32">
        <v>5.39587852494577E-2</v>
      </c>
      <c r="AE48" s="31">
        <v>42</v>
      </c>
      <c r="AF48" s="32">
        <v>0.21105527638190949</v>
      </c>
      <c r="AG48" s="31">
        <v>182</v>
      </c>
      <c r="AH48" s="32">
        <v>0.914572864321608</v>
      </c>
      <c r="AI48" s="35">
        <v>203</v>
      </c>
      <c r="AJ48" s="32">
        <v>5.5043383947939263E-2</v>
      </c>
      <c r="AK48" s="35">
        <v>11</v>
      </c>
      <c r="AL48" s="32">
        <v>0.90640394088669951</v>
      </c>
      <c r="AM48" s="35">
        <v>200</v>
      </c>
      <c r="AN48" s="35">
        <v>184</v>
      </c>
      <c r="AO48" s="32">
        <v>4.9891540130151853E-2</v>
      </c>
      <c r="AP48" s="32">
        <v>0.92462311557788945</v>
      </c>
      <c r="AQ48" s="33">
        <v>0.95470383275261328</v>
      </c>
      <c r="AR48" s="33" t="s">
        <v>411</v>
      </c>
      <c r="AS48" s="33">
        <v>0</v>
      </c>
      <c r="AT48" s="35">
        <v>0</v>
      </c>
      <c r="AU48" s="35">
        <v>0</v>
      </c>
      <c r="AV48" s="35">
        <v>41</v>
      </c>
      <c r="AW48" s="35">
        <v>25</v>
      </c>
      <c r="AX48" s="35">
        <v>29</v>
      </c>
      <c r="AY48" s="35">
        <v>58</v>
      </c>
      <c r="AZ48" s="32">
        <v>6.7787418655097624E-3</v>
      </c>
      <c r="BA48" s="32">
        <v>7.863340563991324E-3</v>
      </c>
      <c r="BB48" s="32">
        <v>1.5726681127982652E-2</v>
      </c>
      <c r="BC48" s="32">
        <v>0.15760869565217389</v>
      </c>
      <c r="BD48" s="35">
        <v>0</v>
      </c>
      <c r="BE48" s="35">
        <v>0</v>
      </c>
      <c r="BF48" s="33">
        <v>1</v>
      </c>
      <c r="BG48" s="33">
        <v>1</v>
      </c>
      <c r="BH48" s="33" t="s">
        <v>412</v>
      </c>
    </row>
    <row r="49" spans="1:60" ht="19.5" customHeight="1">
      <c r="A49" s="36">
        <v>46</v>
      </c>
      <c r="B49" s="31" t="s">
        <v>410</v>
      </c>
      <c r="C49" s="37">
        <v>46181</v>
      </c>
      <c r="D49" s="31" t="s">
        <v>334</v>
      </c>
      <c r="E49" s="31">
        <v>1885</v>
      </c>
      <c r="F49" s="31">
        <v>1695</v>
      </c>
      <c r="G49" s="32">
        <v>0.89920424403183019</v>
      </c>
      <c r="H49" s="31">
        <v>836</v>
      </c>
      <c r="I49" s="33">
        <v>0.44350132625994693</v>
      </c>
      <c r="J49" s="31">
        <v>2012</v>
      </c>
      <c r="K49" s="31">
        <v>1972</v>
      </c>
      <c r="L49" s="32">
        <v>0.98</v>
      </c>
      <c r="M49" s="31">
        <v>9697</v>
      </c>
      <c r="N49" s="31">
        <v>9377</v>
      </c>
      <c r="O49" s="31">
        <v>9560</v>
      </c>
      <c r="P49" s="32">
        <v>0.98587191915025263</v>
      </c>
      <c r="Q49" s="31">
        <v>15</v>
      </c>
      <c r="R49" s="31">
        <v>0</v>
      </c>
      <c r="S49" s="31">
        <v>0</v>
      </c>
      <c r="T49" s="32">
        <v>0</v>
      </c>
      <c r="U49" s="31">
        <v>0</v>
      </c>
      <c r="V49" s="32">
        <v>0</v>
      </c>
      <c r="W49" s="31">
        <v>289</v>
      </c>
      <c r="X49" s="32">
        <v>0.153315649867374</v>
      </c>
      <c r="Y49" s="31">
        <v>852</v>
      </c>
      <c r="Z49" s="34">
        <v>0.45198938992042442</v>
      </c>
      <c r="AA49" s="31">
        <v>9</v>
      </c>
      <c r="AB49" s="32">
        <v>4.7745358090185673E-3</v>
      </c>
      <c r="AC49" s="31">
        <v>176</v>
      </c>
      <c r="AD49" s="32">
        <v>9.3368700265251986E-2</v>
      </c>
      <c r="AE49" s="31">
        <v>25</v>
      </c>
      <c r="AF49" s="32">
        <v>0.14204545454545461</v>
      </c>
      <c r="AG49" s="31">
        <v>167</v>
      </c>
      <c r="AH49" s="32">
        <v>0.94886363636363635</v>
      </c>
      <c r="AI49" s="35">
        <v>166</v>
      </c>
      <c r="AJ49" s="32">
        <v>8.8063660477453579E-2</v>
      </c>
      <c r="AK49" s="35">
        <v>10</v>
      </c>
      <c r="AL49" s="32">
        <v>0.86746987951807231</v>
      </c>
      <c r="AM49" s="35">
        <v>166</v>
      </c>
      <c r="AN49" s="35">
        <v>144</v>
      </c>
      <c r="AO49" s="32">
        <v>7.6392572944297077E-2</v>
      </c>
      <c r="AP49" s="32">
        <v>0.81818181818181823</v>
      </c>
      <c r="AQ49" s="33">
        <v>0.96875</v>
      </c>
      <c r="AR49" s="33" t="s">
        <v>411</v>
      </c>
      <c r="AS49" s="33">
        <v>0</v>
      </c>
      <c r="AT49" s="35">
        <v>0</v>
      </c>
      <c r="AU49" s="35">
        <v>0</v>
      </c>
      <c r="AV49" s="35">
        <v>48</v>
      </c>
      <c r="AW49" s="35">
        <v>43</v>
      </c>
      <c r="AX49" s="35">
        <v>44</v>
      </c>
      <c r="AY49" s="35">
        <v>65</v>
      </c>
      <c r="AZ49" s="32">
        <v>2.281167108753316E-2</v>
      </c>
      <c r="BA49" s="32">
        <v>2.3342175066313E-2</v>
      </c>
      <c r="BB49" s="32">
        <v>3.4482758620689648E-2</v>
      </c>
      <c r="BC49" s="32">
        <v>0.30555555555555558</v>
      </c>
      <c r="BD49" s="35">
        <v>0</v>
      </c>
      <c r="BE49" s="35">
        <v>1</v>
      </c>
      <c r="BF49" s="33">
        <v>0.88888888888888884</v>
      </c>
      <c r="BG49" s="33">
        <v>1</v>
      </c>
      <c r="BH49" s="33" t="s">
        <v>412</v>
      </c>
    </row>
    <row r="50" spans="1:60" ht="19.5" customHeight="1">
      <c r="A50" s="36">
        <v>47</v>
      </c>
      <c r="B50" s="31" t="s">
        <v>410</v>
      </c>
      <c r="C50" s="37">
        <v>46181</v>
      </c>
      <c r="D50" s="31" t="s">
        <v>337</v>
      </c>
      <c r="E50" s="31">
        <v>5037</v>
      </c>
      <c r="F50" s="31">
        <v>4451</v>
      </c>
      <c r="G50" s="32">
        <v>0.88366090927139174</v>
      </c>
      <c r="H50" s="31">
        <v>1607</v>
      </c>
      <c r="I50" s="33">
        <v>0.31903911058169537</v>
      </c>
      <c r="J50" s="31">
        <v>5379</v>
      </c>
      <c r="K50" s="31">
        <v>5247</v>
      </c>
      <c r="L50" s="32">
        <v>0.97499999999999998</v>
      </c>
      <c r="M50" s="31">
        <v>27782</v>
      </c>
      <c r="N50" s="31">
        <v>26386</v>
      </c>
      <c r="O50" s="31">
        <v>27375</v>
      </c>
      <c r="P50" s="32">
        <v>0.98535022676553163</v>
      </c>
      <c r="Q50" s="31">
        <v>35</v>
      </c>
      <c r="R50" s="31">
        <v>0</v>
      </c>
      <c r="S50" s="31">
        <v>0</v>
      </c>
      <c r="T50" s="32">
        <v>0</v>
      </c>
      <c r="U50" s="31">
        <v>0</v>
      </c>
      <c r="V50" s="32">
        <v>0</v>
      </c>
      <c r="W50" s="31">
        <v>701</v>
      </c>
      <c r="X50" s="32">
        <v>0.13917014095691879</v>
      </c>
      <c r="Y50" s="31">
        <v>3864</v>
      </c>
      <c r="Z50" s="34">
        <v>0.76712328767123283</v>
      </c>
      <c r="AA50" s="31">
        <v>32</v>
      </c>
      <c r="AB50" s="32">
        <v>6.3529878896168351E-3</v>
      </c>
      <c r="AC50" s="31">
        <v>840</v>
      </c>
      <c r="AD50" s="32">
        <v>0.16676593210244189</v>
      </c>
      <c r="AE50" s="31">
        <v>142</v>
      </c>
      <c r="AF50" s="32">
        <v>0.16904761904761911</v>
      </c>
      <c r="AG50" s="31">
        <v>805</v>
      </c>
      <c r="AH50" s="32">
        <v>0.95833333333333337</v>
      </c>
      <c r="AI50" s="35">
        <v>836</v>
      </c>
      <c r="AJ50" s="32">
        <v>0.16597180861623981</v>
      </c>
      <c r="AK50" s="35">
        <v>55</v>
      </c>
      <c r="AL50" s="32">
        <v>0.92344497607655507</v>
      </c>
      <c r="AM50" s="35">
        <v>827</v>
      </c>
      <c r="AN50" s="35">
        <v>772</v>
      </c>
      <c r="AO50" s="32">
        <v>0.15326583283700609</v>
      </c>
      <c r="AP50" s="32">
        <v>0.919047619047619</v>
      </c>
      <c r="AQ50" s="33">
        <v>0.98017621145374445</v>
      </c>
      <c r="AR50" s="33" t="s">
        <v>411</v>
      </c>
      <c r="AS50" s="33">
        <v>0</v>
      </c>
      <c r="AT50" s="35">
        <v>0</v>
      </c>
      <c r="AU50" s="35">
        <v>0</v>
      </c>
      <c r="AV50" s="35">
        <v>123</v>
      </c>
      <c r="AW50" s="35">
        <v>91</v>
      </c>
      <c r="AX50" s="35">
        <v>97</v>
      </c>
      <c r="AY50" s="35">
        <v>165</v>
      </c>
      <c r="AZ50" s="32">
        <v>1.8066309311097879E-2</v>
      </c>
      <c r="BA50" s="32">
        <v>1.9257494540401029E-2</v>
      </c>
      <c r="BB50" s="32">
        <v>3.2757593805836809E-2</v>
      </c>
      <c r="BC50" s="32">
        <v>0.12564766839378241</v>
      </c>
      <c r="BD50" s="35">
        <v>0</v>
      </c>
      <c r="BE50" s="35">
        <v>0</v>
      </c>
      <c r="BF50" s="33">
        <v>0.97241379310344822</v>
      </c>
      <c r="BG50" s="33">
        <v>1</v>
      </c>
      <c r="BH50" s="33" t="s">
        <v>412</v>
      </c>
    </row>
    <row r="51" spans="1:60" ht="19.5" customHeight="1">
      <c r="A51" s="36">
        <v>48</v>
      </c>
      <c r="B51" s="31" t="s">
        <v>410</v>
      </c>
      <c r="C51" s="37">
        <v>46181</v>
      </c>
      <c r="D51" s="31" t="s">
        <v>336</v>
      </c>
      <c r="E51" s="31">
        <v>2786</v>
      </c>
      <c r="F51" s="31">
        <v>2577</v>
      </c>
      <c r="G51" s="32">
        <v>0.92498205312275661</v>
      </c>
      <c r="H51" s="31">
        <v>1446</v>
      </c>
      <c r="I51" s="33">
        <v>0.51902368987796121</v>
      </c>
      <c r="J51" s="31">
        <v>3286</v>
      </c>
      <c r="K51" s="31">
        <v>3233</v>
      </c>
      <c r="L51" s="32">
        <v>0.98399999999999999</v>
      </c>
      <c r="M51" s="31">
        <v>17094</v>
      </c>
      <c r="N51" s="31">
        <v>16525</v>
      </c>
      <c r="O51" s="31">
        <v>16905</v>
      </c>
      <c r="P51" s="32">
        <v>0.98894348894348894</v>
      </c>
      <c r="Q51" s="31">
        <v>12</v>
      </c>
      <c r="R51" s="31">
        <v>0</v>
      </c>
      <c r="S51" s="31">
        <v>0</v>
      </c>
      <c r="T51" s="32">
        <v>0</v>
      </c>
      <c r="U51" s="31">
        <v>0</v>
      </c>
      <c r="V51" s="32">
        <v>0</v>
      </c>
      <c r="W51" s="31">
        <v>316</v>
      </c>
      <c r="X51" s="32">
        <v>0.113424264178033</v>
      </c>
      <c r="Y51" s="31">
        <v>1152</v>
      </c>
      <c r="Z51" s="34">
        <v>0.41349605168700648</v>
      </c>
      <c r="AA51" s="31">
        <v>71</v>
      </c>
      <c r="AB51" s="32">
        <v>2.5484565685570709E-2</v>
      </c>
      <c r="AC51" s="31">
        <v>335</v>
      </c>
      <c r="AD51" s="32">
        <v>0.1202440775305097</v>
      </c>
      <c r="AE51" s="31">
        <v>72</v>
      </c>
      <c r="AF51" s="32">
        <v>0.21492537313432841</v>
      </c>
      <c r="AG51" s="31">
        <v>323</v>
      </c>
      <c r="AH51" s="32">
        <v>0.9641791044776119</v>
      </c>
      <c r="AI51" s="35">
        <v>330</v>
      </c>
      <c r="AJ51" s="32">
        <v>0.1184493898061737</v>
      </c>
      <c r="AK51" s="35">
        <v>29</v>
      </c>
      <c r="AL51" s="32">
        <v>0.96969696969696972</v>
      </c>
      <c r="AM51" s="35">
        <v>329</v>
      </c>
      <c r="AN51" s="35">
        <v>320</v>
      </c>
      <c r="AO51" s="32">
        <v>0.1148600143575018</v>
      </c>
      <c r="AP51" s="32">
        <v>0.95522388059701491</v>
      </c>
      <c r="AQ51" s="33">
        <v>0.97053726169844023</v>
      </c>
      <c r="AR51" s="33" t="s">
        <v>411</v>
      </c>
      <c r="AS51" s="33">
        <v>0</v>
      </c>
      <c r="AT51" s="35">
        <v>0</v>
      </c>
      <c r="AU51" s="35">
        <v>0</v>
      </c>
      <c r="AV51" s="35">
        <v>60</v>
      </c>
      <c r="AW51" s="35">
        <v>51</v>
      </c>
      <c r="AX51" s="35">
        <v>56</v>
      </c>
      <c r="AY51" s="35">
        <v>92</v>
      </c>
      <c r="AZ51" s="32">
        <v>1.8305814788226848E-2</v>
      </c>
      <c r="BA51" s="32">
        <v>2.0100502512562811E-2</v>
      </c>
      <c r="BB51" s="32">
        <v>3.3022254127781772E-2</v>
      </c>
      <c r="BC51" s="32">
        <v>0.17499999999999999</v>
      </c>
      <c r="BD51" s="35">
        <v>0</v>
      </c>
      <c r="BE51" s="35">
        <v>0</v>
      </c>
      <c r="BF51" s="33">
        <v>0.95652173913043481</v>
      </c>
      <c r="BG51" s="33">
        <v>0.95652173913043481</v>
      </c>
      <c r="BH51" s="33" t="s">
        <v>412</v>
      </c>
    </row>
    <row r="52" spans="1:60" ht="19.5" customHeight="1">
      <c r="A52" s="36">
        <v>49</v>
      </c>
      <c r="B52" s="31" t="s">
        <v>410</v>
      </c>
      <c r="C52" s="37">
        <v>46182</v>
      </c>
      <c r="D52" s="31"/>
      <c r="E52" s="31">
        <v>26</v>
      </c>
      <c r="F52" s="31">
        <v>26</v>
      </c>
      <c r="G52" s="32">
        <v>1</v>
      </c>
      <c r="H52" s="31">
        <v>26</v>
      </c>
      <c r="I52" s="33">
        <v>1</v>
      </c>
      <c r="J52" s="31">
        <v>0</v>
      </c>
      <c r="K52" s="31">
        <v>0</v>
      </c>
      <c r="L52" s="32">
        <v>0</v>
      </c>
      <c r="M52" s="31">
        <v>2</v>
      </c>
      <c r="N52" s="31">
        <v>1</v>
      </c>
      <c r="O52" s="31">
        <v>2</v>
      </c>
      <c r="P52" s="32">
        <v>1</v>
      </c>
      <c r="Q52" s="31">
        <v>0</v>
      </c>
      <c r="R52" s="31">
        <v>0</v>
      </c>
      <c r="S52" s="31">
        <v>0</v>
      </c>
      <c r="T52" s="32">
        <v>0</v>
      </c>
      <c r="U52" s="31">
        <v>0</v>
      </c>
      <c r="V52" s="32">
        <v>0</v>
      </c>
      <c r="W52" s="31">
        <v>21</v>
      </c>
      <c r="X52" s="32">
        <v>0.80769230769230771</v>
      </c>
      <c r="Y52" s="31">
        <v>8</v>
      </c>
      <c r="Z52" s="34">
        <v>0.30769230769230771</v>
      </c>
      <c r="AA52" s="31">
        <v>0</v>
      </c>
      <c r="AB52" s="32">
        <v>0</v>
      </c>
      <c r="AC52" s="31">
        <v>0</v>
      </c>
      <c r="AD52" s="32">
        <v>0</v>
      </c>
      <c r="AE52" s="31">
        <v>0</v>
      </c>
      <c r="AF52" s="32">
        <v>0</v>
      </c>
      <c r="AG52" s="31">
        <v>0</v>
      </c>
      <c r="AH52" s="32">
        <v>0</v>
      </c>
      <c r="AI52" s="35">
        <v>0</v>
      </c>
      <c r="AJ52" s="32">
        <v>0</v>
      </c>
      <c r="AK52" s="35">
        <v>0</v>
      </c>
      <c r="AL52" s="32">
        <v>0</v>
      </c>
      <c r="AM52" s="35">
        <v>0</v>
      </c>
      <c r="AN52" s="35">
        <v>0</v>
      </c>
      <c r="AO52" s="32">
        <v>0</v>
      </c>
      <c r="AP52" s="32">
        <v>0</v>
      </c>
      <c r="AQ52" s="33"/>
      <c r="AR52" s="33" t="s">
        <v>411</v>
      </c>
      <c r="AS52" s="33" t="s">
        <v>411</v>
      </c>
      <c r="AT52" s="35">
        <v>0</v>
      </c>
      <c r="AU52" s="35">
        <v>0</v>
      </c>
      <c r="AV52" s="35">
        <v>0</v>
      </c>
      <c r="AW52" s="35">
        <v>0</v>
      </c>
      <c r="AX52" s="35">
        <v>0</v>
      </c>
      <c r="AY52" s="35">
        <v>0</v>
      </c>
      <c r="AZ52" s="32">
        <v>0</v>
      </c>
      <c r="BA52" s="32">
        <v>0</v>
      </c>
      <c r="BB52" s="32">
        <v>0</v>
      </c>
      <c r="BC52" s="32">
        <v>0</v>
      </c>
      <c r="BD52" s="35">
        <v>0</v>
      </c>
      <c r="BE52" s="35">
        <v>2</v>
      </c>
      <c r="BF52" s="33" t="s">
        <v>412</v>
      </c>
      <c r="BG52" s="33" t="s">
        <v>412</v>
      </c>
      <c r="BH52" s="33">
        <v>0.94594594594594594</v>
      </c>
    </row>
    <row r="53" spans="1:60" ht="19.5" customHeight="1">
      <c r="A53" s="36">
        <v>50</v>
      </c>
      <c r="B53" s="31" t="s">
        <v>410</v>
      </c>
      <c r="C53" s="37">
        <v>46182</v>
      </c>
      <c r="D53" s="31" t="s">
        <v>413</v>
      </c>
      <c r="E53" s="31">
        <v>1</v>
      </c>
      <c r="F53" s="31">
        <v>1</v>
      </c>
      <c r="G53" s="32">
        <v>1</v>
      </c>
      <c r="H53" s="31">
        <v>0</v>
      </c>
      <c r="I53" s="33">
        <v>0</v>
      </c>
      <c r="J53" s="31">
        <v>1</v>
      </c>
      <c r="K53" s="31">
        <v>1</v>
      </c>
      <c r="L53" s="32">
        <v>1</v>
      </c>
      <c r="M53" s="31">
        <v>2</v>
      </c>
      <c r="N53" s="31">
        <v>3</v>
      </c>
      <c r="O53" s="31">
        <v>2</v>
      </c>
      <c r="P53" s="32">
        <v>1</v>
      </c>
      <c r="Q53" s="31">
        <v>0</v>
      </c>
      <c r="R53" s="31">
        <v>0</v>
      </c>
      <c r="S53" s="31">
        <v>0</v>
      </c>
      <c r="T53" s="32">
        <v>0</v>
      </c>
      <c r="U53" s="31">
        <v>0</v>
      </c>
      <c r="V53" s="32">
        <v>0</v>
      </c>
      <c r="W53" s="31">
        <v>0</v>
      </c>
      <c r="X53" s="32">
        <v>0</v>
      </c>
      <c r="Y53" s="31">
        <v>0</v>
      </c>
      <c r="Z53" s="34">
        <v>0</v>
      </c>
      <c r="AA53" s="31">
        <v>0</v>
      </c>
      <c r="AB53" s="32">
        <v>0</v>
      </c>
      <c r="AC53" s="31">
        <v>0</v>
      </c>
      <c r="AD53" s="32">
        <v>0</v>
      </c>
      <c r="AE53" s="31">
        <v>0</v>
      </c>
      <c r="AF53" s="32">
        <v>0</v>
      </c>
      <c r="AG53" s="31">
        <v>0</v>
      </c>
      <c r="AH53" s="32">
        <v>0</v>
      </c>
      <c r="AI53" s="35">
        <v>0</v>
      </c>
      <c r="AJ53" s="32">
        <v>0</v>
      </c>
      <c r="AK53" s="35">
        <v>0</v>
      </c>
      <c r="AL53" s="32">
        <v>0</v>
      </c>
      <c r="AM53" s="35">
        <v>0</v>
      </c>
      <c r="AN53" s="35">
        <v>0</v>
      </c>
      <c r="AO53" s="32">
        <v>0</v>
      </c>
      <c r="AP53" s="32">
        <v>0</v>
      </c>
      <c r="AQ53" s="33"/>
      <c r="AR53" s="33" t="s">
        <v>411</v>
      </c>
      <c r="AS53" s="33" t="s">
        <v>411</v>
      </c>
      <c r="AT53" s="35">
        <v>0</v>
      </c>
      <c r="AU53" s="35">
        <v>0</v>
      </c>
      <c r="AV53" s="35">
        <v>0</v>
      </c>
      <c r="AW53" s="35">
        <v>0</v>
      </c>
      <c r="AX53" s="35">
        <v>0</v>
      </c>
      <c r="AY53" s="35">
        <v>0</v>
      </c>
      <c r="AZ53" s="32">
        <v>0</v>
      </c>
      <c r="BA53" s="32">
        <v>0</v>
      </c>
      <c r="BB53" s="32">
        <v>0</v>
      </c>
      <c r="BC53" s="32">
        <v>0</v>
      </c>
      <c r="BD53" s="35">
        <v>0</v>
      </c>
      <c r="BE53" s="35">
        <v>0</v>
      </c>
      <c r="BF53" s="33" t="s">
        <v>412</v>
      </c>
      <c r="BG53" s="33" t="s">
        <v>412</v>
      </c>
      <c r="BH53" s="33" t="s">
        <v>412</v>
      </c>
    </row>
    <row r="54" spans="1:60" ht="19.5" customHeight="1">
      <c r="A54" s="36">
        <v>51</v>
      </c>
      <c r="B54" s="31" t="s">
        <v>410</v>
      </c>
      <c r="C54" s="37">
        <v>46182</v>
      </c>
      <c r="D54" s="31" t="s">
        <v>335</v>
      </c>
      <c r="E54" s="31">
        <v>3111</v>
      </c>
      <c r="F54" s="31">
        <v>2824</v>
      </c>
      <c r="G54" s="32">
        <v>0.90774670523947287</v>
      </c>
      <c r="H54" s="31">
        <v>1084</v>
      </c>
      <c r="I54" s="33">
        <v>0.34844101575056252</v>
      </c>
      <c r="J54" s="31">
        <v>2010</v>
      </c>
      <c r="K54" s="31">
        <v>1966</v>
      </c>
      <c r="L54" s="32">
        <v>0.97799999999999998</v>
      </c>
      <c r="M54" s="31">
        <v>13025</v>
      </c>
      <c r="N54" s="31">
        <v>12579</v>
      </c>
      <c r="O54" s="31">
        <v>12879</v>
      </c>
      <c r="P54" s="32">
        <v>0.98879078694817657</v>
      </c>
      <c r="Q54" s="31">
        <v>23</v>
      </c>
      <c r="R54" s="31">
        <v>0</v>
      </c>
      <c r="S54" s="31">
        <v>0</v>
      </c>
      <c r="T54" s="32">
        <v>0</v>
      </c>
      <c r="U54" s="31">
        <v>0</v>
      </c>
      <c r="V54" s="32">
        <v>0</v>
      </c>
      <c r="W54" s="31">
        <v>278</v>
      </c>
      <c r="X54" s="32">
        <v>8.9360334297653485E-2</v>
      </c>
      <c r="Y54" s="31">
        <v>1188</v>
      </c>
      <c r="Z54" s="34">
        <v>0.38187078109932499</v>
      </c>
      <c r="AA54" s="31">
        <v>30</v>
      </c>
      <c r="AB54" s="32">
        <v>9.643201542912247E-3</v>
      </c>
      <c r="AC54" s="31">
        <v>201</v>
      </c>
      <c r="AD54" s="32">
        <v>6.4609450337512059E-2</v>
      </c>
      <c r="AE54" s="31">
        <v>27</v>
      </c>
      <c r="AF54" s="32">
        <v>0.1343283582089552</v>
      </c>
      <c r="AG54" s="31">
        <v>184</v>
      </c>
      <c r="AH54" s="32">
        <v>0.91542288557213936</v>
      </c>
      <c r="AI54" s="35">
        <v>192</v>
      </c>
      <c r="AJ54" s="32">
        <v>6.1716489874638382E-2</v>
      </c>
      <c r="AK54" s="35">
        <v>17</v>
      </c>
      <c r="AL54" s="32">
        <v>0.88541666666666663</v>
      </c>
      <c r="AM54" s="35">
        <v>190</v>
      </c>
      <c r="AN54" s="35">
        <v>170</v>
      </c>
      <c r="AO54" s="32">
        <v>5.4644808743169397E-2</v>
      </c>
      <c r="AP54" s="32">
        <v>0.845771144278607</v>
      </c>
      <c r="AQ54" s="33">
        <v>0.9642857142857143</v>
      </c>
      <c r="AR54" s="33" t="s">
        <v>411</v>
      </c>
      <c r="AS54" s="33">
        <v>0</v>
      </c>
      <c r="AT54" s="35">
        <v>0</v>
      </c>
      <c r="AU54" s="35">
        <v>0</v>
      </c>
      <c r="AV54" s="35">
        <v>34</v>
      </c>
      <c r="AW54" s="35">
        <v>27</v>
      </c>
      <c r="AX54" s="35">
        <v>29</v>
      </c>
      <c r="AY54" s="35">
        <v>44</v>
      </c>
      <c r="AZ54" s="32">
        <v>8.6788813886210219E-3</v>
      </c>
      <c r="BA54" s="32">
        <v>9.3217614914818392E-3</v>
      </c>
      <c r="BB54" s="32">
        <v>1.4143362262937959E-2</v>
      </c>
      <c r="BC54" s="32">
        <v>0.17058823529411771</v>
      </c>
      <c r="BD54" s="35">
        <v>0</v>
      </c>
      <c r="BE54" s="35">
        <v>0</v>
      </c>
      <c r="BF54" s="33">
        <v>1</v>
      </c>
      <c r="BG54" s="33">
        <v>1</v>
      </c>
      <c r="BH54" s="33" t="s">
        <v>412</v>
      </c>
    </row>
    <row r="55" spans="1:60" ht="19.5" customHeight="1">
      <c r="A55" s="36">
        <v>52</v>
      </c>
      <c r="B55" s="31" t="s">
        <v>410</v>
      </c>
      <c r="C55" s="37">
        <v>46182</v>
      </c>
      <c r="D55" s="31" t="s">
        <v>334</v>
      </c>
      <c r="E55" s="31">
        <v>2011</v>
      </c>
      <c r="F55" s="31">
        <v>1830</v>
      </c>
      <c r="G55" s="32">
        <v>0.90999502734957738</v>
      </c>
      <c r="H55" s="31">
        <v>918</v>
      </c>
      <c r="I55" s="33">
        <v>0.45648930880159128</v>
      </c>
      <c r="J55" s="31">
        <v>1932</v>
      </c>
      <c r="K55" s="31">
        <v>1900</v>
      </c>
      <c r="L55" s="32">
        <v>0.98299999999999998</v>
      </c>
      <c r="M55" s="31">
        <v>9738</v>
      </c>
      <c r="N55" s="31">
        <v>9663</v>
      </c>
      <c r="O55" s="31">
        <v>9608</v>
      </c>
      <c r="P55" s="32">
        <v>0.98665023618812897</v>
      </c>
      <c r="Q55" s="31">
        <v>24</v>
      </c>
      <c r="R55" s="31">
        <v>0</v>
      </c>
      <c r="S55" s="31">
        <v>0</v>
      </c>
      <c r="T55" s="32">
        <v>0</v>
      </c>
      <c r="U55" s="31">
        <v>0</v>
      </c>
      <c r="V55" s="32">
        <v>0</v>
      </c>
      <c r="W55" s="31">
        <v>238</v>
      </c>
      <c r="X55" s="32">
        <v>0.1183490800596718</v>
      </c>
      <c r="Y55" s="31">
        <v>755</v>
      </c>
      <c r="Z55" s="34">
        <v>0.37543510691198412</v>
      </c>
      <c r="AA55" s="31">
        <v>12</v>
      </c>
      <c r="AB55" s="32">
        <v>5.9671805072103431E-3</v>
      </c>
      <c r="AC55" s="31">
        <v>172</v>
      </c>
      <c r="AD55" s="32">
        <v>8.5529587270014917E-2</v>
      </c>
      <c r="AE55" s="31">
        <v>30</v>
      </c>
      <c r="AF55" s="32">
        <v>0.1744186046511628</v>
      </c>
      <c r="AG55" s="31">
        <v>167</v>
      </c>
      <c r="AH55" s="32">
        <v>0.97093023255813948</v>
      </c>
      <c r="AI55" s="35">
        <v>163</v>
      </c>
      <c r="AJ55" s="32">
        <v>8.1054201889607158E-2</v>
      </c>
      <c r="AK55" s="35">
        <v>19</v>
      </c>
      <c r="AL55" s="32">
        <v>0.88957055214723924</v>
      </c>
      <c r="AM55" s="35">
        <v>160</v>
      </c>
      <c r="AN55" s="35">
        <v>145</v>
      </c>
      <c r="AO55" s="32">
        <v>7.210343112879164E-2</v>
      </c>
      <c r="AP55" s="32">
        <v>0.84302325581395354</v>
      </c>
      <c r="AQ55" s="33">
        <v>0.98013245033112584</v>
      </c>
      <c r="AR55" s="33" t="s">
        <v>411</v>
      </c>
      <c r="AS55" s="33">
        <v>0</v>
      </c>
      <c r="AT55" s="35">
        <v>0</v>
      </c>
      <c r="AU55" s="35">
        <v>0</v>
      </c>
      <c r="AV55" s="35">
        <v>44</v>
      </c>
      <c r="AW55" s="35">
        <v>38</v>
      </c>
      <c r="AX55" s="35">
        <v>37</v>
      </c>
      <c r="AY55" s="35">
        <v>36</v>
      </c>
      <c r="AZ55" s="32">
        <v>1.889607160616609E-2</v>
      </c>
      <c r="BA55" s="32">
        <v>1.839880656389856E-2</v>
      </c>
      <c r="BB55" s="32">
        <v>1.790154152163103E-2</v>
      </c>
      <c r="BC55" s="32">
        <v>0.25517241379310351</v>
      </c>
      <c r="BD55" s="35">
        <v>0</v>
      </c>
      <c r="BE55" s="35">
        <v>1</v>
      </c>
      <c r="BF55" s="33">
        <v>0.83333333333333337</v>
      </c>
      <c r="BG55" s="33">
        <v>1</v>
      </c>
      <c r="BH55" s="33" t="s">
        <v>412</v>
      </c>
    </row>
    <row r="56" spans="1:60" ht="19.5" customHeight="1">
      <c r="A56" s="36">
        <v>53</v>
      </c>
      <c r="B56" s="31" t="s">
        <v>410</v>
      </c>
      <c r="C56" s="37">
        <v>46182</v>
      </c>
      <c r="D56" s="31" t="s">
        <v>337</v>
      </c>
      <c r="E56" s="31">
        <v>5398</v>
      </c>
      <c r="F56" s="31">
        <v>4842</v>
      </c>
      <c r="G56" s="32">
        <v>0.89699888847721376</v>
      </c>
      <c r="H56" s="31">
        <v>1880</v>
      </c>
      <c r="I56" s="33">
        <v>0.34827713968136348</v>
      </c>
      <c r="J56" s="31">
        <v>5370</v>
      </c>
      <c r="K56" s="31">
        <v>5270</v>
      </c>
      <c r="L56" s="32">
        <v>0.98099999999999998</v>
      </c>
      <c r="M56" s="31">
        <v>26250</v>
      </c>
      <c r="N56" s="31">
        <v>26078</v>
      </c>
      <c r="O56" s="31">
        <v>25934</v>
      </c>
      <c r="P56" s="32">
        <v>0.98796190476190471</v>
      </c>
      <c r="Q56" s="31">
        <v>47</v>
      </c>
      <c r="R56" s="31">
        <v>0</v>
      </c>
      <c r="S56" s="31">
        <v>0</v>
      </c>
      <c r="T56" s="32">
        <v>0</v>
      </c>
      <c r="U56" s="31">
        <v>0</v>
      </c>
      <c r="V56" s="32">
        <v>0</v>
      </c>
      <c r="W56" s="31">
        <v>648</v>
      </c>
      <c r="X56" s="32">
        <v>0.1200444609114487</v>
      </c>
      <c r="Y56" s="31">
        <v>1672</v>
      </c>
      <c r="Z56" s="34">
        <v>0.30974434975917009</v>
      </c>
      <c r="AA56" s="31">
        <v>30</v>
      </c>
      <c r="AB56" s="32">
        <v>5.5576139310855874E-3</v>
      </c>
      <c r="AC56" s="31">
        <v>779</v>
      </c>
      <c r="AD56" s="32">
        <v>0.14431270841052241</v>
      </c>
      <c r="AE56" s="31">
        <v>146</v>
      </c>
      <c r="AF56" s="32">
        <v>0.18741976893453141</v>
      </c>
      <c r="AG56" s="31">
        <v>752</v>
      </c>
      <c r="AH56" s="32">
        <v>0.96534017971758668</v>
      </c>
      <c r="AI56" s="35">
        <v>830</v>
      </c>
      <c r="AJ56" s="32">
        <v>0.15376065209336789</v>
      </c>
      <c r="AK56" s="35">
        <v>60</v>
      </c>
      <c r="AL56" s="32">
        <v>0.88072289156626504</v>
      </c>
      <c r="AM56" s="35">
        <v>806</v>
      </c>
      <c r="AN56" s="35">
        <v>731</v>
      </c>
      <c r="AO56" s="32">
        <v>0.13542052612078551</v>
      </c>
      <c r="AP56" s="32">
        <v>0.93838254172015401</v>
      </c>
      <c r="AQ56" s="33">
        <v>0.95828220858895707</v>
      </c>
      <c r="AR56" s="33" t="s">
        <v>411</v>
      </c>
      <c r="AS56" s="33">
        <v>0</v>
      </c>
      <c r="AT56" s="35">
        <v>0</v>
      </c>
      <c r="AU56" s="35">
        <v>0</v>
      </c>
      <c r="AV56" s="35">
        <v>96</v>
      </c>
      <c r="AW56" s="35">
        <v>86</v>
      </c>
      <c r="AX56" s="35">
        <v>87</v>
      </c>
      <c r="AY56" s="35">
        <v>142</v>
      </c>
      <c r="AZ56" s="32">
        <v>1.593182660244535E-2</v>
      </c>
      <c r="BA56" s="32">
        <v>1.6117080400148202E-2</v>
      </c>
      <c r="BB56" s="32">
        <v>2.630603927380511E-2</v>
      </c>
      <c r="BC56" s="32">
        <v>0.119015047879617</v>
      </c>
      <c r="BD56" s="35">
        <v>0</v>
      </c>
      <c r="BE56" s="35">
        <v>1</v>
      </c>
      <c r="BF56" s="33">
        <v>0.96825396825396826</v>
      </c>
      <c r="BG56" s="33">
        <v>0.967741935483871</v>
      </c>
      <c r="BH56" s="33" t="s">
        <v>412</v>
      </c>
    </row>
    <row r="57" spans="1:60" ht="19.5" customHeight="1">
      <c r="A57" s="36">
        <v>54</v>
      </c>
      <c r="B57" s="31" t="s">
        <v>410</v>
      </c>
      <c r="C57" s="37">
        <v>46182</v>
      </c>
      <c r="D57" s="31" t="s">
        <v>336</v>
      </c>
      <c r="E57" s="31">
        <v>3047</v>
      </c>
      <c r="F57" s="31">
        <v>2812</v>
      </c>
      <c r="G57" s="32">
        <v>0.92287495897604199</v>
      </c>
      <c r="H57" s="31">
        <v>1714</v>
      </c>
      <c r="I57" s="33">
        <v>0.56252051197899577</v>
      </c>
      <c r="J57" s="31">
        <v>3619</v>
      </c>
      <c r="K57" s="31">
        <v>3549</v>
      </c>
      <c r="L57" s="32">
        <v>0.98099999999999998</v>
      </c>
      <c r="M57" s="31">
        <v>16711</v>
      </c>
      <c r="N57" s="31">
        <v>16803</v>
      </c>
      <c r="O57" s="31">
        <v>16491</v>
      </c>
      <c r="P57" s="32">
        <v>0.98683501884985936</v>
      </c>
      <c r="Q57" s="31">
        <v>27</v>
      </c>
      <c r="R57" s="31">
        <v>0</v>
      </c>
      <c r="S57" s="31">
        <v>0</v>
      </c>
      <c r="T57" s="32">
        <v>0</v>
      </c>
      <c r="U57" s="31">
        <v>0</v>
      </c>
      <c r="V57" s="32">
        <v>0</v>
      </c>
      <c r="W57" s="31">
        <v>250</v>
      </c>
      <c r="X57" s="32">
        <v>8.2047915982934039E-2</v>
      </c>
      <c r="Y57" s="31">
        <v>976</v>
      </c>
      <c r="Z57" s="34">
        <v>0.32031506399737453</v>
      </c>
      <c r="AA57" s="31">
        <v>61</v>
      </c>
      <c r="AB57" s="32">
        <v>2.0019691499835901E-2</v>
      </c>
      <c r="AC57" s="31">
        <v>329</v>
      </c>
      <c r="AD57" s="32">
        <v>0.1079750574335412</v>
      </c>
      <c r="AE57" s="31">
        <v>58</v>
      </c>
      <c r="AF57" s="32">
        <v>0.17629179331306991</v>
      </c>
      <c r="AG57" s="31">
        <v>316</v>
      </c>
      <c r="AH57" s="32">
        <v>0.96048632218844987</v>
      </c>
      <c r="AI57" s="35">
        <v>329</v>
      </c>
      <c r="AJ57" s="32">
        <v>0.1079750574335412</v>
      </c>
      <c r="AK57" s="35">
        <v>31</v>
      </c>
      <c r="AL57" s="32">
        <v>0.95440729483282671</v>
      </c>
      <c r="AM57" s="35">
        <v>327</v>
      </c>
      <c r="AN57" s="35">
        <v>314</v>
      </c>
      <c r="AO57" s="32">
        <v>0.1030521824745651</v>
      </c>
      <c r="AP57" s="32">
        <v>0.95440729483282671</v>
      </c>
      <c r="AQ57" s="33">
        <v>0.95731707317073167</v>
      </c>
      <c r="AR57" s="33" t="s">
        <v>411</v>
      </c>
      <c r="AS57" s="33">
        <v>0</v>
      </c>
      <c r="AT57" s="35">
        <v>0</v>
      </c>
      <c r="AU57" s="35">
        <v>0</v>
      </c>
      <c r="AV57" s="35">
        <v>64</v>
      </c>
      <c r="AW57" s="35">
        <v>54</v>
      </c>
      <c r="AX57" s="35">
        <v>56</v>
      </c>
      <c r="AY57" s="35">
        <v>68</v>
      </c>
      <c r="AZ57" s="32">
        <v>1.7722349852313749E-2</v>
      </c>
      <c r="BA57" s="32">
        <v>1.8378733180177229E-2</v>
      </c>
      <c r="BB57" s="32">
        <v>2.231703314735806E-2</v>
      </c>
      <c r="BC57" s="32">
        <v>0.178343949044586</v>
      </c>
      <c r="BD57" s="35">
        <v>0</v>
      </c>
      <c r="BE57" s="35">
        <v>0</v>
      </c>
      <c r="BF57" s="33">
        <v>1</v>
      </c>
      <c r="BG57" s="33">
        <v>1</v>
      </c>
      <c r="BH57" s="33" t="s">
        <v>412</v>
      </c>
    </row>
    <row r="58" spans="1:60" ht="19.5" customHeight="1">
      <c r="A58" s="36">
        <v>55</v>
      </c>
      <c r="B58" s="31" t="s">
        <v>410</v>
      </c>
      <c r="C58" s="37">
        <v>46183</v>
      </c>
      <c r="D58" s="31"/>
      <c r="E58" s="31">
        <v>34</v>
      </c>
      <c r="F58" s="31">
        <v>34</v>
      </c>
      <c r="G58" s="32">
        <v>1</v>
      </c>
      <c r="H58" s="31">
        <v>34</v>
      </c>
      <c r="I58" s="33">
        <v>1</v>
      </c>
      <c r="J58" s="31">
        <v>0</v>
      </c>
      <c r="K58" s="31">
        <v>0</v>
      </c>
      <c r="L58" s="32">
        <v>0</v>
      </c>
      <c r="M58" s="31">
        <v>1</v>
      </c>
      <c r="N58" s="31">
        <v>1</v>
      </c>
      <c r="O58" s="31">
        <v>1</v>
      </c>
      <c r="P58" s="32">
        <v>1</v>
      </c>
      <c r="Q58" s="31">
        <v>0</v>
      </c>
      <c r="R58" s="31">
        <v>0</v>
      </c>
      <c r="S58" s="31">
        <v>0</v>
      </c>
      <c r="T58" s="32">
        <v>0</v>
      </c>
      <c r="U58" s="31">
        <v>0</v>
      </c>
      <c r="V58" s="32">
        <v>0</v>
      </c>
      <c r="W58" s="31">
        <v>40</v>
      </c>
      <c r="X58" s="32">
        <v>1.1764705882352939</v>
      </c>
      <c r="Y58" s="31">
        <v>8</v>
      </c>
      <c r="Z58" s="34">
        <v>0.23529411764705879</v>
      </c>
      <c r="AA58" s="31">
        <v>0</v>
      </c>
      <c r="AB58" s="32">
        <v>0</v>
      </c>
      <c r="AC58" s="31">
        <v>0</v>
      </c>
      <c r="AD58" s="32">
        <v>0</v>
      </c>
      <c r="AE58" s="31">
        <v>0</v>
      </c>
      <c r="AF58" s="32">
        <v>0</v>
      </c>
      <c r="AG58" s="31">
        <v>0</v>
      </c>
      <c r="AH58" s="32">
        <v>0</v>
      </c>
      <c r="AI58" s="35">
        <v>0</v>
      </c>
      <c r="AJ58" s="32">
        <v>0</v>
      </c>
      <c r="AK58" s="35">
        <v>0</v>
      </c>
      <c r="AL58" s="32">
        <v>0</v>
      </c>
      <c r="AM58" s="35">
        <v>0</v>
      </c>
      <c r="AN58" s="35">
        <v>0</v>
      </c>
      <c r="AO58" s="32">
        <v>0</v>
      </c>
      <c r="AP58" s="32">
        <v>0</v>
      </c>
      <c r="AQ58" s="33"/>
      <c r="AR58" s="33" t="s">
        <v>411</v>
      </c>
      <c r="AS58" s="33" t="s">
        <v>411</v>
      </c>
      <c r="AT58" s="35">
        <v>0</v>
      </c>
      <c r="AU58" s="35">
        <v>0</v>
      </c>
      <c r="AV58" s="35">
        <v>0</v>
      </c>
      <c r="AW58" s="35">
        <v>0</v>
      </c>
      <c r="AX58" s="35">
        <v>0</v>
      </c>
      <c r="AY58" s="35">
        <v>0</v>
      </c>
      <c r="AZ58" s="32">
        <v>0</v>
      </c>
      <c r="BA58" s="32">
        <v>0</v>
      </c>
      <c r="BB58" s="32">
        <v>0</v>
      </c>
      <c r="BC58" s="32">
        <v>0</v>
      </c>
      <c r="BD58" s="35">
        <v>0</v>
      </c>
      <c r="BE58" s="35">
        <v>1</v>
      </c>
      <c r="BF58" s="33" t="s">
        <v>412</v>
      </c>
      <c r="BG58" s="33" t="s">
        <v>412</v>
      </c>
      <c r="BH58" s="33">
        <v>0.95934959349593496</v>
      </c>
    </row>
    <row r="59" spans="1:60" ht="19.5" customHeight="1">
      <c r="A59" s="36">
        <v>56</v>
      </c>
      <c r="B59" s="31" t="s">
        <v>410</v>
      </c>
      <c r="C59" s="37">
        <v>46183</v>
      </c>
      <c r="D59" s="31" t="s">
        <v>413</v>
      </c>
      <c r="E59" s="31">
        <v>2</v>
      </c>
      <c r="F59" s="31">
        <v>2</v>
      </c>
      <c r="G59" s="32">
        <v>1</v>
      </c>
      <c r="H59" s="31">
        <v>0</v>
      </c>
      <c r="I59" s="33">
        <v>0</v>
      </c>
      <c r="J59" s="31">
        <v>0</v>
      </c>
      <c r="K59" s="31">
        <v>0</v>
      </c>
      <c r="L59" s="32">
        <v>0</v>
      </c>
      <c r="M59" s="31">
        <v>1</v>
      </c>
      <c r="N59" s="31">
        <v>0</v>
      </c>
      <c r="O59" s="31">
        <v>1</v>
      </c>
      <c r="P59" s="32">
        <v>1</v>
      </c>
      <c r="Q59" s="31">
        <v>0</v>
      </c>
      <c r="R59" s="31">
        <v>0</v>
      </c>
      <c r="S59" s="31">
        <v>0</v>
      </c>
      <c r="T59" s="32">
        <v>0</v>
      </c>
      <c r="U59" s="31">
        <v>0</v>
      </c>
      <c r="V59" s="32">
        <v>0</v>
      </c>
      <c r="W59" s="31">
        <v>0</v>
      </c>
      <c r="X59" s="32">
        <v>0</v>
      </c>
      <c r="Y59" s="31">
        <v>0</v>
      </c>
      <c r="Z59" s="34">
        <v>0</v>
      </c>
      <c r="AA59" s="31">
        <v>0</v>
      </c>
      <c r="AB59" s="32">
        <v>0</v>
      </c>
      <c r="AC59" s="31">
        <v>0</v>
      </c>
      <c r="AD59" s="32">
        <v>0</v>
      </c>
      <c r="AE59" s="31">
        <v>0</v>
      </c>
      <c r="AF59" s="32">
        <v>0</v>
      </c>
      <c r="AG59" s="31">
        <v>0</v>
      </c>
      <c r="AH59" s="32">
        <v>0</v>
      </c>
      <c r="AI59" s="35">
        <v>0</v>
      </c>
      <c r="AJ59" s="32">
        <v>0</v>
      </c>
      <c r="AK59" s="35">
        <v>0</v>
      </c>
      <c r="AL59" s="32">
        <v>0</v>
      </c>
      <c r="AM59" s="35">
        <v>0</v>
      </c>
      <c r="AN59" s="35">
        <v>0</v>
      </c>
      <c r="AO59" s="32">
        <v>0</v>
      </c>
      <c r="AP59" s="32">
        <v>0</v>
      </c>
      <c r="AQ59" s="33"/>
      <c r="AR59" s="33" t="s">
        <v>411</v>
      </c>
      <c r="AS59" s="33" t="s">
        <v>411</v>
      </c>
      <c r="AT59" s="35">
        <v>0</v>
      </c>
      <c r="AU59" s="35">
        <v>0</v>
      </c>
      <c r="AV59" s="35">
        <v>0</v>
      </c>
      <c r="AW59" s="35">
        <v>0</v>
      </c>
      <c r="AX59" s="35">
        <v>0</v>
      </c>
      <c r="AY59" s="35">
        <v>0</v>
      </c>
      <c r="AZ59" s="32">
        <v>0</v>
      </c>
      <c r="BA59" s="32">
        <v>0</v>
      </c>
      <c r="BB59" s="32">
        <v>0</v>
      </c>
      <c r="BC59" s="32">
        <v>0</v>
      </c>
      <c r="BD59" s="35">
        <v>0</v>
      </c>
      <c r="BE59" s="35">
        <v>0</v>
      </c>
      <c r="BF59" s="33" t="s">
        <v>412</v>
      </c>
      <c r="BG59" s="33" t="s">
        <v>412</v>
      </c>
      <c r="BH59" s="33" t="s">
        <v>412</v>
      </c>
    </row>
    <row r="60" spans="1:60" ht="19.5" customHeight="1">
      <c r="A60" s="36">
        <v>57</v>
      </c>
      <c r="B60" s="31" t="s">
        <v>410</v>
      </c>
      <c r="C60" s="37">
        <v>46183</v>
      </c>
      <c r="D60" s="31" t="s">
        <v>335</v>
      </c>
      <c r="E60" s="31">
        <v>2909</v>
      </c>
      <c r="F60" s="31">
        <v>2612</v>
      </c>
      <c r="G60" s="32">
        <v>0.89790305947060844</v>
      </c>
      <c r="H60" s="31">
        <v>1203</v>
      </c>
      <c r="I60" s="33">
        <v>0.4135441732554142</v>
      </c>
      <c r="J60" s="31">
        <v>3396</v>
      </c>
      <c r="K60" s="31">
        <v>3331</v>
      </c>
      <c r="L60" s="32">
        <v>0.98099999999999998</v>
      </c>
      <c r="M60" s="31">
        <v>14042</v>
      </c>
      <c r="N60" s="31">
        <v>13972</v>
      </c>
      <c r="O60" s="31">
        <v>13874</v>
      </c>
      <c r="P60" s="32">
        <v>0.98803589232303091</v>
      </c>
      <c r="Q60" s="31">
        <v>39</v>
      </c>
      <c r="R60" s="31">
        <v>0</v>
      </c>
      <c r="S60" s="31">
        <v>0</v>
      </c>
      <c r="T60" s="32">
        <v>0</v>
      </c>
      <c r="U60" s="31">
        <v>0</v>
      </c>
      <c r="V60" s="32">
        <v>0</v>
      </c>
      <c r="W60" s="31">
        <v>288</v>
      </c>
      <c r="X60" s="32">
        <v>9.900309384668271E-2</v>
      </c>
      <c r="Y60" s="31">
        <v>1290</v>
      </c>
      <c r="Z60" s="34">
        <v>0.44345135785493289</v>
      </c>
      <c r="AA60" s="31">
        <v>30</v>
      </c>
      <c r="AB60" s="32">
        <v>1.031282227569612E-2</v>
      </c>
      <c r="AC60" s="31">
        <v>181</v>
      </c>
      <c r="AD60" s="32">
        <v>6.2220694396699902E-2</v>
      </c>
      <c r="AE60" s="31">
        <v>26</v>
      </c>
      <c r="AF60" s="32">
        <v>0.143646408839779</v>
      </c>
      <c r="AG60" s="31">
        <v>167</v>
      </c>
      <c r="AH60" s="32">
        <v>0.92265193370165743</v>
      </c>
      <c r="AI60" s="35">
        <v>183</v>
      </c>
      <c r="AJ60" s="32">
        <v>6.2908215881746304E-2</v>
      </c>
      <c r="AK60" s="35">
        <v>6</v>
      </c>
      <c r="AL60" s="32">
        <v>0.82513661202185795</v>
      </c>
      <c r="AM60" s="35">
        <v>169</v>
      </c>
      <c r="AN60" s="35">
        <v>151</v>
      </c>
      <c r="AO60" s="32">
        <v>5.1907872121003777E-2</v>
      </c>
      <c r="AP60" s="32">
        <v>0.83425414364640882</v>
      </c>
      <c r="AQ60" s="33">
        <v>0.97237569060773477</v>
      </c>
      <c r="AR60" s="33" t="s">
        <v>411</v>
      </c>
      <c r="AS60" s="33">
        <v>0</v>
      </c>
      <c r="AT60" s="35">
        <v>0</v>
      </c>
      <c r="AU60" s="35">
        <v>0</v>
      </c>
      <c r="AV60" s="35">
        <v>47</v>
      </c>
      <c r="AW60" s="35">
        <v>40</v>
      </c>
      <c r="AX60" s="35">
        <v>40</v>
      </c>
      <c r="AY60" s="35">
        <v>52</v>
      </c>
      <c r="AZ60" s="32">
        <v>1.375042970092815E-2</v>
      </c>
      <c r="BA60" s="32">
        <v>1.375042970092815E-2</v>
      </c>
      <c r="BB60" s="32">
        <v>1.7875558611206599E-2</v>
      </c>
      <c r="BC60" s="32">
        <v>0.26490066225165559</v>
      </c>
      <c r="BD60" s="35">
        <v>0</v>
      </c>
      <c r="BE60" s="35">
        <v>0</v>
      </c>
      <c r="BF60" s="33">
        <v>0.92</v>
      </c>
      <c r="BG60" s="33">
        <v>1</v>
      </c>
      <c r="BH60" s="33" t="s">
        <v>412</v>
      </c>
    </row>
    <row r="61" spans="1:60" ht="19.5" customHeight="1">
      <c r="A61" s="36">
        <v>58</v>
      </c>
      <c r="B61" s="31" t="s">
        <v>410</v>
      </c>
      <c r="C61" s="37">
        <v>46183</v>
      </c>
      <c r="D61" s="31" t="s">
        <v>334</v>
      </c>
      <c r="E61" s="31">
        <v>2082</v>
      </c>
      <c r="F61" s="31">
        <v>1837</v>
      </c>
      <c r="G61" s="32">
        <v>0.88232468780019213</v>
      </c>
      <c r="H61" s="31">
        <v>880</v>
      </c>
      <c r="I61" s="33">
        <v>0.42267050912584048</v>
      </c>
      <c r="J61" s="31">
        <v>2089</v>
      </c>
      <c r="K61" s="31">
        <v>2048</v>
      </c>
      <c r="L61" s="32">
        <v>0.98</v>
      </c>
      <c r="M61" s="31">
        <v>9801</v>
      </c>
      <c r="N61" s="31">
        <v>9688</v>
      </c>
      <c r="O61" s="31">
        <v>9632</v>
      </c>
      <c r="P61" s="32">
        <v>0.98275686154474029</v>
      </c>
      <c r="Q61" s="31">
        <v>61</v>
      </c>
      <c r="R61" s="31">
        <v>0</v>
      </c>
      <c r="S61" s="31">
        <v>0</v>
      </c>
      <c r="T61" s="32">
        <v>0</v>
      </c>
      <c r="U61" s="31">
        <v>0</v>
      </c>
      <c r="V61" s="32">
        <v>0</v>
      </c>
      <c r="W61" s="31">
        <v>237</v>
      </c>
      <c r="X61" s="32">
        <v>0.1138328530259366</v>
      </c>
      <c r="Y61" s="31">
        <v>655</v>
      </c>
      <c r="Z61" s="34">
        <v>0.31460134486071079</v>
      </c>
      <c r="AA61" s="31">
        <v>22</v>
      </c>
      <c r="AB61" s="32">
        <v>1.0566762728146009E-2</v>
      </c>
      <c r="AC61" s="31">
        <v>170</v>
      </c>
      <c r="AD61" s="32">
        <v>8.1652257444764648E-2</v>
      </c>
      <c r="AE61" s="31">
        <v>19</v>
      </c>
      <c r="AF61" s="32">
        <v>0.1117647058823529</v>
      </c>
      <c r="AG61" s="31">
        <v>160</v>
      </c>
      <c r="AH61" s="32">
        <v>0.94117647058823528</v>
      </c>
      <c r="AI61" s="35">
        <v>179</v>
      </c>
      <c r="AJ61" s="32">
        <v>8.5975024015369841E-2</v>
      </c>
      <c r="AK61" s="35">
        <v>10</v>
      </c>
      <c r="AL61" s="32">
        <v>0.73743016759776536</v>
      </c>
      <c r="AM61" s="35">
        <v>156</v>
      </c>
      <c r="AN61" s="35">
        <v>132</v>
      </c>
      <c r="AO61" s="32">
        <v>6.3400576368876083E-2</v>
      </c>
      <c r="AP61" s="32">
        <v>0.77647058823529413</v>
      </c>
      <c r="AQ61" s="33">
        <v>0.98684210526315785</v>
      </c>
      <c r="AR61" s="33" t="s">
        <v>411</v>
      </c>
      <c r="AS61" s="33">
        <v>0</v>
      </c>
      <c r="AT61" s="35">
        <v>0</v>
      </c>
      <c r="AU61" s="35">
        <v>0</v>
      </c>
      <c r="AV61" s="35">
        <v>57</v>
      </c>
      <c r="AW61" s="35">
        <v>39</v>
      </c>
      <c r="AX61" s="35">
        <v>42</v>
      </c>
      <c r="AY61" s="35">
        <v>40</v>
      </c>
      <c r="AZ61" s="32">
        <v>1.8731988472622481E-2</v>
      </c>
      <c r="BA61" s="32">
        <v>2.0172910662824211E-2</v>
      </c>
      <c r="BB61" s="32">
        <v>1.921229586935639E-2</v>
      </c>
      <c r="BC61" s="32">
        <v>0.31818181818181818</v>
      </c>
      <c r="BD61" s="35">
        <v>0</v>
      </c>
      <c r="BE61" s="35">
        <v>0</v>
      </c>
      <c r="BF61" s="33">
        <v>1</v>
      </c>
      <c r="BG61" s="33">
        <v>1</v>
      </c>
      <c r="BH61" s="33" t="s">
        <v>412</v>
      </c>
    </row>
    <row r="62" spans="1:60" ht="19.5" customHeight="1">
      <c r="A62" s="36">
        <v>59</v>
      </c>
      <c r="B62" s="31" t="s">
        <v>410</v>
      </c>
      <c r="C62" s="37">
        <v>46183</v>
      </c>
      <c r="D62" s="31" t="s">
        <v>337</v>
      </c>
      <c r="E62" s="31">
        <v>5155</v>
      </c>
      <c r="F62" s="31">
        <v>4529</v>
      </c>
      <c r="G62" s="32">
        <v>0.87856450048496604</v>
      </c>
      <c r="H62" s="31">
        <v>1608</v>
      </c>
      <c r="I62" s="33">
        <v>0.31193016488845782</v>
      </c>
      <c r="J62" s="31">
        <v>5742</v>
      </c>
      <c r="K62" s="31">
        <v>5622</v>
      </c>
      <c r="L62" s="32">
        <v>0.97899999999999998</v>
      </c>
      <c r="M62" s="31">
        <v>27062</v>
      </c>
      <c r="N62" s="31">
        <v>26903</v>
      </c>
      <c r="O62" s="31">
        <v>26703</v>
      </c>
      <c r="P62" s="32">
        <v>0.98673416598920993</v>
      </c>
      <c r="Q62" s="31">
        <v>38</v>
      </c>
      <c r="R62" s="31">
        <v>0</v>
      </c>
      <c r="S62" s="31">
        <v>0</v>
      </c>
      <c r="T62" s="32">
        <v>0</v>
      </c>
      <c r="U62" s="31">
        <v>0</v>
      </c>
      <c r="V62" s="32">
        <v>0</v>
      </c>
      <c r="W62" s="31">
        <v>601</v>
      </c>
      <c r="X62" s="32">
        <v>0.1165858389912706</v>
      </c>
      <c r="Y62" s="31">
        <v>1435</v>
      </c>
      <c r="Z62" s="34">
        <v>0.27837051406401547</v>
      </c>
      <c r="AA62" s="31">
        <v>43</v>
      </c>
      <c r="AB62" s="32">
        <v>8.3414161008729393E-3</v>
      </c>
      <c r="AC62" s="31">
        <v>763</v>
      </c>
      <c r="AD62" s="32">
        <v>0.148011639185257</v>
      </c>
      <c r="AE62" s="31">
        <v>140</v>
      </c>
      <c r="AF62" s="32">
        <v>0.1834862385321101</v>
      </c>
      <c r="AG62" s="31">
        <v>734</v>
      </c>
      <c r="AH62" s="32">
        <v>0.96199213630406288</v>
      </c>
      <c r="AI62" s="35">
        <v>813</v>
      </c>
      <c r="AJ62" s="32">
        <v>0.15771096023278369</v>
      </c>
      <c r="AK62" s="35">
        <v>46</v>
      </c>
      <c r="AL62" s="32">
        <v>0.89175891758917591</v>
      </c>
      <c r="AM62" s="35">
        <v>791</v>
      </c>
      <c r="AN62" s="35">
        <v>725</v>
      </c>
      <c r="AO62" s="32">
        <v>0.14064015518913681</v>
      </c>
      <c r="AP62" s="32">
        <v>0.95019659239842724</v>
      </c>
      <c r="AQ62" s="33">
        <v>0.97735849056603774</v>
      </c>
      <c r="AR62" s="33" t="s">
        <v>411</v>
      </c>
      <c r="AS62" s="33">
        <v>0</v>
      </c>
      <c r="AT62" s="35">
        <v>0</v>
      </c>
      <c r="AU62" s="35">
        <v>0</v>
      </c>
      <c r="AV62" s="35">
        <v>84</v>
      </c>
      <c r="AW62" s="35">
        <v>71</v>
      </c>
      <c r="AX62" s="35">
        <v>72</v>
      </c>
      <c r="AY62" s="35">
        <v>125</v>
      </c>
      <c r="AZ62" s="32">
        <v>1.377303588748788E-2</v>
      </c>
      <c r="BA62" s="32">
        <v>1.3967022308438409E-2</v>
      </c>
      <c r="BB62" s="32">
        <v>2.4248302618816681E-2</v>
      </c>
      <c r="BC62" s="32">
        <v>9.9310344827586203E-2</v>
      </c>
      <c r="BD62" s="35">
        <v>0</v>
      </c>
      <c r="BE62" s="35">
        <v>1</v>
      </c>
      <c r="BF62" s="33">
        <v>0.96992481203007519</v>
      </c>
      <c r="BG62" s="33">
        <v>0.92592592592592593</v>
      </c>
      <c r="BH62" s="33" t="s">
        <v>412</v>
      </c>
    </row>
    <row r="63" spans="1:60" ht="19.5" customHeight="1">
      <c r="A63" s="36">
        <v>60</v>
      </c>
      <c r="B63" s="31" t="s">
        <v>410</v>
      </c>
      <c r="C63" s="37">
        <v>46183</v>
      </c>
      <c r="D63" s="31" t="s">
        <v>336</v>
      </c>
      <c r="E63" s="31">
        <v>3324</v>
      </c>
      <c r="F63" s="31">
        <v>3012</v>
      </c>
      <c r="G63" s="32">
        <v>0.90613718411552346</v>
      </c>
      <c r="H63" s="31">
        <v>1988</v>
      </c>
      <c r="I63" s="33">
        <v>0.5980746089049338</v>
      </c>
      <c r="J63" s="31">
        <v>4276</v>
      </c>
      <c r="K63" s="31">
        <v>4191</v>
      </c>
      <c r="L63" s="32">
        <v>0.98</v>
      </c>
      <c r="M63" s="31">
        <v>18092</v>
      </c>
      <c r="N63" s="31">
        <v>17960</v>
      </c>
      <c r="O63" s="31">
        <v>17826</v>
      </c>
      <c r="P63" s="32">
        <v>0.98529736900287423</v>
      </c>
      <c r="Q63" s="31">
        <v>36</v>
      </c>
      <c r="R63" s="31">
        <v>0</v>
      </c>
      <c r="S63" s="31">
        <v>0</v>
      </c>
      <c r="T63" s="32">
        <v>0</v>
      </c>
      <c r="U63" s="31">
        <v>0</v>
      </c>
      <c r="V63" s="32">
        <v>0</v>
      </c>
      <c r="W63" s="31">
        <v>306</v>
      </c>
      <c r="X63" s="32">
        <v>9.2057761732851989E-2</v>
      </c>
      <c r="Y63" s="31">
        <v>1100</v>
      </c>
      <c r="Z63" s="34">
        <v>0.33092659446450062</v>
      </c>
      <c r="AA63" s="31">
        <v>78</v>
      </c>
      <c r="AB63" s="32">
        <v>2.3465703971119131E-2</v>
      </c>
      <c r="AC63" s="31">
        <v>339</v>
      </c>
      <c r="AD63" s="32">
        <v>0.101985559566787</v>
      </c>
      <c r="AE63" s="31">
        <v>72</v>
      </c>
      <c r="AF63" s="32">
        <v>0.21238938053097339</v>
      </c>
      <c r="AG63" s="31">
        <v>324</v>
      </c>
      <c r="AH63" s="32">
        <v>0.95575221238938057</v>
      </c>
      <c r="AI63" s="35">
        <v>336</v>
      </c>
      <c r="AJ63" s="32">
        <v>0.10108303249097469</v>
      </c>
      <c r="AK63" s="35">
        <v>35</v>
      </c>
      <c r="AL63" s="32">
        <v>0.91369047619047616</v>
      </c>
      <c r="AM63" s="35">
        <v>322</v>
      </c>
      <c r="AN63" s="35">
        <v>307</v>
      </c>
      <c r="AO63" s="32">
        <v>9.2358604091456076E-2</v>
      </c>
      <c r="AP63" s="32">
        <v>0.9056047197640118</v>
      </c>
      <c r="AQ63" s="33">
        <v>0.91503267973856206</v>
      </c>
      <c r="AR63" s="33" t="s">
        <v>411</v>
      </c>
      <c r="AS63" s="33">
        <v>0</v>
      </c>
      <c r="AT63" s="35">
        <v>0</v>
      </c>
      <c r="AU63" s="35">
        <v>0</v>
      </c>
      <c r="AV63" s="35">
        <v>44</v>
      </c>
      <c r="AW63" s="35">
        <v>34</v>
      </c>
      <c r="AX63" s="35">
        <v>34</v>
      </c>
      <c r="AY63" s="35">
        <v>58</v>
      </c>
      <c r="AZ63" s="32">
        <v>1.022864019253911E-2</v>
      </c>
      <c r="BA63" s="32">
        <v>1.022864019253911E-2</v>
      </c>
      <c r="BB63" s="32">
        <v>1.74488567990373E-2</v>
      </c>
      <c r="BC63" s="32">
        <v>0.1107491856677524</v>
      </c>
      <c r="BD63" s="35">
        <v>0</v>
      </c>
      <c r="BE63" s="35">
        <v>0</v>
      </c>
      <c r="BF63" s="33">
        <v>1</v>
      </c>
      <c r="BG63" s="33">
        <v>1</v>
      </c>
      <c r="BH63" s="33" t="s">
        <v>412</v>
      </c>
    </row>
    <row r="64" spans="1:60" ht="19.5" customHeight="1">
      <c r="A64" s="36">
        <v>61</v>
      </c>
      <c r="B64" s="31" t="s">
        <v>410</v>
      </c>
      <c r="C64" s="37">
        <v>46184</v>
      </c>
      <c r="D64" s="31"/>
      <c r="E64" s="31">
        <v>35</v>
      </c>
      <c r="F64" s="31">
        <v>35</v>
      </c>
      <c r="G64" s="32">
        <v>1</v>
      </c>
      <c r="H64" s="31">
        <v>35</v>
      </c>
      <c r="I64" s="33">
        <v>1</v>
      </c>
      <c r="J64" s="31">
        <v>0</v>
      </c>
      <c r="K64" s="31">
        <v>0</v>
      </c>
      <c r="L64" s="32">
        <v>0</v>
      </c>
      <c r="M64" s="31">
        <v>1</v>
      </c>
      <c r="N64" s="31">
        <v>0</v>
      </c>
      <c r="O64" s="31">
        <v>0</v>
      </c>
      <c r="P64" s="32">
        <v>0</v>
      </c>
      <c r="Q64" s="31">
        <v>0</v>
      </c>
      <c r="R64" s="31">
        <v>0</v>
      </c>
      <c r="S64" s="31">
        <v>0</v>
      </c>
      <c r="T64" s="32">
        <v>0</v>
      </c>
      <c r="U64" s="31">
        <v>0</v>
      </c>
      <c r="V64" s="32">
        <v>0</v>
      </c>
      <c r="W64" s="31">
        <v>5</v>
      </c>
      <c r="X64" s="32">
        <v>0.14285714285714279</v>
      </c>
      <c r="Y64" s="31">
        <v>11</v>
      </c>
      <c r="Z64" s="34">
        <v>0.31428571428571428</v>
      </c>
      <c r="AA64" s="31">
        <v>0</v>
      </c>
      <c r="AB64" s="32">
        <v>0</v>
      </c>
      <c r="AC64" s="31">
        <v>0</v>
      </c>
      <c r="AD64" s="32">
        <v>0</v>
      </c>
      <c r="AE64" s="31">
        <v>0</v>
      </c>
      <c r="AF64" s="32">
        <v>0</v>
      </c>
      <c r="AG64" s="31">
        <v>0</v>
      </c>
      <c r="AH64" s="32">
        <v>0</v>
      </c>
      <c r="AI64" s="35">
        <v>0</v>
      </c>
      <c r="AJ64" s="32">
        <v>0</v>
      </c>
      <c r="AK64" s="35">
        <v>0</v>
      </c>
      <c r="AL64" s="32">
        <v>0</v>
      </c>
      <c r="AM64" s="35">
        <v>0</v>
      </c>
      <c r="AN64" s="35">
        <v>0</v>
      </c>
      <c r="AO64" s="32">
        <v>0</v>
      </c>
      <c r="AP64" s="32">
        <v>0</v>
      </c>
      <c r="AQ64" s="33"/>
      <c r="AR64" s="33" t="s">
        <v>411</v>
      </c>
      <c r="AS64" s="33" t="s">
        <v>411</v>
      </c>
      <c r="AT64" s="35">
        <v>0</v>
      </c>
      <c r="AU64" s="35">
        <v>0</v>
      </c>
      <c r="AV64" s="35">
        <v>0</v>
      </c>
      <c r="AW64" s="35">
        <v>0</v>
      </c>
      <c r="AX64" s="35">
        <v>0</v>
      </c>
      <c r="AY64" s="35">
        <v>0</v>
      </c>
      <c r="AZ64" s="32">
        <v>0</v>
      </c>
      <c r="BA64" s="32">
        <v>0</v>
      </c>
      <c r="BB64" s="32">
        <v>0</v>
      </c>
      <c r="BC64" s="32">
        <v>0</v>
      </c>
      <c r="BD64" s="35">
        <v>0</v>
      </c>
      <c r="BE64" s="35">
        <v>0</v>
      </c>
      <c r="BF64" s="33" t="s">
        <v>412</v>
      </c>
      <c r="BG64" s="33" t="s">
        <v>412</v>
      </c>
      <c r="BH64" s="33">
        <v>0.97938144329896903</v>
      </c>
    </row>
    <row r="65" spans="1:60" ht="19.5" customHeight="1">
      <c r="A65" s="36">
        <v>62</v>
      </c>
      <c r="B65" s="31" t="s">
        <v>410</v>
      </c>
      <c r="C65" s="37">
        <v>46184</v>
      </c>
      <c r="D65" s="31" t="s">
        <v>413</v>
      </c>
      <c r="E65" s="31">
        <v>2</v>
      </c>
      <c r="F65" s="31">
        <v>2</v>
      </c>
      <c r="G65" s="32">
        <v>1</v>
      </c>
      <c r="H65" s="31">
        <v>0</v>
      </c>
      <c r="I65" s="33">
        <v>0</v>
      </c>
      <c r="J65" s="31">
        <v>4</v>
      </c>
      <c r="K65" s="31">
        <v>4</v>
      </c>
      <c r="L65" s="32">
        <v>1</v>
      </c>
      <c r="M65" s="31">
        <v>6</v>
      </c>
      <c r="N65" s="31">
        <v>5</v>
      </c>
      <c r="O65" s="31">
        <v>6</v>
      </c>
      <c r="P65" s="32">
        <v>1</v>
      </c>
      <c r="Q65" s="31">
        <v>0</v>
      </c>
      <c r="R65" s="31">
        <v>0</v>
      </c>
      <c r="S65" s="31">
        <v>0</v>
      </c>
      <c r="T65" s="32">
        <v>0</v>
      </c>
      <c r="U65" s="31">
        <v>0</v>
      </c>
      <c r="V65" s="32">
        <v>0</v>
      </c>
      <c r="W65" s="31">
        <v>0</v>
      </c>
      <c r="X65" s="32">
        <v>0</v>
      </c>
      <c r="Y65" s="31">
        <v>0</v>
      </c>
      <c r="Z65" s="34">
        <v>0</v>
      </c>
      <c r="AA65" s="31">
        <v>0</v>
      </c>
      <c r="AB65" s="32">
        <v>0</v>
      </c>
      <c r="AC65" s="31">
        <v>0</v>
      </c>
      <c r="AD65" s="32">
        <v>0</v>
      </c>
      <c r="AE65" s="31">
        <v>0</v>
      </c>
      <c r="AF65" s="32">
        <v>0</v>
      </c>
      <c r="AG65" s="31">
        <v>0</v>
      </c>
      <c r="AH65" s="32">
        <v>0</v>
      </c>
      <c r="AI65" s="35">
        <v>0</v>
      </c>
      <c r="AJ65" s="32">
        <v>0</v>
      </c>
      <c r="AK65" s="35">
        <v>0</v>
      </c>
      <c r="AL65" s="32">
        <v>0</v>
      </c>
      <c r="AM65" s="35">
        <v>0</v>
      </c>
      <c r="AN65" s="35">
        <v>0</v>
      </c>
      <c r="AO65" s="32">
        <v>0</v>
      </c>
      <c r="AP65" s="32">
        <v>0</v>
      </c>
      <c r="AQ65" s="33"/>
      <c r="AR65" s="33" t="s">
        <v>411</v>
      </c>
      <c r="AS65" s="33" t="s">
        <v>411</v>
      </c>
      <c r="AT65" s="35">
        <v>0</v>
      </c>
      <c r="AU65" s="35">
        <v>0</v>
      </c>
      <c r="AV65" s="35">
        <v>0</v>
      </c>
      <c r="AW65" s="35">
        <v>0</v>
      </c>
      <c r="AX65" s="35">
        <v>0</v>
      </c>
      <c r="AY65" s="35">
        <v>0</v>
      </c>
      <c r="AZ65" s="32">
        <v>0</v>
      </c>
      <c r="BA65" s="32">
        <v>0</v>
      </c>
      <c r="BB65" s="32">
        <v>0</v>
      </c>
      <c r="BC65" s="32">
        <v>0</v>
      </c>
      <c r="BD65" s="35">
        <v>0</v>
      </c>
      <c r="BE65" s="35">
        <v>0</v>
      </c>
      <c r="BF65" s="33" t="s">
        <v>412</v>
      </c>
      <c r="BG65" s="33" t="s">
        <v>412</v>
      </c>
      <c r="BH65" s="33" t="s">
        <v>412</v>
      </c>
    </row>
    <row r="66" spans="1:60" ht="19.5" customHeight="1">
      <c r="A66" s="36">
        <v>63</v>
      </c>
      <c r="B66" s="31" t="s">
        <v>410</v>
      </c>
      <c r="C66" s="37">
        <v>46184</v>
      </c>
      <c r="D66" s="31" t="s">
        <v>335</v>
      </c>
      <c r="E66" s="31">
        <v>2822</v>
      </c>
      <c r="F66" s="31">
        <v>2454</v>
      </c>
      <c r="G66" s="32">
        <v>0.86959603118355777</v>
      </c>
      <c r="H66" s="31">
        <v>1034</v>
      </c>
      <c r="I66" s="33">
        <v>0.36640680368532957</v>
      </c>
      <c r="J66" s="31">
        <v>2733</v>
      </c>
      <c r="K66" s="31">
        <v>2655</v>
      </c>
      <c r="L66" s="32">
        <v>0.97099999999999997</v>
      </c>
      <c r="M66" s="31">
        <v>13437</v>
      </c>
      <c r="N66" s="31">
        <v>13765</v>
      </c>
      <c r="O66" s="31">
        <v>13272</v>
      </c>
      <c r="P66" s="32">
        <v>0.98772047331993751</v>
      </c>
      <c r="Q66" s="31">
        <v>14</v>
      </c>
      <c r="R66" s="31">
        <v>0</v>
      </c>
      <c r="S66" s="31">
        <v>0</v>
      </c>
      <c r="T66" s="32">
        <v>0</v>
      </c>
      <c r="U66" s="31">
        <v>0</v>
      </c>
      <c r="V66" s="32">
        <v>0</v>
      </c>
      <c r="W66" s="31">
        <v>268</v>
      </c>
      <c r="X66" s="32">
        <v>9.4968107725017722E-2</v>
      </c>
      <c r="Y66" s="31">
        <v>1223</v>
      </c>
      <c r="Z66" s="34">
        <v>0.43338058114812189</v>
      </c>
      <c r="AA66" s="31">
        <v>34</v>
      </c>
      <c r="AB66" s="32">
        <v>1.204819277108434E-2</v>
      </c>
      <c r="AC66" s="31">
        <v>175</v>
      </c>
      <c r="AD66" s="32">
        <v>6.201275690999291E-2</v>
      </c>
      <c r="AE66" s="31">
        <v>19</v>
      </c>
      <c r="AF66" s="32">
        <v>0.1085714285714286</v>
      </c>
      <c r="AG66" s="31">
        <v>165</v>
      </c>
      <c r="AH66" s="32">
        <v>0.94285714285714284</v>
      </c>
      <c r="AI66" s="35">
        <v>178</v>
      </c>
      <c r="AJ66" s="32">
        <v>6.3075832742735649E-2</v>
      </c>
      <c r="AK66" s="35">
        <v>6</v>
      </c>
      <c r="AL66" s="32">
        <v>0.898876404494382</v>
      </c>
      <c r="AM66" s="35">
        <v>176</v>
      </c>
      <c r="AN66" s="35">
        <v>160</v>
      </c>
      <c r="AO66" s="32">
        <v>5.6697377746279233E-2</v>
      </c>
      <c r="AP66" s="32">
        <v>0.91428571428571426</v>
      </c>
      <c r="AQ66" s="33">
        <v>0.98742138364779874</v>
      </c>
      <c r="AR66" s="33" t="s">
        <v>411</v>
      </c>
      <c r="AS66" s="33">
        <v>0</v>
      </c>
      <c r="AT66" s="35">
        <v>0</v>
      </c>
      <c r="AU66" s="35">
        <v>0</v>
      </c>
      <c r="AV66" s="35">
        <v>33</v>
      </c>
      <c r="AW66" s="35">
        <v>28</v>
      </c>
      <c r="AX66" s="35">
        <v>29</v>
      </c>
      <c r="AY66" s="35">
        <v>45</v>
      </c>
      <c r="AZ66" s="32">
        <v>9.922041105598866E-3</v>
      </c>
      <c r="BA66" s="32">
        <v>1.027639971651311E-2</v>
      </c>
      <c r="BB66" s="32">
        <v>1.594613749114103E-2</v>
      </c>
      <c r="BC66" s="32">
        <v>0.18124999999999999</v>
      </c>
      <c r="BD66" s="35">
        <v>0</v>
      </c>
      <c r="BE66" s="35">
        <v>0</v>
      </c>
      <c r="BF66" s="33">
        <v>0.96296296296296291</v>
      </c>
      <c r="BG66" s="33">
        <v>1</v>
      </c>
      <c r="BH66" s="33" t="s">
        <v>412</v>
      </c>
    </row>
    <row r="67" spans="1:60" ht="19.5" customHeight="1">
      <c r="A67" s="36">
        <v>64</v>
      </c>
      <c r="B67" s="31" t="s">
        <v>410</v>
      </c>
      <c r="C67" s="37">
        <v>46184</v>
      </c>
      <c r="D67" s="31" t="s">
        <v>334</v>
      </c>
      <c r="E67" s="31">
        <v>2234</v>
      </c>
      <c r="F67" s="31">
        <v>1957</v>
      </c>
      <c r="G67" s="32">
        <v>0.87600716204118179</v>
      </c>
      <c r="H67" s="31">
        <v>906</v>
      </c>
      <c r="I67" s="33">
        <v>0.40555058191584598</v>
      </c>
      <c r="J67" s="31">
        <v>2047</v>
      </c>
      <c r="K67" s="31">
        <v>2001</v>
      </c>
      <c r="L67" s="32">
        <v>0.97799999999999998</v>
      </c>
      <c r="M67" s="31">
        <v>9543</v>
      </c>
      <c r="N67" s="31">
        <v>9822</v>
      </c>
      <c r="O67" s="31">
        <v>9420</v>
      </c>
      <c r="P67" s="32">
        <v>0.98711097139264381</v>
      </c>
      <c r="Q67" s="31">
        <v>22</v>
      </c>
      <c r="R67" s="31">
        <v>0</v>
      </c>
      <c r="S67" s="31">
        <v>0</v>
      </c>
      <c r="T67" s="32">
        <v>0</v>
      </c>
      <c r="U67" s="31">
        <v>0</v>
      </c>
      <c r="V67" s="32">
        <v>0</v>
      </c>
      <c r="W67" s="31">
        <v>249</v>
      </c>
      <c r="X67" s="32">
        <v>0.1114592658907789</v>
      </c>
      <c r="Y67" s="31">
        <v>741</v>
      </c>
      <c r="Z67" s="34">
        <v>0.33169203222918531</v>
      </c>
      <c r="AA67" s="31">
        <v>13</v>
      </c>
      <c r="AB67" s="32">
        <v>5.8191584601611458E-3</v>
      </c>
      <c r="AC67" s="31">
        <v>164</v>
      </c>
      <c r="AD67" s="32">
        <v>7.3410922112802146E-2</v>
      </c>
      <c r="AE67" s="31">
        <v>28</v>
      </c>
      <c r="AF67" s="32">
        <v>0.17073170731707321</v>
      </c>
      <c r="AG67" s="31">
        <v>158</v>
      </c>
      <c r="AH67" s="32">
        <v>0.96341463414634143</v>
      </c>
      <c r="AI67" s="35">
        <v>165</v>
      </c>
      <c r="AJ67" s="32">
        <v>7.3858549686660696E-2</v>
      </c>
      <c r="AK67" s="35">
        <v>9</v>
      </c>
      <c r="AL67" s="32">
        <v>0.80606060606060603</v>
      </c>
      <c r="AM67" s="35">
        <v>156</v>
      </c>
      <c r="AN67" s="35">
        <v>133</v>
      </c>
      <c r="AO67" s="32">
        <v>5.953446732318711E-2</v>
      </c>
      <c r="AP67" s="32">
        <v>0.81097560975609762</v>
      </c>
      <c r="AQ67" s="33">
        <v>0.95945945945945943</v>
      </c>
      <c r="AR67" s="33" t="s">
        <v>411</v>
      </c>
      <c r="AS67" s="33">
        <v>0</v>
      </c>
      <c r="AT67" s="35">
        <v>0</v>
      </c>
      <c r="AU67" s="35">
        <v>0</v>
      </c>
      <c r="AV67" s="35">
        <v>34</v>
      </c>
      <c r="AW67" s="35">
        <v>26</v>
      </c>
      <c r="AX67" s="35">
        <v>27</v>
      </c>
      <c r="AY67" s="35">
        <v>33</v>
      </c>
      <c r="AZ67" s="32">
        <v>1.163831692032229E-2</v>
      </c>
      <c r="BA67" s="32">
        <v>1.208594449418084E-2</v>
      </c>
      <c r="BB67" s="32">
        <v>1.477170993733214E-2</v>
      </c>
      <c r="BC67" s="32">
        <v>0.2030075187969925</v>
      </c>
      <c r="BD67" s="35">
        <v>0</v>
      </c>
      <c r="BE67" s="35">
        <v>0</v>
      </c>
      <c r="BF67" s="33">
        <v>1</v>
      </c>
      <c r="BG67" s="33">
        <v>1</v>
      </c>
      <c r="BH67" s="33" t="s">
        <v>412</v>
      </c>
    </row>
    <row r="68" spans="1:60" ht="19.5" customHeight="1">
      <c r="A68" s="36">
        <v>65</v>
      </c>
      <c r="B68" s="31" t="s">
        <v>410</v>
      </c>
      <c r="C68" s="37">
        <v>46184</v>
      </c>
      <c r="D68" s="31" t="s">
        <v>337</v>
      </c>
      <c r="E68" s="31">
        <v>5501</v>
      </c>
      <c r="F68" s="31">
        <v>4701</v>
      </c>
      <c r="G68" s="32">
        <v>0.85457189601890571</v>
      </c>
      <c r="H68" s="31">
        <v>1712</v>
      </c>
      <c r="I68" s="33">
        <v>0.31121614251954188</v>
      </c>
      <c r="J68" s="31">
        <v>6321</v>
      </c>
      <c r="K68" s="31">
        <v>6204</v>
      </c>
      <c r="L68" s="32">
        <v>0.98099999999999998</v>
      </c>
      <c r="M68" s="31">
        <v>27032</v>
      </c>
      <c r="N68" s="31">
        <v>28600</v>
      </c>
      <c r="O68" s="31">
        <v>26753</v>
      </c>
      <c r="P68" s="32">
        <v>0.98967889908256879</v>
      </c>
      <c r="Q68" s="31">
        <v>25</v>
      </c>
      <c r="R68" s="31">
        <v>0</v>
      </c>
      <c r="S68" s="31">
        <v>0</v>
      </c>
      <c r="T68" s="32">
        <v>0</v>
      </c>
      <c r="U68" s="31">
        <v>0</v>
      </c>
      <c r="V68" s="32">
        <v>0</v>
      </c>
      <c r="W68" s="31">
        <v>711</v>
      </c>
      <c r="X68" s="32">
        <v>0.12924922741319761</v>
      </c>
      <c r="Y68" s="31">
        <v>1579</v>
      </c>
      <c r="Z68" s="34">
        <v>0.28703872023268501</v>
      </c>
      <c r="AA68" s="31">
        <v>56</v>
      </c>
      <c r="AB68" s="32">
        <v>1.0179967278676601E-2</v>
      </c>
      <c r="AC68" s="31">
        <v>807</v>
      </c>
      <c r="AD68" s="32">
        <v>0.1467005998909289</v>
      </c>
      <c r="AE68" s="31">
        <v>132</v>
      </c>
      <c r="AF68" s="32">
        <v>0.16356877323420069</v>
      </c>
      <c r="AG68" s="31">
        <v>776</v>
      </c>
      <c r="AH68" s="32">
        <v>0.9615861214374225</v>
      </c>
      <c r="AI68" s="35">
        <v>822</v>
      </c>
      <c r="AJ68" s="32">
        <v>0.14942737684057439</v>
      </c>
      <c r="AK68" s="35">
        <v>50</v>
      </c>
      <c r="AL68" s="32">
        <v>0.88564476885644772</v>
      </c>
      <c r="AM68" s="35">
        <v>807</v>
      </c>
      <c r="AN68" s="35">
        <v>728</v>
      </c>
      <c r="AO68" s="32">
        <v>0.13233957462279591</v>
      </c>
      <c r="AP68" s="32">
        <v>0.90210656753407681</v>
      </c>
      <c r="AQ68" s="33">
        <v>0.98989898989898994</v>
      </c>
      <c r="AR68" s="33" t="s">
        <v>411</v>
      </c>
      <c r="AS68" s="33">
        <v>0</v>
      </c>
      <c r="AT68" s="35">
        <v>0</v>
      </c>
      <c r="AU68" s="35">
        <v>0</v>
      </c>
      <c r="AV68" s="35">
        <v>63</v>
      </c>
      <c r="AW68" s="35">
        <v>53</v>
      </c>
      <c r="AX68" s="35">
        <v>56</v>
      </c>
      <c r="AY68" s="35">
        <v>120</v>
      </c>
      <c r="AZ68" s="32">
        <v>9.6346118887475005E-3</v>
      </c>
      <c r="BA68" s="32">
        <v>1.0179967278676601E-2</v>
      </c>
      <c r="BB68" s="32">
        <v>2.1814215597164149E-2</v>
      </c>
      <c r="BC68" s="32">
        <v>7.6923076923076927E-2</v>
      </c>
      <c r="BD68" s="35">
        <v>0</v>
      </c>
      <c r="BE68" s="35">
        <v>0</v>
      </c>
      <c r="BF68" s="33">
        <v>0.97857142857142854</v>
      </c>
      <c r="BG68" s="33">
        <v>1</v>
      </c>
      <c r="BH68" s="33" t="s">
        <v>412</v>
      </c>
    </row>
    <row r="69" spans="1:60" ht="19.5" customHeight="1">
      <c r="A69" s="36">
        <v>66</v>
      </c>
      <c r="B69" s="31" t="s">
        <v>410</v>
      </c>
      <c r="C69" s="37">
        <v>46184</v>
      </c>
      <c r="D69" s="31" t="s">
        <v>336</v>
      </c>
      <c r="E69" s="31">
        <v>2984</v>
      </c>
      <c r="F69" s="31">
        <v>2705</v>
      </c>
      <c r="G69" s="32">
        <v>0.90650134048257369</v>
      </c>
      <c r="H69" s="31">
        <v>1515</v>
      </c>
      <c r="I69" s="33">
        <v>0.50770777479892759</v>
      </c>
      <c r="J69" s="31">
        <v>3307</v>
      </c>
      <c r="K69" s="31">
        <v>3242</v>
      </c>
      <c r="L69" s="32">
        <v>0.98</v>
      </c>
      <c r="M69" s="31">
        <v>16733</v>
      </c>
      <c r="N69" s="31">
        <v>17242</v>
      </c>
      <c r="O69" s="31">
        <v>16540</v>
      </c>
      <c r="P69" s="32">
        <v>0.98846590569533255</v>
      </c>
      <c r="Q69" s="31">
        <v>22</v>
      </c>
      <c r="R69" s="31">
        <v>0</v>
      </c>
      <c r="S69" s="31">
        <v>0</v>
      </c>
      <c r="T69" s="32">
        <v>0</v>
      </c>
      <c r="U69" s="31">
        <v>0</v>
      </c>
      <c r="V69" s="32">
        <v>0</v>
      </c>
      <c r="W69" s="31">
        <v>303</v>
      </c>
      <c r="X69" s="32">
        <v>0.10154155495978549</v>
      </c>
      <c r="Y69" s="31">
        <v>1022</v>
      </c>
      <c r="Z69" s="34">
        <v>0.34249329758713137</v>
      </c>
      <c r="AA69" s="31">
        <v>66</v>
      </c>
      <c r="AB69" s="32">
        <v>2.211796246648794E-2</v>
      </c>
      <c r="AC69" s="31">
        <v>349</v>
      </c>
      <c r="AD69" s="32">
        <v>0.1169571045576407</v>
      </c>
      <c r="AE69" s="31">
        <v>56</v>
      </c>
      <c r="AF69" s="32">
        <v>0.16045845272206299</v>
      </c>
      <c r="AG69" s="31">
        <v>333</v>
      </c>
      <c r="AH69" s="32">
        <v>0.95415472779369626</v>
      </c>
      <c r="AI69" s="35">
        <v>345</v>
      </c>
      <c r="AJ69" s="32">
        <v>0.1156166219839142</v>
      </c>
      <c r="AK69" s="35">
        <v>36</v>
      </c>
      <c r="AL69" s="32">
        <v>0.94492753623188408</v>
      </c>
      <c r="AM69" s="35">
        <v>344</v>
      </c>
      <c r="AN69" s="35">
        <v>326</v>
      </c>
      <c r="AO69" s="32">
        <v>0.1092493297587131</v>
      </c>
      <c r="AP69" s="32">
        <v>0.93409742120343842</v>
      </c>
      <c r="AQ69" s="33">
        <v>0.96202531645569622</v>
      </c>
      <c r="AR69" s="33" t="s">
        <v>411</v>
      </c>
      <c r="AS69" s="33">
        <v>0</v>
      </c>
      <c r="AT69" s="35">
        <v>0</v>
      </c>
      <c r="AU69" s="35">
        <v>0</v>
      </c>
      <c r="AV69" s="35">
        <v>42</v>
      </c>
      <c r="AW69" s="35">
        <v>35</v>
      </c>
      <c r="AX69" s="35">
        <v>37</v>
      </c>
      <c r="AY69" s="35">
        <v>66</v>
      </c>
      <c r="AZ69" s="32">
        <v>1.1729222520107239E-2</v>
      </c>
      <c r="BA69" s="32">
        <v>1.2399463806970511E-2</v>
      </c>
      <c r="BB69" s="32">
        <v>2.211796246648794E-2</v>
      </c>
      <c r="BC69" s="32">
        <v>0.11349693251533741</v>
      </c>
      <c r="BD69" s="35">
        <v>0</v>
      </c>
      <c r="BE69" s="35">
        <v>0</v>
      </c>
      <c r="BF69" s="33">
        <v>0.97674418604651159</v>
      </c>
      <c r="BG69" s="33">
        <v>1</v>
      </c>
      <c r="BH69" s="33" t="s">
        <v>412</v>
      </c>
    </row>
    <row r="70" spans="1:60" ht="19.5" customHeight="1">
      <c r="A70" s="36">
        <v>67</v>
      </c>
      <c r="B70" s="31" t="s">
        <v>410</v>
      </c>
      <c r="C70" s="37">
        <v>46185</v>
      </c>
      <c r="D70" s="31"/>
      <c r="E70" s="31">
        <v>29</v>
      </c>
      <c r="F70" s="31">
        <v>29</v>
      </c>
      <c r="G70" s="32">
        <v>1</v>
      </c>
      <c r="H70" s="31">
        <v>29</v>
      </c>
      <c r="I70" s="33">
        <v>1</v>
      </c>
      <c r="J70" s="31">
        <v>0</v>
      </c>
      <c r="K70" s="31">
        <v>0</v>
      </c>
      <c r="L70" s="32">
        <v>0</v>
      </c>
      <c r="M70" s="31">
        <v>3</v>
      </c>
      <c r="N70" s="31">
        <v>3</v>
      </c>
      <c r="O70" s="31">
        <v>3</v>
      </c>
      <c r="P70" s="32">
        <v>1</v>
      </c>
      <c r="Q70" s="31">
        <v>0</v>
      </c>
      <c r="R70" s="31">
        <v>0</v>
      </c>
      <c r="S70" s="31">
        <v>0</v>
      </c>
      <c r="T70" s="32">
        <v>0</v>
      </c>
      <c r="U70" s="31">
        <v>0</v>
      </c>
      <c r="V70" s="32">
        <v>0</v>
      </c>
      <c r="W70" s="31">
        <v>23</v>
      </c>
      <c r="X70" s="32">
        <v>0.7931034482758621</v>
      </c>
      <c r="Y70" s="31">
        <v>14</v>
      </c>
      <c r="Z70" s="34">
        <v>0.48275862068965519</v>
      </c>
      <c r="AA70" s="31">
        <v>0</v>
      </c>
      <c r="AB70" s="32">
        <v>0</v>
      </c>
      <c r="AC70" s="31">
        <v>0</v>
      </c>
      <c r="AD70" s="32">
        <v>0</v>
      </c>
      <c r="AE70" s="31">
        <v>0</v>
      </c>
      <c r="AF70" s="32">
        <v>0</v>
      </c>
      <c r="AG70" s="31">
        <v>0</v>
      </c>
      <c r="AH70" s="32">
        <v>0</v>
      </c>
      <c r="AI70" s="35">
        <v>0</v>
      </c>
      <c r="AJ70" s="32">
        <v>0</v>
      </c>
      <c r="AK70" s="35">
        <v>0</v>
      </c>
      <c r="AL70" s="32">
        <v>0</v>
      </c>
      <c r="AM70" s="35">
        <v>0</v>
      </c>
      <c r="AN70" s="35">
        <v>0</v>
      </c>
      <c r="AO70" s="32">
        <v>0</v>
      </c>
      <c r="AP70" s="32">
        <v>0</v>
      </c>
      <c r="AQ70" s="33"/>
      <c r="AR70" s="33" t="s">
        <v>411</v>
      </c>
      <c r="AS70" s="33" t="s">
        <v>411</v>
      </c>
      <c r="AT70" s="35">
        <v>0</v>
      </c>
      <c r="AU70" s="35">
        <v>0</v>
      </c>
      <c r="AV70" s="35">
        <v>0</v>
      </c>
      <c r="AW70" s="35">
        <v>0</v>
      </c>
      <c r="AX70" s="35">
        <v>0</v>
      </c>
      <c r="AY70" s="35">
        <v>0</v>
      </c>
      <c r="AZ70" s="32">
        <v>0</v>
      </c>
      <c r="BA70" s="32">
        <v>0</v>
      </c>
      <c r="BB70" s="32">
        <v>0</v>
      </c>
      <c r="BC70" s="32">
        <v>0</v>
      </c>
      <c r="BD70" s="35">
        <v>0</v>
      </c>
      <c r="BE70" s="35">
        <v>1</v>
      </c>
      <c r="BF70" s="33" t="s">
        <v>412</v>
      </c>
      <c r="BG70" s="33" t="s">
        <v>412</v>
      </c>
      <c r="BH70" s="33">
        <v>0.97619047619047616</v>
      </c>
    </row>
    <row r="71" spans="1:60" ht="19.5" customHeight="1">
      <c r="A71" s="36">
        <v>68</v>
      </c>
      <c r="B71" s="31" t="s">
        <v>410</v>
      </c>
      <c r="C71" s="37">
        <v>46185</v>
      </c>
      <c r="D71" s="31" t="s">
        <v>413</v>
      </c>
      <c r="E71" s="31">
        <v>2</v>
      </c>
      <c r="F71" s="31">
        <v>2</v>
      </c>
      <c r="G71" s="32">
        <v>1</v>
      </c>
      <c r="H71" s="31">
        <v>1</v>
      </c>
      <c r="I71" s="33">
        <v>0.5</v>
      </c>
      <c r="J71" s="31">
        <v>1</v>
      </c>
      <c r="K71" s="31">
        <v>1</v>
      </c>
      <c r="L71" s="32">
        <v>1</v>
      </c>
      <c r="M71" s="31">
        <v>3</v>
      </c>
      <c r="N71" s="31">
        <v>0</v>
      </c>
      <c r="O71" s="31">
        <v>3</v>
      </c>
      <c r="P71" s="32">
        <v>1</v>
      </c>
      <c r="Q71" s="31">
        <v>0</v>
      </c>
      <c r="R71" s="31">
        <v>0</v>
      </c>
      <c r="S71" s="31">
        <v>0</v>
      </c>
      <c r="T71" s="32">
        <v>0</v>
      </c>
      <c r="U71" s="31">
        <v>0</v>
      </c>
      <c r="V71" s="32">
        <v>0</v>
      </c>
      <c r="W71" s="31">
        <v>0</v>
      </c>
      <c r="X71" s="32">
        <v>0</v>
      </c>
      <c r="Y71" s="31">
        <v>0</v>
      </c>
      <c r="Z71" s="34">
        <v>0</v>
      </c>
      <c r="AA71" s="31">
        <v>0</v>
      </c>
      <c r="AB71" s="32">
        <v>0</v>
      </c>
      <c r="AC71" s="31">
        <v>0</v>
      </c>
      <c r="AD71" s="32">
        <v>0</v>
      </c>
      <c r="AE71" s="31">
        <v>0</v>
      </c>
      <c r="AF71" s="32">
        <v>0</v>
      </c>
      <c r="AG71" s="31">
        <v>0</v>
      </c>
      <c r="AH71" s="32">
        <v>0</v>
      </c>
      <c r="AI71" s="35">
        <v>0</v>
      </c>
      <c r="AJ71" s="32">
        <v>0</v>
      </c>
      <c r="AK71" s="35">
        <v>0</v>
      </c>
      <c r="AL71" s="32">
        <v>0</v>
      </c>
      <c r="AM71" s="35">
        <v>0</v>
      </c>
      <c r="AN71" s="35">
        <v>0</v>
      </c>
      <c r="AO71" s="32">
        <v>0</v>
      </c>
      <c r="AP71" s="32">
        <v>0</v>
      </c>
      <c r="AQ71" s="33"/>
      <c r="AR71" s="33" t="s">
        <v>411</v>
      </c>
      <c r="AS71" s="33" t="s">
        <v>411</v>
      </c>
      <c r="AT71" s="35">
        <v>0</v>
      </c>
      <c r="AU71" s="35">
        <v>0</v>
      </c>
      <c r="AV71" s="35">
        <v>0</v>
      </c>
      <c r="AW71" s="35">
        <v>0</v>
      </c>
      <c r="AX71" s="35">
        <v>0</v>
      </c>
      <c r="AY71" s="35">
        <v>0</v>
      </c>
      <c r="AZ71" s="32">
        <v>0</v>
      </c>
      <c r="BA71" s="32">
        <v>0</v>
      </c>
      <c r="BB71" s="32">
        <v>0</v>
      </c>
      <c r="BC71" s="32">
        <v>0</v>
      </c>
      <c r="BD71" s="35">
        <v>0</v>
      </c>
      <c r="BE71" s="35">
        <v>0</v>
      </c>
      <c r="BF71" s="33" t="s">
        <v>412</v>
      </c>
      <c r="BG71" s="33" t="s">
        <v>412</v>
      </c>
      <c r="BH71" s="33" t="s">
        <v>412</v>
      </c>
    </row>
    <row r="72" spans="1:60" ht="19.5" customHeight="1">
      <c r="A72" s="36">
        <v>69</v>
      </c>
      <c r="B72" s="31" t="s">
        <v>410</v>
      </c>
      <c r="C72" s="37">
        <v>46185</v>
      </c>
      <c r="D72" s="31" t="s">
        <v>335</v>
      </c>
      <c r="E72" s="31">
        <v>2726</v>
      </c>
      <c r="F72" s="31">
        <v>2414</v>
      </c>
      <c r="G72" s="32">
        <v>0.88554658840792366</v>
      </c>
      <c r="H72" s="31">
        <v>1024</v>
      </c>
      <c r="I72" s="33">
        <v>0.37564196625091711</v>
      </c>
      <c r="J72" s="31">
        <v>2692</v>
      </c>
      <c r="K72" s="31">
        <v>2631</v>
      </c>
      <c r="L72" s="32">
        <v>0.97699999999999998</v>
      </c>
      <c r="M72" s="31">
        <v>13057</v>
      </c>
      <c r="N72" s="31">
        <v>13507</v>
      </c>
      <c r="O72" s="31">
        <v>12851</v>
      </c>
      <c r="P72" s="32">
        <v>0.98422302213372137</v>
      </c>
      <c r="Q72" s="31">
        <v>10</v>
      </c>
      <c r="R72" s="31">
        <v>0</v>
      </c>
      <c r="S72" s="31">
        <v>0</v>
      </c>
      <c r="T72" s="32">
        <v>0</v>
      </c>
      <c r="U72" s="31">
        <v>0</v>
      </c>
      <c r="V72" s="32">
        <v>0</v>
      </c>
      <c r="W72" s="31">
        <v>256</v>
      </c>
      <c r="X72" s="32">
        <v>9.3910491562729279E-2</v>
      </c>
      <c r="Y72" s="31">
        <v>1166</v>
      </c>
      <c r="Z72" s="34">
        <v>0.42773294203961848</v>
      </c>
      <c r="AA72" s="31">
        <v>29</v>
      </c>
      <c r="AB72" s="32">
        <v>1.063829787234043E-2</v>
      </c>
      <c r="AC72" s="31">
        <v>212</v>
      </c>
      <c r="AD72" s="32">
        <v>7.7769625825385186E-2</v>
      </c>
      <c r="AE72" s="31">
        <v>27</v>
      </c>
      <c r="AF72" s="32">
        <v>0.12735849056603771</v>
      </c>
      <c r="AG72" s="31">
        <v>207</v>
      </c>
      <c r="AH72" s="32">
        <v>0.97641509433962259</v>
      </c>
      <c r="AI72" s="35">
        <v>208</v>
      </c>
      <c r="AJ72" s="32">
        <v>7.630227439471754E-2</v>
      </c>
      <c r="AK72" s="35">
        <v>15</v>
      </c>
      <c r="AL72" s="32">
        <v>0.91346153846153844</v>
      </c>
      <c r="AM72" s="35">
        <v>202</v>
      </c>
      <c r="AN72" s="35">
        <v>190</v>
      </c>
      <c r="AO72" s="32">
        <v>6.9699192956713132E-2</v>
      </c>
      <c r="AP72" s="32">
        <v>0.89622641509433965</v>
      </c>
      <c r="AQ72" s="33">
        <v>0.9760479041916168</v>
      </c>
      <c r="AR72" s="33" t="s">
        <v>411</v>
      </c>
      <c r="AS72" s="33">
        <v>0</v>
      </c>
      <c r="AT72" s="35">
        <v>0</v>
      </c>
      <c r="AU72" s="35">
        <v>0</v>
      </c>
      <c r="AV72" s="35">
        <v>23</v>
      </c>
      <c r="AW72" s="35">
        <v>15</v>
      </c>
      <c r="AX72" s="35">
        <v>17</v>
      </c>
      <c r="AY72" s="35">
        <v>43</v>
      </c>
      <c r="AZ72" s="32">
        <v>5.5025678650036684E-3</v>
      </c>
      <c r="BA72" s="32">
        <v>6.2362435803374914E-3</v>
      </c>
      <c r="BB72" s="32">
        <v>1.5774027879677181E-2</v>
      </c>
      <c r="BC72" s="32">
        <v>8.9473684210526316E-2</v>
      </c>
      <c r="BD72" s="35">
        <v>0</v>
      </c>
      <c r="BE72" s="35">
        <v>0</v>
      </c>
      <c r="BF72" s="33">
        <v>0.96666666666666667</v>
      </c>
      <c r="BG72" s="33">
        <v>1</v>
      </c>
      <c r="BH72" s="33" t="s">
        <v>412</v>
      </c>
    </row>
    <row r="73" spans="1:60" ht="19.5" customHeight="1">
      <c r="A73" s="36">
        <v>70</v>
      </c>
      <c r="B73" s="31" t="s">
        <v>410</v>
      </c>
      <c r="C73" s="37">
        <v>46185</v>
      </c>
      <c r="D73" s="31" t="s">
        <v>334</v>
      </c>
      <c r="E73" s="31">
        <v>2307</v>
      </c>
      <c r="F73" s="31">
        <v>2032</v>
      </c>
      <c r="G73" s="32">
        <v>0.88079757260511482</v>
      </c>
      <c r="H73" s="31">
        <v>1112</v>
      </c>
      <c r="I73" s="33">
        <v>0.48201127004768102</v>
      </c>
      <c r="J73" s="31">
        <v>2197</v>
      </c>
      <c r="K73" s="31">
        <v>2155</v>
      </c>
      <c r="L73" s="32">
        <v>0.98099999999999998</v>
      </c>
      <c r="M73" s="31">
        <v>10284</v>
      </c>
      <c r="N73" s="31">
        <v>10627</v>
      </c>
      <c r="O73" s="31">
        <v>10129</v>
      </c>
      <c r="P73" s="32">
        <v>0.98492804356281605</v>
      </c>
      <c r="Q73" s="31">
        <v>23</v>
      </c>
      <c r="R73" s="31">
        <v>0</v>
      </c>
      <c r="S73" s="31">
        <v>0</v>
      </c>
      <c r="T73" s="32">
        <v>0</v>
      </c>
      <c r="U73" s="31">
        <v>0</v>
      </c>
      <c r="V73" s="32">
        <v>0</v>
      </c>
      <c r="W73" s="31">
        <v>244</v>
      </c>
      <c r="X73" s="32">
        <v>0.10576506285218901</v>
      </c>
      <c r="Y73" s="31">
        <v>657</v>
      </c>
      <c r="Z73" s="34">
        <v>0.2847854356306892</v>
      </c>
      <c r="AA73" s="31">
        <v>18</v>
      </c>
      <c r="AB73" s="32">
        <v>7.8023407022106634E-3</v>
      </c>
      <c r="AC73" s="31">
        <v>171</v>
      </c>
      <c r="AD73" s="32">
        <v>7.4122236671001304E-2</v>
      </c>
      <c r="AE73" s="31">
        <v>30</v>
      </c>
      <c r="AF73" s="32">
        <v>0.17543859649122809</v>
      </c>
      <c r="AG73" s="31">
        <v>162</v>
      </c>
      <c r="AH73" s="32">
        <v>0.94736842105263153</v>
      </c>
      <c r="AI73" s="35">
        <v>169</v>
      </c>
      <c r="AJ73" s="32">
        <v>7.3255309926311227E-2</v>
      </c>
      <c r="AK73" s="35">
        <v>10</v>
      </c>
      <c r="AL73" s="32">
        <v>0.82840236686390534</v>
      </c>
      <c r="AM73" s="35">
        <v>157</v>
      </c>
      <c r="AN73" s="35">
        <v>140</v>
      </c>
      <c r="AO73" s="32">
        <v>6.0684872128305159E-2</v>
      </c>
      <c r="AP73" s="32">
        <v>0.81871345029239762</v>
      </c>
      <c r="AQ73" s="33">
        <v>0.99371069182389937</v>
      </c>
      <c r="AR73" s="33" t="s">
        <v>411</v>
      </c>
      <c r="AS73" s="33">
        <v>0</v>
      </c>
      <c r="AT73" s="35">
        <v>0</v>
      </c>
      <c r="AU73" s="35">
        <v>0</v>
      </c>
      <c r="AV73" s="35">
        <v>27</v>
      </c>
      <c r="AW73" s="35">
        <v>20</v>
      </c>
      <c r="AX73" s="35">
        <v>23</v>
      </c>
      <c r="AY73" s="35">
        <v>32</v>
      </c>
      <c r="AZ73" s="32">
        <v>8.6692674469007365E-3</v>
      </c>
      <c r="BA73" s="32">
        <v>9.9696575639358475E-3</v>
      </c>
      <c r="BB73" s="32">
        <v>1.387082791504118E-2</v>
      </c>
      <c r="BC73" s="32">
        <v>0.16428571428571431</v>
      </c>
      <c r="BD73" s="35">
        <v>0</v>
      </c>
      <c r="BE73" s="35">
        <v>0</v>
      </c>
      <c r="BF73" s="33">
        <v>1</v>
      </c>
      <c r="BG73" s="33">
        <v>1</v>
      </c>
      <c r="BH73" s="33" t="s">
        <v>412</v>
      </c>
    </row>
    <row r="74" spans="1:60" ht="19.5" customHeight="1">
      <c r="A74" s="36">
        <v>71</v>
      </c>
      <c r="B74" s="31" t="s">
        <v>410</v>
      </c>
      <c r="C74" s="37">
        <v>46185</v>
      </c>
      <c r="D74" s="31" t="s">
        <v>337</v>
      </c>
      <c r="E74" s="31">
        <v>5116</v>
      </c>
      <c r="F74" s="31">
        <v>4425</v>
      </c>
      <c r="G74" s="32">
        <v>0.86493354182955429</v>
      </c>
      <c r="H74" s="31">
        <v>1478</v>
      </c>
      <c r="I74" s="33">
        <v>0.28889757623143081</v>
      </c>
      <c r="J74" s="31">
        <v>5708</v>
      </c>
      <c r="K74" s="31">
        <v>5545</v>
      </c>
      <c r="L74" s="32">
        <v>0.97099999999999997</v>
      </c>
      <c r="M74" s="31">
        <v>28024</v>
      </c>
      <c r="N74" s="31">
        <v>28992</v>
      </c>
      <c r="O74" s="31">
        <v>27578</v>
      </c>
      <c r="P74" s="32">
        <v>0.9840850699400514</v>
      </c>
      <c r="Q74" s="31">
        <v>59</v>
      </c>
      <c r="R74" s="31">
        <v>0</v>
      </c>
      <c r="S74" s="31">
        <v>0</v>
      </c>
      <c r="T74" s="32">
        <v>0</v>
      </c>
      <c r="U74" s="31">
        <v>0</v>
      </c>
      <c r="V74" s="32">
        <v>0</v>
      </c>
      <c r="W74" s="31">
        <v>596</v>
      </c>
      <c r="X74" s="32">
        <v>0.1164972634870993</v>
      </c>
      <c r="Y74" s="31">
        <v>2057</v>
      </c>
      <c r="Z74" s="34">
        <v>0.40207193119624712</v>
      </c>
      <c r="AA74" s="31">
        <v>33</v>
      </c>
      <c r="AB74" s="32">
        <v>6.4503518373729479E-3</v>
      </c>
      <c r="AC74" s="31">
        <v>810</v>
      </c>
      <c r="AD74" s="32">
        <v>0.15832681782642691</v>
      </c>
      <c r="AE74" s="31">
        <v>130</v>
      </c>
      <c r="AF74" s="32">
        <v>0.16049382716049379</v>
      </c>
      <c r="AG74" s="31">
        <v>770</v>
      </c>
      <c r="AH74" s="32">
        <v>0.95061728395061729</v>
      </c>
      <c r="AI74" s="35">
        <v>839</v>
      </c>
      <c r="AJ74" s="32">
        <v>0.16399530883502739</v>
      </c>
      <c r="AK74" s="35">
        <v>38</v>
      </c>
      <c r="AL74" s="32">
        <v>0.90822407628128721</v>
      </c>
      <c r="AM74" s="35">
        <v>821</v>
      </c>
      <c r="AN74" s="35">
        <v>762</v>
      </c>
      <c r="AO74" s="32">
        <v>0.14894448788115719</v>
      </c>
      <c r="AP74" s="32">
        <v>0.94074074074074077</v>
      </c>
      <c r="AQ74" s="33">
        <v>0.97493734335839599</v>
      </c>
      <c r="AR74" s="33" t="s">
        <v>411</v>
      </c>
      <c r="AS74" s="33">
        <v>0</v>
      </c>
      <c r="AT74" s="35">
        <v>0</v>
      </c>
      <c r="AU74" s="35">
        <v>0</v>
      </c>
      <c r="AV74" s="35">
        <v>33</v>
      </c>
      <c r="AW74" s="35">
        <v>22</v>
      </c>
      <c r="AX74" s="35">
        <v>22</v>
      </c>
      <c r="AY74" s="35">
        <v>138</v>
      </c>
      <c r="AZ74" s="32">
        <v>4.3002345582486314E-3</v>
      </c>
      <c r="BA74" s="32">
        <v>4.3002345582486314E-3</v>
      </c>
      <c r="BB74" s="32">
        <v>2.697419859265051E-2</v>
      </c>
      <c r="BC74" s="32">
        <v>2.8871391076115489E-2</v>
      </c>
      <c r="BD74" s="35">
        <v>0</v>
      </c>
      <c r="BE74" s="35">
        <v>1</v>
      </c>
      <c r="BF74" s="33">
        <v>0.98684210526315785</v>
      </c>
      <c r="BG74" s="33">
        <v>1</v>
      </c>
      <c r="BH74" s="33" t="s">
        <v>412</v>
      </c>
    </row>
    <row r="75" spans="1:60" ht="19.5" customHeight="1">
      <c r="A75" s="36">
        <v>72</v>
      </c>
      <c r="B75" s="31" t="s">
        <v>410</v>
      </c>
      <c r="C75" s="37">
        <v>46185</v>
      </c>
      <c r="D75" s="31" t="s">
        <v>336</v>
      </c>
      <c r="E75" s="31">
        <v>3604</v>
      </c>
      <c r="F75" s="31">
        <v>3239</v>
      </c>
      <c r="G75" s="32">
        <v>0.8987236403995561</v>
      </c>
      <c r="H75" s="31">
        <v>2203</v>
      </c>
      <c r="I75" s="33">
        <v>0.61126526082130961</v>
      </c>
      <c r="J75" s="31">
        <v>4865</v>
      </c>
      <c r="K75" s="31">
        <v>4782</v>
      </c>
      <c r="L75" s="32">
        <v>0.98299999999999998</v>
      </c>
      <c r="M75" s="31">
        <v>19554</v>
      </c>
      <c r="N75" s="31">
        <v>20265</v>
      </c>
      <c r="O75" s="31">
        <v>19331</v>
      </c>
      <c r="P75" s="32">
        <v>0.98859568374757079</v>
      </c>
      <c r="Q75" s="31">
        <v>37</v>
      </c>
      <c r="R75" s="31">
        <v>0</v>
      </c>
      <c r="S75" s="31">
        <v>0</v>
      </c>
      <c r="T75" s="32">
        <v>0</v>
      </c>
      <c r="U75" s="31">
        <v>0</v>
      </c>
      <c r="V75" s="32">
        <v>0</v>
      </c>
      <c r="W75" s="31">
        <v>265</v>
      </c>
      <c r="X75" s="32">
        <v>7.3529411764705885E-2</v>
      </c>
      <c r="Y75" s="31">
        <v>1080</v>
      </c>
      <c r="Z75" s="34">
        <v>0.29966703662597122</v>
      </c>
      <c r="AA75" s="31">
        <v>57</v>
      </c>
      <c r="AB75" s="32">
        <v>1.5815760266370701E-2</v>
      </c>
      <c r="AC75" s="31">
        <v>434</v>
      </c>
      <c r="AD75" s="32">
        <v>0.12042175360710319</v>
      </c>
      <c r="AE75" s="31">
        <v>79</v>
      </c>
      <c r="AF75" s="32">
        <v>0.18202764976958519</v>
      </c>
      <c r="AG75" s="31">
        <v>420</v>
      </c>
      <c r="AH75" s="32">
        <v>0.967741935483871</v>
      </c>
      <c r="AI75" s="35">
        <v>424</v>
      </c>
      <c r="AJ75" s="32">
        <v>0.1176470588235294</v>
      </c>
      <c r="AK75" s="35">
        <v>38</v>
      </c>
      <c r="AL75" s="32">
        <v>0.95518867924528306</v>
      </c>
      <c r="AM75" s="35">
        <v>422</v>
      </c>
      <c r="AN75" s="35">
        <v>405</v>
      </c>
      <c r="AO75" s="32">
        <v>0.1123751387347392</v>
      </c>
      <c r="AP75" s="32">
        <v>0.93317972350230416</v>
      </c>
      <c r="AQ75" s="33">
        <v>0.96923076923076923</v>
      </c>
      <c r="AR75" s="33" t="s">
        <v>411</v>
      </c>
      <c r="AS75" s="33">
        <v>0</v>
      </c>
      <c r="AT75" s="35">
        <v>0</v>
      </c>
      <c r="AU75" s="35">
        <v>0</v>
      </c>
      <c r="AV75" s="35">
        <v>38</v>
      </c>
      <c r="AW75" s="35">
        <v>30</v>
      </c>
      <c r="AX75" s="35">
        <v>30</v>
      </c>
      <c r="AY75" s="35">
        <v>55</v>
      </c>
      <c r="AZ75" s="32">
        <v>8.3240843507214213E-3</v>
      </c>
      <c r="BA75" s="32">
        <v>8.3240843507214213E-3</v>
      </c>
      <c r="BB75" s="32">
        <v>1.5260821309655941E-2</v>
      </c>
      <c r="BC75" s="32">
        <v>7.407407407407407E-2</v>
      </c>
      <c r="BD75" s="35">
        <v>0</v>
      </c>
      <c r="BE75" s="35">
        <v>1</v>
      </c>
      <c r="BF75" s="33">
        <v>0.95</v>
      </c>
      <c r="BG75" s="33">
        <v>1</v>
      </c>
      <c r="BH75" s="33" t="s">
        <v>412</v>
      </c>
    </row>
    <row r="76" spans="1:60" ht="19.5" customHeight="1">
      <c r="A76" s="36">
        <v>73</v>
      </c>
      <c r="B76" s="31" t="s">
        <v>410</v>
      </c>
      <c r="C76" s="37">
        <v>46186</v>
      </c>
      <c r="D76" s="31"/>
      <c r="E76" s="31">
        <v>57</v>
      </c>
      <c r="F76" s="31">
        <v>57</v>
      </c>
      <c r="G76" s="32">
        <v>1</v>
      </c>
      <c r="H76" s="31">
        <v>57</v>
      </c>
      <c r="I76" s="33">
        <v>1</v>
      </c>
      <c r="J76" s="31">
        <v>0</v>
      </c>
      <c r="K76" s="31">
        <v>0</v>
      </c>
      <c r="L76" s="32">
        <v>0</v>
      </c>
      <c r="M76" s="31">
        <v>1</v>
      </c>
      <c r="N76" s="31">
        <v>1</v>
      </c>
      <c r="O76" s="31">
        <v>0</v>
      </c>
      <c r="P76" s="32">
        <v>0</v>
      </c>
      <c r="Q76" s="31">
        <v>1</v>
      </c>
      <c r="R76" s="31">
        <v>0</v>
      </c>
      <c r="S76" s="31">
        <v>0</v>
      </c>
      <c r="T76" s="32">
        <v>0</v>
      </c>
      <c r="U76" s="31">
        <v>0</v>
      </c>
      <c r="V76" s="32">
        <v>0</v>
      </c>
      <c r="W76" s="31">
        <v>16</v>
      </c>
      <c r="X76" s="32">
        <v>0.2807017543859649</v>
      </c>
      <c r="Y76" s="31">
        <v>18</v>
      </c>
      <c r="Z76" s="34">
        <v>0.31578947368421051</v>
      </c>
      <c r="AA76" s="31">
        <v>0</v>
      </c>
      <c r="AB76" s="32">
        <v>0</v>
      </c>
      <c r="AC76" s="31">
        <v>0</v>
      </c>
      <c r="AD76" s="32">
        <v>0</v>
      </c>
      <c r="AE76" s="31">
        <v>0</v>
      </c>
      <c r="AF76" s="32">
        <v>0</v>
      </c>
      <c r="AG76" s="31">
        <v>0</v>
      </c>
      <c r="AH76" s="32">
        <v>0</v>
      </c>
      <c r="AI76" s="35">
        <v>0</v>
      </c>
      <c r="AJ76" s="32">
        <v>0</v>
      </c>
      <c r="AK76" s="35">
        <v>0</v>
      </c>
      <c r="AL76" s="32">
        <v>0</v>
      </c>
      <c r="AM76" s="35">
        <v>0</v>
      </c>
      <c r="AN76" s="35">
        <v>0</v>
      </c>
      <c r="AO76" s="32">
        <v>0</v>
      </c>
      <c r="AP76" s="32">
        <v>0</v>
      </c>
      <c r="AQ76" s="33"/>
      <c r="AR76" s="33" t="s">
        <v>411</v>
      </c>
      <c r="AS76" s="33" t="s">
        <v>411</v>
      </c>
      <c r="AT76" s="35">
        <v>0</v>
      </c>
      <c r="AU76" s="35">
        <v>0</v>
      </c>
      <c r="AV76" s="35">
        <v>0</v>
      </c>
      <c r="AW76" s="35">
        <v>0</v>
      </c>
      <c r="AX76" s="35">
        <v>0</v>
      </c>
      <c r="AY76" s="35">
        <v>0</v>
      </c>
      <c r="AZ76" s="32">
        <v>0</v>
      </c>
      <c r="BA76" s="32">
        <v>0</v>
      </c>
      <c r="BB76" s="32">
        <v>0</v>
      </c>
      <c r="BC76" s="32">
        <v>0</v>
      </c>
      <c r="BD76" s="35">
        <v>0</v>
      </c>
      <c r="BE76" s="35">
        <v>0</v>
      </c>
      <c r="BF76" s="33" t="s">
        <v>412</v>
      </c>
      <c r="BG76" s="33" t="s">
        <v>412</v>
      </c>
      <c r="BH76" s="33">
        <v>1</v>
      </c>
    </row>
    <row r="77" spans="1:60" ht="19.5" customHeight="1">
      <c r="A77" s="36">
        <v>74</v>
      </c>
      <c r="B77" s="31" t="s">
        <v>410</v>
      </c>
      <c r="C77" s="37">
        <v>46186</v>
      </c>
      <c r="D77" s="31" t="s">
        <v>413</v>
      </c>
      <c r="E77" s="31">
        <v>1</v>
      </c>
      <c r="F77" s="31">
        <v>1</v>
      </c>
      <c r="G77" s="32">
        <v>1</v>
      </c>
      <c r="H77" s="31">
        <v>1</v>
      </c>
      <c r="I77" s="33">
        <v>1</v>
      </c>
      <c r="J77" s="31">
        <v>2</v>
      </c>
      <c r="K77" s="31">
        <v>2</v>
      </c>
      <c r="L77" s="32">
        <v>1</v>
      </c>
      <c r="M77" s="31">
        <v>2</v>
      </c>
      <c r="N77" s="31">
        <v>3</v>
      </c>
      <c r="O77" s="31">
        <v>2</v>
      </c>
      <c r="P77" s="32">
        <v>1</v>
      </c>
      <c r="Q77" s="31">
        <v>0</v>
      </c>
      <c r="R77" s="31">
        <v>0</v>
      </c>
      <c r="S77" s="31">
        <v>0</v>
      </c>
      <c r="T77" s="32">
        <v>0</v>
      </c>
      <c r="U77" s="31">
        <v>0</v>
      </c>
      <c r="V77" s="32">
        <v>0</v>
      </c>
      <c r="W77" s="31">
        <v>0</v>
      </c>
      <c r="X77" s="32">
        <v>0</v>
      </c>
      <c r="Y77" s="31">
        <v>0</v>
      </c>
      <c r="Z77" s="34">
        <v>0</v>
      </c>
      <c r="AA77" s="31">
        <v>0</v>
      </c>
      <c r="AB77" s="32">
        <v>0</v>
      </c>
      <c r="AC77" s="31">
        <v>0</v>
      </c>
      <c r="AD77" s="32">
        <v>0</v>
      </c>
      <c r="AE77" s="31">
        <v>0</v>
      </c>
      <c r="AF77" s="32">
        <v>0</v>
      </c>
      <c r="AG77" s="31">
        <v>0</v>
      </c>
      <c r="AH77" s="32">
        <v>0</v>
      </c>
      <c r="AI77" s="35">
        <v>0</v>
      </c>
      <c r="AJ77" s="32">
        <v>0</v>
      </c>
      <c r="AK77" s="35">
        <v>0</v>
      </c>
      <c r="AL77" s="32">
        <v>0</v>
      </c>
      <c r="AM77" s="35">
        <v>0</v>
      </c>
      <c r="AN77" s="35">
        <v>0</v>
      </c>
      <c r="AO77" s="32">
        <v>0</v>
      </c>
      <c r="AP77" s="32">
        <v>0</v>
      </c>
      <c r="AQ77" s="33"/>
      <c r="AR77" s="33" t="s">
        <v>411</v>
      </c>
      <c r="AS77" s="33" t="s">
        <v>411</v>
      </c>
      <c r="AT77" s="35">
        <v>0</v>
      </c>
      <c r="AU77" s="35">
        <v>0</v>
      </c>
      <c r="AV77" s="35">
        <v>0</v>
      </c>
      <c r="AW77" s="35">
        <v>0</v>
      </c>
      <c r="AX77" s="35">
        <v>0</v>
      </c>
      <c r="AY77" s="35">
        <v>0</v>
      </c>
      <c r="AZ77" s="32">
        <v>0</v>
      </c>
      <c r="BA77" s="32">
        <v>0</v>
      </c>
      <c r="BB77" s="32">
        <v>0</v>
      </c>
      <c r="BC77" s="32">
        <v>0</v>
      </c>
      <c r="BD77" s="35">
        <v>0</v>
      </c>
      <c r="BE77" s="35">
        <v>0</v>
      </c>
      <c r="BF77" s="33" t="s">
        <v>412</v>
      </c>
      <c r="BG77" s="33" t="s">
        <v>412</v>
      </c>
      <c r="BH77" s="33" t="s">
        <v>412</v>
      </c>
    </row>
    <row r="78" spans="1:60" ht="19.5" customHeight="1">
      <c r="A78" s="36">
        <v>75</v>
      </c>
      <c r="B78" s="31" t="s">
        <v>410</v>
      </c>
      <c r="C78" s="37">
        <v>46186</v>
      </c>
      <c r="D78" s="31" t="s">
        <v>335</v>
      </c>
      <c r="E78" s="31">
        <v>3356</v>
      </c>
      <c r="F78" s="31">
        <v>2995</v>
      </c>
      <c r="G78" s="32">
        <v>0.89243146603098922</v>
      </c>
      <c r="H78" s="31">
        <v>1239</v>
      </c>
      <c r="I78" s="33">
        <v>0.36918951132300359</v>
      </c>
      <c r="J78" s="31">
        <v>3318</v>
      </c>
      <c r="K78" s="31">
        <v>3271</v>
      </c>
      <c r="L78" s="32">
        <v>0.98599999999999999</v>
      </c>
      <c r="M78" s="31">
        <v>14992</v>
      </c>
      <c r="N78" s="31">
        <v>15009</v>
      </c>
      <c r="O78" s="31">
        <v>14859</v>
      </c>
      <c r="P78" s="32">
        <v>0.99112860192102459</v>
      </c>
      <c r="Q78" s="31">
        <v>10</v>
      </c>
      <c r="R78" s="31">
        <v>0</v>
      </c>
      <c r="S78" s="31">
        <v>0</v>
      </c>
      <c r="T78" s="32">
        <v>0</v>
      </c>
      <c r="U78" s="31">
        <v>0</v>
      </c>
      <c r="V78" s="32">
        <v>0</v>
      </c>
      <c r="W78" s="31">
        <v>286</v>
      </c>
      <c r="X78" s="32">
        <v>8.522050059594756E-2</v>
      </c>
      <c r="Y78" s="31">
        <v>1136</v>
      </c>
      <c r="Z78" s="34">
        <v>0.33849821215733022</v>
      </c>
      <c r="AA78" s="31">
        <v>23</v>
      </c>
      <c r="AB78" s="32">
        <v>6.8533969010727046E-3</v>
      </c>
      <c r="AC78" s="31">
        <v>279</v>
      </c>
      <c r="AD78" s="32">
        <v>8.3134684147794999E-2</v>
      </c>
      <c r="AE78" s="31">
        <v>37</v>
      </c>
      <c r="AF78" s="32">
        <v>0.13261648745519711</v>
      </c>
      <c r="AG78" s="31">
        <v>266</v>
      </c>
      <c r="AH78" s="32">
        <v>0.95340501792114696</v>
      </c>
      <c r="AI78" s="35">
        <v>275</v>
      </c>
      <c r="AJ78" s="32">
        <v>8.1942789034564964E-2</v>
      </c>
      <c r="AK78" s="35">
        <v>10</v>
      </c>
      <c r="AL78" s="32">
        <v>0.85090909090909095</v>
      </c>
      <c r="AM78" s="35">
        <v>262</v>
      </c>
      <c r="AN78" s="35">
        <v>234</v>
      </c>
      <c r="AO78" s="32">
        <v>6.9725864123957093E-2</v>
      </c>
      <c r="AP78" s="32">
        <v>0.83870967741935487</v>
      </c>
      <c r="AQ78" s="33">
        <v>0.98514851485148514</v>
      </c>
      <c r="AR78" s="33" t="s">
        <v>411</v>
      </c>
      <c r="AS78" s="33">
        <v>0</v>
      </c>
      <c r="AT78" s="35">
        <v>0</v>
      </c>
      <c r="AU78" s="35">
        <v>0</v>
      </c>
      <c r="AV78" s="35">
        <v>137</v>
      </c>
      <c r="AW78" s="35">
        <v>134</v>
      </c>
      <c r="AX78" s="35">
        <v>130</v>
      </c>
      <c r="AY78" s="35">
        <v>53</v>
      </c>
      <c r="AZ78" s="32">
        <v>3.9928486293206188E-2</v>
      </c>
      <c r="BA78" s="32">
        <v>3.873659117997616E-2</v>
      </c>
      <c r="BB78" s="32">
        <v>1.5792610250297979E-2</v>
      </c>
      <c r="BC78" s="32">
        <v>0.55555555555555558</v>
      </c>
      <c r="BD78" s="35">
        <v>0</v>
      </c>
      <c r="BE78" s="35">
        <v>0</v>
      </c>
      <c r="BF78" s="33">
        <v>1</v>
      </c>
      <c r="BG78" s="33">
        <v>1</v>
      </c>
      <c r="BH78" s="33" t="s">
        <v>412</v>
      </c>
    </row>
    <row r="79" spans="1:60" ht="19.5" customHeight="1">
      <c r="A79" s="36">
        <v>76</v>
      </c>
      <c r="B79" s="31" t="s">
        <v>410</v>
      </c>
      <c r="C79" s="37">
        <v>46186</v>
      </c>
      <c r="D79" s="31" t="s">
        <v>334</v>
      </c>
      <c r="E79" s="31">
        <v>2473</v>
      </c>
      <c r="F79" s="31">
        <v>2137</v>
      </c>
      <c r="G79" s="32">
        <v>0.86413263243024663</v>
      </c>
      <c r="H79" s="31">
        <v>1106</v>
      </c>
      <c r="I79" s="33">
        <v>0.44723008491710481</v>
      </c>
      <c r="J79" s="31">
        <v>2322</v>
      </c>
      <c r="K79" s="31">
        <v>2265</v>
      </c>
      <c r="L79" s="32">
        <v>0.97499999999999998</v>
      </c>
      <c r="M79" s="31">
        <v>10328</v>
      </c>
      <c r="N79" s="31">
        <v>10587</v>
      </c>
      <c r="O79" s="31">
        <v>10179</v>
      </c>
      <c r="P79" s="32">
        <v>0.98557319907048802</v>
      </c>
      <c r="Q79" s="31">
        <v>36</v>
      </c>
      <c r="R79" s="31">
        <v>0</v>
      </c>
      <c r="S79" s="31">
        <v>0</v>
      </c>
      <c r="T79" s="32">
        <v>0</v>
      </c>
      <c r="U79" s="31">
        <v>0</v>
      </c>
      <c r="V79" s="32">
        <v>0</v>
      </c>
      <c r="W79" s="31">
        <v>232</v>
      </c>
      <c r="X79" s="32">
        <v>9.3813182369591588E-2</v>
      </c>
      <c r="Y79" s="31">
        <v>708</v>
      </c>
      <c r="Z79" s="34">
        <v>0.28629195309340882</v>
      </c>
      <c r="AA79" s="31">
        <v>13</v>
      </c>
      <c r="AB79" s="32">
        <v>5.2567731500202186E-3</v>
      </c>
      <c r="AC79" s="31">
        <v>327</v>
      </c>
      <c r="AD79" s="32">
        <v>0.1322280630812778</v>
      </c>
      <c r="AE79" s="31">
        <v>45</v>
      </c>
      <c r="AF79" s="32">
        <v>0.1376146788990826</v>
      </c>
      <c r="AG79" s="31">
        <v>314</v>
      </c>
      <c r="AH79" s="32">
        <v>0.96024464831804279</v>
      </c>
      <c r="AI79" s="35">
        <v>321</v>
      </c>
      <c r="AJ79" s="32">
        <v>0.1298018600889608</v>
      </c>
      <c r="AK79" s="35">
        <v>13</v>
      </c>
      <c r="AL79" s="32">
        <v>0.86915887850467288</v>
      </c>
      <c r="AM79" s="35">
        <v>312</v>
      </c>
      <c r="AN79" s="35">
        <v>279</v>
      </c>
      <c r="AO79" s="32">
        <v>0.1128184391427416</v>
      </c>
      <c r="AP79" s="32">
        <v>0.85321100917431192</v>
      </c>
      <c r="AQ79" s="33">
        <v>0.98181818181818181</v>
      </c>
      <c r="AR79" s="33" t="s">
        <v>411</v>
      </c>
      <c r="AS79" s="33">
        <v>0</v>
      </c>
      <c r="AT79" s="35">
        <v>0</v>
      </c>
      <c r="AU79" s="35">
        <v>0</v>
      </c>
      <c r="AV79" s="35">
        <v>121</v>
      </c>
      <c r="AW79" s="35">
        <v>108</v>
      </c>
      <c r="AX79" s="35">
        <v>106</v>
      </c>
      <c r="AY79" s="35">
        <v>27</v>
      </c>
      <c r="AZ79" s="32">
        <v>4.3671653861706433E-2</v>
      </c>
      <c r="BA79" s="32">
        <v>4.2862919530934088E-2</v>
      </c>
      <c r="BB79" s="32">
        <v>1.091791346542661E-2</v>
      </c>
      <c r="BC79" s="32">
        <v>0.37992831541218641</v>
      </c>
      <c r="BD79" s="35">
        <v>0</v>
      </c>
      <c r="BE79" s="35">
        <v>0</v>
      </c>
      <c r="BF79" s="33">
        <v>1</v>
      </c>
      <c r="BG79" s="33">
        <v>1</v>
      </c>
      <c r="BH79" s="33" t="s">
        <v>412</v>
      </c>
    </row>
    <row r="80" spans="1:60" ht="19.5" customHeight="1">
      <c r="A80" s="36">
        <v>77</v>
      </c>
      <c r="B80" s="31" t="s">
        <v>410</v>
      </c>
      <c r="C80" s="37">
        <v>46186</v>
      </c>
      <c r="D80" s="31" t="s">
        <v>337</v>
      </c>
      <c r="E80" s="31">
        <v>6634</v>
      </c>
      <c r="F80" s="31">
        <v>5537</v>
      </c>
      <c r="G80" s="32">
        <v>0.83463973470003017</v>
      </c>
      <c r="H80" s="31">
        <v>2211</v>
      </c>
      <c r="I80" s="33">
        <v>0.3332830871269219</v>
      </c>
      <c r="J80" s="31">
        <v>6121</v>
      </c>
      <c r="K80" s="31">
        <v>5988</v>
      </c>
      <c r="L80" s="32">
        <v>0.97799999999999998</v>
      </c>
      <c r="M80" s="31">
        <v>29314</v>
      </c>
      <c r="N80" s="31">
        <v>30851</v>
      </c>
      <c r="O80" s="31">
        <v>28941</v>
      </c>
      <c r="P80" s="32">
        <v>0.98727570444156376</v>
      </c>
      <c r="Q80" s="31">
        <v>31</v>
      </c>
      <c r="R80" s="31">
        <v>0</v>
      </c>
      <c r="S80" s="31">
        <v>0</v>
      </c>
      <c r="T80" s="32">
        <v>0</v>
      </c>
      <c r="U80" s="31">
        <v>0</v>
      </c>
      <c r="V80" s="32">
        <v>0</v>
      </c>
      <c r="W80" s="31">
        <v>532</v>
      </c>
      <c r="X80" s="32">
        <v>8.019294543261983E-2</v>
      </c>
      <c r="Y80" s="31">
        <v>1812</v>
      </c>
      <c r="Z80" s="34">
        <v>0.27313837805245711</v>
      </c>
      <c r="AA80" s="31">
        <v>35</v>
      </c>
      <c r="AB80" s="32">
        <v>5.2758516731986737E-3</v>
      </c>
      <c r="AC80" s="31">
        <v>1329</v>
      </c>
      <c r="AD80" s="32">
        <v>0.20033162496231541</v>
      </c>
      <c r="AE80" s="31">
        <v>214</v>
      </c>
      <c r="AF80" s="32">
        <v>0.16102332580887879</v>
      </c>
      <c r="AG80" s="31">
        <v>1282</v>
      </c>
      <c r="AH80" s="32">
        <v>0.96463506395786303</v>
      </c>
      <c r="AI80" s="35">
        <v>1406</v>
      </c>
      <c r="AJ80" s="32">
        <v>0.2119384986433524</v>
      </c>
      <c r="AK80" s="35">
        <v>62</v>
      </c>
      <c r="AL80" s="32">
        <v>0.86770981507823608</v>
      </c>
      <c r="AM80" s="35">
        <v>1344</v>
      </c>
      <c r="AN80" s="35">
        <v>1220</v>
      </c>
      <c r="AO80" s="32">
        <v>0.18390111546578231</v>
      </c>
      <c r="AP80" s="32">
        <v>0.91798344620015049</v>
      </c>
      <c r="AQ80" s="33">
        <v>0.97368421052631582</v>
      </c>
      <c r="AR80" s="33" t="s">
        <v>411</v>
      </c>
      <c r="AS80" s="33">
        <v>0</v>
      </c>
      <c r="AT80" s="35">
        <v>0</v>
      </c>
      <c r="AU80" s="35">
        <v>0</v>
      </c>
      <c r="AV80" s="35">
        <v>323</v>
      </c>
      <c r="AW80" s="35">
        <v>307</v>
      </c>
      <c r="AX80" s="35">
        <v>289</v>
      </c>
      <c r="AY80" s="35">
        <v>116</v>
      </c>
      <c r="AZ80" s="32">
        <v>4.627675610491408E-2</v>
      </c>
      <c r="BA80" s="32">
        <v>4.356346095869762E-2</v>
      </c>
      <c r="BB80" s="32">
        <v>1.7485679831172749E-2</v>
      </c>
      <c r="BC80" s="32">
        <v>0.23688524590163931</v>
      </c>
      <c r="BD80" s="35">
        <v>0</v>
      </c>
      <c r="BE80" s="35">
        <v>1</v>
      </c>
      <c r="BF80" s="33">
        <v>0.97560975609756095</v>
      </c>
      <c r="BG80" s="33">
        <v>1</v>
      </c>
      <c r="BH80" s="33" t="s">
        <v>412</v>
      </c>
    </row>
    <row r="81" spans="1:60" ht="19.5" customHeight="1">
      <c r="A81" s="36">
        <v>78</v>
      </c>
      <c r="B81" s="31" t="s">
        <v>410</v>
      </c>
      <c r="C81" s="37">
        <v>46186</v>
      </c>
      <c r="D81" s="31" t="s">
        <v>336</v>
      </c>
      <c r="E81" s="31">
        <v>3923</v>
      </c>
      <c r="F81" s="31">
        <v>3527</v>
      </c>
      <c r="G81" s="32">
        <v>0.89905684425184806</v>
      </c>
      <c r="H81" s="31">
        <v>2451</v>
      </c>
      <c r="I81" s="33">
        <v>0.62477695641091002</v>
      </c>
      <c r="J81" s="31">
        <v>4303</v>
      </c>
      <c r="K81" s="31">
        <v>4232</v>
      </c>
      <c r="L81" s="32">
        <v>0.98299999999999998</v>
      </c>
      <c r="M81" s="31">
        <v>19841</v>
      </c>
      <c r="N81" s="31">
        <v>20388</v>
      </c>
      <c r="O81" s="31">
        <v>19582</v>
      </c>
      <c r="P81" s="32">
        <v>0.98694622246862562</v>
      </c>
      <c r="Q81" s="31">
        <v>18</v>
      </c>
      <c r="R81" s="31">
        <v>0</v>
      </c>
      <c r="S81" s="31">
        <v>0</v>
      </c>
      <c r="T81" s="32">
        <v>0</v>
      </c>
      <c r="U81" s="31">
        <v>0</v>
      </c>
      <c r="V81" s="32">
        <v>0</v>
      </c>
      <c r="W81" s="31">
        <v>252</v>
      </c>
      <c r="X81" s="32">
        <v>6.4236553657914863E-2</v>
      </c>
      <c r="Y81" s="31">
        <v>1132</v>
      </c>
      <c r="Z81" s="34">
        <v>0.28855467754269692</v>
      </c>
      <c r="AA81" s="31">
        <v>79</v>
      </c>
      <c r="AB81" s="32">
        <v>2.013764975783839E-2</v>
      </c>
      <c r="AC81" s="31">
        <v>582</v>
      </c>
      <c r="AD81" s="32">
        <v>0.14835585011470809</v>
      </c>
      <c r="AE81" s="31">
        <v>97</v>
      </c>
      <c r="AF81" s="32">
        <v>0.16666666666666671</v>
      </c>
      <c r="AG81" s="31">
        <v>550</v>
      </c>
      <c r="AH81" s="32">
        <v>0.94501718213058417</v>
      </c>
      <c r="AI81" s="35">
        <v>562</v>
      </c>
      <c r="AJ81" s="32">
        <v>0.14325771093550849</v>
      </c>
      <c r="AK81" s="35">
        <v>40</v>
      </c>
      <c r="AL81" s="32">
        <v>0.92526690391459077</v>
      </c>
      <c r="AM81" s="35">
        <v>549</v>
      </c>
      <c r="AN81" s="35">
        <v>520</v>
      </c>
      <c r="AO81" s="32">
        <v>0.13255161865918941</v>
      </c>
      <c r="AP81" s="32">
        <v>0.89347079037800692</v>
      </c>
      <c r="AQ81" s="33">
        <v>0.93990384615384615</v>
      </c>
      <c r="AR81" s="33" t="s">
        <v>411</v>
      </c>
      <c r="AS81" s="33">
        <v>0</v>
      </c>
      <c r="AT81" s="35">
        <v>0</v>
      </c>
      <c r="AU81" s="35">
        <v>0</v>
      </c>
      <c r="AV81" s="35">
        <v>192</v>
      </c>
      <c r="AW81" s="35">
        <v>185</v>
      </c>
      <c r="AX81" s="35">
        <v>178</v>
      </c>
      <c r="AY81" s="35">
        <v>52</v>
      </c>
      <c r="AZ81" s="32">
        <v>4.7157787407596227E-2</v>
      </c>
      <c r="BA81" s="32">
        <v>4.5373438694876367E-2</v>
      </c>
      <c r="BB81" s="32">
        <v>1.325516186591894E-2</v>
      </c>
      <c r="BC81" s="32">
        <v>0.34230769230769231</v>
      </c>
      <c r="BD81" s="35">
        <v>0</v>
      </c>
      <c r="BE81" s="35">
        <v>0</v>
      </c>
      <c r="BF81" s="33">
        <v>0.95588235294117652</v>
      </c>
      <c r="BG81" s="33">
        <v>1</v>
      </c>
      <c r="BH81" s="33" t="s">
        <v>412</v>
      </c>
    </row>
    <row r="82" spans="1:60" ht="19.5" customHeight="1">
      <c r="A82" s="36">
        <v>79</v>
      </c>
      <c r="B82" s="31" t="s">
        <v>410</v>
      </c>
      <c r="C82" s="37">
        <v>46187</v>
      </c>
      <c r="D82" s="31"/>
      <c r="E82" s="31">
        <v>67</v>
      </c>
      <c r="F82" s="31">
        <v>67</v>
      </c>
      <c r="G82" s="32">
        <v>1</v>
      </c>
      <c r="H82" s="31">
        <v>67</v>
      </c>
      <c r="I82" s="33">
        <v>1</v>
      </c>
      <c r="J82" s="31">
        <v>0</v>
      </c>
      <c r="K82" s="31">
        <v>0</v>
      </c>
      <c r="L82" s="32">
        <v>0</v>
      </c>
      <c r="M82" s="31">
        <v>8</v>
      </c>
      <c r="N82" s="31">
        <v>4</v>
      </c>
      <c r="O82" s="31">
        <v>5</v>
      </c>
      <c r="P82" s="32">
        <v>0.625</v>
      </c>
      <c r="Q82" s="31">
        <v>3</v>
      </c>
      <c r="R82" s="31">
        <v>0</v>
      </c>
      <c r="S82" s="31">
        <v>0</v>
      </c>
      <c r="T82" s="32">
        <v>0</v>
      </c>
      <c r="U82" s="31">
        <v>0</v>
      </c>
      <c r="V82" s="32">
        <v>0</v>
      </c>
      <c r="W82" s="31">
        <v>24</v>
      </c>
      <c r="X82" s="32">
        <v>0.35820895522388058</v>
      </c>
      <c r="Y82" s="31">
        <v>24</v>
      </c>
      <c r="Z82" s="34">
        <v>0.35820895522388058</v>
      </c>
      <c r="AA82" s="31">
        <v>0</v>
      </c>
      <c r="AB82" s="32">
        <v>0</v>
      </c>
      <c r="AC82" s="31">
        <v>0</v>
      </c>
      <c r="AD82" s="32">
        <v>0</v>
      </c>
      <c r="AE82" s="31">
        <v>0</v>
      </c>
      <c r="AF82" s="32">
        <v>0</v>
      </c>
      <c r="AG82" s="31">
        <v>0</v>
      </c>
      <c r="AH82" s="32">
        <v>0</v>
      </c>
      <c r="AI82" s="35">
        <v>0</v>
      </c>
      <c r="AJ82" s="32">
        <v>0</v>
      </c>
      <c r="AK82" s="35">
        <v>0</v>
      </c>
      <c r="AL82" s="32">
        <v>0</v>
      </c>
      <c r="AM82" s="35">
        <v>0</v>
      </c>
      <c r="AN82" s="35">
        <v>0</v>
      </c>
      <c r="AO82" s="32">
        <v>0</v>
      </c>
      <c r="AP82" s="32">
        <v>0</v>
      </c>
      <c r="AQ82" s="33">
        <v>0</v>
      </c>
      <c r="AR82" s="33" t="s">
        <v>411</v>
      </c>
      <c r="AS82" s="33">
        <v>0</v>
      </c>
      <c r="AT82" s="35">
        <v>0</v>
      </c>
      <c r="AU82" s="35">
        <v>0</v>
      </c>
      <c r="AV82" s="35">
        <v>0</v>
      </c>
      <c r="AW82" s="35">
        <v>0</v>
      </c>
      <c r="AX82" s="35">
        <v>0</v>
      </c>
      <c r="AY82" s="35">
        <v>0</v>
      </c>
      <c r="AZ82" s="32">
        <v>0</v>
      </c>
      <c r="BA82" s="32">
        <v>0</v>
      </c>
      <c r="BB82" s="32">
        <v>0</v>
      </c>
      <c r="BC82" s="32">
        <v>0</v>
      </c>
      <c r="BD82" s="35">
        <v>0</v>
      </c>
      <c r="BE82" s="35">
        <v>0</v>
      </c>
      <c r="BF82" s="33" t="s">
        <v>412</v>
      </c>
      <c r="BG82" s="33" t="s">
        <v>412</v>
      </c>
      <c r="BH82" s="33">
        <v>1</v>
      </c>
    </row>
    <row r="83" spans="1:60" ht="19.5" customHeight="1">
      <c r="A83" s="36">
        <v>80</v>
      </c>
      <c r="B83" s="31" t="s">
        <v>410</v>
      </c>
      <c r="C83" s="37">
        <v>46187</v>
      </c>
      <c r="D83" s="31" t="s">
        <v>413</v>
      </c>
      <c r="E83" s="31">
        <v>2</v>
      </c>
      <c r="F83" s="31">
        <v>2</v>
      </c>
      <c r="G83" s="32">
        <v>1</v>
      </c>
      <c r="H83" s="31">
        <v>1</v>
      </c>
      <c r="I83" s="33">
        <v>0.5</v>
      </c>
      <c r="J83" s="31">
        <v>2</v>
      </c>
      <c r="K83" s="31">
        <v>2</v>
      </c>
      <c r="L83" s="32">
        <v>1</v>
      </c>
      <c r="M83" s="31">
        <v>7</v>
      </c>
      <c r="N83" s="31">
        <v>5</v>
      </c>
      <c r="O83" s="31">
        <v>7</v>
      </c>
      <c r="P83" s="32">
        <v>1</v>
      </c>
      <c r="Q83" s="31">
        <v>0</v>
      </c>
      <c r="R83" s="31">
        <v>0</v>
      </c>
      <c r="S83" s="31">
        <v>0</v>
      </c>
      <c r="T83" s="32">
        <v>0</v>
      </c>
      <c r="U83" s="31">
        <v>0</v>
      </c>
      <c r="V83" s="32">
        <v>0</v>
      </c>
      <c r="W83" s="31">
        <v>0</v>
      </c>
      <c r="X83" s="32">
        <v>0</v>
      </c>
      <c r="Y83" s="31">
        <v>0</v>
      </c>
      <c r="Z83" s="34">
        <v>0</v>
      </c>
      <c r="AA83" s="31">
        <v>0</v>
      </c>
      <c r="AB83" s="32">
        <v>0</v>
      </c>
      <c r="AC83" s="31">
        <v>0</v>
      </c>
      <c r="AD83" s="32">
        <v>0</v>
      </c>
      <c r="AE83" s="31">
        <v>0</v>
      </c>
      <c r="AF83" s="32">
        <v>0</v>
      </c>
      <c r="AG83" s="31">
        <v>0</v>
      </c>
      <c r="AH83" s="32">
        <v>0</v>
      </c>
      <c r="AI83" s="35">
        <v>0</v>
      </c>
      <c r="AJ83" s="32">
        <v>0</v>
      </c>
      <c r="AK83" s="35">
        <v>0</v>
      </c>
      <c r="AL83" s="32">
        <v>0</v>
      </c>
      <c r="AM83" s="35">
        <v>0</v>
      </c>
      <c r="AN83" s="35">
        <v>0</v>
      </c>
      <c r="AO83" s="32">
        <v>0</v>
      </c>
      <c r="AP83" s="32">
        <v>0</v>
      </c>
      <c r="AQ83" s="33"/>
      <c r="AR83" s="33" t="s">
        <v>411</v>
      </c>
      <c r="AS83" s="33" t="s">
        <v>411</v>
      </c>
      <c r="AT83" s="35">
        <v>0</v>
      </c>
      <c r="AU83" s="35">
        <v>0</v>
      </c>
      <c r="AV83" s="35">
        <v>0</v>
      </c>
      <c r="AW83" s="35">
        <v>0</v>
      </c>
      <c r="AX83" s="35">
        <v>0</v>
      </c>
      <c r="AY83" s="35">
        <v>0</v>
      </c>
      <c r="AZ83" s="32">
        <v>0</v>
      </c>
      <c r="BA83" s="32">
        <v>0</v>
      </c>
      <c r="BB83" s="32">
        <v>0</v>
      </c>
      <c r="BC83" s="32">
        <v>0</v>
      </c>
      <c r="BD83" s="35">
        <v>0</v>
      </c>
      <c r="BE83" s="35">
        <v>0</v>
      </c>
      <c r="BF83" s="33" t="s">
        <v>412</v>
      </c>
      <c r="BG83" s="33" t="s">
        <v>412</v>
      </c>
      <c r="BH83" s="33" t="s">
        <v>412</v>
      </c>
    </row>
    <row r="84" spans="1:60" ht="19.5" customHeight="1">
      <c r="A84" s="36">
        <v>81</v>
      </c>
      <c r="B84" s="31" t="s">
        <v>410</v>
      </c>
      <c r="C84" s="37">
        <v>46187</v>
      </c>
      <c r="D84" s="31" t="s">
        <v>335</v>
      </c>
      <c r="E84" s="31">
        <v>2952</v>
      </c>
      <c r="F84" s="31">
        <v>2535</v>
      </c>
      <c r="G84" s="32">
        <v>0.85873983739837401</v>
      </c>
      <c r="H84" s="31">
        <v>865</v>
      </c>
      <c r="I84" s="33">
        <v>0.29302168021680219</v>
      </c>
      <c r="J84" s="31">
        <v>2615</v>
      </c>
      <c r="K84" s="31">
        <v>2577</v>
      </c>
      <c r="L84" s="32">
        <v>0.98499999999999999</v>
      </c>
      <c r="M84" s="31">
        <v>13929</v>
      </c>
      <c r="N84" s="31">
        <v>13544</v>
      </c>
      <c r="O84" s="31">
        <v>13827</v>
      </c>
      <c r="P84" s="32">
        <v>0.99267714839543397</v>
      </c>
      <c r="Q84" s="31">
        <v>18</v>
      </c>
      <c r="R84" s="31">
        <v>0</v>
      </c>
      <c r="S84" s="31">
        <v>0</v>
      </c>
      <c r="T84" s="32">
        <v>0</v>
      </c>
      <c r="U84" s="31">
        <v>0</v>
      </c>
      <c r="V84" s="32">
        <v>0</v>
      </c>
      <c r="W84" s="31">
        <v>257</v>
      </c>
      <c r="X84" s="32">
        <v>8.7059620596205964E-2</v>
      </c>
      <c r="Y84" s="31">
        <v>1181</v>
      </c>
      <c r="Z84" s="34">
        <v>0.40006775067750677</v>
      </c>
      <c r="AA84" s="31">
        <v>26</v>
      </c>
      <c r="AB84" s="32">
        <v>8.8075880758807581E-3</v>
      </c>
      <c r="AC84" s="31">
        <v>293</v>
      </c>
      <c r="AD84" s="32">
        <v>9.9254742547425473E-2</v>
      </c>
      <c r="AE84" s="31">
        <v>32</v>
      </c>
      <c r="AF84" s="32">
        <v>0.1092150170648464</v>
      </c>
      <c r="AG84" s="31">
        <v>276</v>
      </c>
      <c r="AH84" s="32">
        <v>0.94197952218430037</v>
      </c>
      <c r="AI84" s="35">
        <v>273</v>
      </c>
      <c r="AJ84" s="32">
        <v>9.2479674796747971E-2</v>
      </c>
      <c r="AK84" s="35">
        <v>13</v>
      </c>
      <c r="AL84" s="32">
        <v>0.8571428571428571</v>
      </c>
      <c r="AM84" s="35">
        <v>261</v>
      </c>
      <c r="AN84" s="35">
        <v>234</v>
      </c>
      <c r="AO84" s="32">
        <v>7.926829268292683E-2</v>
      </c>
      <c r="AP84" s="32">
        <v>0.79863481228668942</v>
      </c>
      <c r="AQ84" s="33">
        <v>0.97489539748953979</v>
      </c>
      <c r="AR84" s="33" t="s">
        <v>411</v>
      </c>
      <c r="AS84" s="33">
        <v>0</v>
      </c>
      <c r="AT84" s="35">
        <v>0</v>
      </c>
      <c r="AU84" s="35">
        <v>0</v>
      </c>
      <c r="AV84" s="35">
        <v>160</v>
      </c>
      <c r="AW84" s="35">
        <v>156</v>
      </c>
      <c r="AX84" s="35">
        <v>151</v>
      </c>
      <c r="AY84" s="35">
        <v>36</v>
      </c>
      <c r="AZ84" s="32">
        <v>5.2845528455284563E-2</v>
      </c>
      <c r="BA84" s="32">
        <v>5.1151761517615177E-2</v>
      </c>
      <c r="BB84" s="32">
        <v>1.2195121951219509E-2</v>
      </c>
      <c r="BC84" s="32">
        <v>0.64529914529914534</v>
      </c>
      <c r="BD84" s="35">
        <v>0</v>
      </c>
      <c r="BE84" s="35">
        <v>0</v>
      </c>
      <c r="BF84" s="33">
        <v>1</v>
      </c>
      <c r="BG84" s="33">
        <v>1</v>
      </c>
      <c r="BH84" s="33" t="s">
        <v>412</v>
      </c>
    </row>
    <row r="85" spans="1:60" ht="19.5" customHeight="1">
      <c r="A85" s="36">
        <v>82</v>
      </c>
      <c r="B85" s="31" t="s">
        <v>410</v>
      </c>
      <c r="C85" s="37">
        <v>46187</v>
      </c>
      <c r="D85" s="31" t="s">
        <v>334</v>
      </c>
      <c r="E85" s="31">
        <v>2364</v>
      </c>
      <c r="F85" s="31">
        <v>1976</v>
      </c>
      <c r="G85" s="32">
        <v>0.83587140439932317</v>
      </c>
      <c r="H85" s="31">
        <v>1017</v>
      </c>
      <c r="I85" s="33">
        <v>0.43020304568527917</v>
      </c>
      <c r="J85" s="31">
        <v>2020</v>
      </c>
      <c r="K85" s="31">
        <v>1977</v>
      </c>
      <c r="L85" s="32">
        <v>0.97899999999999998</v>
      </c>
      <c r="M85" s="31">
        <v>10458</v>
      </c>
      <c r="N85" s="31">
        <v>10383</v>
      </c>
      <c r="O85" s="31">
        <v>10336</v>
      </c>
      <c r="P85" s="32">
        <v>0.98833428953910885</v>
      </c>
      <c r="Q85" s="31">
        <v>29</v>
      </c>
      <c r="R85" s="31">
        <v>0</v>
      </c>
      <c r="S85" s="31">
        <v>0</v>
      </c>
      <c r="T85" s="32">
        <v>0</v>
      </c>
      <c r="U85" s="31">
        <v>0</v>
      </c>
      <c r="V85" s="32">
        <v>0</v>
      </c>
      <c r="W85" s="31">
        <v>353</v>
      </c>
      <c r="X85" s="32">
        <v>0.14932318104906939</v>
      </c>
      <c r="Y85" s="31">
        <v>880</v>
      </c>
      <c r="Z85" s="34">
        <v>0.37225042301184441</v>
      </c>
      <c r="AA85" s="31">
        <v>11</v>
      </c>
      <c r="AB85" s="32">
        <v>4.6531302876480539E-3</v>
      </c>
      <c r="AC85" s="31">
        <v>294</v>
      </c>
      <c r="AD85" s="32">
        <v>0.12436548223350249</v>
      </c>
      <c r="AE85" s="31">
        <v>38</v>
      </c>
      <c r="AF85" s="32">
        <v>0.12925170068027211</v>
      </c>
      <c r="AG85" s="31">
        <v>278</v>
      </c>
      <c r="AH85" s="32">
        <v>0.94557823129251706</v>
      </c>
      <c r="AI85" s="35">
        <v>299</v>
      </c>
      <c r="AJ85" s="32">
        <v>0.12648054145516069</v>
      </c>
      <c r="AK85" s="35">
        <v>10</v>
      </c>
      <c r="AL85" s="32">
        <v>0.83612040133779264</v>
      </c>
      <c r="AM85" s="35">
        <v>286</v>
      </c>
      <c r="AN85" s="35">
        <v>250</v>
      </c>
      <c r="AO85" s="32">
        <v>0.1057529610829103</v>
      </c>
      <c r="AP85" s="32">
        <v>0.85034013605442171</v>
      </c>
      <c r="AQ85" s="33">
        <v>0.97993311036789299</v>
      </c>
      <c r="AR85" s="33" t="s">
        <v>411</v>
      </c>
      <c r="AS85" s="33">
        <v>0</v>
      </c>
      <c r="AT85" s="35">
        <v>0</v>
      </c>
      <c r="AU85" s="35">
        <v>0</v>
      </c>
      <c r="AV85" s="35">
        <v>117</v>
      </c>
      <c r="AW85" s="35">
        <v>115</v>
      </c>
      <c r="AX85" s="35">
        <v>108</v>
      </c>
      <c r="AY85" s="35">
        <v>34</v>
      </c>
      <c r="AZ85" s="32">
        <v>4.8646362098138753E-2</v>
      </c>
      <c r="BA85" s="32">
        <v>4.5685279187817257E-2</v>
      </c>
      <c r="BB85" s="32">
        <v>1.4382402707275799E-2</v>
      </c>
      <c r="BC85" s="32">
        <v>0.432</v>
      </c>
      <c r="BD85" s="35">
        <v>0</v>
      </c>
      <c r="BE85" s="35">
        <v>0</v>
      </c>
      <c r="BF85" s="33">
        <v>1</v>
      </c>
      <c r="BG85" s="33">
        <v>1</v>
      </c>
      <c r="BH85" s="33" t="s">
        <v>412</v>
      </c>
    </row>
    <row r="86" spans="1:60" ht="19.5" customHeight="1">
      <c r="A86" s="36">
        <v>83</v>
      </c>
      <c r="B86" s="31" t="s">
        <v>410</v>
      </c>
      <c r="C86" s="37">
        <v>46187</v>
      </c>
      <c r="D86" s="31" t="s">
        <v>337</v>
      </c>
      <c r="E86" s="31">
        <v>6432</v>
      </c>
      <c r="F86" s="31">
        <v>5363</v>
      </c>
      <c r="G86" s="32">
        <v>0.83379975124378114</v>
      </c>
      <c r="H86" s="31">
        <v>2157</v>
      </c>
      <c r="I86" s="33">
        <v>0.33535447761194032</v>
      </c>
      <c r="J86" s="31">
        <v>6754</v>
      </c>
      <c r="K86" s="31">
        <v>6565</v>
      </c>
      <c r="L86" s="32">
        <v>0.97199999999999998</v>
      </c>
      <c r="M86" s="31">
        <v>31463</v>
      </c>
      <c r="N86" s="31">
        <v>30155</v>
      </c>
      <c r="O86" s="31">
        <v>31064</v>
      </c>
      <c r="P86" s="32">
        <v>0.98731843752979687</v>
      </c>
      <c r="Q86" s="31">
        <v>56</v>
      </c>
      <c r="R86" s="31">
        <v>0</v>
      </c>
      <c r="S86" s="31">
        <v>0</v>
      </c>
      <c r="T86" s="32">
        <v>0</v>
      </c>
      <c r="U86" s="31">
        <v>0</v>
      </c>
      <c r="V86" s="32">
        <v>0</v>
      </c>
      <c r="W86" s="31">
        <v>591</v>
      </c>
      <c r="X86" s="32">
        <v>9.188432835820895E-2</v>
      </c>
      <c r="Y86" s="31">
        <v>1895</v>
      </c>
      <c r="Z86" s="34">
        <v>0.29462064676616923</v>
      </c>
      <c r="AA86" s="31">
        <v>28</v>
      </c>
      <c r="AB86" s="32">
        <v>4.3532338308457713E-3</v>
      </c>
      <c r="AC86" s="31">
        <v>1296</v>
      </c>
      <c r="AD86" s="32">
        <v>0.20149253731343281</v>
      </c>
      <c r="AE86" s="31">
        <v>183</v>
      </c>
      <c r="AF86" s="32">
        <v>0.14120370370370369</v>
      </c>
      <c r="AG86" s="31">
        <v>1253</v>
      </c>
      <c r="AH86" s="32">
        <v>0.96682098765432101</v>
      </c>
      <c r="AI86" s="35">
        <v>1360</v>
      </c>
      <c r="AJ86" s="32">
        <v>0.21144278606965181</v>
      </c>
      <c r="AK86" s="35">
        <v>54</v>
      </c>
      <c r="AL86" s="32">
        <v>0.88014705882352939</v>
      </c>
      <c r="AM86" s="35">
        <v>1298</v>
      </c>
      <c r="AN86" s="35">
        <v>1197</v>
      </c>
      <c r="AO86" s="32">
        <v>0.18610074626865669</v>
      </c>
      <c r="AP86" s="32">
        <v>0.92361111111111116</v>
      </c>
      <c r="AQ86" s="33">
        <v>0.9676674364896074</v>
      </c>
      <c r="AR86" s="33" t="s">
        <v>411</v>
      </c>
      <c r="AS86" s="33">
        <v>0</v>
      </c>
      <c r="AT86" s="35">
        <v>0</v>
      </c>
      <c r="AU86" s="35">
        <v>0</v>
      </c>
      <c r="AV86" s="35">
        <v>352</v>
      </c>
      <c r="AW86" s="35">
        <v>338</v>
      </c>
      <c r="AX86" s="35">
        <v>312</v>
      </c>
      <c r="AY86" s="35">
        <v>99</v>
      </c>
      <c r="AZ86" s="32">
        <v>5.2549751243781091E-2</v>
      </c>
      <c r="BA86" s="32">
        <v>4.8507462686567172E-2</v>
      </c>
      <c r="BB86" s="32">
        <v>1.539179104477612E-2</v>
      </c>
      <c r="BC86" s="32">
        <v>0.26065162907268169</v>
      </c>
      <c r="BD86" s="35">
        <v>0</v>
      </c>
      <c r="BE86" s="35">
        <v>0</v>
      </c>
      <c r="BF86" s="33">
        <v>0.98058252427184467</v>
      </c>
      <c r="BG86" s="33">
        <v>0.98863636363636365</v>
      </c>
      <c r="BH86" s="33" t="s">
        <v>412</v>
      </c>
    </row>
    <row r="87" spans="1:60" ht="19.5" customHeight="1">
      <c r="A87" s="36">
        <v>84</v>
      </c>
      <c r="B87" s="31" t="s">
        <v>410</v>
      </c>
      <c r="C87" s="37">
        <v>46187</v>
      </c>
      <c r="D87" s="31" t="s">
        <v>336</v>
      </c>
      <c r="E87" s="31">
        <v>4251</v>
      </c>
      <c r="F87" s="31">
        <v>3735</v>
      </c>
      <c r="G87" s="32">
        <v>0.8786167960479887</v>
      </c>
      <c r="H87" s="31">
        <v>2742</v>
      </c>
      <c r="I87" s="33">
        <v>0.64502470007057167</v>
      </c>
      <c r="J87" s="31">
        <v>6053</v>
      </c>
      <c r="K87" s="31">
        <v>5968</v>
      </c>
      <c r="L87" s="32">
        <v>0.98599999999999999</v>
      </c>
      <c r="M87" s="31">
        <v>21763</v>
      </c>
      <c r="N87" s="31">
        <v>21880</v>
      </c>
      <c r="O87" s="31">
        <v>21525</v>
      </c>
      <c r="P87" s="32">
        <v>0.98906400771952396</v>
      </c>
      <c r="Q87" s="31">
        <v>36</v>
      </c>
      <c r="R87" s="31">
        <v>0</v>
      </c>
      <c r="S87" s="31">
        <v>0</v>
      </c>
      <c r="T87" s="32">
        <v>0</v>
      </c>
      <c r="U87" s="31">
        <v>0</v>
      </c>
      <c r="V87" s="32">
        <v>0</v>
      </c>
      <c r="W87" s="31">
        <v>294</v>
      </c>
      <c r="X87" s="32">
        <v>6.9160197600564577E-2</v>
      </c>
      <c r="Y87" s="31">
        <v>1027</v>
      </c>
      <c r="Z87" s="34">
        <v>0.24159021406727829</v>
      </c>
      <c r="AA87" s="31">
        <v>59</v>
      </c>
      <c r="AB87" s="32">
        <v>1.387908727358269E-2</v>
      </c>
      <c r="AC87" s="31">
        <v>636</v>
      </c>
      <c r="AD87" s="32">
        <v>0.14961185603387439</v>
      </c>
      <c r="AE87" s="31">
        <v>92</v>
      </c>
      <c r="AF87" s="32">
        <v>0.14465408805031449</v>
      </c>
      <c r="AG87" s="31">
        <v>615</v>
      </c>
      <c r="AH87" s="32">
        <v>0.96698113207547165</v>
      </c>
      <c r="AI87" s="35">
        <v>613</v>
      </c>
      <c r="AJ87" s="32">
        <v>0.14420136438485059</v>
      </c>
      <c r="AK87" s="35">
        <v>44</v>
      </c>
      <c r="AL87" s="32">
        <v>0.90864600326264278</v>
      </c>
      <c r="AM87" s="35">
        <v>593</v>
      </c>
      <c r="AN87" s="35">
        <v>557</v>
      </c>
      <c r="AO87" s="32">
        <v>0.1310279934133145</v>
      </c>
      <c r="AP87" s="32">
        <v>0.87578616352201255</v>
      </c>
      <c r="AQ87" s="33">
        <v>0.96233521657250476</v>
      </c>
      <c r="AR87" s="33" t="s">
        <v>411</v>
      </c>
      <c r="AS87" s="33">
        <v>0</v>
      </c>
      <c r="AT87" s="35">
        <v>0</v>
      </c>
      <c r="AU87" s="35">
        <v>0</v>
      </c>
      <c r="AV87" s="35">
        <v>236</v>
      </c>
      <c r="AW87" s="35">
        <v>228</v>
      </c>
      <c r="AX87" s="35">
        <v>219</v>
      </c>
      <c r="AY87" s="35">
        <v>43</v>
      </c>
      <c r="AZ87" s="32">
        <v>5.3634438955539883E-2</v>
      </c>
      <c r="BA87" s="32">
        <v>5.1517290049400137E-2</v>
      </c>
      <c r="BB87" s="32">
        <v>1.0115266996000939E-2</v>
      </c>
      <c r="BC87" s="32">
        <v>0.39317773788150812</v>
      </c>
      <c r="BD87" s="35">
        <v>0</v>
      </c>
      <c r="BE87" s="35">
        <v>0</v>
      </c>
      <c r="BF87" s="33">
        <v>0.98333333333333328</v>
      </c>
      <c r="BG87" s="33">
        <v>0.97777777777777775</v>
      </c>
      <c r="BH87" s="33" t="s">
        <v>412</v>
      </c>
    </row>
    <row r="88" spans="1:60" ht="25.7" customHeight="1">
      <c r="A88" s="36">
        <v>85</v>
      </c>
      <c r="B88" s="31" t="s">
        <v>410</v>
      </c>
      <c r="C88" s="37">
        <v>46188</v>
      </c>
      <c r="D88" s="31"/>
      <c r="E88" s="31">
        <v>30</v>
      </c>
      <c r="F88" s="31">
        <v>30</v>
      </c>
      <c r="G88" s="32">
        <v>1</v>
      </c>
      <c r="H88" s="31">
        <v>30</v>
      </c>
      <c r="I88" s="33">
        <v>1</v>
      </c>
      <c r="J88" s="31">
        <v>0</v>
      </c>
      <c r="K88" s="31">
        <v>0</v>
      </c>
      <c r="L88" s="32">
        <v>0</v>
      </c>
      <c r="M88" s="31">
        <v>0</v>
      </c>
      <c r="N88" s="31">
        <v>0</v>
      </c>
      <c r="O88" s="31">
        <v>0</v>
      </c>
      <c r="P88" s="32">
        <v>0</v>
      </c>
      <c r="Q88" s="31">
        <v>0</v>
      </c>
      <c r="R88" s="31">
        <v>0</v>
      </c>
      <c r="S88" s="31">
        <v>0</v>
      </c>
      <c r="T88" s="32">
        <v>0</v>
      </c>
      <c r="U88" s="31">
        <v>0</v>
      </c>
      <c r="V88" s="32">
        <v>0</v>
      </c>
      <c r="W88" s="31">
        <v>9</v>
      </c>
      <c r="X88" s="32">
        <v>0.3</v>
      </c>
      <c r="Y88" s="31">
        <v>35</v>
      </c>
      <c r="Z88" s="34">
        <v>1.166666666666667</v>
      </c>
      <c r="AA88" s="31">
        <v>0</v>
      </c>
      <c r="AB88" s="32">
        <v>0</v>
      </c>
      <c r="AC88" s="31">
        <v>0</v>
      </c>
      <c r="AD88" s="32">
        <v>0</v>
      </c>
      <c r="AE88" s="31">
        <v>0</v>
      </c>
      <c r="AF88" s="32">
        <v>0</v>
      </c>
      <c r="AG88" s="31">
        <v>0</v>
      </c>
      <c r="AH88" s="32">
        <v>0</v>
      </c>
      <c r="AI88" s="35">
        <v>0</v>
      </c>
      <c r="AJ88" s="32">
        <v>0</v>
      </c>
      <c r="AK88" s="35">
        <v>0</v>
      </c>
      <c r="AL88" s="32">
        <v>0</v>
      </c>
      <c r="AM88" s="35">
        <v>0</v>
      </c>
      <c r="AN88" s="35">
        <v>0</v>
      </c>
      <c r="AO88" s="32">
        <v>0</v>
      </c>
      <c r="AP88" s="32">
        <v>0</v>
      </c>
      <c r="AQ88" s="33"/>
      <c r="AR88" s="33" t="s">
        <v>411</v>
      </c>
      <c r="AS88" s="33" t="s">
        <v>411</v>
      </c>
      <c r="AT88" s="35">
        <v>0</v>
      </c>
      <c r="AU88" s="35">
        <v>0</v>
      </c>
      <c r="AV88" s="35">
        <v>0</v>
      </c>
      <c r="AW88" s="35">
        <v>0</v>
      </c>
      <c r="AX88" s="35">
        <v>0</v>
      </c>
      <c r="AY88" s="35">
        <v>0</v>
      </c>
      <c r="AZ88" s="32">
        <v>0</v>
      </c>
      <c r="BA88" s="32">
        <v>0</v>
      </c>
      <c r="BB88" s="32">
        <v>0</v>
      </c>
      <c r="BC88" s="32">
        <v>0</v>
      </c>
      <c r="BD88" s="35">
        <v>0</v>
      </c>
      <c r="BE88" s="35">
        <v>0</v>
      </c>
      <c r="BF88" s="33" t="s">
        <v>412</v>
      </c>
      <c r="BG88" s="33" t="s">
        <v>412</v>
      </c>
      <c r="BH88" s="33">
        <v>0.9916666666666667</v>
      </c>
    </row>
    <row r="89" spans="1:60" ht="19.5" customHeight="1">
      <c r="A89" s="36">
        <v>86</v>
      </c>
      <c r="B89" s="31" t="s">
        <v>410</v>
      </c>
      <c r="C89" s="37">
        <v>46188</v>
      </c>
      <c r="D89" s="31" t="s">
        <v>413</v>
      </c>
      <c r="E89" s="31">
        <v>0</v>
      </c>
      <c r="F89" s="31">
        <v>0</v>
      </c>
      <c r="G89" s="32">
        <v>0</v>
      </c>
      <c r="H89" s="31">
        <v>0</v>
      </c>
      <c r="I89" s="33">
        <v>0</v>
      </c>
      <c r="J89" s="31">
        <v>0</v>
      </c>
      <c r="K89" s="31">
        <v>0</v>
      </c>
      <c r="L89" s="32">
        <v>0</v>
      </c>
      <c r="M89" s="31">
        <v>3</v>
      </c>
      <c r="N89" s="31">
        <v>2</v>
      </c>
      <c r="O89" s="31">
        <v>3</v>
      </c>
      <c r="P89" s="32">
        <v>1</v>
      </c>
      <c r="Q89" s="31">
        <v>0</v>
      </c>
      <c r="R89" s="31">
        <v>0</v>
      </c>
      <c r="S89" s="31">
        <v>0</v>
      </c>
      <c r="T89" s="32">
        <v>0</v>
      </c>
      <c r="U89" s="31">
        <v>0</v>
      </c>
      <c r="V89" s="32">
        <v>0</v>
      </c>
      <c r="W89" s="31">
        <v>0</v>
      </c>
      <c r="X89" s="32">
        <v>0</v>
      </c>
      <c r="Y89" s="31">
        <v>0</v>
      </c>
      <c r="Z89" s="34">
        <v>0</v>
      </c>
      <c r="AA89" s="31">
        <v>0</v>
      </c>
      <c r="AB89" s="32">
        <v>0</v>
      </c>
      <c r="AC89" s="31">
        <v>1</v>
      </c>
      <c r="AD89" s="32">
        <v>0</v>
      </c>
      <c r="AE89" s="31">
        <v>0</v>
      </c>
      <c r="AF89" s="32">
        <v>0</v>
      </c>
      <c r="AG89" s="31">
        <v>1</v>
      </c>
      <c r="AH89" s="32">
        <v>1</v>
      </c>
      <c r="AI89" s="35">
        <v>0</v>
      </c>
      <c r="AJ89" s="32">
        <v>0</v>
      </c>
      <c r="AK89" s="35">
        <v>0</v>
      </c>
      <c r="AL89" s="32">
        <v>0</v>
      </c>
      <c r="AM89" s="35">
        <v>0</v>
      </c>
      <c r="AN89" s="35">
        <v>0</v>
      </c>
      <c r="AO89" s="32">
        <v>0</v>
      </c>
      <c r="AP89" s="32">
        <v>0</v>
      </c>
      <c r="AQ89" s="33"/>
      <c r="AR89" s="33" t="s">
        <v>411</v>
      </c>
      <c r="AS89" s="33" t="s">
        <v>411</v>
      </c>
      <c r="AT89" s="35">
        <v>0</v>
      </c>
      <c r="AU89" s="35">
        <v>0</v>
      </c>
      <c r="AV89" s="35">
        <v>0</v>
      </c>
      <c r="AW89" s="35">
        <v>0</v>
      </c>
      <c r="AX89" s="35">
        <v>0</v>
      </c>
      <c r="AY89" s="35">
        <v>0</v>
      </c>
      <c r="AZ89" s="32">
        <v>0</v>
      </c>
      <c r="BA89" s="32">
        <v>0</v>
      </c>
      <c r="BB89" s="32">
        <v>0</v>
      </c>
      <c r="BC89" s="32">
        <v>0</v>
      </c>
      <c r="BD89" s="35">
        <v>0</v>
      </c>
      <c r="BE89" s="35">
        <v>0</v>
      </c>
      <c r="BF89" s="33" t="s">
        <v>412</v>
      </c>
      <c r="BG89" s="33" t="s">
        <v>412</v>
      </c>
      <c r="BH89" s="33" t="s">
        <v>412</v>
      </c>
    </row>
    <row r="90" spans="1:60" ht="19.5" customHeight="1">
      <c r="A90" s="36">
        <v>87</v>
      </c>
      <c r="B90" s="31" t="s">
        <v>410</v>
      </c>
      <c r="C90" s="37">
        <v>46188</v>
      </c>
      <c r="D90" s="31" t="s">
        <v>335</v>
      </c>
      <c r="E90" s="31">
        <v>2733</v>
      </c>
      <c r="F90" s="31">
        <v>2366</v>
      </c>
      <c r="G90" s="32">
        <v>0.86571533113794363</v>
      </c>
      <c r="H90" s="31">
        <v>921</v>
      </c>
      <c r="I90" s="33">
        <v>0.33699231613611408</v>
      </c>
      <c r="J90" s="31">
        <v>2631</v>
      </c>
      <c r="K90" s="31">
        <v>2576</v>
      </c>
      <c r="L90" s="32">
        <v>0.97899999999999998</v>
      </c>
      <c r="M90" s="31">
        <v>12958</v>
      </c>
      <c r="N90" s="31">
        <v>12754</v>
      </c>
      <c r="O90" s="31">
        <v>12808</v>
      </c>
      <c r="P90" s="32">
        <v>0.98842413952770491</v>
      </c>
      <c r="Q90" s="31">
        <v>22</v>
      </c>
      <c r="R90" s="31">
        <v>0</v>
      </c>
      <c r="S90" s="31">
        <v>0</v>
      </c>
      <c r="T90" s="32">
        <v>0</v>
      </c>
      <c r="U90" s="31">
        <v>0</v>
      </c>
      <c r="V90" s="32">
        <v>0</v>
      </c>
      <c r="W90" s="31">
        <v>267</v>
      </c>
      <c r="X90" s="32">
        <v>9.7694840834248078E-2</v>
      </c>
      <c r="Y90" s="31">
        <v>1224</v>
      </c>
      <c r="Z90" s="34">
        <v>0.4478594950603732</v>
      </c>
      <c r="AA90" s="31">
        <v>35</v>
      </c>
      <c r="AB90" s="32">
        <v>1.2806439809732889E-2</v>
      </c>
      <c r="AC90" s="31">
        <v>149</v>
      </c>
      <c r="AD90" s="32">
        <v>5.4518843761434323E-2</v>
      </c>
      <c r="AE90" s="31">
        <v>30</v>
      </c>
      <c r="AF90" s="32">
        <v>0.20134228187919459</v>
      </c>
      <c r="AG90" s="31">
        <v>142</v>
      </c>
      <c r="AH90" s="32">
        <v>0.95302013422818788</v>
      </c>
      <c r="AI90" s="35">
        <v>149</v>
      </c>
      <c r="AJ90" s="32">
        <v>5.4518843761434323E-2</v>
      </c>
      <c r="AK90" s="35">
        <v>12</v>
      </c>
      <c r="AL90" s="32">
        <v>0.79194630872483218</v>
      </c>
      <c r="AM90" s="35">
        <v>149</v>
      </c>
      <c r="AN90" s="35">
        <v>118</v>
      </c>
      <c r="AO90" s="32">
        <v>4.3175997072813763E-2</v>
      </c>
      <c r="AP90" s="32">
        <v>0.79194630872483218</v>
      </c>
      <c r="AQ90" s="33">
        <v>0.96370967741935487</v>
      </c>
      <c r="AR90" s="33" t="s">
        <v>411</v>
      </c>
      <c r="AS90" s="33">
        <v>0</v>
      </c>
      <c r="AT90" s="35">
        <v>0</v>
      </c>
      <c r="AU90" s="35">
        <v>0</v>
      </c>
      <c r="AV90" s="35">
        <v>37</v>
      </c>
      <c r="AW90" s="35">
        <v>26</v>
      </c>
      <c r="AX90" s="35">
        <v>29</v>
      </c>
      <c r="AY90" s="35">
        <v>68</v>
      </c>
      <c r="AZ90" s="32">
        <v>9.5133552872301505E-3</v>
      </c>
      <c r="BA90" s="32">
        <v>1.06110501280644E-2</v>
      </c>
      <c r="BB90" s="32">
        <v>2.4881083058909619E-2</v>
      </c>
      <c r="BC90" s="32">
        <v>0.24576271186440679</v>
      </c>
      <c r="BD90" s="35">
        <v>0</v>
      </c>
      <c r="BE90" s="35">
        <v>0</v>
      </c>
      <c r="BF90" s="33">
        <v>0.94736842105263153</v>
      </c>
      <c r="BG90" s="33">
        <v>0.88888888888888884</v>
      </c>
      <c r="BH90" s="33" t="s">
        <v>412</v>
      </c>
    </row>
    <row r="91" spans="1:60" ht="19.5" customHeight="1">
      <c r="A91" s="36">
        <v>88</v>
      </c>
      <c r="B91" s="31" t="s">
        <v>410</v>
      </c>
      <c r="C91" s="37">
        <v>46188</v>
      </c>
      <c r="D91" s="31" t="s">
        <v>334</v>
      </c>
      <c r="E91" s="31">
        <v>1876</v>
      </c>
      <c r="F91" s="31">
        <v>1660</v>
      </c>
      <c r="G91" s="32">
        <v>0.88486140724946694</v>
      </c>
      <c r="H91" s="31">
        <v>913</v>
      </c>
      <c r="I91" s="33">
        <v>0.48667377398720679</v>
      </c>
      <c r="J91" s="31">
        <v>2350</v>
      </c>
      <c r="K91" s="31">
        <v>2302</v>
      </c>
      <c r="L91" s="32">
        <v>0.98</v>
      </c>
      <c r="M91" s="31">
        <v>10532</v>
      </c>
      <c r="N91" s="31">
        <v>10098</v>
      </c>
      <c r="O91" s="31">
        <v>10390</v>
      </c>
      <c r="P91" s="32">
        <v>0.98651728066843902</v>
      </c>
      <c r="Q91" s="31">
        <v>34</v>
      </c>
      <c r="R91" s="31">
        <v>0</v>
      </c>
      <c r="S91" s="31">
        <v>0</v>
      </c>
      <c r="T91" s="32">
        <v>0</v>
      </c>
      <c r="U91" s="31">
        <v>0</v>
      </c>
      <c r="V91" s="32">
        <v>0</v>
      </c>
      <c r="W91" s="31">
        <v>202</v>
      </c>
      <c r="X91" s="32">
        <v>0.10767590618336891</v>
      </c>
      <c r="Y91" s="31">
        <v>677</v>
      </c>
      <c r="Z91" s="34">
        <v>0.36087420042643931</v>
      </c>
      <c r="AA91" s="31">
        <v>13</v>
      </c>
      <c r="AB91" s="32">
        <v>6.9296375266524523E-3</v>
      </c>
      <c r="AC91" s="31">
        <v>167</v>
      </c>
      <c r="AD91" s="32">
        <v>8.9019189765458417E-2</v>
      </c>
      <c r="AE91" s="31">
        <v>14</v>
      </c>
      <c r="AF91" s="32">
        <v>8.3832335329341312E-2</v>
      </c>
      <c r="AG91" s="31">
        <v>159</v>
      </c>
      <c r="AH91" s="32">
        <v>0.95209580838323349</v>
      </c>
      <c r="AI91" s="35">
        <v>159</v>
      </c>
      <c r="AJ91" s="32">
        <v>8.4754797441364604E-2</v>
      </c>
      <c r="AK91" s="35">
        <v>10</v>
      </c>
      <c r="AL91" s="32">
        <v>0.87421383647798745</v>
      </c>
      <c r="AM91" s="35">
        <v>153</v>
      </c>
      <c r="AN91" s="35">
        <v>139</v>
      </c>
      <c r="AO91" s="32">
        <v>7.4093816631130058E-2</v>
      </c>
      <c r="AP91" s="32">
        <v>0.83233532934131738</v>
      </c>
      <c r="AQ91" s="33">
        <v>0.94927536231884058</v>
      </c>
      <c r="AR91" s="33" t="s">
        <v>411</v>
      </c>
      <c r="AS91" s="33">
        <v>0</v>
      </c>
      <c r="AT91" s="35">
        <v>0</v>
      </c>
      <c r="AU91" s="35">
        <v>0</v>
      </c>
      <c r="AV91" s="35">
        <v>48</v>
      </c>
      <c r="AW91" s="35">
        <v>37</v>
      </c>
      <c r="AX91" s="35">
        <v>39</v>
      </c>
      <c r="AY91" s="35">
        <v>55</v>
      </c>
      <c r="AZ91" s="32">
        <v>1.9722814498933899E-2</v>
      </c>
      <c r="BA91" s="32">
        <v>2.078891257995736E-2</v>
      </c>
      <c r="BB91" s="32">
        <v>2.9317697228144989E-2</v>
      </c>
      <c r="BC91" s="32">
        <v>0.2805755395683453</v>
      </c>
      <c r="BD91" s="35">
        <v>0</v>
      </c>
      <c r="BE91" s="35">
        <v>0</v>
      </c>
      <c r="BF91" s="33">
        <v>1</v>
      </c>
      <c r="BG91" s="33">
        <v>1</v>
      </c>
      <c r="BH91" s="33" t="s">
        <v>412</v>
      </c>
    </row>
    <row r="92" spans="1:60" ht="19.5" customHeight="1">
      <c r="A92" s="36">
        <v>89</v>
      </c>
      <c r="B92" s="31" t="s">
        <v>410</v>
      </c>
      <c r="C92" s="37">
        <v>46188</v>
      </c>
      <c r="D92" s="31" t="s">
        <v>337</v>
      </c>
      <c r="E92" s="31">
        <v>4704</v>
      </c>
      <c r="F92" s="31">
        <v>4157</v>
      </c>
      <c r="G92" s="32">
        <v>0.88371598639455784</v>
      </c>
      <c r="H92" s="31">
        <v>1568</v>
      </c>
      <c r="I92" s="33">
        <v>0.33333333333333331</v>
      </c>
      <c r="J92" s="31">
        <v>4754</v>
      </c>
      <c r="K92" s="31">
        <v>4630</v>
      </c>
      <c r="L92" s="32">
        <v>0.97399999999999998</v>
      </c>
      <c r="M92" s="31">
        <v>27801</v>
      </c>
      <c r="N92" s="31">
        <v>25718</v>
      </c>
      <c r="O92" s="31">
        <v>27446</v>
      </c>
      <c r="P92" s="32">
        <v>0.98723067515556995</v>
      </c>
      <c r="Q92" s="31">
        <v>56</v>
      </c>
      <c r="R92" s="31">
        <v>0</v>
      </c>
      <c r="S92" s="31">
        <v>0</v>
      </c>
      <c r="T92" s="32">
        <v>0</v>
      </c>
      <c r="U92" s="31">
        <v>0</v>
      </c>
      <c r="V92" s="32">
        <v>0</v>
      </c>
      <c r="W92" s="31">
        <v>516</v>
      </c>
      <c r="X92" s="32">
        <v>0.10969387755102041</v>
      </c>
      <c r="Y92" s="31">
        <v>1836</v>
      </c>
      <c r="Z92" s="34">
        <v>0.39030612244897961</v>
      </c>
      <c r="AA92" s="31">
        <v>43</v>
      </c>
      <c r="AB92" s="32">
        <v>9.1411564625850338E-3</v>
      </c>
      <c r="AC92" s="31">
        <v>635</v>
      </c>
      <c r="AD92" s="32">
        <v>0.13499149659863949</v>
      </c>
      <c r="AE92" s="31">
        <v>112</v>
      </c>
      <c r="AF92" s="32">
        <v>0.17637795275590551</v>
      </c>
      <c r="AG92" s="31">
        <v>614</v>
      </c>
      <c r="AH92" s="32">
        <v>0.96692913385826773</v>
      </c>
      <c r="AI92" s="35">
        <v>676</v>
      </c>
      <c r="AJ92" s="32">
        <v>0.1437074829931973</v>
      </c>
      <c r="AK92" s="35">
        <v>45</v>
      </c>
      <c r="AL92" s="32">
        <v>0.89349112426035504</v>
      </c>
      <c r="AM92" s="35">
        <v>662</v>
      </c>
      <c r="AN92" s="35">
        <v>604</v>
      </c>
      <c r="AO92" s="32">
        <v>0.12840136054421769</v>
      </c>
      <c r="AP92" s="32">
        <v>0.95118110236220477</v>
      </c>
      <c r="AQ92" s="33">
        <v>0.97206703910614523</v>
      </c>
      <c r="AR92" s="33" t="s">
        <v>411</v>
      </c>
      <c r="AS92" s="33">
        <v>0</v>
      </c>
      <c r="AT92" s="35">
        <v>0</v>
      </c>
      <c r="AU92" s="35">
        <v>0</v>
      </c>
      <c r="AV92" s="35">
        <v>68</v>
      </c>
      <c r="AW92" s="35">
        <v>38</v>
      </c>
      <c r="AX92" s="35">
        <v>59</v>
      </c>
      <c r="AY92" s="35">
        <v>148</v>
      </c>
      <c r="AZ92" s="32">
        <v>8.0782312925170071E-3</v>
      </c>
      <c r="BA92" s="32">
        <v>1.2542517006802719E-2</v>
      </c>
      <c r="BB92" s="32">
        <v>3.1462585034013613E-2</v>
      </c>
      <c r="BC92" s="32">
        <v>9.7682119205298013E-2</v>
      </c>
      <c r="BD92" s="35">
        <v>0</v>
      </c>
      <c r="BE92" s="35">
        <v>0</v>
      </c>
      <c r="BF92" s="33">
        <v>0.98347107438016534</v>
      </c>
      <c r="BG92" s="33">
        <v>0.967741935483871</v>
      </c>
      <c r="BH92" s="33" t="s">
        <v>412</v>
      </c>
    </row>
    <row r="93" spans="1:60" ht="19.5" customHeight="1">
      <c r="A93" s="36">
        <v>90</v>
      </c>
      <c r="B93" s="31" t="s">
        <v>410</v>
      </c>
      <c r="C93" s="37">
        <v>46188</v>
      </c>
      <c r="D93" s="31" t="s">
        <v>336</v>
      </c>
      <c r="E93" s="31">
        <v>3584</v>
      </c>
      <c r="F93" s="31">
        <v>3165</v>
      </c>
      <c r="G93" s="32">
        <v>0.8830915178571429</v>
      </c>
      <c r="H93" s="31">
        <v>2321</v>
      </c>
      <c r="I93" s="33">
        <v>0.6476004464285714</v>
      </c>
      <c r="J93" s="31">
        <v>4142</v>
      </c>
      <c r="K93" s="31">
        <v>4069</v>
      </c>
      <c r="L93" s="32">
        <v>0.98199999999999998</v>
      </c>
      <c r="M93" s="31">
        <v>19990</v>
      </c>
      <c r="N93" s="31">
        <v>19608</v>
      </c>
      <c r="O93" s="31">
        <v>19736</v>
      </c>
      <c r="P93" s="32">
        <v>0.9872936468234117</v>
      </c>
      <c r="Q93" s="31">
        <v>37</v>
      </c>
      <c r="R93" s="31">
        <v>0</v>
      </c>
      <c r="S93" s="31">
        <v>0</v>
      </c>
      <c r="T93" s="32">
        <v>0</v>
      </c>
      <c r="U93" s="31">
        <v>0</v>
      </c>
      <c r="V93" s="32">
        <v>0</v>
      </c>
      <c r="W93" s="31">
        <v>253</v>
      </c>
      <c r="X93" s="32">
        <v>7.0591517857142863E-2</v>
      </c>
      <c r="Y93" s="31">
        <v>955</v>
      </c>
      <c r="Z93" s="34">
        <v>0.26646205357142849</v>
      </c>
      <c r="AA93" s="31">
        <v>78</v>
      </c>
      <c r="AB93" s="32">
        <v>2.176339285714286E-2</v>
      </c>
      <c r="AC93" s="31">
        <v>342</v>
      </c>
      <c r="AD93" s="32">
        <v>9.5424107142857137E-2</v>
      </c>
      <c r="AE93" s="31">
        <v>87</v>
      </c>
      <c r="AF93" s="32">
        <v>0.25438596491228072</v>
      </c>
      <c r="AG93" s="31">
        <v>333</v>
      </c>
      <c r="AH93" s="32">
        <v>0.97368421052631582</v>
      </c>
      <c r="AI93" s="35">
        <v>350</v>
      </c>
      <c r="AJ93" s="32">
        <v>9.765625E-2</v>
      </c>
      <c r="AK93" s="35">
        <v>38</v>
      </c>
      <c r="AL93" s="32">
        <v>0.95428571428571429</v>
      </c>
      <c r="AM93" s="35">
        <v>348</v>
      </c>
      <c r="AN93" s="35">
        <v>334</v>
      </c>
      <c r="AO93" s="32">
        <v>9.3191964285714288E-2</v>
      </c>
      <c r="AP93" s="32">
        <v>0.97660818713450293</v>
      </c>
      <c r="AQ93" s="33">
        <v>0.94954954954954951</v>
      </c>
      <c r="AR93" s="33" t="s">
        <v>411</v>
      </c>
      <c r="AS93" s="33">
        <v>0</v>
      </c>
      <c r="AT93" s="35">
        <v>0</v>
      </c>
      <c r="AU93" s="35">
        <v>0</v>
      </c>
      <c r="AV93" s="35">
        <v>47</v>
      </c>
      <c r="AW93" s="35">
        <v>40</v>
      </c>
      <c r="AX93" s="35">
        <v>48</v>
      </c>
      <c r="AY93" s="35">
        <v>80</v>
      </c>
      <c r="AZ93" s="32">
        <v>1.1160714285714289E-2</v>
      </c>
      <c r="BA93" s="32">
        <v>1.339285714285714E-2</v>
      </c>
      <c r="BB93" s="32">
        <v>2.2321428571428568E-2</v>
      </c>
      <c r="BC93" s="32">
        <v>0.1437125748502994</v>
      </c>
      <c r="BD93" s="35">
        <v>0</v>
      </c>
      <c r="BE93" s="35">
        <v>0</v>
      </c>
      <c r="BF93" s="33">
        <v>1</v>
      </c>
      <c r="BG93" s="33">
        <v>1</v>
      </c>
      <c r="BH93" s="33" t="s">
        <v>412</v>
      </c>
    </row>
    <row r="94" spans="1:60" ht="19.5" customHeight="1">
      <c r="A94" s="36">
        <v>91</v>
      </c>
      <c r="B94" s="31" t="s">
        <v>410</v>
      </c>
      <c r="C94" s="37">
        <v>46189</v>
      </c>
      <c r="D94" s="31"/>
      <c r="E94" s="31">
        <v>31</v>
      </c>
      <c r="F94" s="31">
        <v>30</v>
      </c>
      <c r="G94" s="32">
        <v>0.967741935483871</v>
      </c>
      <c r="H94" s="31">
        <v>31</v>
      </c>
      <c r="I94" s="33">
        <v>1</v>
      </c>
      <c r="J94" s="31">
        <v>0</v>
      </c>
      <c r="K94" s="31">
        <v>0</v>
      </c>
      <c r="L94" s="32">
        <v>0</v>
      </c>
      <c r="M94" s="31">
        <v>5</v>
      </c>
      <c r="N94" s="31">
        <v>3</v>
      </c>
      <c r="O94" s="31">
        <v>3</v>
      </c>
      <c r="P94" s="32">
        <v>0.6</v>
      </c>
      <c r="Q94" s="31">
        <v>2</v>
      </c>
      <c r="R94" s="31">
        <v>0</v>
      </c>
      <c r="S94" s="31">
        <v>0</v>
      </c>
      <c r="T94" s="32">
        <v>0</v>
      </c>
      <c r="U94" s="31">
        <v>0</v>
      </c>
      <c r="V94" s="32">
        <v>0</v>
      </c>
      <c r="W94" s="31">
        <v>12</v>
      </c>
      <c r="X94" s="32">
        <v>0.38709677419354838</v>
      </c>
      <c r="Y94" s="31">
        <v>15</v>
      </c>
      <c r="Z94" s="34">
        <v>0.4838709677419355</v>
      </c>
      <c r="AA94" s="31">
        <v>0</v>
      </c>
      <c r="AB94" s="32">
        <v>0</v>
      </c>
      <c r="AC94" s="31">
        <v>0</v>
      </c>
      <c r="AD94" s="32">
        <v>0</v>
      </c>
      <c r="AE94" s="31">
        <v>0</v>
      </c>
      <c r="AF94" s="32">
        <v>0</v>
      </c>
      <c r="AG94" s="31">
        <v>0</v>
      </c>
      <c r="AH94" s="32">
        <v>0</v>
      </c>
      <c r="AI94" s="35">
        <v>0</v>
      </c>
      <c r="AJ94" s="32">
        <v>0</v>
      </c>
      <c r="AK94" s="35">
        <v>0</v>
      </c>
      <c r="AL94" s="32">
        <v>0</v>
      </c>
      <c r="AM94" s="35">
        <v>0</v>
      </c>
      <c r="AN94" s="35">
        <v>0</v>
      </c>
      <c r="AO94" s="32">
        <v>0</v>
      </c>
      <c r="AP94" s="32">
        <v>0</v>
      </c>
      <c r="AQ94" s="33">
        <v>0</v>
      </c>
      <c r="AR94" s="33" t="s">
        <v>411</v>
      </c>
      <c r="AS94" s="33">
        <v>0</v>
      </c>
      <c r="AT94" s="35">
        <v>0</v>
      </c>
      <c r="AU94" s="35">
        <v>0</v>
      </c>
      <c r="AV94" s="35">
        <v>0</v>
      </c>
      <c r="AW94" s="35">
        <v>0</v>
      </c>
      <c r="AX94" s="35">
        <v>0</v>
      </c>
      <c r="AY94" s="35">
        <v>0</v>
      </c>
      <c r="AZ94" s="32">
        <v>0</v>
      </c>
      <c r="BA94" s="32">
        <v>0</v>
      </c>
      <c r="BB94" s="32">
        <v>0</v>
      </c>
      <c r="BC94" s="32">
        <v>0</v>
      </c>
      <c r="BD94" s="35">
        <v>0</v>
      </c>
      <c r="BE94" s="35">
        <v>1</v>
      </c>
      <c r="BF94" s="33" t="s">
        <v>412</v>
      </c>
      <c r="BG94" s="33" t="s">
        <v>412</v>
      </c>
      <c r="BH94" s="33">
        <v>0.98076923076923073</v>
      </c>
    </row>
    <row r="95" spans="1:60" ht="19.5" customHeight="1">
      <c r="A95" s="36">
        <v>92</v>
      </c>
      <c r="B95" s="31" t="s">
        <v>410</v>
      </c>
      <c r="C95" s="37">
        <v>46189</v>
      </c>
      <c r="D95" s="31" t="s">
        <v>413</v>
      </c>
      <c r="E95" s="31">
        <v>2</v>
      </c>
      <c r="F95" s="31">
        <v>2</v>
      </c>
      <c r="G95" s="32">
        <v>1</v>
      </c>
      <c r="H95" s="31">
        <v>0</v>
      </c>
      <c r="I95" s="33">
        <v>0</v>
      </c>
      <c r="J95" s="31">
        <v>1</v>
      </c>
      <c r="K95" s="31">
        <v>1</v>
      </c>
      <c r="L95" s="32">
        <v>1</v>
      </c>
      <c r="M95" s="31">
        <v>3</v>
      </c>
      <c r="N95" s="31">
        <v>2</v>
      </c>
      <c r="O95" s="31">
        <v>3</v>
      </c>
      <c r="P95" s="32">
        <v>1</v>
      </c>
      <c r="Q95" s="31">
        <v>0</v>
      </c>
      <c r="R95" s="31">
        <v>0</v>
      </c>
      <c r="S95" s="31">
        <v>0</v>
      </c>
      <c r="T95" s="32">
        <v>0</v>
      </c>
      <c r="U95" s="31">
        <v>0</v>
      </c>
      <c r="V95" s="32">
        <v>0</v>
      </c>
      <c r="W95" s="31">
        <v>0</v>
      </c>
      <c r="X95" s="32">
        <v>0</v>
      </c>
      <c r="Y95" s="31">
        <v>0</v>
      </c>
      <c r="Z95" s="34">
        <v>0</v>
      </c>
      <c r="AA95" s="31">
        <v>0</v>
      </c>
      <c r="AB95" s="32">
        <v>0</v>
      </c>
      <c r="AC95" s="31">
        <v>0</v>
      </c>
      <c r="AD95" s="32">
        <v>0</v>
      </c>
      <c r="AE95" s="31">
        <v>0</v>
      </c>
      <c r="AF95" s="32">
        <v>0</v>
      </c>
      <c r="AG95" s="31">
        <v>0</v>
      </c>
      <c r="AH95" s="32">
        <v>0</v>
      </c>
      <c r="AI95" s="35">
        <v>0</v>
      </c>
      <c r="AJ95" s="32">
        <v>0</v>
      </c>
      <c r="AK95" s="35">
        <v>0</v>
      </c>
      <c r="AL95" s="32">
        <v>0</v>
      </c>
      <c r="AM95" s="35">
        <v>0</v>
      </c>
      <c r="AN95" s="35">
        <v>0</v>
      </c>
      <c r="AO95" s="32">
        <v>0</v>
      </c>
      <c r="AP95" s="32">
        <v>0</v>
      </c>
      <c r="AQ95" s="33"/>
      <c r="AR95" s="33" t="s">
        <v>411</v>
      </c>
      <c r="AS95" s="33" t="s">
        <v>411</v>
      </c>
      <c r="AT95" s="35">
        <v>0</v>
      </c>
      <c r="AU95" s="35">
        <v>0</v>
      </c>
      <c r="AV95" s="35">
        <v>0</v>
      </c>
      <c r="AW95" s="35">
        <v>0</v>
      </c>
      <c r="AX95" s="35">
        <v>0</v>
      </c>
      <c r="AY95" s="35">
        <v>0</v>
      </c>
      <c r="AZ95" s="32">
        <v>0</v>
      </c>
      <c r="BA95" s="32">
        <v>0</v>
      </c>
      <c r="BB95" s="32">
        <v>0</v>
      </c>
      <c r="BC95" s="32">
        <v>0</v>
      </c>
      <c r="BD95" s="35">
        <v>0</v>
      </c>
      <c r="BE95" s="35">
        <v>0</v>
      </c>
      <c r="BF95" s="33" t="s">
        <v>412</v>
      </c>
      <c r="BG95" s="33" t="s">
        <v>412</v>
      </c>
      <c r="BH95" s="33" t="s">
        <v>412</v>
      </c>
    </row>
    <row r="96" spans="1:60" ht="19.5" customHeight="1">
      <c r="A96" s="36">
        <v>93</v>
      </c>
      <c r="B96" s="31" t="s">
        <v>410</v>
      </c>
      <c r="C96" s="37">
        <v>46189</v>
      </c>
      <c r="D96" s="31" t="s">
        <v>335</v>
      </c>
      <c r="E96" s="31">
        <v>2645</v>
      </c>
      <c r="F96" s="31">
        <v>2307</v>
      </c>
      <c r="G96" s="32">
        <v>0.87221172022684312</v>
      </c>
      <c r="H96" s="31">
        <v>944</v>
      </c>
      <c r="I96" s="33">
        <v>0.35689981096408319</v>
      </c>
      <c r="J96" s="31">
        <v>2324</v>
      </c>
      <c r="K96" s="31">
        <v>2290</v>
      </c>
      <c r="L96" s="32">
        <v>0.98499999999999999</v>
      </c>
      <c r="M96" s="31">
        <v>12866</v>
      </c>
      <c r="N96" s="31">
        <v>12528</v>
      </c>
      <c r="O96" s="31">
        <v>12735</v>
      </c>
      <c r="P96" s="32">
        <v>0.98981812529146584</v>
      </c>
      <c r="Q96" s="31">
        <v>21</v>
      </c>
      <c r="R96" s="31">
        <v>0</v>
      </c>
      <c r="S96" s="31">
        <v>0</v>
      </c>
      <c r="T96" s="32">
        <v>0</v>
      </c>
      <c r="U96" s="31">
        <v>0</v>
      </c>
      <c r="V96" s="32">
        <v>0</v>
      </c>
      <c r="W96" s="31">
        <v>503</v>
      </c>
      <c r="X96" s="32">
        <v>0.19017013232514179</v>
      </c>
      <c r="Y96" s="31">
        <v>973</v>
      </c>
      <c r="Z96" s="34">
        <v>0.36786389413988663</v>
      </c>
      <c r="AA96" s="31">
        <v>29</v>
      </c>
      <c r="AB96" s="32">
        <v>1.0964083175803401E-2</v>
      </c>
      <c r="AC96" s="31">
        <v>159</v>
      </c>
      <c r="AD96" s="32">
        <v>6.0113421550094519E-2</v>
      </c>
      <c r="AE96" s="31">
        <v>28</v>
      </c>
      <c r="AF96" s="32">
        <v>0.1761006289308176</v>
      </c>
      <c r="AG96" s="31">
        <v>145</v>
      </c>
      <c r="AH96" s="32">
        <v>0.91194968553459121</v>
      </c>
      <c r="AI96" s="35">
        <v>158</v>
      </c>
      <c r="AJ96" s="32">
        <v>5.9735349716446118E-2</v>
      </c>
      <c r="AK96" s="35">
        <v>8</v>
      </c>
      <c r="AL96" s="32">
        <v>0.84177215189873422</v>
      </c>
      <c r="AM96" s="35">
        <v>152</v>
      </c>
      <c r="AN96" s="35">
        <v>133</v>
      </c>
      <c r="AO96" s="32">
        <v>5.0283553875236288E-2</v>
      </c>
      <c r="AP96" s="32">
        <v>0.83647798742138368</v>
      </c>
      <c r="AQ96" s="33">
        <v>0.97857142857142854</v>
      </c>
      <c r="AR96" s="33" t="s">
        <v>411</v>
      </c>
      <c r="AS96" s="33">
        <v>0</v>
      </c>
      <c r="AT96" s="35">
        <v>0</v>
      </c>
      <c r="AU96" s="35">
        <v>0</v>
      </c>
      <c r="AV96" s="35">
        <v>33</v>
      </c>
      <c r="AW96" s="35">
        <v>28</v>
      </c>
      <c r="AX96" s="35">
        <v>32</v>
      </c>
      <c r="AY96" s="35">
        <v>64</v>
      </c>
      <c r="AZ96" s="32">
        <v>1.058601134215501E-2</v>
      </c>
      <c r="BA96" s="32">
        <v>1.2098298676748579E-2</v>
      </c>
      <c r="BB96" s="32">
        <v>2.4196597353497169E-2</v>
      </c>
      <c r="BC96" s="32">
        <v>0.24060150375939851</v>
      </c>
      <c r="BD96" s="35">
        <v>0</v>
      </c>
      <c r="BE96" s="35">
        <v>0</v>
      </c>
      <c r="BF96" s="33">
        <v>1</v>
      </c>
      <c r="BG96" s="33">
        <v>1</v>
      </c>
      <c r="BH96" s="33" t="s">
        <v>412</v>
      </c>
    </row>
    <row r="97" spans="1:60" ht="19.5" customHeight="1">
      <c r="A97" s="36">
        <v>94</v>
      </c>
      <c r="B97" s="31" t="s">
        <v>410</v>
      </c>
      <c r="C97" s="37">
        <v>46189</v>
      </c>
      <c r="D97" s="31" t="s">
        <v>334</v>
      </c>
      <c r="E97" s="31">
        <v>1795</v>
      </c>
      <c r="F97" s="31">
        <v>1565</v>
      </c>
      <c r="G97" s="32">
        <v>0.871866295264624</v>
      </c>
      <c r="H97" s="31">
        <v>794</v>
      </c>
      <c r="I97" s="33">
        <v>0.4423398328690808</v>
      </c>
      <c r="J97" s="31">
        <v>1594</v>
      </c>
      <c r="K97" s="31">
        <v>1561</v>
      </c>
      <c r="L97" s="32">
        <v>0.97899999999999998</v>
      </c>
      <c r="M97" s="31">
        <v>9378</v>
      </c>
      <c r="N97" s="31">
        <v>9227</v>
      </c>
      <c r="O97" s="31">
        <v>9257</v>
      </c>
      <c r="P97" s="32">
        <v>0.9870974621454468</v>
      </c>
      <c r="Q97" s="31">
        <v>14</v>
      </c>
      <c r="R97" s="31">
        <v>0</v>
      </c>
      <c r="S97" s="31">
        <v>0</v>
      </c>
      <c r="T97" s="32">
        <v>0</v>
      </c>
      <c r="U97" s="31">
        <v>0</v>
      </c>
      <c r="V97" s="32">
        <v>0</v>
      </c>
      <c r="W97" s="31">
        <v>536</v>
      </c>
      <c r="X97" s="32">
        <v>0.29860724233983288</v>
      </c>
      <c r="Y97" s="31">
        <v>504</v>
      </c>
      <c r="Z97" s="34">
        <v>0.28077994428969361</v>
      </c>
      <c r="AA97" s="31">
        <v>11</v>
      </c>
      <c r="AB97" s="32">
        <v>6.128133704735376E-3</v>
      </c>
      <c r="AC97" s="31">
        <v>133</v>
      </c>
      <c r="AD97" s="32">
        <v>7.4094707520891367E-2</v>
      </c>
      <c r="AE97" s="31">
        <v>19</v>
      </c>
      <c r="AF97" s="32">
        <v>0.14285714285714279</v>
      </c>
      <c r="AG97" s="31">
        <v>120</v>
      </c>
      <c r="AH97" s="32">
        <v>0.90225563909774431</v>
      </c>
      <c r="AI97" s="35">
        <v>121</v>
      </c>
      <c r="AJ97" s="32">
        <v>6.740947075208914E-2</v>
      </c>
      <c r="AK97" s="35">
        <v>8</v>
      </c>
      <c r="AL97" s="32">
        <v>0.80991735537190079</v>
      </c>
      <c r="AM97" s="35">
        <v>119</v>
      </c>
      <c r="AN97" s="35">
        <v>98</v>
      </c>
      <c r="AO97" s="32">
        <v>5.4596100278551531E-2</v>
      </c>
      <c r="AP97" s="32">
        <v>0.73684210526315785</v>
      </c>
      <c r="AQ97" s="33">
        <v>0.965034965034965</v>
      </c>
      <c r="AR97" s="33" t="s">
        <v>411</v>
      </c>
      <c r="AS97" s="33">
        <v>0</v>
      </c>
      <c r="AT97" s="35">
        <v>0</v>
      </c>
      <c r="AU97" s="35">
        <v>0</v>
      </c>
      <c r="AV97" s="35">
        <v>44</v>
      </c>
      <c r="AW97" s="35">
        <v>36</v>
      </c>
      <c r="AX97" s="35">
        <v>37</v>
      </c>
      <c r="AY97" s="35">
        <v>48</v>
      </c>
      <c r="AZ97" s="32">
        <v>2.0055710306406689E-2</v>
      </c>
      <c r="BA97" s="32">
        <v>2.0612813370473541E-2</v>
      </c>
      <c r="BB97" s="32">
        <v>2.674094707520891E-2</v>
      </c>
      <c r="BC97" s="32">
        <v>0.37755102040816318</v>
      </c>
      <c r="BD97" s="35">
        <v>0</v>
      </c>
      <c r="BE97" s="35">
        <v>1</v>
      </c>
      <c r="BF97" s="33">
        <v>0.9</v>
      </c>
      <c r="BG97" s="33">
        <v>1</v>
      </c>
      <c r="BH97" s="33" t="s">
        <v>412</v>
      </c>
    </row>
    <row r="98" spans="1:60" ht="19.5" customHeight="1">
      <c r="A98" s="36">
        <v>95</v>
      </c>
      <c r="B98" s="31" t="s">
        <v>410</v>
      </c>
      <c r="C98" s="37">
        <v>46189</v>
      </c>
      <c r="D98" s="31" t="s">
        <v>337</v>
      </c>
      <c r="E98" s="31">
        <v>4520</v>
      </c>
      <c r="F98" s="31">
        <v>3943</v>
      </c>
      <c r="G98" s="32">
        <v>0.87234513274336278</v>
      </c>
      <c r="H98" s="31">
        <v>1515</v>
      </c>
      <c r="I98" s="33">
        <v>0.33517699115044253</v>
      </c>
      <c r="J98" s="31">
        <v>3227</v>
      </c>
      <c r="K98" s="31">
        <v>3147</v>
      </c>
      <c r="L98" s="32">
        <v>0.97499999999999998</v>
      </c>
      <c r="M98" s="31">
        <v>24578</v>
      </c>
      <c r="N98" s="31">
        <v>24244</v>
      </c>
      <c r="O98" s="31">
        <v>24275</v>
      </c>
      <c r="P98" s="32">
        <v>0.98767190170070795</v>
      </c>
      <c r="Q98" s="31">
        <v>48</v>
      </c>
      <c r="R98" s="31">
        <v>0</v>
      </c>
      <c r="S98" s="31">
        <v>0</v>
      </c>
      <c r="T98" s="32">
        <v>0</v>
      </c>
      <c r="U98" s="31">
        <v>0</v>
      </c>
      <c r="V98" s="32">
        <v>0</v>
      </c>
      <c r="W98" s="31">
        <v>544</v>
      </c>
      <c r="X98" s="32">
        <v>0.120353982300885</v>
      </c>
      <c r="Y98" s="31">
        <v>1170</v>
      </c>
      <c r="Z98" s="34">
        <v>0.25884955752212391</v>
      </c>
      <c r="AA98" s="31">
        <v>51</v>
      </c>
      <c r="AB98" s="32">
        <v>1.1283185840707959E-2</v>
      </c>
      <c r="AC98" s="31">
        <v>694</v>
      </c>
      <c r="AD98" s="32">
        <v>0.15353982300884961</v>
      </c>
      <c r="AE98" s="31">
        <v>122</v>
      </c>
      <c r="AF98" s="32">
        <v>0.17579250720461101</v>
      </c>
      <c r="AG98" s="31">
        <v>656</v>
      </c>
      <c r="AH98" s="32">
        <v>0.94524495677233433</v>
      </c>
      <c r="AI98" s="35">
        <v>713</v>
      </c>
      <c r="AJ98" s="32">
        <v>0.15774336283185841</v>
      </c>
      <c r="AK98" s="35">
        <v>38</v>
      </c>
      <c r="AL98" s="32">
        <v>0.90883590462833097</v>
      </c>
      <c r="AM98" s="35">
        <v>710</v>
      </c>
      <c r="AN98" s="35">
        <v>648</v>
      </c>
      <c r="AO98" s="32">
        <v>0.14336283185840709</v>
      </c>
      <c r="AP98" s="32">
        <v>0.93371757925072041</v>
      </c>
      <c r="AQ98" s="33">
        <v>0.95565749235474007</v>
      </c>
      <c r="AR98" s="33" t="s">
        <v>411</v>
      </c>
      <c r="AS98" s="33">
        <v>0</v>
      </c>
      <c r="AT98" s="35">
        <v>0</v>
      </c>
      <c r="AU98" s="35">
        <v>0</v>
      </c>
      <c r="AV98" s="35">
        <v>84</v>
      </c>
      <c r="AW98" s="35">
        <v>57</v>
      </c>
      <c r="AX98" s="35">
        <v>70</v>
      </c>
      <c r="AY98" s="35">
        <v>133</v>
      </c>
      <c r="AZ98" s="32">
        <v>1.261061946902655E-2</v>
      </c>
      <c r="BA98" s="32">
        <v>1.548672566371681E-2</v>
      </c>
      <c r="BB98" s="32">
        <v>2.9424778761061952E-2</v>
      </c>
      <c r="BC98" s="32">
        <v>0.1080246913580247</v>
      </c>
      <c r="BD98" s="35">
        <v>0</v>
      </c>
      <c r="BE98" s="35">
        <v>0</v>
      </c>
      <c r="BF98" s="33">
        <v>0.98333333333333328</v>
      </c>
      <c r="BG98" s="33">
        <v>1</v>
      </c>
      <c r="BH98" s="33" t="s">
        <v>412</v>
      </c>
    </row>
    <row r="99" spans="1:60" ht="19.5" customHeight="1">
      <c r="A99" s="36">
        <v>96</v>
      </c>
      <c r="B99" s="31" t="s">
        <v>410</v>
      </c>
      <c r="C99" s="37">
        <v>46189</v>
      </c>
      <c r="D99" s="31" t="s">
        <v>336</v>
      </c>
      <c r="E99" s="31">
        <v>3545</v>
      </c>
      <c r="F99" s="31">
        <v>3158</v>
      </c>
      <c r="G99" s="32">
        <v>0.89083215796897042</v>
      </c>
      <c r="H99" s="31">
        <v>2296</v>
      </c>
      <c r="I99" s="33">
        <v>0.64767277856135397</v>
      </c>
      <c r="J99" s="31">
        <v>4826</v>
      </c>
      <c r="K99" s="31">
        <v>4760</v>
      </c>
      <c r="L99" s="32">
        <v>0.98599999999999999</v>
      </c>
      <c r="M99" s="31">
        <v>19873</v>
      </c>
      <c r="N99" s="31">
        <v>19994</v>
      </c>
      <c r="O99" s="31">
        <v>19641</v>
      </c>
      <c r="P99" s="32">
        <v>0.98832586926986365</v>
      </c>
      <c r="Q99" s="31">
        <v>25</v>
      </c>
      <c r="R99" s="31">
        <v>0</v>
      </c>
      <c r="S99" s="31">
        <v>0</v>
      </c>
      <c r="T99" s="32">
        <v>0</v>
      </c>
      <c r="U99" s="31">
        <v>0</v>
      </c>
      <c r="V99" s="32">
        <v>0</v>
      </c>
      <c r="W99" s="31">
        <v>711</v>
      </c>
      <c r="X99" s="32">
        <v>0.20056417489421721</v>
      </c>
      <c r="Y99" s="31">
        <v>695</v>
      </c>
      <c r="Z99" s="34">
        <v>0.19605077574047949</v>
      </c>
      <c r="AA99" s="31">
        <v>67</v>
      </c>
      <c r="AB99" s="32">
        <v>1.8899858956276449E-2</v>
      </c>
      <c r="AC99" s="31">
        <v>385</v>
      </c>
      <c r="AD99" s="32">
        <v>0.1086036671368124</v>
      </c>
      <c r="AE99" s="31">
        <v>73</v>
      </c>
      <c r="AF99" s="32">
        <v>0.18961038961038959</v>
      </c>
      <c r="AG99" s="31">
        <v>368</v>
      </c>
      <c r="AH99" s="32">
        <v>0.95584415584415583</v>
      </c>
      <c r="AI99" s="35">
        <v>394</v>
      </c>
      <c r="AJ99" s="32">
        <v>0.1111424541607898</v>
      </c>
      <c r="AK99" s="35">
        <v>45</v>
      </c>
      <c r="AL99" s="32">
        <v>0.91878172588832485</v>
      </c>
      <c r="AM99" s="35">
        <v>392</v>
      </c>
      <c r="AN99" s="35">
        <v>362</v>
      </c>
      <c r="AO99" s="32">
        <v>0.1021156558533145</v>
      </c>
      <c r="AP99" s="32">
        <v>0.94025974025974024</v>
      </c>
      <c r="AQ99" s="33">
        <v>0.94242424242424239</v>
      </c>
      <c r="AR99" s="33" t="s">
        <v>411</v>
      </c>
      <c r="AS99" s="33">
        <v>0</v>
      </c>
      <c r="AT99" s="35">
        <v>0</v>
      </c>
      <c r="AU99" s="35">
        <v>0</v>
      </c>
      <c r="AV99" s="35">
        <v>62</v>
      </c>
      <c r="AW99" s="35">
        <v>50</v>
      </c>
      <c r="AX99" s="35">
        <v>51</v>
      </c>
      <c r="AY99" s="35">
        <v>88</v>
      </c>
      <c r="AZ99" s="32">
        <v>1.4104372355430181E-2</v>
      </c>
      <c r="BA99" s="32">
        <v>1.438645980253879E-2</v>
      </c>
      <c r="BB99" s="32">
        <v>2.4823695345557121E-2</v>
      </c>
      <c r="BC99" s="32">
        <v>0.14088397790055249</v>
      </c>
      <c r="BD99" s="35">
        <v>0</v>
      </c>
      <c r="BE99" s="35">
        <v>0</v>
      </c>
      <c r="BF99" s="33">
        <v>1</v>
      </c>
      <c r="BG99" s="33">
        <v>1</v>
      </c>
      <c r="BH99" s="33" t="s">
        <v>412</v>
      </c>
    </row>
    <row r="100" spans="1:60" ht="19.5" customHeight="1">
      <c r="A100" s="36">
        <v>97</v>
      </c>
      <c r="B100" s="31" t="s">
        <v>410</v>
      </c>
      <c r="C100" s="37">
        <v>46190</v>
      </c>
      <c r="D100" s="31"/>
      <c r="E100" s="31">
        <v>19</v>
      </c>
      <c r="F100" s="31">
        <v>19</v>
      </c>
      <c r="G100" s="32">
        <v>1</v>
      </c>
      <c r="H100" s="31">
        <v>19</v>
      </c>
      <c r="I100" s="33">
        <v>1</v>
      </c>
      <c r="J100" s="31">
        <v>0</v>
      </c>
      <c r="K100" s="31">
        <v>0</v>
      </c>
      <c r="L100" s="32">
        <v>0</v>
      </c>
      <c r="M100" s="31">
        <v>2</v>
      </c>
      <c r="N100" s="31">
        <v>1</v>
      </c>
      <c r="O100" s="31">
        <v>1</v>
      </c>
      <c r="P100" s="32">
        <v>0.5</v>
      </c>
      <c r="Q100" s="31">
        <v>1</v>
      </c>
      <c r="R100" s="31">
        <v>0</v>
      </c>
      <c r="S100" s="31">
        <v>0</v>
      </c>
      <c r="T100" s="32">
        <v>0</v>
      </c>
      <c r="U100" s="31">
        <v>0</v>
      </c>
      <c r="V100" s="32">
        <v>0</v>
      </c>
      <c r="W100" s="31">
        <v>20</v>
      </c>
      <c r="X100" s="32">
        <v>1.0526315789473679</v>
      </c>
      <c r="Y100" s="31">
        <v>13</v>
      </c>
      <c r="Z100" s="34">
        <v>0.68421052631578949</v>
      </c>
      <c r="AA100" s="31">
        <v>0</v>
      </c>
      <c r="AB100" s="32">
        <v>0</v>
      </c>
      <c r="AC100" s="31">
        <v>0</v>
      </c>
      <c r="AD100" s="32">
        <v>0</v>
      </c>
      <c r="AE100" s="31">
        <v>0</v>
      </c>
      <c r="AF100" s="32">
        <v>0</v>
      </c>
      <c r="AG100" s="31">
        <v>0</v>
      </c>
      <c r="AH100" s="32">
        <v>0</v>
      </c>
      <c r="AI100" s="35">
        <v>0</v>
      </c>
      <c r="AJ100" s="32">
        <v>0</v>
      </c>
      <c r="AK100" s="35">
        <v>0</v>
      </c>
      <c r="AL100" s="32">
        <v>0</v>
      </c>
      <c r="AM100" s="35">
        <v>0</v>
      </c>
      <c r="AN100" s="35">
        <v>0</v>
      </c>
      <c r="AO100" s="32">
        <v>0</v>
      </c>
      <c r="AP100" s="32">
        <v>0</v>
      </c>
      <c r="AQ100" s="33"/>
      <c r="AR100" s="33" t="s">
        <v>411</v>
      </c>
      <c r="AS100" s="33" t="s">
        <v>411</v>
      </c>
      <c r="AT100" s="35">
        <v>0</v>
      </c>
      <c r="AU100" s="35">
        <v>0</v>
      </c>
      <c r="AV100" s="35">
        <v>0</v>
      </c>
      <c r="AW100" s="35">
        <v>0</v>
      </c>
      <c r="AX100" s="35">
        <v>0</v>
      </c>
      <c r="AY100" s="35">
        <v>0</v>
      </c>
      <c r="AZ100" s="32">
        <v>0</v>
      </c>
      <c r="BA100" s="32">
        <v>0</v>
      </c>
      <c r="BB100" s="32">
        <v>0</v>
      </c>
      <c r="BC100" s="32">
        <v>0</v>
      </c>
      <c r="BD100" s="35">
        <v>0</v>
      </c>
      <c r="BE100" s="35">
        <v>0</v>
      </c>
      <c r="BF100" s="33" t="s">
        <v>412</v>
      </c>
      <c r="BG100" s="33" t="s">
        <v>412</v>
      </c>
      <c r="BH100" s="33">
        <v>1</v>
      </c>
    </row>
    <row r="101" spans="1:60" ht="19.5" customHeight="1">
      <c r="A101" s="36">
        <v>98</v>
      </c>
      <c r="B101" s="31" t="s">
        <v>410</v>
      </c>
      <c r="C101" s="37">
        <v>46190</v>
      </c>
      <c r="D101" s="31" t="s">
        <v>413</v>
      </c>
      <c r="E101" s="31">
        <v>1</v>
      </c>
      <c r="F101" s="31">
        <v>1</v>
      </c>
      <c r="G101" s="32">
        <v>1</v>
      </c>
      <c r="H101" s="31">
        <v>0</v>
      </c>
      <c r="I101" s="33">
        <v>0</v>
      </c>
      <c r="J101" s="31">
        <v>3</v>
      </c>
      <c r="K101" s="31">
        <v>3</v>
      </c>
      <c r="L101" s="32">
        <v>1</v>
      </c>
      <c r="M101" s="31">
        <v>5</v>
      </c>
      <c r="N101" s="31">
        <v>4</v>
      </c>
      <c r="O101" s="31">
        <v>5</v>
      </c>
      <c r="P101" s="32">
        <v>1</v>
      </c>
      <c r="Q101" s="31">
        <v>0</v>
      </c>
      <c r="R101" s="31">
        <v>0</v>
      </c>
      <c r="S101" s="31">
        <v>0</v>
      </c>
      <c r="T101" s="32">
        <v>0</v>
      </c>
      <c r="U101" s="31">
        <v>0</v>
      </c>
      <c r="V101" s="32">
        <v>0</v>
      </c>
      <c r="W101" s="31">
        <v>0</v>
      </c>
      <c r="X101" s="32">
        <v>0</v>
      </c>
      <c r="Y101" s="31">
        <v>0</v>
      </c>
      <c r="Z101" s="34">
        <v>0</v>
      </c>
      <c r="AA101" s="31">
        <v>0</v>
      </c>
      <c r="AB101" s="32">
        <v>0</v>
      </c>
      <c r="AC101" s="31">
        <v>0</v>
      </c>
      <c r="AD101" s="32">
        <v>0</v>
      </c>
      <c r="AE101" s="31">
        <v>0</v>
      </c>
      <c r="AF101" s="32">
        <v>0</v>
      </c>
      <c r="AG101" s="31">
        <v>0</v>
      </c>
      <c r="AH101" s="32">
        <v>0</v>
      </c>
      <c r="AI101" s="35">
        <v>0</v>
      </c>
      <c r="AJ101" s="32">
        <v>0</v>
      </c>
      <c r="AK101" s="35">
        <v>0</v>
      </c>
      <c r="AL101" s="32">
        <v>0</v>
      </c>
      <c r="AM101" s="35">
        <v>0</v>
      </c>
      <c r="AN101" s="35">
        <v>0</v>
      </c>
      <c r="AO101" s="32">
        <v>0</v>
      </c>
      <c r="AP101" s="32">
        <v>0</v>
      </c>
      <c r="AQ101" s="33"/>
      <c r="AR101" s="33" t="s">
        <v>411</v>
      </c>
      <c r="AS101" s="33" t="s">
        <v>411</v>
      </c>
      <c r="AT101" s="35">
        <v>0</v>
      </c>
      <c r="AU101" s="35">
        <v>0</v>
      </c>
      <c r="AV101" s="35">
        <v>0</v>
      </c>
      <c r="AW101" s="35">
        <v>0</v>
      </c>
      <c r="AX101" s="35">
        <v>0</v>
      </c>
      <c r="AY101" s="35">
        <v>0</v>
      </c>
      <c r="AZ101" s="32">
        <v>0</v>
      </c>
      <c r="BA101" s="32">
        <v>0</v>
      </c>
      <c r="BB101" s="32">
        <v>0</v>
      </c>
      <c r="BC101" s="32">
        <v>0</v>
      </c>
      <c r="BD101" s="35">
        <v>0</v>
      </c>
      <c r="BE101" s="35">
        <v>0</v>
      </c>
      <c r="BF101" s="33" t="s">
        <v>412</v>
      </c>
      <c r="BG101" s="33" t="s">
        <v>412</v>
      </c>
      <c r="BH101" s="33" t="s">
        <v>412</v>
      </c>
    </row>
    <row r="102" spans="1:60" ht="19.5" customHeight="1">
      <c r="A102" s="36">
        <v>99</v>
      </c>
      <c r="B102" s="31" t="s">
        <v>410</v>
      </c>
      <c r="C102" s="37">
        <v>46190</v>
      </c>
      <c r="D102" s="31" t="s">
        <v>335</v>
      </c>
      <c r="E102" s="31">
        <v>2604</v>
      </c>
      <c r="F102" s="31">
        <v>2230</v>
      </c>
      <c r="G102" s="32">
        <v>0.85637480798771126</v>
      </c>
      <c r="H102" s="31">
        <v>907</v>
      </c>
      <c r="I102" s="33">
        <v>0.34831029185867901</v>
      </c>
      <c r="J102" s="31">
        <v>2372</v>
      </c>
      <c r="K102" s="31">
        <v>2307</v>
      </c>
      <c r="L102" s="32">
        <v>0.97299999999999998</v>
      </c>
      <c r="M102" s="31">
        <v>12184</v>
      </c>
      <c r="N102" s="31">
        <v>12182</v>
      </c>
      <c r="O102" s="31">
        <v>12018</v>
      </c>
      <c r="P102" s="32">
        <v>0.98637557452396585</v>
      </c>
      <c r="Q102" s="31">
        <v>16</v>
      </c>
      <c r="R102" s="31">
        <v>0</v>
      </c>
      <c r="S102" s="31">
        <v>0</v>
      </c>
      <c r="T102" s="32">
        <v>0</v>
      </c>
      <c r="U102" s="31">
        <v>0</v>
      </c>
      <c r="V102" s="32">
        <v>0</v>
      </c>
      <c r="W102" s="31">
        <v>310</v>
      </c>
      <c r="X102" s="32">
        <v>0.119047619047619</v>
      </c>
      <c r="Y102" s="31">
        <v>762</v>
      </c>
      <c r="Z102" s="34">
        <v>0.29262672811059909</v>
      </c>
      <c r="AA102" s="31">
        <v>44</v>
      </c>
      <c r="AB102" s="32">
        <v>1.689708141321045E-2</v>
      </c>
      <c r="AC102" s="31">
        <v>146</v>
      </c>
      <c r="AD102" s="32">
        <v>5.606758832565284E-2</v>
      </c>
      <c r="AE102" s="31">
        <v>15</v>
      </c>
      <c r="AF102" s="32">
        <v>0.1027397260273973</v>
      </c>
      <c r="AG102" s="31">
        <v>141</v>
      </c>
      <c r="AH102" s="32">
        <v>0.96575342465753422</v>
      </c>
      <c r="AI102" s="35">
        <v>140</v>
      </c>
      <c r="AJ102" s="32">
        <v>5.3763440860215048E-2</v>
      </c>
      <c r="AK102" s="35">
        <v>9</v>
      </c>
      <c r="AL102" s="32">
        <v>0.83571428571428574</v>
      </c>
      <c r="AM102" s="35">
        <v>137</v>
      </c>
      <c r="AN102" s="35">
        <v>117</v>
      </c>
      <c r="AO102" s="32">
        <v>4.4930875576036873E-2</v>
      </c>
      <c r="AP102" s="32">
        <v>0.80136986301369861</v>
      </c>
      <c r="AQ102" s="33">
        <v>0.97241379310344822</v>
      </c>
      <c r="AR102" s="33" t="s">
        <v>411</v>
      </c>
      <c r="AS102" s="33">
        <v>0</v>
      </c>
      <c r="AT102" s="35">
        <v>0</v>
      </c>
      <c r="AU102" s="35">
        <v>0</v>
      </c>
      <c r="AV102" s="35">
        <v>25</v>
      </c>
      <c r="AW102" s="35">
        <v>18</v>
      </c>
      <c r="AX102" s="35">
        <v>21</v>
      </c>
      <c r="AY102" s="35">
        <v>53</v>
      </c>
      <c r="AZ102" s="32">
        <v>6.9124423963133636E-3</v>
      </c>
      <c r="BA102" s="32">
        <v>8.0645161290322578E-3</v>
      </c>
      <c r="BB102" s="32">
        <v>2.0353302611367131E-2</v>
      </c>
      <c r="BC102" s="32">
        <v>0.17948717948717949</v>
      </c>
      <c r="BD102" s="35">
        <v>0</v>
      </c>
      <c r="BE102" s="35">
        <v>0</v>
      </c>
      <c r="BF102" s="33">
        <v>1</v>
      </c>
      <c r="BG102" s="33">
        <v>1</v>
      </c>
      <c r="BH102" s="33" t="s">
        <v>412</v>
      </c>
    </row>
    <row r="103" spans="1:60" ht="19.5" customHeight="1">
      <c r="A103" s="36">
        <v>100</v>
      </c>
      <c r="B103" s="31" t="s">
        <v>410</v>
      </c>
      <c r="C103" s="37">
        <v>46190</v>
      </c>
      <c r="D103" s="31" t="s">
        <v>334</v>
      </c>
      <c r="E103" s="31">
        <v>1897</v>
      </c>
      <c r="F103" s="31">
        <v>1628</v>
      </c>
      <c r="G103" s="32">
        <v>0.85819715340010538</v>
      </c>
      <c r="H103" s="31">
        <v>836</v>
      </c>
      <c r="I103" s="33">
        <v>0.44069583552978392</v>
      </c>
      <c r="J103" s="31">
        <v>1767</v>
      </c>
      <c r="K103" s="31">
        <v>1722</v>
      </c>
      <c r="L103" s="32">
        <v>0.97499999999999998</v>
      </c>
      <c r="M103" s="31">
        <v>9144</v>
      </c>
      <c r="N103" s="31">
        <v>9122</v>
      </c>
      <c r="O103" s="31">
        <v>9021</v>
      </c>
      <c r="P103" s="32">
        <v>0.98654855643044614</v>
      </c>
      <c r="Q103" s="31">
        <v>15</v>
      </c>
      <c r="R103" s="31">
        <v>0</v>
      </c>
      <c r="S103" s="31">
        <v>0</v>
      </c>
      <c r="T103" s="32">
        <v>0</v>
      </c>
      <c r="U103" s="31">
        <v>0</v>
      </c>
      <c r="V103" s="32">
        <v>0</v>
      </c>
      <c r="W103" s="31">
        <v>200</v>
      </c>
      <c r="X103" s="32">
        <v>0.1054296257248287</v>
      </c>
      <c r="Y103" s="31">
        <v>374</v>
      </c>
      <c r="Z103" s="34">
        <v>0.19715340010542959</v>
      </c>
      <c r="AA103" s="31">
        <v>14</v>
      </c>
      <c r="AB103" s="32">
        <v>7.3800738007380072E-3</v>
      </c>
      <c r="AC103" s="31">
        <v>142</v>
      </c>
      <c r="AD103" s="32">
        <v>7.4855034264628362E-2</v>
      </c>
      <c r="AE103" s="31">
        <v>26</v>
      </c>
      <c r="AF103" s="32">
        <v>0.18309859154929581</v>
      </c>
      <c r="AG103" s="31">
        <v>133</v>
      </c>
      <c r="AH103" s="32">
        <v>0.93661971830985913</v>
      </c>
      <c r="AI103" s="35">
        <v>131</v>
      </c>
      <c r="AJ103" s="32">
        <v>6.905640484976279E-2</v>
      </c>
      <c r="AK103" s="35">
        <v>9</v>
      </c>
      <c r="AL103" s="32">
        <v>0.87022900763358779</v>
      </c>
      <c r="AM103" s="35">
        <v>129</v>
      </c>
      <c r="AN103" s="35">
        <v>114</v>
      </c>
      <c r="AO103" s="32">
        <v>6.0094886663152353E-2</v>
      </c>
      <c r="AP103" s="32">
        <v>0.80281690140845074</v>
      </c>
      <c r="AQ103" s="33">
        <v>1</v>
      </c>
      <c r="AR103" s="33" t="s">
        <v>411</v>
      </c>
      <c r="AS103" s="33">
        <v>0</v>
      </c>
      <c r="AT103" s="35">
        <v>0</v>
      </c>
      <c r="AU103" s="35">
        <v>0</v>
      </c>
      <c r="AV103" s="35">
        <v>25</v>
      </c>
      <c r="AW103" s="35">
        <v>18</v>
      </c>
      <c r="AX103" s="35">
        <v>26</v>
      </c>
      <c r="AY103" s="35">
        <v>45</v>
      </c>
      <c r="AZ103" s="32">
        <v>9.4886663152345813E-3</v>
      </c>
      <c r="BA103" s="32">
        <v>1.3705851344227729E-2</v>
      </c>
      <c r="BB103" s="32">
        <v>2.372166578808645E-2</v>
      </c>
      <c r="BC103" s="32">
        <v>0.22807017543859651</v>
      </c>
      <c r="BD103" s="35">
        <v>0</v>
      </c>
      <c r="BE103" s="35">
        <v>1</v>
      </c>
      <c r="BF103" s="33">
        <v>1</v>
      </c>
      <c r="BG103" s="33">
        <v>0.76923076923076927</v>
      </c>
      <c r="BH103" s="33" t="s">
        <v>412</v>
      </c>
    </row>
    <row r="104" spans="1:60" ht="19.5" customHeight="1">
      <c r="A104" s="36">
        <v>101</v>
      </c>
      <c r="B104" s="31" t="s">
        <v>410</v>
      </c>
      <c r="C104" s="37">
        <v>46190</v>
      </c>
      <c r="D104" s="31" t="s">
        <v>337</v>
      </c>
      <c r="E104" s="31">
        <v>4745</v>
      </c>
      <c r="F104" s="31">
        <v>4068</v>
      </c>
      <c r="G104" s="32">
        <v>0.85732349841938882</v>
      </c>
      <c r="H104" s="31">
        <v>1496</v>
      </c>
      <c r="I104" s="33">
        <v>0.31527924130663859</v>
      </c>
      <c r="J104" s="31">
        <v>4200</v>
      </c>
      <c r="K104" s="31">
        <v>4124</v>
      </c>
      <c r="L104" s="32">
        <v>0.98199999999999998</v>
      </c>
      <c r="M104" s="31">
        <v>25400</v>
      </c>
      <c r="N104" s="31">
        <v>24667</v>
      </c>
      <c r="O104" s="31">
        <v>25109</v>
      </c>
      <c r="P104" s="32">
        <v>0.9885433070866142</v>
      </c>
      <c r="Q104" s="31">
        <v>29</v>
      </c>
      <c r="R104" s="31">
        <v>0</v>
      </c>
      <c r="S104" s="31">
        <v>0</v>
      </c>
      <c r="T104" s="32">
        <v>0</v>
      </c>
      <c r="U104" s="31">
        <v>0</v>
      </c>
      <c r="V104" s="32">
        <v>0</v>
      </c>
      <c r="W104" s="31">
        <v>547</v>
      </c>
      <c r="X104" s="32">
        <v>0.11527924130663859</v>
      </c>
      <c r="Y104" s="31">
        <v>1206</v>
      </c>
      <c r="Z104" s="34">
        <v>0.25416227608008429</v>
      </c>
      <c r="AA104" s="31">
        <v>47</v>
      </c>
      <c r="AB104" s="32">
        <v>9.9051633298208649E-3</v>
      </c>
      <c r="AC104" s="31">
        <v>672</v>
      </c>
      <c r="AD104" s="32">
        <v>0.14162276080084299</v>
      </c>
      <c r="AE104" s="31">
        <v>122</v>
      </c>
      <c r="AF104" s="32">
        <v>0.18154761904761901</v>
      </c>
      <c r="AG104" s="31">
        <v>635</v>
      </c>
      <c r="AH104" s="32">
        <v>0.94494047619047616</v>
      </c>
      <c r="AI104" s="35">
        <v>674</v>
      </c>
      <c r="AJ104" s="32">
        <v>0.14204425711275029</v>
      </c>
      <c r="AK104" s="35">
        <v>44</v>
      </c>
      <c r="AL104" s="32">
        <v>0.87833827893175076</v>
      </c>
      <c r="AM104" s="35">
        <v>663</v>
      </c>
      <c r="AN104" s="35">
        <v>592</v>
      </c>
      <c r="AO104" s="32">
        <v>0.1247629083245522</v>
      </c>
      <c r="AP104" s="32">
        <v>0.88095238095238093</v>
      </c>
      <c r="AQ104" s="33">
        <v>0.97025495750708213</v>
      </c>
      <c r="AR104" s="33" t="s">
        <v>411</v>
      </c>
      <c r="AS104" s="33">
        <v>0</v>
      </c>
      <c r="AT104" s="35">
        <v>0</v>
      </c>
      <c r="AU104" s="35">
        <v>0</v>
      </c>
      <c r="AV104" s="35">
        <v>40</v>
      </c>
      <c r="AW104" s="35">
        <v>20</v>
      </c>
      <c r="AX104" s="35">
        <v>32</v>
      </c>
      <c r="AY104" s="35">
        <v>147</v>
      </c>
      <c r="AZ104" s="32">
        <v>4.2149631190727078E-3</v>
      </c>
      <c r="BA104" s="32">
        <v>6.7439409905163334E-3</v>
      </c>
      <c r="BB104" s="32">
        <v>3.09799789251844E-2</v>
      </c>
      <c r="BC104" s="32">
        <v>5.4054054054054057E-2</v>
      </c>
      <c r="BD104" s="35">
        <v>0</v>
      </c>
      <c r="BE104" s="35">
        <v>0</v>
      </c>
      <c r="BF104" s="33">
        <v>1</v>
      </c>
      <c r="BG104" s="33">
        <v>1</v>
      </c>
      <c r="BH104" s="33" t="s">
        <v>412</v>
      </c>
    </row>
    <row r="105" spans="1:60" ht="19.5" customHeight="1">
      <c r="A105" s="36">
        <v>102</v>
      </c>
      <c r="B105" s="31" t="s">
        <v>410</v>
      </c>
      <c r="C105" s="37">
        <v>46190</v>
      </c>
      <c r="D105" s="31" t="s">
        <v>336</v>
      </c>
      <c r="E105" s="31">
        <v>3392</v>
      </c>
      <c r="F105" s="31">
        <v>3056</v>
      </c>
      <c r="G105" s="32">
        <v>0.90094339622641506</v>
      </c>
      <c r="H105" s="31">
        <v>2167</v>
      </c>
      <c r="I105" s="33">
        <v>0.63885613207547165</v>
      </c>
      <c r="J105" s="31">
        <v>3597</v>
      </c>
      <c r="K105" s="31">
        <v>3538</v>
      </c>
      <c r="L105" s="32">
        <v>0.98399999999999999</v>
      </c>
      <c r="M105" s="31">
        <v>19090</v>
      </c>
      <c r="N105" s="31">
        <v>18880</v>
      </c>
      <c r="O105" s="31">
        <v>18904</v>
      </c>
      <c r="P105" s="32">
        <v>0.99025667888947089</v>
      </c>
      <c r="Q105" s="31">
        <v>12</v>
      </c>
      <c r="R105" s="31">
        <v>0</v>
      </c>
      <c r="S105" s="31">
        <v>0</v>
      </c>
      <c r="T105" s="32">
        <v>0</v>
      </c>
      <c r="U105" s="31">
        <v>0</v>
      </c>
      <c r="V105" s="32">
        <v>0</v>
      </c>
      <c r="W105" s="31">
        <v>240</v>
      </c>
      <c r="X105" s="32">
        <v>7.0754716981132074E-2</v>
      </c>
      <c r="Y105" s="31">
        <v>650</v>
      </c>
      <c r="Z105" s="34">
        <v>0.191627358490566</v>
      </c>
      <c r="AA105" s="31">
        <v>67</v>
      </c>
      <c r="AB105" s="32">
        <v>1.975235849056604E-2</v>
      </c>
      <c r="AC105" s="31">
        <v>407</v>
      </c>
      <c r="AD105" s="32">
        <v>0.1199882075471698</v>
      </c>
      <c r="AE105" s="31">
        <v>84</v>
      </c>
      <c r="AF105" s="32">
        <v>0.2063882063882064</v>
      </c>
      <c r="AG105" s="31">
        <v>386</v>
      </c>
      <c r="AH105" s="32">
        <v>0.94840294840294836</v>
      </c>
      <c r="AI105" s="35">
        <v>408</v>
      </c>
      <c r="AJ105" s="32">
        <v>0.1202830188679245</v>
      </c>
      <c r="AK105" s="35">
        <v>52</v>
      </c>
      <c r="AL105" s="32">
        <v>0.94362745098039214</v>
      </c>
      <c r="AM105" s="35">
        <v>405</v>
      </c>
      <c r="AN105" s="35">
        <v>385</v>
      </c>
      <c r="AO105" s="32">
        <v>0.113502358490566</v>
      </c>
      <c r="AP105" s="32">
        <v>0.94594594594594594</v>
      </c>
      <c r="AQ105" s="33">
        <v>0.96457765667574935</v>
      </c>
      <c r="AR105" s="33" t="s">
        <v>411</v>
      </c>
      <c r="AS105" s="33">
        <v>0</v>
      </c>
      <c r="AT105" s="35">
        <v>0</v>
      </c>
      <c r="AU105" s="35">
        <v>0</v>
      </c>
      <c r="AV105" s="35">
        <v>30</v>
      </c>
      <c r="AW105" s="35">
        <v>21</v>
      </c>
      <c r="AX105" s="35">
        <v>25</v>
      </c>
      <c r="AY105" s="35">
        <v>89</v>
      </c>
      <c r="AZ105" s="32">
        <v>6.191037735849057E-3</v>
      </c>
      <c r="BA105" s="32">
        <v>7.3702830188679246E-3</v>
      </c>
      <c r="BB105" s="32">
        <v>2.6238207547169809E-2</v>
      </c>
      <c r="BC105" s="32">
        <v>6.4935064935064929E-2</v>
      </c>
      <c r="BD105" s="35">
        <v>0</v>
      </c>
      <c r="BE105" s="35">
        <v>0</v>
      </c>
      <c r="BF105" s="33">
        <v>0.97368421052631582</v>
      </c>
      <c r="BG105" s="33">
        <v>1</v>
      </c>
      <c r="BH105" s="33" t="s">
        <v>412</v>
      </c>
    </row>
    <row r="106" spans="1:60" ht="19.5" customHeight="1">
      <c r="A106" s="36">
        <v>103</v>
      </c>
      <c r="B106" s="31" t="s">
        <v>410</v>
      </c>
      <c r="C106" s="37">
        <v>46191</v>
      </c>
      <c r="D106" s="31"/>
      <c r="E106" s="31">
        <v>18</v>
      </c>
      <c r="F106" s="31">
        <v>18</v>
      </c>
      <c r="G106" s="32">
        <v>1</v>
      </c>
      <c r="H106" s="31">
        <v>18</v>
      </c>
      <c r="I106" s="33">
        <v>1</v>
      </c>
      <c r="J106" s="31">
        <v>0</v>
      </c>
      <c r="K106" s="31">
        <v>0</v>
      </c>
      <c r="L106" s="32">
        <v>0</v>
      </c>
      <c r="M106" s="31">
        <v>1</v>
      </c>
      <c r="N106" s="31">
        <v>0</v>
      </c>
      <c r="O106" s="31">
        <v>0</v>
      </c>
      <c r="P106" s="32">
        <v>0</v>
      </c>
      <c r="Q106" s="31">
        <v>1</v>
      </c>
      <c r="R106" s="31">
        <v>0</v>
      </c>
      <c r="S106" s="31">
        <v>0</v>
      </c>
      <c r="T106" s="32">
        <v>0</v>
      </c>
      <c r="U106" s="31">
        <v>0</v>
      </c>
      <c r="V106" s="32">
        <v>0</v>
      </c>
      <c r="W106" s="31">
        <v>7</v>
      </c>
      <c r="X106" s="32">
        <v>0.3888888888888889</v>
      </c>
      <c r="Y106" s="31">
        <v>8</v>
      </c>
      <c r="Z106" s="34">
        <v>0.44444444444444442</v>
      </c>
      <c r="AA106" s="31">
        <v>0</v>
      </c>
      <c r="AB106" s="32">
        <v>0</v>
      </c>
      <c r="AC106" s="31">
        <v>0</v>
      </c>
      <c r="AD106" s="32">
        <v>0</v>
      </c>
      <c r="AE106" s="31">
        <v>0</v>
      </c>
      <c r="AF106" s="32">
        <v>0</v>
      </c>
      <c r="AG106" s="31">
        <v>0</v>
      </c>
      <c r="AH106" s="32">
        <v>0</v>
      </c>
      <c r="AI106" s="35">
        <v>0</v>
      </c>
      <c r="AJ106" s="32">
        <v>0</v>
      </c>
      <c r="AK106" s="35">
        <v>0</v>
      </c>
      <c r="AL106" s="32">
        <v>0</v>
      </c>
      <c r="AM106" s="35">
        <v>0</v>
      </c>
      <c r="AN106" s="35">
        <v>0</v>
      </c>
      <c r="AO106" s="32">
        <v>0</v>
      </c>
      <c r="AP106" s="32">
        <v>0</v>
      </c>
      <c r="AQ106" s="33"/>
      <c r="AR106" s="33" t="s">
        <v>411</v>
      </c>
      <c r="AS106" s="33" t="s">
        <v>411</v>
      </c>
      <c r="AT106" s="35">
        <v>0</v>
      </c>
      <c r="AU106" s="35">
        <v>0</v>
      </c>
      <c r="AV106" s="35">
        <v>0</v>
      </c>
      <c r="AW106" s="35">
        <v>0</v>
      </c>
      <c r="AX106" s="35">
        <v>0</v>
      </c>
      <c r="AY106" s="35">
        <v>0</v>
      </c>
      <c r="AZ106" s="32">
        <v>0</v>
      </c>
      <c r="BA106" s="32">
        <v>0</v>
      </c>
      <c r="BB106" s="32">
        <v>0</v>
      </c>
      <c r="BC106" s="32">
        <v>0</v>
      </c>
      <c r="BD106" s="35">
        <v>0</v>
      </c>
      <c r="BE106" s="35">
        <v>0</v>
      </c>
      <c r="BF106" s="33" t="s">
        <v>412</v>
      </c>
      <c r="BG106" s="33" t="s">
        <v>412</v>
      </c>
      <c r="BH106" s="33">
        <v>0.98</v>
      </c>
    </row>
    <row r="107" spans="1:60" ht="19.5" customHeight="1">
      <c r="A107" s="36">
        <v>104</v>
      </c>
      <c r="B107" s="31" t="s">
        <v>410</v>
      </c>
      <c r="C107" s="37">
        <v>46191</v>
      </c>
      <c r="D107" s="31" t="s">
        <v>413</v>
      </c>
      <c r="E107" s="31">
        <v>0</v>
      </c>
      <c r="F107" s="31">
        <v>0</v>
      </c>
      <c r="G107" s="32">
        <v>0</v>
      </c>
      <c r="H107" s="31">
        <v>0</v>
      </c>
      <c r="I107" s="33">
        <v>0</v>
      </c>
      <c r="J107" s="31">
        <v>0</v>
      </c>
      <c r="K107" s="31">
        <v>0</v>
      </c>
      <c r="L107" s="32">
        <v>0</v>
      </c>
      <c r="M107" s="31">
        <v>1</v>
      </c>
      <c r="N107" s="31">
        <v>1</v>
      </c>
      <c r="O107" s="31">
        <v>1</v>
      </c>
      <c r="P107" s="32">
        <v>1</v>
      </c>
      <c r="Q107" s="31">
        <v>0</v>
      </c>
      <c r="R107" s="31">
        <v>0</v>
      </c>
      <c r="S107" s="31">
        <v>0</v>
      </c>
      <c r="T107" s="32">
        <v>0</v>
      </c>
      <c r="U107" s="31">
        <v>0</v>
      </c>
      <c r="V107" s="32">
        <v>0</v>
      </c>
      <c r="W107" s="31">
        <v>0</v>
      </c>
      <c r="X107" s="32">
        <v>0</v>
      </c>
      <c r="Y107" s="31">
        <v>0</v>
      </c>
      <c r="Z107" s="34">
        <v>0</v>
      </c>
      <c r="AA107" s="31">
        <v>0</v>
      </c>
      <c r="AB107" s="32">
        <v>0</v>
      </c>
      <c r="AC107" s="31">
        <v>0</v>
      </c>
      <c r="AD107" s="32">
        <v>0</v>
      </c>
      <c r="AE107" s="31">
        <v>0</v>
      </c>
      <c r="AF107" s="32">
        <v>0</v>
      </c>
      <c r="AG107" s="31">
        <v>0</v>
      </c>
      <c r="AH107" s="32">
        <v>0</v>
      </c>
      <c r="AI107" s="35">
        <v>0</v>
      </c>
      <c r="AJ107" s="32">
        <v>0</v>
      </c>
      <c r="AK107" s="35">
        <v>0</v>
      </c>
      <c r="AL107" s="32">
        <v>0</v>
      </c>
      <c r="AM107" s="35">
        <v>0</v>
      </c>
      <c r="AN107" s="35">
        <v>0</v>
      </c>
      <c r="AO107" s="32">
        <v>0</v>
      </c>
      <c r="AP107" s="32">
        <v>0</v>
      </c>
      <c r="AQ107" s="33"/>
      <c r="AR107" s="33" t="s">
        <v>411</v>
      </c>
      <c r="AS107" s="33" t="s">
        <v>411</v>
      </c>
      <c r="AT107" s="35">
        <v>0</v>
      </c>
      <c r="AU107" s="35">
        <v>0</v>
      </c>
      <c r="AV107" s="35">
        <v>0</v>
      </c>
      <c r="AW107" s="35">
        <v>0</v>
      </c>
      <c r="AX107" s="35">
        <v>0</v>
      </c>
      <c r="AY107" s="35">
        <v>0</v>
      </c>
      <c r="AZ107" s="32">
        <v>0</v>
      </c>
      <c r="BA107" s="32">
        <v>0</v>
      </c>
      <c r="BB107" s="32">
        <v>0</v>
      </c>
      <c r="BC107" s="32">
        <v>0</v>
      </c>
      <c r="BD107" s="35">
        <v>0</v>
      </c>
      <c r="BE107" s="35">
        <v>0</v>
      </c>
      <c r="BF107" s="33" t="s">
        <v>412</v>
      </c>
      <c r="BG107" s="33" t="s">
        <v>412</v>
      </c>
      <c r="BH107" s="33" t="s">
        <v>412</v>
      </c>
    </row>
    <row r="108" spans="1:60" ht="19.5" customHeight="1">
      <c r="A108" s="36">
        <v>105</v>
      </c>
      <c r="B108" s="31" t="s">
        <v>410</v>
      </c>
      <c r="C108" s="37">
        <v>46191</v>
      </c>
      <c r="D108" s="31" t="s">
        <v>335</v>
      </c>
      <c r="E108" s="31">
        <v>2621</v>
      </c>
      <c r="F108" s="31">
        <v>2293</v>
      </c>
      <c r="G108" s="32">
        <v>0.87485692483784816</v>
      </c>
      <c r="H108" s="31">
        <v>942</v>
      </c>
      <c r="I108" s="33">
        <v>0.35940480732544827</v>
      </c>
      <c r="J108" s="31">
        <v>2089</v>
      </c>
      <c r="K108" s="31">
        <v>2054</v>
      </c>
      <c r="L108" s="32">
        <v>0.98299999999999998</v>
      </c>
      <c r="M108" s="31">
        <v>11979</v>
      </c>
      <c r="N108" s="31">
        <v>11913</v>
      </c>
      <c r="O108" s="31">
        <v>11827</v>
      </c>
      <c r="P108" s="32">
        <v>0.98731112780699559</v>
      </c>
      <c r="Q108" s="31">
        <v>15</v>
      </c>
      <c r="R108" s="31">
        <v>0</v>
      </c>
      <c r="S108" s="31">
        <v>0</v>
      </c>
      <c r="T108" s="32">
        <v>0</v>
      </c>
      <c r="U108" s="31">
        <v>0</v>
      </c>
      <c r="V108" s="32">
        <v>0</v>
      </c>
      <c r="W108" s="31">
        <v>199</v>
      </c>
      <c r="X108" s="32">
        <v>7.5925219381915293E-2</v>
      </c>
      <c r="Y108" s="31">
        <v>1058</v>
      </c>
      <c r="Z108" s="34">
        <v>0.40366272415108739</v>
      </c>
      <c r="AA108" s="31">
        <v>37</v>
      </c>
      <c r="AB108" s="32">
        <v>1.4116749332315911E-2</v>
      </c>
      <c r="AC108" s="31">
        <v>163</v>
      </c>
      <c r="AD108" s="32">
        <v>6.2190003815337659E-2</v>
      </c>
      <c r="AE108" s="31">
        <v>35</v>
      </c>
      <c r="AF108" s="32">
        <v>0.21472392638036811</v>
      </c>
      <c r="AG108" s="31">
        <v>151</v>
      </c>
      <c r="AH108" s="32">
        <v>0.92638036809815949</v>
      </c>
      <c r="AI108" s="35">
        <v>162</v>
      </c>
      <c r="AJ108" s="32">
        <v>6.1808470049599391E-2</v>
      </c>
      <c r="AK108" s="35">
        <v>16</v>
      </c>
      <c r="AL108" s="32">
        <v>0.87037037037037035</v>
      </c>
      <c r="AM108" s="35">
        <v>157</v>
      </c>
      <c r="AN108" s="35">
        <v>141</v>
      </c>
      <c r="AO108" s="32">
        <v>5.3796260969095767E-2</v>
      </c>
      <c r="AP108" s="32">
        <v>0.86503067484662577</v>
      </c>
      <c r="AQ108" s="33">
        <v>0.96850393700787396</v>
      </c>
      <c r="AR108" s="33" t="s">
        <v>411</v>
      </c>
      <c r="AS108" s="33">
        <v>0</v>
      </c>
      <c r="AT108" s="35">
        <v>0</v>
      </c>
      <c r="AU108" s="35">
        <v>0</v>
      </c>
      <c r="AV108" s="35">
        <v>47</v>
      </c>
      <c r="AW108" s="35">
        <v>40</v>
      </c>
      <c r="AX108" s="35">
        <v>37</v>
      </c>
      <c r="AY108" s="35">
        <v>60</v>
      </c>
      <c r="AZ108" s="32">
        <v>1.526135062953071E-2</v>
      </c>
      <c r="BA108" s="32">
        <v>1.4116749332315911E-2</v>
      </c>
      <c r="BB108" s="32">
        <v>2.2892025944296068E-2</v>
      </c>
      <c r="BC108" s="32">
        <v>0.26241134751773049</v>
      </c>
      <c r="BD108" s="35">
        <v>0</v>
      </c>
      <c r="BE108" s="35">
        <v>0</v>
      </c>
      <c r="BF108" s="33">
        <v>1</v>
      </c>
      <c r="BG108" s="33">
        <v>1</v>
      </c>
      <c r="BH108" s="33" t="s">
        <v>412</v>
      </c>
    </row>
    <row r="109" spans="1:60" ht="19.5" customHeight="1">
      <c r="A109" s="36">
        <v>106</v>
      </c>
      <c r="B109" s="31" t="s">
        <v>410</v>
      </c>
      <c r="C109" s="37">
        <v>46191</v>
      </c>
      <c r="D109" s="31" t="s">
        <v>334</v>
      </c>
      <c r="E109" s="31">
        <v>2116</v>
      </c>
      <c r="F109" s="31">
        <v>1831</v>
      </c>
      <c r="G109" s="32">
        <v>0.86531190926275992</v>
      </c>
      <c r="H109" s="31">
        <v>871</v>
      </c>
      <c r="I109" s="33">
        <v>0.41162570888468808</v>
      </c>
      <c r="J109" s="31">
        <v>1708</v>
      </c>
      <c r="K109" s="31">
        <v>1666</v>
      </c>
      <c r="L109" s="32">
        <v>0.97499999999999998</v>
      </c>
      <c r="M109" s="31">
        <v>9555</v>
      </c>
      <c r="N109" s="31">
        <v>9701</v>
      </c>
      <c r="O109" s="31">
        <v>9415</v>
      </c>
      <c r="P109" s="32">
        <v>0.9853479853479854</v>
      </c>
      <c r="Q109" s="31">
        <v>26</v>
      </c>
      <c r="R109" s="31">
        <v>0</v>
      </c>
      <c r="S109" s="31">
        <v>0</v>
      </c>
      <c r="T109" s="32">
        <v>0</v>
      </c>
      <c r="U109" s="31">
        <v>0</v>
      </c>
      <c r="V109" s="32">
        <v>0</v>
      </c>
      <c r="W109" s="31">
        <v>167</v>
      </c>
      <c r="X109" s="32">
        <v>7.8922495274102084E-2</v>
      </c>
      <c r="Y109" s="31">
        <v>466</v>
      </c>
      <c r="Z109" s="34">
        <v>0.220226843100189</v>
      </c>
      <c r="AA109" s="31">
        <v>12</v>
      </c>
      <c r="AB109" s="32">
        <v>5.6710775047258983E-3</v>
      </c>
      <c r="AC109" s="31">
        <v>159</v>
      </c>
      <c r="AD109" s="32">
        <v>7.5141776937618143E-2</v>
      </c>
      <c r="AE109" s="31">
        <v>27</v>
      </c>
      <c r="AF109" s="32">
        <v>0.169811320754717</v>
      </c>
      <c r="AG109" s="31">
        <v>150</v>
      </c>
      <c r="AH109" s="32">
        <v>0.94339622641509435</v>
      </c>
      <c r="AI109" s="35">
        <v>143</v>
      </c>
      <c r="AJ109" s="32">
        <v>6.758034026465029E-2</v>
      </c>
      <c r="AK109" s="35">
        <v>7</v>
      </c>
      <c r="AL109" s="32">
        <v>0.84615384615384615</v>
      </c>
      <c r="AM109" s="35">
        <v>140</v>
      </c>
      <c r="AN109" s="35">
        <v>121</v>
      </c>
      <c r="AO109" s="32">
        <v>5.7183364839319469E-2</v>
      </c>
      <c r="AP109" s="32">
        <v>0.76100628930817615</v>
      </c>
      <c r="AQ109" s="33">
        <v>0.97761194029850751</v>
      </c>
      <c r="AR109" s="33" t="s">
        <v>411</v>
      </c>
      <c r="AS109" s="33">
        <v>0</v>
      </c>
      <c r="AT109" s="35">
        <v>0</v>
      </c>
      <c r="AU109" s="35">
        <v>0</v>
      </c>
      <c r="AV109" s="35">
        <v>38</v>
      </c>
      <c r="AW109" s="35">
        <v>35</v>
      </c>
      <c r="AX109" s="35">
        <v>35</v>
      </c>
      <c r="AY109" s="35">
        <v>64</v>
      </c>
      <c r="AZ109" s="32">
        <v>1.6540642722117201E-2</v>
      </c>
      <c r="BA109" s="32">
        <v>1.6540642722117201E-2</v>
      </c>
      <c r="BB109" s="32">
        <v>3.024574669187146E-2</v>
      </c>
      <c r="BC109" s="32">
        <v>0.28925619834710742</v>
      </c>
      <c r="BD109" s="35">
        <v>0</v>
      </c>
      <c r="BE109" s="35">
        <v>0</v>
      </c>
      <c r="BF109" s="33">
        <v>1</v>
      </c>
      <c r="BG109" s="33">
        <v>1</v>
      </c>
      <c r="BH109" s="33" t="s">
        <v>412</v>
      </c>
    </row>
    <row r="110" spans="1:60" ht="19.5" customHeight="1">
      <c r="A110" s="36">
        <v>107</v>
      </c>
      <c r="B110" s="31" t="s">
        <v>410</v>
      </c>
      <c r="C110" s="37">
        <v>46191</v>
      </c>
      <c r="D110" s="31" t="s">
        <v>337</v>
      </c>
      <c r="E110" s="31">
        <v>5354</v>
      </c>
      <c r="F110" s="31">
        <v>4646</v>
      </c>
      <c r="G110" s="32">
        <v>0.86776242062009712</v>
      </c>
      <c r="H110" s="31">
        <v>1638</v>
      </c>
      <c r="I110" s="33">
        <v>0.30593948449757191</v>
      </c>
      <c r="J110" s="31">
        <v>3966</v>
      </c>
      <c r="K110" s="31">
        <v>3862</v>
      </c>
      <c r="L110" s="32">
        <v>0.97399999999999998</v>
      </c>
      <c r="M110" s="31">
        <v>24796</v>
      </c>
      <c r="N110" s="31">
        <v>25181</v>
      </c>
      <c r="O110" s="31">
        <v>24426</v>
      </c>
      <c r="P110" s="32">
        <v>0.98507823842555253</v>
      </c>
      <c r="Q110" s="31">
        <v>33</v>
      </c>
      <c r="R110" s="31">
        <v>0</v>
      </c>
      <c r="S110" s="31">
        <v>0</v>
      </c>
      <c r="T110" s="32">
        <v>0</v>
      </c>
      <c r="U110" s="31">
        <v>0</v>
      </c>
      <c r="V110" s="32">
        <v>0</v>
      </c>
      <c r="W110" s="31">
        <v>414</v>
      </c>
      <c r="X110" s="32">
        <v>7.7325364213672018E-2</v>
      </c>
      <c r="Y110" s="31">
        <v>1369</v>
      </c>
      <c r="Z110" s="34">
        <v>0.25569667538289131</v>
      </c>
      <c r="AA110" s="31">
        <v>36</v>
      </c>
      <c r="AB110" s="32">
        <v>6.7239447142323494E-3</v>
      </c>
      <c r="AC110" s="31">
        <v>654</v>
      </c>
      <c r="AD110" s="32">
        <v>0.1221516623085544</v>
      </c>
      <c r="AE110" s="31">
        <v>107</v>
      </c>
      <c r="AF110" s="32">
        <v>0.1636085626911315</v>
      </c>
      <c r="AG110" s="31">
        <v>617</v>
      </c>
      <c r="AH110" s="32">
        <v>0.94342507645259943</v>
      </c>
      <c r="AI110" s="35">
        <v>651</v>
      </c>
      <c r="AJ110" s="32">
        <v>0.1215913335823683</v>
      </c>
      <c r="AK110" s="35">
        <v>48</v>
      </c>
      <c r="AL110" s="32">
        <v>0.89247311827956988</v>
      </c>
      <c r="AM110" s="35">
        <v>635</v>
      </c>
      <c r="AN110" s="35">
        <v>581</v>
      </c>
      <c r="AO110" s="32">
        <v>0.10851699663802759</v>
      </c>
      <c r="AP110" s="32">
        <v>0.8883792048929664</v>
      </c>
      <c r="AQ110" s="33">
        <v>0.96754250386398766</v>
      </c>
      <c r="AR110" s="33" t="s">
        <v>411</v>
      </c>
      <c r="AS110" s="33">
        <v>0</v>
      </c>
      <c r="AT110" s="35">
        <v>0</v>
      </c>
      <c r="AU110" s="35">
        <v>0</v>
      </c>
      <c r="AV110" s="35">
        <v>146</v>
      </c>
      <c r="AW110" s="35">
        <v>130</v>
      </c>
      <c r="AX110" s="35">
        <v>130</v>
      </c>
      <c r="AY110" s="35">
        <v>177</v>
      </c>
      <c r="AZ110" s="32">
        <v>2.4280911468061259E-2</v>
      </c>
      <c r="BA110" s="32">
        <v>2.4280911468061259E-2</v>
      </c>
      <c r="BB110" s="32">
        <v>3.305939484497572E-2</v>
      </c>
      <c r="BC110" s="32">
        <v>0.22375215146299479</v>
      </c>
      <c r="BD110" s="35">
        <v>0</v>
      </c>
      <c r="BE110" s="35">
        <v>1</v>
      </c>
      <c r="BF110" s="33">
        <v>0.97540983606557374</v>
      </c>
      <c r="BG110" s="33">
        <v>1</v>
      </c>
      <c r="BH110" s="33" t="s">
        <v>412</v>
      </c>
    </row>
    <row r="111" spans="1:60" ht="19.5" customHeight="1">
      <c r="A111" s="36">
        <v>108</v>
      </c>
      <c r="B111" s="31" t="s">
        <v>410</v>
      </c>
      <c r="C111" s="37">
        <v>46191</v>
      </c>
      <c r="D111" s="31" t="s">
        <v>336</v>
      </c>
      <c r="E111" s="31">
        <v>3652</v>
      </c>
      <c r="F111" s="31">
        <v>3251</v>
      </c>
      <c r="G111" s="32">
        <v>0.89019715224534501</v>
      </c>
      <c r="H111" s="31">
        <v>2423</v>
      </c>
      <c r="I111" s="33">
        <v>0.66347207009857612</v>
      </c>
      <c r="J111" s="31">
        <v>4224</v>
      </c>
      <c r="K111" s="31">
        <v>4172</v>
      </c>
      <c r="L111" s="32">
        <v>0.98799999999999999</v>
      </c>
      <c r="M111" s="31">
        <v>19767</v>
      </c>
      <c r="N111" s="31">
        <v>20127</v>
      </c>
      <c r="O111" s="31">
        <v>19528</v>
      </c>
      <c r="P111" s="32">
        <v>0.98790914149845699</v>
      </c>
      <c r="Q111" s="31">
        <v>28</v>
      </c>
      <c r="R111" s="31">
        <v>0</v>
      </c>
      <c r="S111" s="31">
        <v>0</v>
      </c>
      <c r="T111" s="32">
        <v>0</v>
      </c>
      <c r="U111" s="31">
        <v>0</v>
      </c>
      <c r="V111" s="32">
        <v>0</v>
      </c>
      <c r="W111" s="31">
        <v>193</v>
      </c>
      <c r="X111" s="32">
        <v>5.2847754654983571E-2</v>
      </c>
      <c r="Y111" s="31">
        <v>721</v>
      </c>
      <c r="Z111" s="34">
        <v>0.19742606790799561</v>
      </c>
      <c r="AA111" s="31">
        <v>78</v>
      </c>
      <c r="AB111" s="32">
        <v>2.135815991237678E-2</v>
      </c>
      <c r="AC111" s="31">
        <v>395</v>
      </c>
      <c r="AD111" s="32">
        <v>0.1081599123767798</v>
      </c>
      <c r="AE111" s="31">
        <v>74</v>
      </c>
      <c r="AF111" s="32">
        <v>0.18734177215189871</v>
      </c>
      <c r="AG111" s="31">
        <v>371</v>
      </c>
      <c r="AH111" s="32">
        <v>0.93924050632911393</v>
      </c>
      <c r="AI111" s="35">
        <v>392</v>
      </c>
      <c r="AJ111" s="32">
        <v>0.1073384446878423</v>
      </c>
      <c r="AK111" s="35">
        <v>46</v>
      </c>
      <c r="AL111" s="32">
        <v>0.9285714285714286</v>
      </c>
      <c r="AM111" s="35">
        <v>389</v>
      </c>
      <c r="AN111" s="35">
        <v>364</v>
      </c>
      <c r="AO111" s="32">
        <v>9.9671412924424968E-2</v>
      </c>
      <c r="AP111" s="32">
        <v>0.92151898734177218</v>
      </c>
      <c r="AQ111" s="33">
        <v>0.92385786802030456</v>
      </c>
      <c r="AR111" s="33" t="s">
        <v>411</v>
      </c>
      <c r="AS111" s="33">
        <v>0</v>
      </c>
      <c r="AT111" s="35">
        <v>0</v>
      </c>
      <c r="AU111" s="35">
        <v>0</v>
      </c>
      <c r="AV111" s="35">
        <v>106</v>
      </c>
      <c r="AW111" s="35">
        <v>100</v>
      </c>
      <c r="AX111" s="35">
        <v>100</v>
      </c>
      <c r="AY111" s="35">
        <v>87</v>
      </c>
      <c r="AZ111" s="32">
        <v>2.7382256297918951E-2</v>
      </c>
      <c r="BA111" s="32">
        <v>2.7382256297918951E-2</v>
      </c>
      <c r="BB111" s="32">
        <v>2.3822562979189481E-2</v>
      </c>
      <c r="BC111" s="32">
        <v>0.27472527472527469</v>
      </c>
      <c r="BD111" s="35">
        <v>0</v>
      </c>
      <c r="BE111" s="35">
        <v>1</v>
      </c>
      <c r="BF111" s="33">
        <v>0.95121951219512191</v>
      </c>
      <c r="BG111" s="33">
        <v>1</v>
      </c>
      <c r="BH111" s="33" t="s">
        <v>412</v>
      </c>
    </row>
    <row r="112" spans="1:60" ht="19.5" customHeight="1">
      <c r="A112" s="36">
        <v>109</v>
      </c>
      <c r="B112" s="31" t="s">
        <v>410</v>
      </c>
      <c r="C112" s="37">
        <v>46192</v>
      </c>
      <c r="D112" s="31"/>
      <c r="E112" s="31">
        <v>38</v>
      </c>
      <c r="F112" s="31">
        <v>37</v>
      </c>
      <c r="G112" s="32">
        <v>0.97368421052631582</v>
      </c>
      <c r="H112" s="31">
        <v>38</v>
      </c>
      <c r="I112" s="33">
        <v>1</v>
      </c>
      <c r="J112" s="31">
        <v>0</v>
      </c>
      <c r="K112" s="31">
        <v>0</v>
      </c>
      <c r="L112" s="32">
        <v>0</v>
      </c>
      <c r="M112" s="31">
        <v>1</v>
      </c>
      <c r="N112" s="31">
        <v>1</v>
      </c>
      <c r="O112" s="31">
        <v>0</v>
      </c>
      <c r="P112" s="32">
        <v>0</v>
      </c>
      <c r="Q112" s="31">
        <v>1</v>
      </c>
      <c r="R112" s="31">
        <v>0</v>
      </c>
      <c r="S112" s="31">
        <v>0</v>
      </c>
      <c r="T112" s="32">
        <v>0</v>
      </c>
      <c r="U112" s="31">
        <v>0</v>
      </c>
      <c r="V112" s="32">
        <v>0</v>
      </c>
      <c r="W112" s="31">
        <v>11</v>
      </c>
      <c r="X112" s="32">
        <v>0.28947368421052633</v>
      </c>
      <c r="Y112" s="31">
        <v>10</v>
      </c>
      <c r="Z112" s="34">
        <v>0.26315789473684209</v>
      </c>
      <c r="AA112" s="31">
        <v>0</v>
      </c>
      <c r="AB112" s="32">
        <v>0</v>
      </c>
      <c r="AC112" s="31">
        <v>0</v>
      </c>
      <c r="AD112" s="32">
        <v>0</v>
      </c>
      <c r="AE112" s="31">
        <v>0</v>
      </c>
      <c r="AF112" s="32">
        <v>0</v>
      </c>
      <c r="AG112" s="31">
        <v>0</v>
      </c>
      <c r="AH112" s="32">
        <v>0</v>
      </c>
      <c r="AI112" s="35">
        <v>0</v>
      </c>
      <c r="AJ112" s="32">
        <v>0</v>
      </c>
      <c r="AK112" s="35">
        <v>0</v>
      </c>
      <c r="AL112" s="32">
        <v>0</v>
      </c>
      <c r="AM112" s="35">
        <v>0</v>
      </c>
      <c r="AN112" s="35">
        <v>0</v>
      </c>
      <c r="AO112" s="32">
        <v>0</v>
      </c>
      <c r="AP112" s="32">
        <v>0</v>
      </c>
      <c r="AQ112" s="33">
        <v>0</v>
      </c>
      <c r="AR112" s="33" t="s">
        <v>411</v>
      </c>
      <c r="AS112" s="33">
        <v>0</v>
      </c>
      <c r="AT112" s="35">
        <v>0</v>
      </c>
      <c r="AU112" s="35">
        <v>0</v>
      </c>
      <c r="AV112" s="35">
        <v>0</v>
      </c>
      <c r="AW112" s="35">
        <v>0</v>
      </c>
      <c r="AX112" s="35">
        <v>0</v>
      </c>
      <c r="AY112" s="35">
        <v>0</v>
      </c>
      <c r="AZ112" s="32">
        <v>0</v>
      </c>
      <c r="BA112" s="32">
        <v>0</v>
      </c>
      <c r="BB112" s="32">
        <v>0</v>
      </c>
      <c r="BC112" s="32">
        <v>0</v>
      </c>
      <c r="BD112" s="35">
        <v>0</v>
      </c>
      <c r="BE112" s="35">
        <v>1</v>
      </c>
      <c r="BF112" s="33" t="s">
        <v>412</v>
      </c>
      <c r="BG112" s="33" t="s">
        <v>412</v>
      </c>
      <c r="BH112" s="33">
        <v>0.96385542168674698</v>
      </c>
    </row>
    <row r="113" spans="1:60" ht="19.5" customHeight="1">
      <c r="A113" s="36">
        <v>110</v>
      </c>
      <c r="B113" s="31" t="s">
        <v>410</v>
      </c>
      <c r="C113" s="37">
        <v>46192</v>
      </c>
      <c r="D113" s="31" t="s">
        <v>413</v>
      </c>
      <c r="E113" s="31">
        <v>4</v>
      </c>
      <c r="F113" s="31">
        <v>4</v>
      </c>
      <c r="G113" s="32">
        <v>1</v>
      </c>
      <c r="H113" s="31">
        <v>0</v>
      </c>
      <c r="I113" s="33">
        <v>0</v>
      </c>
      <c r="J113" s="31">
        <v>0</v>
      </c>
      <c r="K113" s="31">
        <v>0</v>
      </c>
      <c r="L113" s="32">
        <v>0</v>
      </c>
      <c r="M113" s="31">
        <v>0</v>
      </c>
      <c r="N113" s="31">
        <v>1</v>
      </c>
      <c r="O113" s="31">
        <v>0</v>
      </c>
      <c r="P113" s="32">
        <v>0</v>
      </c>
      <c r="Q113" s="31">
        <v>0</v>
      </c>
      <c r="R113" s="31">
        <v>0</v>
      </c>
      <c r="S113" s="31">
        <v>0</v>
      </c>
      <c r="T113" s="32">
        <v>0</v>
      </c>
      <c r="U113" s="31">
        <v>0</v>
      </c>
      <c r="V113" s="32">
        <v>0</v>
      </c>
      <c r="W113" s="31">
        <v>0</v>
      </c>
      <c r="X113" s="32">
        <v>0</v>
      </c>
      <c r="Y113" s="31">
        <v>0</v>
      </c>
      <c r="Z113" s="34">
        <v>0</v>
      </c>
      <c r="AA113" s="31">
        <v>0</v>
      </c>
      <c r="AB113" s="32">
        <v>0</v>
      </c>
      <c r="AC113" s="31">
        <v>0</v>
      </c>
      <c r="AD113" s="32">
        <v>0</v>
      </c>
      <c r="AE113" s="31">
        <v>0</v>
      </c>
      <c r="AF113" s="32">
        <v>0</v>
      </c>
      <c r="AG113" s="31">
        <v>0</v>
      </c>
      <c r="AH113" s="32">
        <v>0</v>
      </c>
      <c r="AI113" s="35">
        <v>0</v>
      </c>
      <c r="AJ113" s="32">
        <v>0</v>
      </c>
      <c r="AK113" s="35">
        <v>0</v>
      </c>
      <c r="AL113" s="32">
        <v>0</v>
      </c>
      <c r="AM113" s="35">
        <v>0</v>
      </c>
      <c r="AN113" s="35">
        <v>0</v>
      </c>
      <c r="AO113" s="32">
        <v>0</v>
      </c>
      <c r="AP113" s="32">
        <v>0</v>
      </c>
      <c r="AQ113" s="33"/>
      <c r="AR113" s="33" t="s">
        <v>411</v>
      </c>
      <c r="AS113" s="33" t="s">
        <v>411</v>
      </c>
      <c r="AT113" s="35">
        <v>0</v>
      </c>
      <c r="AU113" s="35">
        <v>0</v>
      </c>
      <c r="AV113" s="35">
        <v>0</v>
      </c>
      <c r="AW113" s="35">
        <v>0</v>
      </c>
      <c r="AX113" s="35">
        <v>0</v>
      </c>
      <c r="AY113" s="35">
        <v>0</v>
      </c>
      <c r="AZ113" s="32">
        <v>0</v>
      </c>
      <c r="BA113" s="32">
        <v>0</v>
      </c>
      <c r="BB113" s="32">
        <v>0</v>
      </c>
      <c r="BC113" s="32">
        <v>0</v>
      </c>
      <c r="BD113" s="35">
        <v>0</v>
      </c>
      <c r="BE113" s="35">
        <v>0</v>
      </c>
      <c r="BF113" s="33" t="s">
        <v>412</v>
      </c>
      <c r="BG113" s="33" t="s">
        <v>412</v>
      </c>
      <c r="BH113" s="33" t="s">
        <v>412</v>
      </c>
    </row>
    <row r="114" spans="1:60" ht="19.5" customHeight="1">
      <c r="A114" s="36">
        <v>111</v>
      </c>
      <c r="B114" s="31" t="s">
        <v>410</v>
      </c>
      <c r="C114" s="37">
        <v>46192</v>
      </c>
      <c r="D114" s="31" t="s">
        <v>335</v>
      </c>
      <c r="E114" s="31">
        <v>2804</v>
      </c>
      <c r="F114" s="31">
        <v>2460</v>
      </c>
      <c r="G114" s="32">
        <v>0.87731811697574891</v>
      </c>
      <c r="H114" s="31">
        <v>856</v>
      </c>
      <c r="I114" s="33">
        <v>0.30527817403708979</v>
      </c>
      <c r="J114" s="31">
        <v>2270</v>
      </c>
      <c r="K114" s="31">
        <v>2202</v>
      </c>
      <c r="L114" s="32">
        <v>0.97</v>
      </c>
      <c r="M114" s="31">
        <v>11830</v>
      </c>
      <c r="N114" s="31">
        <v>11880</v>
      </c>
      <c r="O114" s="31">
        <v>11695</v>
      </c>
      <c r="P114" s="32">
        <v>0.98858833474218089</v>
      </c>
      <c r="Q114" s="31">
        <v>20</v>
      </c>
      <c r="R114" s="31">
        <v>0</v>
      </c>
      <c r="S114" s="31">
        <v>0</v>
      </c>
      <c r="T114" s="32">
        <v>0</v>
      </c>
      <c r="U114" s="31">
        <v>0</v>
      </c>
      <c r="V114" s="32">
        <v>0</v>
      </c>
      <c r="W114" s="31">
        <v>736</v>
      </c>
      <c r="X114" s="32">
        <v>0.26248216833095578</v>
      </c>
      <c r="Y114" s="31">
        <v>1097</v>
      </c>
      <c r="Z114" s="34">
        <v>0.39122681883024252</v>
      </c>
      <c r="AA114" s="31">
        <v>35</v>
      </c>
      <c r="AB114" s="32">
        <v>1.248216833095578E-2</v>
      </c>
      <c r="AC114" s="31">
        <v>233</v>
      </c>
      <c r="AD114" s="32">
        <v>8.3095577746077037E-2</v>
      </c>
      <c r="AE114" s="31">
        <v>40</v>
      </c>
      <c r="AF114" s="32">
        <v>0.1716738197424893</v>
      </c>
      <c r="AG114" s="31">
        <v>214</v>
      </c>
      <c r="AH114" s="32">
        <v>0.91845493562231761</v>
      </c>
      <c r="AI114" s="35">
        <v>233</v>
      </c>
      <c r="AJ114" s="32">
        <v>8.3095577746077037E-2</v>
      </c>
      <c r="AK114" s="35">
        <v>11</v>
      </c>
      <c r="AL114" s="32">
        <v>0.86695278969957079</v>
      </c>
      <c r="AM114" s="35">
        <v>224</v>
      </c>
      <c r="AN114" s="35">
        <v>202</v>
      </c>
      <c r="AO114" s="32">
        <v>7.2039942938659063E-2</v>
      </c>
      <c r="AP114" s="32">
        <v>0.86695278969957079</v>
      </c>
      <c r="AQ114" s="33">
        <v>0.99337748344370858</v>
      </c>
      <c r="AR114" s="33" t="s">
        <v>411</v>
      </c>
      <c r="AS114" s="33">
        <v>0</v>
      </c>
      <c r="AT114" s="35">
        <v>0</v>
      </c>
      <c r="AU114" s="35">
        <v>0</v>
      </c>
      <c r="AV114" s="35">
        <v>81</v>
      </c>
      <c r="AW114" s="35">
        <v>78</v>
      </c>
      <c r="AX114" s="35">
        <v>78</v>
      </c>
      <c r="AY114" s="35">
        <v>38</v>
      </c>
      <c r="AZ114" s="32">
        <v>2.7817403708987162E-2</v>
      </c>
      <c r="BA114" s="32">
        <v>2.7817403708987162E-2</v>
      </c>
      <c r="BB114" s="32">
        <v>1.355206847360913E-2</v>
      </c>
      <c r="BC114" s="32">
        <v>0.38613861386138609</v>
      </c>
      <c r="BD114" s="35">
        <v>0</v>
      </c>
      <c r="BE114" s="35">
        <v>0</v>
      </c>
      <c r="BF114" s="33">
        <v>1</v>
      </c>
      <c r="BG114" s="33">
        <v>1</v>
      </c>
      <c r="BH114" s="33" t="s">
        <v>412</v>
      </c>
    </row>
    <row r="115" spans="1:60" ht="19.5" customHeight="1">
      <c r="A115" s="36">
        <v>112</v>
      </c>
      <c r="B115" s="31" t="s">
        <v>410</v>
      </c>
      <c r="C115" s="37">
        <v>46192</v>
      </c>
      <c r="D115" s="31" t="s">
        <v>334</v>
      </c>
      <c r="E115" s="31">
        <v>2737</v>
      </c>
      <c r="F115" s="31">
        <v>2179</v>
      </c>
      <c r="G115" s="32">
        <v>0.79612714651077821</v>
      </c>
      <c r="H115" s="31">
        <v>1125</v>
      </c>
      <c r="I115" s="33">
        <v>0.41103397880891479</v>
      </c>
      <c r="J115" s="31">
        <v>2020</v>
      </c>
      <c r="K115" s="31">
        <v>1964</v>
      </c>
      <c r="L115" s="32">
        <v>0.97199999999999998</v>
      </c>
      <c r="M115" s="31">
        <v>9687</v>
      </c>
      <c r="N115" s="31">
        <v>9975</v>
      </c>
      <c r="O115" s="31">
        <v>9557</v>
      </c>
      <c r="P115" s="32">
        <v>0.98657995251367814</v>
      </c>
      <c r="Q115" s="31">
        <v>49</v>
      </c>
      <c r="R115" s="31">
        <v>0</v>
      </c>
      <c r="S115" s="31">
        <v>0</v>
      </c>
      <c r="T115" s="32">
        <v>0</v>
      </c>
      <c r="U115" s="31">
        <v>0</v>
      </c>
      <c r="V115" s="32">
        <v>0</v>
      </c>
      <c r="W115" s="31">
        <v>600</v>
      </c>
      <c r="X115" s="32">
        <v>0.2192181220314213</v>
      </c>
      <c r="Y115" s="31">
        <v>591</v>
      </c>
      <c r="Z115" s="34">
        <v>0.21592985020095001</v>
      </c>
      <c r="AA115" s="31">
        <v>12</v>
      </c>
      <c r="AB115" s="32">
        <v>4.3843624406284254E-3</v>
      </c>
      <c r="AC115" s="31">
        <v>241</v>
      </c>
      <c r="AD115" s="32">
        <v>8.8052612349287546E-2</v>
      </c>
      <c r="AE115" s="31">
        <v>35</v>
      </c>
      <c r="AF115" s="32">
        <v>0.14522821576763489</v>
      </c>
      <c r="AG115" s="31">
        <v>230</v>
      </c>
      <c r="AH115" s="32">
        <v>0.9543568464730291</v>
      </c>
      <c r="AI115" s="35">
        <v>241</v>
      </c>
      <c r="AJ115" s="32">
        <v>8.8052612349287546E-2</v>
      </c>
      <c r="AK115" s="35">
        <v>12</v>
      </c>
      <c r="AL115" s="32">
        <v>0.79668049792531115</v>
      </c>
      <c r="AM115" s="35">
        <v>234</v>
      </c>
      <c r="AN115" s="35">
        <v>192</v>
      </c>
      <c r="AO115" s="32">
        <v>7.0149799050054806E-2</v>
      </c>
      <c r="AP115" s="32">
        <v>0.79668049792531115</v>
      </c>
      <c r="AQ115" s="33">
        <v>0.98496240601503759</v>
      </c>
      <c r="AR115" s="33" t="s">
        <v>411</v>
      </c>
      <c r="AS115" s="33">
        <v>0</v>
      </c>
      <c r="AT115" s="35">
        <v>0</v>
      </c>
      <c r="AU115" s="35">
        <v>0</v>
      </c>
      <c r="AV115" s="35">
        <v>61</v>
      </c>
      <c r="AW115" s="35">
        <v>60</v>
      </c>
      <c r="AX115" s="35">
        <v>58</v>
      </c>
      <c r="AY115" s="35">
        <v>25</v>
      </c>
      <c r="AZ115" s="32">
        <v>2.192181220314213E-2</v>
      </c>
      <c r="BA115" s="32">
        <v>2.1191085129704051E-2</v>
      </c>
      <c r="BB115" s="32">
        <v>9.1340884179758868E-3</v>
      </c>
      <c r="BC115" s="32">
        <v>0.30208333333333331</v>
      </c>
      <c r="BD115" s="35">
        <v>0</v>
      </c>
      <c r="BE115" s="35">
        <v>0</v>
      </c>
      <c r="BF115" s="33">
        <v>1</v>
      </c>
      <c r="BG115" s="33">
        <v>1</v>
      </c>
      <c r="BH115" s="33" t="s">
        <v>412</v>
      </c>
    </row>
    <row r="116" spans="1:60" ht="19.5" customHeight="1">
      <c r="A116" s="36">
        <v>113</v>
      </c>
      <c r="B116" s="31" t="s">
        <v>410</v>
      </c>
      <c r="C116" s="37">
        <v>46192</v>
      </c>
      <c r="D116" s="31" t="s">
        <v>337</v>
      </c>
      <c r="E116" s="31">
        <v>7249</v>
      </c>
      <c r="F116" s="31">
        <v>5857</v>
      </c>
      <c r="G116" s="32">
        <v>0.80797351358808112</v>
      </c>
      <c r="H116" s="31">
        <v>2075</v>
      </c>
      <c r="I116" s="33">
        <v>0.28624637881087039</v>
      </c>
      <c r="J116" s="31">
        <v>5161</v>
      </c>
      <c r="K116" s="31">
        <v>4978</v>
      </c>
      <c r="L116" s="32">
        <v>0.96499999999999997</v>
      </c>
      <c r="M116" s="31">
        <v>25523</v>
      </c>
      <c r="N116" s="31">
        <v>26418</v>
      </c>
      <c r="O116" s="31">
        <v>25100</v>
      </c>
      <c r="P116" s="32">
        <v>0.98342671316067864</v>
      </c>
      <c r="Q116" s="31">
        <v>111</v>
      </c>
      <c r="R116" s="31">
        <v>0</v>
      </c>
      <c r="S116" s="31">
        <v>0</v>
      </c>
      <c r="T116" s="32">
        <v>0</v>
      </c>
      <c r="U116" s="31">
        <v>0</v>
      </c>
      <c r="V116" s="32">
        <v>0</v>
      </c>
      <c r="W116" s="31">
        <v>1293</v>
      </c>
      <c r="X116" s="32">
        <v>0.17836943026624361</v>
      </c>
      <c r="Y116" s="31">
        <v>1790</v>
      </c>
      <c r="Z116" s="34">
        <v>0.24693061111877501</v>
      </c>
      <c r="AA116" s="31">
        <v>32</v>
      </c>
      <c r="AB116" s="32">
        <v>4.4144019864808936E-3</v>
      </c>
      <c r="AC116" s="31">
        <v>1035</v>
      </c>
      <c r="AD116" s="32">
        <v>0.1427783142502414</v>
      </c>
      <c r="AE116" s="31">
        <v>152</v>
      </c>
      <c r="AF116" s="32">
        <v>0.14685990338164251</v>
      </c>
      <c r="AG116" s="31">
        <v>975</v>
      </c>
      <c r="AH116" s="32">
        <v>0.94202898550724634</v>
      </c>
      <c r="AI116" s="35">
        <v>1038</v>
      </c>
      <c r="AJ116" s="32">
        <v>0.14319216443647401</v>
      </c>
      <c r="AK116" s="35">
        <v>50</v>
      </c>
      <c r="AL116" s="32">
        <v>0.90077071290944122</v>
      </c>
      <c r="AM116" s="35">
        <v>1007</v>
      </c>
      <c r="AN116" s="35">
        <v>935</v>
      </c>
      <c r="AO116" s="32">
        <v>0.12898330804248859</v>
      </c>
      <c r="AP116" s="32">
        <v>0.90338164251207731</v>
      </c>
      <c r="AQ116" s="33">
        <v>0.97896440129449835</v>
      </c>
      <c r="AR116" s="33" t="s">
        <v>411</v>
      </c>
      <c r="AS116" s="33">
        <v>0</v>
      </c>
      <c r="AT116" s="35">
        <v>0</v>
      </c>
      <c r="AU116" s="35">
        <v>0</v>
      </c>
      <c r="AV116" s="35">
        <v>190</v>
      </c>
      <c r="AW116" s="35">
        <v>183</v>
      </c>
      <c r="AX116" s="35">
        <v>180</v>
      </c>
      <c r="AY116" s="35">
        <v>69</v>
      </c>
      <c r="AZ116" s="32">
        <v>2.5244861360187609E-2</v>
      </c>
      <c r="BA116" s="32">
        <v>2.4831011173955031E-2</v>
      </c>
      <c r="BB116" s="32">
        <v>9.5185542833494275E-3</v>
      </c>
      <c r="BC116" s="32">
        <v>0.19251336898395721</v>
      </c>
      <c r="BD116" s="35">
        <v>0</v>
      </c>
      <c r="BE116" s="35">
        <v>0</v>
      </c>
      <c r="BF116" s="33">
        <v>1</v>
      </c>
      <c r="BG116" s="33">
        <v>1</v>
      </c>
      <c r="BH116" s="33" t="s">
        <v>412</v>
      </c>
    </row>
    <row r="117" spans="1:60" ht="19.5" customHeight="1">
      <c r="A117" s="36">
        <v>114</v>
      </c>
      <c r="B117" s="31" t="s">
        <v>410</v>
      </c>
      <c r="C117" s="37">
        <v>46192</v>
      </c>
      <c r="D117" s="31" t="s">
        <v>336</v>
      </c>
      <c r="E117" s="31">
        <v>4278</v>
      </c>
      <c r="F117" s="31">
        <v>3720</v>
      </c>
      <c r="G117" s="32">
        <v>0.86956521739130432</v>
      </c>
      <c r="H117" s="31">
        <v>2759</v>
      </c>
      <c r="I117" s="33">
        <v>0.64492753623188404</v>
      </c>
      <c r="J117" s="31">
        <v>4756</v>
      </c>
      <c r="K117" s="31">
        <v>4613</v>
      </c>
      <c r="L117" s="32">
        <v>0.97</v>
      </c>
      <c r="M117" s="31">
        <v>20945</v>
      </c>
      <c r="N117" s="31">
        <v>20966</v>
      </c>
      <c r="O117" s="31">
        <v>20635</v>
      </c>
      <c r="P117" s="32">
        <v>0.98519933158271666</v>
      </c>
      <c r="Q117" s="31">
        <v>38</v>
      </c>
      <c r="R117" s="31">
        <v>0</v>
      </c>
      <c r="S117" s="31">
        <v>0</v>
      </c>
      <c r="T117" s="32">
        <v>0</v>
      </c>
      <c r="U117" s="31">
        <v>0</v>
      </c>
      <c r="V117" s="32">
        <v>0</v>
      </c>
      <c r="W117" s="31">
        <v>1152</v>
      </c>
      <c r="X117" s="32">
        <v>0.26928471248246838</v>
      </c>
      <c r="Y117" s="31">
        <v>885</v>
      </c>
      <c r="Z117" s="34">
        <v>0.2068723702664797</v>
      </c>
      <c r="AA117" s="31">
        <v>79</v>
      </c>
      <c r="AB117" s="32">
        <v>1.8466573165030389E-2</v>
      </c>
      <c r="AC117" s="31">
        <v>575</v>
      </c>
      <c r="AD117" s="32">
        <v>0.1344086021505376</v>
      </c>
      <c r="AE117" s="31">
        <v>98</v>
      </c>
      <c r="AF117" s="32">
        <v>0.17043478260869571</v>
      </c>
      <c r="AG117" s="31">
        <v>541</v>
      </c>
      <c r="AH117" s="32">
        <v>0.94086956521739129</v>
      </c>
      <c r="AI117" s="35">
        <v>569</v>
      </c>
      <c r="AJ117" s="32">
        <v>0.1330060776063581</v>
      </c>
      <c r="AK117" s="35">
        <v>59</v>
      </c>
      <c r="AL117" s="32">
        <v>0.92091388400702989</v>
      </c>
      <c r="AM117" s="35">
        <v>560</v>
      </c>
      <c r="AN117" s="35">
        <v>524</v>
      </c>
      <c r="AO117" s="32">
        <v>0.12248714352501169</v>
      </c>
      <c r="AP117" s="32">
        <v>0.91130434782608694</v>
      </c>
      <c r="AQ117" s="33">
        <v>0.94444444444444442</v>
      </c>
      <c r="AR117" s="33" t="s">
        <v>411</v>
      </c>
      <c r="AS117" s="33">
        <v>0</v>
      </c>
      <c r="AT117" s="35">
        <v>0</v>
      </c>
      <c r="AU117" s="35">
        <v>0</v>
      </c>
      <c r="AV117" s="35">
        <v>185</v>
      </c>
      <c r="AW117" s="35">
        <v>178</v>
      </c>
      <c r="AX117" s="35">
        <v>175</v>
      </c>
      <c r="AY117" s="35">
        <v>57</v>
      </c>
      <c r="AZ117" s="32">
        <v>4.1608228143992523E-2</v>
      </c>
      <c r="BA117" s="32">
        <v>4.0906965871902748E-2</v>
      </c>
      <c r="BB117" s="32">
        <v>1.3323983169705469E-2</v>
      </c>
      <c r="BC117" s="32">
        <v>0.33396946564885488</v>
      </c>
      <c r="BD117" s="35">
        <v>0</v>
      </c>
      <c r="BE117" s="35">
        <v>0</v>
      </c>
      <c r="BF117" s="33">
        <v>1</v>
      </c>
      <c r="BG117" s="33">
        <v>0.97222222222222221</v>
      </c>
      <c r="BH117" s="33" t="s">
        <v>412</v>
      </c>
    </row>
    <row r="118" spans="1:60" ht="19.5" customHeight="1">
      <c r="A118" s="36">
        <v>115</v>
      </c>
      <c r="B118" s="31" t="s">
        <v>410</v>
      </c>
      <c r="C118" s="37">
        <v>46193</v>
      </c>
      <c r="D118" s="31"/>
      <c r="E118" s="31">
        <v>62</v>
      </c>
      <c r="F118" s="31">
        <v>62</v>
      </c>
      <c r="G118" s="32">
        <v>1</v>
      </c>
      <c r="H118" s="31">
        <v>62</v>
      </c>
      <c r="I118" s="33">
        <v>1</v>
      </c>
      <c r="J118" s="31">
        <v>0</v>
      </c>
      <c r="K118" s="31">
        <v>0</v>
      </c>
      <c r="L118" s="32">
        <v>0</v>
      </c>
      <c r="M118" s="31">
        <v>2</v>
      </c>
      <c r="N118" s="31">
        <v>2</v>
      </c>
      <c r="O118" s="31">
        <v>1</v>
      </c>
      <c r="P118" s="32">
        <v>0.5</v>
      </c>
      <c r="Q118" s="31">
        <v>1</v>
      </c>
      <c r="R118" s="31">
        <v>0</v>
      </c>
      <c r="S118" s="31">
        <v>0</v>
      </c>
      <c r="T118" s="32">
        <v>0</v>
      </c>
      <c r="U118" s="31">
        <v>0</v>
      </c>
      <c r="V118" s="32">
        <v>0</v>
      </c>
      <c r="W118" s="31">
        <v>32</v>
      </c>
      <c r="X118" s="32">
        <v>0.5161290322580645</v>
      </c>
      <c r="Y118" s="31">
        <v>8</v>
      </c>
      <c r="Z118" s="34">
        <v>0.1290322580645161</v>
      </c>
      <c r="AA118" s="31">
        <v>0</v>
      </c>
      <c r="AB118" s="32">
        <v>0</v>
      </c>
      <c r="AC118" s="31">
        <v>0</v>
      </c>
      <c r="AD118" s="32">
        <v>0</v>
      </c>
      <c r="AE118" s="31">
        <v>0</v>
      </c>
      <c r="AF118" s="32">
        <v>0</v>
      </c>
      <c r="AG118" s="31">
        <v>0</v>
      </c>
      <c r="AH118" s="32">
        <v>0</v>
      </c>
      <c r="AI118" s="35">
        <v>0</v>
      </c>
      <c r="AJ118" s="32">
        <v>0</v>
      </c>
      <c r="AK118" s="35">
        <v>0</v>
      </c>
      <c r="AL118" s="32">
        <v>0</v>
      </c>
      <c r="AM118" s="35">
        <v>0</v>
      </c>
      <c r="AN118" s="35">
        <v>0</v>
      </c>
      <c r="AO118" s="32">
        <v>0</v>
      </c>
      <c r="AP118" s="32">
        <v>0</v>
      </c>
      <c r="AQ118" s="33">
        <v>0</v>
      </c>
      <c r="AR118" s="33" t="s">
        <v>411</v>
      </c>
      <c r="AS118" s="33">
        <v>0</v>
      </c>
      <c r="AT118" s="35">
        <v>0</v>
      </c>
      <c r="AU118" s="35">
        <v>0</v>
      </c>
      <c r="AV118" s="35">
        <v>0</v>
      </c>
      <c r="AW118" s="35">
        <v>0</v>
      </c>
      <c r="AX118" s="35">
        <v>0</v>
      </c>
      <c r="AY118" s="35">
        <v>0</v>
      </c>
      <c r="AZ118" s="32">
        <v>0</v>
      </c>
      <c r="BA118" s="32">
        <v>0</v>
      </c>
      <c r="BB118" s="32">
        <v>0</v>
      </c>
      <c r="BC118" s="32">
        <v>0</v>
      </c>
      <c r="BD118" s="35">
        <v>0</v>
      </c>
      <c r="BE118" s="35">
        <v>0</v>
      </c>
      <c r="BF118" s="33" t="s">
        <v>412</v>
      </c>
      <c r="BG118" s="33" t="s">
        <v>412</v>
      </c>
      <c r="BH118" s="33">
        <v>1</v>
      </c>
    </row>
    <row r="119" spans="1:60" ht="19.5" customHeight="1">
      <c r="A119" s="36">
        <v>116</v>
      </c>
      <c r="B119" s="31" t="s">
        <v>410</v>
      </c>
      <c r="C119" s="37">
        <v>46193</v>
      </c>
      <c r="D119" s="31" t="s">
        <v>413</v>
      </c>
      <c r="E119" s="31">
        <v>1</v>
      </c>
      <c r="F119" s="31">
        <v>1</v>
      </c>
      <c r="G119" s="32">
        <v>1</v>
      </c>
      <c r="H119" s="31">
        <v>0</v>
      </c>
      <c r="I119" s="33">
        <v>0</v>
      </c>
      <c r="J119" s="31">
        <v>2</v>
      </c>
      <c r="K119" s="31">
        <v>2</v>
      </c>
      <c r="L119" s="32">
        <v>1</v>
      </c>
      <c r="M119" s="31">
        <v>4</v>
      </c>
      <c r="N119" s="31">
        <v>1</v>
      </c>
      <c r="O119" s="31">
        <v>4</v>
      </c>
      <c r="P119" s="32">
        <v>1</v>
      </c>
      <c r="Q119" s="31">
        <v>0</v>
      </c>
      <c r="R119" s="31">
        <v>0</v>
      </c>
      <c r="S119" s="31">
        <v>0</v>
      </c>
      <c r="T119" s="32">
        <v>0</v>
      </c>
      <c r="U119" s="31">
        <v>0</v>
      </c>
      <c r="V119" s="32">
        <v>0</v>
      </c>
      <c r="W119" s="31">
        <v>0</v>
      </c>
      <c r="X119" s="32">
        <v>0</v>
      </c>
      <c r="Y119" s="31">
        <v>0</v>
      </c>
      <c r="Z119" s="34">
        <v>0</v>
      </c>
      <c r="AA119" s="31">
        <v>0</v>
      </c>
      <c r="AB119" s="32">
        <v>0</v>
      </c>
      <c r="AC119" s="31">
        <v>0</v>
      </c>
      <c r="AD119" s="32">
        <v>0</v>
      </c>
      <c r="AE119" s="31">
        <v>0</v>
      </c>
      <c r="AF119" s="32">
        <v>0</v>
      </c>
      <c r="AG119" s="31">
        <v>0</v>
      </c>
      <c r="AH119" s="32">
        <v>0</v>
      </c>
      <c r="AI119" s="35">
        <v>0</v>
      </c>
      <c r="AJ119" s="32">
        <v>0</v>
      </c>
      <c r="AK119" s="35">
        <v>0</v>
      </c>
      <c r="AL119" s="32">
        <v>0</v>
      </c>
      <c r="AM119" s="35">
        <v>0</v>
      </c>
      <c r="AN119" s="35">
        <v>0</v>
      </c>
      <c r="AO119" s="32">
        <v>0</v>
      </c>
      <c r="AP119" s="32">
        <v>0</v>
      </c>
      <c r="AQ119" s="33"/>
      <c r="AR119" s="33" t="s">
        <v>411</v>
      </c>
      <c r="AS119" s="33" t="s">
        <v>411</v>
      </c>
      <c r="AT119" s="35">
        <v>0</v>
      </c>
      <c r="AU119" s="35">
        <v>0</v>
      </c>
      <c r="AV119" s="35">
        <v>0</v>
      </c>
      <c r="AW119" s="35">
        <v>0</v>
      </c>
      <c r="AX119" s="35">
        <v>0</v>
      </c>
      <c r="AY119" s="35">
        <v>0</v>
      </c>
      <c r="AZ119" s="32">
        <v>0</v>
      </c>
      <c r="BA119" s="32">
        <v>0</v>
      </c>
      <c r="BB119" s="32">
        <v>0</v>
      </c>
      <c r="BC119" s="32">
        <v>0</v>
      </c>
      <c r="BD119" s="35">
        <v>0</v>
      </c>
      <c r="BE119" s="35">
        <v>0</v>
      </c>
      <c r="BF119" s="33" t="s">
        <v>412</v>
      </c>
      <c r="BG119" s="33" t="s">
        <v>412</v>
      </c>
      <c r="BH119" s="33" t="s">
        <v>412</v>
      </c>
    </row>
    <row r="120" spans="1:60" ht="19.5" customHeight="1">
      <c r="A120" s="36">
        <v>117</v>
      </c>
      <c r="B120" s="31" t="s">
        <v>410</v>
      </c>
      <c r="C120" s="37">
        <v>46193</v>
      </c>
      <c r="D120" s="31" t="s">
        <v>335</v>
      </c>
      <c r="E120" s="31">
        <v>3191</v>
      </c>
      <c r="F120" s="31">
        <v>2776</v>
      </c>
      <c r="G120" s="32">
        <v>0.8699467251645252</v>
      </c>
      <c r="H120" s="31">
        <v>1040</v>
      </c>
      <c r="I120" s="33">
        <v>0.32591664055155117</v>
      </c>
      <c r="J120" s="31">
        <v>2837</v>
      </c>
      <c r="K120" s="31">
        <v>2774</v>
      </c>
      <c r="L120" s="32">
        <v>0.97799999999999998</v>
      </c>
      <c r="M120" s="31">
        <v>12924</v>
      </c>
      <c r="N120" s="31">
        <v>13027</v>
      </c>
      <c r="O120" s="31">
        <v>12771</v>
      </c>
      <c r="P120" s="32">
        <v>0.98816155988857934</v>
      </c>
      <c r="Q120" s="31">
        <v>25</v>
      </c>
      <c r="R120" s="31">
        <v>0</v>
      </c>
      <c r="S120" s="31">
        <v>0</v>
      </c>
      <c r="T120" s="32">
        <v>0</v>
      </c>
      <c r="U120" s="31">
        <v>0</v>
      </c>
      <c r="V120" s="32">
        <v>0</v>
      </c>
      <c r="W120" s="31">
        <v>353</v>
      </c>
      <c r="X120" s="32">
        <v>0.11062362895644</v>
      </c>
      <c r="Y120" s="31">
        <v>774</v>
      </c>
      <c r="Z120" s="34">
        <v>0.24255719210278909</v>
      </c>
      <c r="AA120" s="31">
        <v>44</v>
      </c>
      <c r="AB120" s="32">
        <v>1.3788780946411779E-2</v>
      </c>
      <c r="AC120" s="31">
        <v>291</v>
      </c>
      <c r="AD120" s="32">
        <v>9.11939830774052E-2</v>
      </c>
      <c r="AE120" s="31">
        <v>56</v>
      </c>
      <c r="AF120" s="32">
        <v>0.19243986254295531</v>
      </c>
      <c r="AG120" s="31">
        <v>273</v>
      </c>
      <c r="AH120" s="32">
        <v>0.93814432989690721</v>
      </c>
      <c r="AI120" s="35">
        <v>294</v>
      </c>
      <c r="AJ120" s="32">
        <v>9.2134127232842367E-2</v>
      </c>
      <c r="AK120" s="35">
        <v>14</v>
      </c>
      <c r="AL120" s="32">
        <v>0.82653061224489799</v>
      </c>
      <c r="AM120" s="35">
        <v>282</v>
      </c>
      <c r="AN120" s="35">
        <v>243</v>
      </c>
      <c r="AO120" s="32">
        <v>7.6151676590410528E-2</v>
      </c>
      <c r="AP120" s="32">
        <v>0.83505154639175261</v>
      </c>
      <c r="AQ120" s="33">
        <v>0.976303317535545</v>
      </c>
      <c r="AR120" s="33" t="s">
        <v>411</v>
      </c>
      <c r="AS120" s="33">
        <v>0</v>
      </c>
      <c r="AT120" s="35">
        <v>0</v>
      </c>
      <c r="AU120" s="35">
        <v>0</v>
      </c>
      <c r="AV120" s="35">
        <v>82</v>
      </c>
      <c r="AW120" s="35">
        <v>80</v>
      </c>
      <c r="AX120" s="35">
        <v>74</v>
      </c>
      <c r="AY120" s="35">
        <v>34</v>
      </c>
      <c r="AZ120" s="32">
        <v>2.507051081165779E-2</v>
      </c>
      <c r="BA120" s="32">
        <v>2.3190222500783449E-2</v>
      </c>
      <c r="BB120" s="32">
        <v>1.0654967094954559E-2</v>
      </c>
      <c r="BC120" s="32">
        <v>0.30452674897119342</v>
      </c>
      <c r="BD120" s="35">
        <v>0</v>
      </c>
      <c r="BE120" s="35">
        <v>0</v>
      </c>
      <c r="BF120" s="33">
        <v>1</v>
      </c>
      <c r="BG120" s="33">
        <v>1</v>
      </c>
      <c r="BH120" s="33" t="s">
        <v>412</v>
      </c>
    </row>
    <row r="121" spans="1:60" ht="19.5" customHeight="1">
      <c r="A121" s="36">
        <v>118</v>
      </c>
      <c r="B121" s="31" t="s">
        <v>410</v>
      </c>
      <c r="C121" s="37">
        <v>46193</v>
      </c>
      <c r="D121" s="31" t="s">
        <v>334</v>
      </c>
      <c r="E121" s="31">
        <v>2760</v>
      </c>
      <c r="F121" s="31">
        <v>2281</v>
      </c>
      <c r="G121" s="32">
        <v>0.82644927536231882</v>
      </c>
      <c r="H121" s="31">
        <v>1152</v>
      </c>
      <c r="I121" s="33">
        <v>0.41739130434782612</v>
      </c>
      <c r="J121" s="31">
        <v>2685</v>
      </c>
      <c r="K121" s="31">
        <v>2579</v>
      </c>
      <c r="L121" s="32">
        <v>0.96099999999999997</v>
      </c>
      <c r="M121" s="31">
        <v>10631</v>
      </c>
      <c r="N121" s="31">
        <v>10724</v>
      </c>
      <c r="O121" s="31">
        <v>10437</v>
      </c>
      <c r="P121" s="32">
        <v>0.98175148151632019</v>
      </c>
      <c r="Q121" s="31">
        <v>46</v>
      </c>
      <c r="R121" s="31">
        <v>0</v>
      </c>
      <c r="S121" s="31">
        <v>0</v>
      </c>
      <c r="T121" s="32">
        <v>0</v>
      </c>
      <c r="U121" s="31">
        <v>0</v>
      </c>
      <c r="V121" s="32">
        <v>0</v>
      </c>
      <c r="W121" s="31">
        <v>270</v>
      </c>
      <c r="X121" s="32">
        <v>9.7826086956521743E-2</v>
      </c>
      <c r="Y121" s="31">
        <v>328</v>
      </c>
      <c r="Z121" s="34">
        <v>0.1188405797101449</v>
      </c>
      <c r="AA121" s="31">
        <v>15</v>
      </c>
      <c r="AB121" s="32">
        <v>5.434782608695652E-3</v>
      </c>
      <c r="AC121" s="31">
        <v>310</v>
      </c>
      <c r="AD121" s="32">
        <v>0.1123188405797101</v>
      </c>
      <c r="AE121" s="31">
        <v>42</v>
      </c>
      <c r="AF121" s="32">
        <v>0.13548387096774189</v>
      </c>
      <c r="AG121" s="31">
        <v>289</v>
      </c>
      <c r="AH121" s="32">
        <v>0.93225806451612903</v>
      </c>
      <c r="AI121" s="35">
        <v>284</v>
      </c>
      <c r="AJ121" s="32">
        <v>0.1028985507246377</v>
      </c>
      <c r="AK121" s="35">
        <v>14</v>
      </c>
      <c r="AL121" s="32">
        <v>0.78169014084507038</v>
      </c>
      <c r="AM121" s="35">
        <v>266</v>
      </c>
      <c r="AN121" s="35">
        <v>222</v>
      </c>
      <c r="AO121" s="32">
        <v>8.0434782608695646E-2</v>
      </c>
      <c r="AP121" s="32">
        <v>0.71612903225806457</v>
      </c>
      <c r="AQ121" s="33">
        <v>0.96803652968036524</v>
      </c>
      <c r="AR121" s="33" t="s">
        <v>411</v>
      </c>
      <c r="AS121" s="33">
        <v>0</v>
      </c>
      <c r="AT121" s="35">
        <v>0</v>
      </c>
      <c r="AU121" s="35">
        <v>0</v>
      </c>
      <c r="AV121" s="35">
        <v>78</v>
      </c>
      <c r="AW121" s="35">
        <v>77</v>
      </c>
      <c r="AX121" s="35">
        <v>77</v>
      </c>
      <c r="AY121" s="35">
        <v>24</v>
      </c>
      <c r="AZ121" s="32">
        <v>2.7898550724637681E-2</v>
      </c>
      <c r="BA121" s="32">
        <v>2.7898550724637681E-2</v>
      </c>
      <c r="BB121" s="32">
        <v>8.6956521739130436E-3</v>
      </c>
      <c r="BC121" s="32">
        <v>0.34684684684684691</v>
      </c>
      <c r="BD121" s="35">
        <v>0</v>
      </c>
      <c r="BE121" s="35">
        <v>0</v>
      </c>
      <c r="BF121" s="33">
        <v>0.96296296296296291</v>
      </c>
      <c r="BG121" s="33">
        <v>1</v>
      </c>
      <c r="BH121" s="33" t="s">
        <v>412</v>
      </c>
    </row>
    <row r="122" spans="1:60" ht="19.5" customHeight="1">
      <c r="A122" s="36">
        <v>119</v>
      </c>
      <c r="B122" s="31" t="s">
        <v>410</v>
      </c>
      <c r="C122" s="37">
        <v>46193</v>
      </c>
      <c r="D122" s="31" t="s">
        <v>337</v>
      </c>
      <c r="E122" s="31">
        <v>6692</v>
      </c>
      <c r="F122" s="31">
        <v>5673</v>
      </c>
      <c r="G122" s="32">
        <v>0.8477286312014346</v>
      </c>
      <c r="H122" s="31">
        <v>2065</v>
      </c>
      <c r="I122" s="33">
        <v>0.30857740585774063</v>
      </c>
      <c r="J122" s="31">
        <v>6399</v>
      </c>
      <c r="K122" s="31">
        <v>6241</v>
      </c>
      <c r="L122" s="32">
        <v>0.97499999999999998</v>
      </c>
      <c r="M122" s="31">
        <v>27673</v>
      </c>
      <c r="N122" s="31">
        <v>27763</v>
      </c>
      <c r="O122" s="31">
        <v>27300</v>
      </c>
      <c r="P122" s="32">
        <v>0.98652115780724892</v>
      </c>
      <c r="Q122" s="31">
        <v>110</v>
      </c>
      <c r="R122" s="31">
        <v>0</v>
      </c>
      <c r="S122" s="31">
        <v>0</v>
      </c>
      <c r="T122" s="32">
        <v>0</v>
      </c>
      <c r="U122" s="31">
        <v>0</v>
      </c>
      <c r="V122" s="32">
        <v>0</v>
      </c>
      <c r="W122" s="31">
        <v>826</v>
      </c>
      <c r="X122" s="32">
        <v>0.1234309623430962</v>
      </c>
      <c r="Y122" s="31">
        <v>1183</v>
      </c>
      <c r="Z122" s="34">
        <v>0.1767782426778243</v>
      </c>
      <c r="AA122" s="31">
        <v>37</v>
      </c>
      <c r="AB122" s="32">
        <v>5.5289898386132698E-3</v>
      </c>
      <c r="AC122" s="31">
        <v>1202</v>
      </c>
      <c r="AD122" s="32">
        <v>0.1796174536760311</v>
      </c>
      <c r="AE122" s="31">
        <v>179</v>
      </c>
      <c r="AF122" s="32">
        <v>0.14891846921797011</v>
      </c>
      <c r="AG122" s="31">
        <v>1148</v>
      </c>
      <c r="AH122" s="32">
        <v>0.95507487520798673</v>
      </c>
      <c r="AI122" s="35">
        <v>1261</v>
      </c>
      <c r="AJ122" s="32">
        <v>0.18843395098625221</v>
      </c>
      <c r="AK122" s="35">
        <v>41</v>
      </c>
      <c r="AL122" s="32">
        <v>0.88025376685170498</v>
      </c>
      <c r="AM122" s="35">
        <v>1189</v>
      </c>
      <c r="AN122" s="35">
        <v>1110</v>
      </c>
      <c r="AO122" s="32">
        <v>0.16586969515839811</v>
      </c>
      <c r="AP122" s="32">
        <v>0.9234608985024958</v>
      </c>
      <c r="AQ122" s="33">
        <v>0.97330595482546201</v>
      </c>
      <c r="AR122" s="33" t="s">
        <v>411</v>
      </c>
      <c r="AS122" s="33">
        <v>0</v>
      </c>
      <c r="AT122" s="35">
        <v>0</v>
      </c>
      <c r="AU122" s="35">
        <v>0</v>
      </c>
      <c r="AV122" s="35">
        <v>199</v>
      </c>
      <c r="AW122" s="35">
        <v>187</v>
      </c>
      <c r="AX122" s="35">
        <v>178</v>
      </c>
      <c r="AY122" s="35">
        <v>77</v>
      </c>
      <c r="AZ122" s="32">
        <v>2.7943813508667061E-2</v>
      </c>
      <c r="BA122" s="32">
        <v>2.659892408846384E-2</v>
      </c>
      <c r="BB122" s="32">
        <v>1.1506276150627621E-2</v>
      </c>
      <c r="BC122" s="32">
        <v>0.16036036036036039</v>
      </c>
      <c r="BD122" s="35">
        <v>0</v>
      </c>
      <c r="BE122" s="35">
        <v>0</v>
      </c>
      <c r="BF122" s="33">
        <v>0.98170731707317072</v>
      </c>
      <c r="BG122" s="33">
        <v>1</v>
      </c>
      <c r="BH122" s="33" t="s">
        <v>412</v>
      </c>
    </row>
    <row r="123" spans="1:60" ht="19.5" customHeight="1">
      <c r="A123" s="36">
        <v>120</v>
      </c>
      <c r="B123" s="31" t="s">
        <v>410</v>
      </c>
      <c r="C123" s="37">
        <v>46193</v>
      </c>
      <c r="D123" s="31" t="s">
        <v>336</v>
      </c>
      <c r="E123" s="31">
        <v>4111</v>
      </c>
      <c r="F123" s="31">
        <v>3592</v>
      </c>
      <c r="G123" s="32">
        <v>0.87375334468499144</v>
      </c>
      <c r="H123" s="31">
        <v>2685</v>
      </c>
      <c r="I123" s="33">
        <v>0.65312576015567991</v>
      </c>
      <c r="J123" s="31">
        <v>4690</v>
      </c>
      <c r="K123" s="31">
        <v>4604</v>
      </c>
      <c r="L123" s="32">
        <v>0.98199999999999998</v>
      </c>
      <c r="M123" s="31">
        <v>21114</v>
      </c>
      <c r="N123" s="31">
        <v>21632</v>
      </c>
      <c r="O123" s="31">
        <v>20884</v>
      </c>
      <c r="P123" s="32">
        <v>0.98910675381263613</v>
      </c>
      <c r="Q123" s="31">
        <v>46</v>
      </c>
      <c r="R123" s="31">
        <v>0</v>
      </c>
      <c r="S123" s="31">
        <v>0</v>
      </c>
      <c r="T123" s="32">
        <v>0</v>
      </c>
      <c r="U123" s="31">
        <v>0</v>
      </c>
      <c r="V123" s="32">
        <v>0</v>
      </c>
      <c r="W123" s="31">
        <v>344</v>
      </c>
      <c r="X123" s="32">
        <v>8.3677937241547068E-2</v>
      </c>
      <c r="Y123" s="31">
        <v>474</v>
      </c>
      <c r="Z123" s="34">
        <v>0.11530041352468989</v>
      </c>
      <c r="AA123" s="31">
        <v>61</v>
      </c>
      <c r="AB123" s="32">
        <v>1.4838238871320851E-2</v>
      </c>
      <c r="AC123" s="31">
        <v>681</v>
      </c>
      <c r="AD123" s="32">
        <v>0.1656531257601557</v>
      </c>
      <c r="AE123" s="31">
        <v>94</v>
      </c>
      <c r="AF123" s="32">
        <v>0.13803230543318651</v>
      </c>
      <c r="AG123" s="31">
        <v>631</v>
      </c>
      <c r="AH123" s="32">
        <v>0.9265785609397944</v>
      </c>
      <c r="AI123" s="35">
        <v>650</v>
      </c>
      <c r="AJ123" s="32">
        <v>0.1581123814157139</v>
      </c>
      <c r="AK123" s="35">
        <v>37</v>
      </c>
      <c r="AL123" s="32">
        <v>0.9046153846153846</v>
      </c>
      <c r="AM123" s="35">
        <v>635</v>
      </c>
      <c r="AN123" s="35">
        <v>588</v>
      </c>
      <c r="AO123" s="32">
        <v>0.14303089272683039</v>
      </c>
      <c r="AP123" s="32">
        <v>0.86343612334801767</v>
      </c>
      <c r="AQ123" s="33">
        <v>0.97727272727272729</v>
      </c>
      <c r="AR123" s="33" t="s">
        <v>411</v>
      </c>
      <c r="AS123" s="33">
        <v>0</v>
      </c>
      <c r="AT123" s="35">
        <v>0</v>
      </c>
      <c r="AU123" s="35">
        <v>0</v>
      </c>
      <c r="AV123" s="35">
        <v>224</v>
      </c>
      <c r="AW123" s="35">
        <v>212</v>
      </c>
      <c r="AX123" s="35">
        <v>204</v>
      </c>
      <c r="AY123" s="35">
        <v>48</v>
      </c>
      <c r="AZ123" s="32">
        <v>5.1568961323278997E-2</v>
      </c>
      <c r="BA123" s="32">
        <v>4.9622962782777912E-2</v>
      </c>
      <c r="BB123" s="32">
        <v>1.167599124300657E-2</v>
      </c>
      <c r="BC123" s="32">
        <v>0.34693877551020408</v>
      </c>
      <c r="BD123" s="35">
        <v>0</v>
      </c>
      <c r="BE123" s="35">
        <v>0</v>
      </c>
      <c r="BF123" s="33">
        <v>0.98611111111111116</v>
      </c>
      <c r="BG123" s="33">
        <v>1</v>
      </c>
      <c r="BH123" s="33" t="s">
        <v>412</v>
      </c>
    </row>
    <row r="124" spans="1:60" ht="19.5" customHeight="1">
      <c r="A124" s="36">
        <v>121</v>
      </c>
      <c r="B124" s="31" t="s">
        <v>410</v>
      </c>
      <c r="C124" s="37">
        <v>46194</v>
      </c>
      <c r="D124" s="31"/>
      <c r="E124" s="31">
        <v>64</v>
      </c>
      <c r="F124" s="31">
        <v>64</v>
      </c>
      <c r="G124" s="32">
        <v>1</v>
      </c>
      <c r="H124" s="31">
        <v>64</v>
      </c>
      <c r="I124" s="33">
        <v>1</v>
      </c>
      <c r="J124" s="31">
        <v>0</v>
      </c>
      <c r="K124" s="31">
        <v>0</v>
      </c>
      <c r="L124" s="32">
        <v>0</v>
      </c>
      <c r="M124" s="31">
        <v>9</v>
      </c>
      <c r="N124" s="31">
        <v>3</v>
      </c>
      <c r="O124" s="31">
        <v>4</v>
      </c>
      <c r="P124" s="32">
        <v>0.44444444444444442</v>
      </c>
      <c r="Q124" s="31">
        <v>5</v>
      </c>
      <c r="R124" s="31">
        <v>0</v>
      </c>
      <c r="S124" s="31">
        <v>0</v>
      </c>
      <c r="T124" s="32">
        <v>0</v>
      </c>
      <c r="U124" s="31">
        <v>0</v>
      </c>
      <c r="V124" s="32">
        <v>0</v>
      </c>
      <c r="W124" s="31">
        <v>17</v>
      </c>
      <c r="X124" s="32">
        <v>0.265625</v>
      </c>
      <c r="Y124" s="31">
        <v>30</v>
      </c>
      <c r="Z124" s="34">
        <v>0.46875</v>
      </c>
      <c r="AA124" s="31">
        <v>0</v>
      </c>
      <c r="AB124" s="32">
        <v>0</v>
      </c>
      <c r="AC124" s="31">
        <v>0</v>
      </c>
      <c r="AD124" s="32">
        <v>0</v>
      </c>
      <c r="AE124" s="31">
        <v>0</v>
      </c>
      <c r="AF124" s="32">
        <v>0</v>
      </c>
      <c r="AG124" s="31">
        <v>0</v>
      </c>
      <c r="AH124" s="32">
        <v>0</v>
      </c>
      <c r="AI124" s="35">
        <v>0</v>
      </c>
      <c r="AJ124" s="32">
        <v>0</v>
      </c>
      <c r="AK124" s="35">
        <v>0</v>
      </c>
      <c r="AL124" s="32">
        <v>0</v>
      </c>
      <c r="AM124" s="35">
        <v>0</v>
      </c>
      <c r="AN124" s="35">
        <v>0</v>
      </c>
      <c r="AO124" s="32">
        <v>0</v>
      </c>
      <c r="AP124" s="32">
        <v>0</v>
      </c>
      <c r="AQ124" s="33">
        <v>0</v>
      </c>
      <c r="AR124" s="33" t="s">
        <v>411</v>
      </c>
      <c r="AS124" s="33">
        <v>0</v>
      </c>
      <c r="AT124" s="35">
        <v>0</v>
      </c>
      <c r="AU124" s="35">
        <v>0</v>
      </c>
      <c r="AV124" s="35">
        <v>0</v>
      </c>
      <c r="AW124" s="35">
        <v>0</v>
      </c>
      <c r="AX124" s="35">
        <v>0</v>
      </c>
      <c r="AY124" s="35">
        <v>0</v>
      </c>
      <c r="AZ124" s="32">
        <v>0</v>
      </c>
      <c r="BA124" s="32">
        <v>0</v>
      </c>
      <c r="BB124" s="32">
        <v>0</v>
      </c>
      <c r="BC124" s="32">
        <v>0</v>
      </c>
      <c r="BD124" s="35">
        <v>0</v>
      </c>
      <c r="BE124" s="35">
        <v>0</v>
      </c>
      <c r="BF124" s="33" t="s">
        <v>412</v>
      </c>
      <c r="BG124" s="33" t="s">
        <v>412</v>
      </c>
      <c r="BH124" s="33">
        <v>1</v>
      </c>
    </row>
    <row r="125" spans="1:60" ht="19.5" customHeight="1">
      <c r="A125" s="36">
        <v>122</v>
      </c>
      <c r="B125" s="31" t="s">
        <v>410</v>
      </c>
      <c r="C125" s="37">
        <v>46194</v>
      </c>
      <c r="D125" s="31" t="s">
        <v>413</v>
      </c>
      <c r="E125" s="31">
        <v>1</v>
      </c>
      <c r="F125" s="31">
        <v>1</v>
      </c>
      <c r="G125" s="32">
        <v>1</v>
      </c>
      <c r="H125" s="31">
        <v>0</v>
      </c>
      <c r="I125" s="33">
        <v>0</v>
      </c>
      <c r="J125" s="31">
        <v>1</v>
      </c>
      <c r="K125" s="31">
        <v>1</v>
      </c>
      <c r="L125" s="32">
        <v>1</v>
      </c>
      <c r="M125" s="31">
        <v>4</v>
      </c>
      <c r="N125" s="31">
        <v>5</v>
      </c>
      <c r="O125" s="31">
        <v>4</v>
      </c>
      <c r="P125" s="32">
        <v>1</v>
      </c>
      <c r="Q125" s="31">
        <v>0</v>
      </c>
      <c r="R125" s="31">
        <v>0</v>
      </c>
      <c r="S125" s="31">
        <v>0</v>
      </c>
      <c r="T125" s="32">
        <v>0</v>
      </c>
      <c r="U125" s="31">
        <v>0</v>
      </c>
      <c r="V125" s="32">
        <v>0</v>
      </c>
      <c r="W125" s="31">
        <v>0</v>
      </c>
      <c r="X125" s="32">
        <v>0</v>
      </c>
      <c r="Y125" s="31">
        <v>0</v>
      </c>
      <c r="Z125" s="34">
        <v>0</v>
      </c>
      <c r="AA125" s="31">
        <v>0</v>
      </c>
      <c r="AB125" s="32">
        <v>0</v>
      </c>
      <c r="AC125" s="31">
        <v>0</v>
      </c>
      <c r="AD125" s="32">
        <v>0</v>
      </c>
      <c r="AE125" s="31">
        <v>0</v>
      </c>
      <c r="AF125" s="32">
        <v>0</v>
      </c>
      <c r="AG125" s="31">
        <v>0</v>
      </c>
      <c r="AH125" s="32">
        <v>0</v>
      </c>
      <c r="AI125" s="35">
        <v>0</v>
      </c>
      <c r="AJ125" s="32">
        <v>0</v>
      </c>
      <c r="AK125" s="35">
        <v>0</v>
      </c>
      <c r="AL125" s="32">
        <v>0</v>
      </c>
      <c r="AM125" s="35">
        <v>0</v>
      </c>
      <c r="AN125" s="35">
        <v>0</v>
      </c>
      <c r="AO125" s="32">
        <v>0</v>
      </c>
      <c r="AP125" s="32">
        <v>0</v>
      </c>
      <c r="AQ125" s="33"/>
      <c r="AR125" s="33" t="s">
        <v>411</v>
      </c>
      <c r="AS125" s="33" t="s">
        <v>411</v>
      </c>
      <c r="AT125" s="35">
        <v>0</v>
      </c>
      <c r="AU125" s="35">
        <v>0</v>
      </c>
      <c r="AV125" s="35">
        <v>0</v>
      </c>
      <c r="AW125" s="35">
        <v>0</v>
      </c>
      <c r="AX125" s="35">
        <v>0</v>
      </c>
      <c r="AY125" s="35">
        <v>0</v>
      </c>
      <c r="AZ125" s="32">
        <v>0</v>
      </c>
      <c r="BA125" s="32">
        <v>0</v>
      </c>
      <c r="BB125" s="32">
        <v>0</v>
      </c>
      <c r="BC125" s="32">
        <v>0</v>
      </c>
      <c r="BD125" s="35">
        <v>0</v>
      </c>
      <c r="BE125" s="35">
        <v>0</v>
      </c>
      <c r="BF125" s="33" t="s">
        <v>412</v>
      </c>
      <c r="BG125" s="33" t="s">
        <v>412</v>
      </c>
      <c r="BH125" s="33" t="s">
        <v>412</v>
      </c>
    </row>
    <row r="126" spans="1:60" ht="19.5" customHeight="1">
      <c r="A126" s="36">
        <v>123</v>
      </c>
      <c r="B126" s="31" t="s">
        <v>410</v>
      </c>
      <c r="C126" s="37">
        <v>46194</v>
      </c>
      <c r="D126" s="31" t="s">
        <v>335</v>
      </c>
      <c r="E126" s="31">
        <v>2905</v>
      </c>
      <c r="F126" s="31">
        <v>2539</v>
      </c>
      <c r="G126" s="32">
        <v>0.87401032702237524</v>
      </c>
      <c r="H126" s="31">
        <v>964</v>
      </c>
      <c r="I126" s="33">
        <v>0.33184165232357998</v>
      </c>
      <c r="J126" s="31">
        <v>2467</v>
      </c>
      <c r="K126" s="31">
        <v>2410</v>
      </c>
      <c r="L126" s="32">
        <v>0.97699999999999998</v>
      </c>
      <c r="M126" s="31">
        <v>12287</v>
      </c>
      <c r="N126" s="31">
        <v>12269</v>
      </c>
      <c r="O126" s="31">
        <v>12128</v>
      </c>
      <c r="P126" s="32">
        <v>0.98705949377390734</v>
      </c>
      <c r="Q126" s="31">
        <v>23</v>
      </c>
      <c r="R126" s="31">
        <v>0</v>
      </c>
      <c r="S126" s="31">
        <v>0</v>
      </c>
      <c r="T126" s="32">
        <v>0</v>
      </c>
      <c r="U126" s="31">
        <v>0</v>
      </c>
      <c r="V126" s="32">
        <v>0</v>
      </c>
      <c r="W126" s="31">
        <v>450</v>
      </c>
      <c r="X126" s="32">
        <v>0.1549053356282272</v>
      </c>
      <c r="Y126" s="31">
        <v>828</v>
      </c>
      <c r="Z126" s="34">
        <v>0.28502581755593798</v>
      </c>
      <c r="AA126" s="31">
        <v>33</v>
      </c>
      <c r="AB126" s="32">
        <v>1.135972461273666E-2</v>
      </c>
      <c r="AC126" s="31">
        <v>213</v>
      </c>
      <c r="AD126" s="32">
        <v>7.3321858864027534E-2</v>
      </c>
      <c r="AE126" s="31">
        <v>35</v>
      </c>
      <c r="AF126" s="32">
        <v>0.16431924882629109</v>
      </c>
      <c r="AG126" s="31">
        <v>198</v>
      </c>
      <c r="AH126" s="32">
        <v>0.92957746478873238</v>
      </c>
      <c r="AI126" s="35">
        <v>206</v>
      </c>
      <c r="AJ126" s="32">
        <v>7.0912220309810675E-2</v>
      </c>
      <c r="AK126" s="35">
        <v>15</v>
      </c>
      <c r="AL126" s="32">
        <v>0.83009708737864074</v>
      </c>
      <c r="AM126" s="35">
        <v>194</v>
      </c>
      <c r="AN126" s="35">
        <v>171</v>
      </c>
      <c r="AO126" s="32">
        <v>5.8864027538726327E-2</v>
      </c>
      <c r="AP126" s="32">
        <v>0.80281690140845074</v>
      </c>
      <c r="AQ126" s="33">
        <v>0.94871794871794868</v>
      </c>
      <c r="AR126" s="33" t="s">
        <v>411</v>
      </c>
      <c r="AS126" s="33">
        <v>0</v>
      </c>
      <c r="AT126" s="35">
        <v>0</v>
      </c>
      <c r="AU126" s="35">
        <v>0</v>
      </c>
      <c r="AV126" s="35">
        <v>105</v>
      </c>
      <c r="AW126" s="35">
        <v>101</v>
      </c>
      <c r="AX126" s="35">
        <v>99</v>
      </c>
      <c r="AY126" s="35">
        <v>34</v>
      </c>
      <c r="AZ126" s="32">
        <v>3.4767641996557658E-2</v>
      </c>
      <c r="BA126" s="32">
        <v>3.4079173838209978E-2</v>
      </c>
      <c r="BB126" s="32">
        <v>1.17039586919105E-2</v>
      </c>
      <c r="BC126" s="32">
        <v>0.57894736842105265</v>
      </c>
      <c r="BD126" s="35">
        <v>0</v>
      </c>
      <c r="BE126" s="35">
        <v>0</v>
      </c>
      <c r="BF126" s="33">
        <v>0.92307692307692313</v>
      </c>
      <c r="BG126" s="33">
        <v>1</v>
      </c>
      <c r="BH126" s="33" t="s">
        <v>412</v>
      </c>
    </row>
    <row r="127" spans="1:60" ht="19.5" customHeight="1">
      <c r="A127" s="36">
        <v>124</v>
      </c>
      <c r="B127" s="31" t="s">
        <v>410</v>
      </c>
      <c r="C127" s="37">
        <v>46194</v>
      </c>
      <c r="D127" s="31" t="s">
        <v>334</v>
      </c>
      <c r="E127" s="31">
        <v>2351</v>
      </c>
      <c r="F127" s="31">
        <v>1995</v>
      </c>
      <c r="G127" s="32">
        <v>0.84857507443641</v>
      </c>
      <c r="H127" s="31">
        <v>1085</v>
      </c>
      <c r="I127" s="33">
        <v>0.46150574223734581</v>
      </c>
      <c r="J127" s="31">
        <v>2379</v>
      </c>
      <c r="K127" s="31">
        <v>2324</v>
      </c>
      <c r="L127" s="32">
        <v>0.97699999999999998</v>
      </c>
      <c r="M127" s="31">
        <v>10054</v>
      </c>
      <c r="N127" s="31">
        <v>10013</v>
      </c>
      <c r="O127" s="31">
        <v>9903</v>
      </c>
      <c r="P127" s="32">
        <v>0.98498110204893574</v>
      </c>
      <c r="Q127" s="31">
        <v>31</v>
      </c>
      <c r="R127" s="31">
        <v>0</v>
      </c>
      <c r="S127" s="31">
        <v>0</v>
      </c>
      <c r="T127" s="32">
        <v>0</v>
      </c>
      <c r="U127" s="31">
        <v>0</v>
      </c>
      <c r="V127" s="32">
        <v>0</v>
      </c>
      <c r="W127" s="31">
        <v>475</v>
      </c>
      <c r="X127" s="32">
        <v>0.20204168438962139</v>
      </c>
      <c r="Y127" s="31">
        <v>385</v>
      </c>
      <c r="Z127" s="34">
        <v>0.16376010208421951</v>
      </c>
      <c r="AA127" s="31">
        <v>9</v>
      </c>
      <c r="AB127" s="32">
        <v>3.8281582305401962E-3</v>
      </c>
      <c r="AC127" s="31">
        <v>260</v>
      </c>
      <c r="AD127" s="32">
        <v>0.1105912377711612</v>
      </c>
      <c r="AE127" s="31">
        <v>44</v>
      </c>
      <c r="AF127" s="32">
        <v>0.16923076923076921</v>
      </c>
      <c r="AG127" s="31">
        <v>235</v>
      </c>
      <c r="AH127" s="32">
        <v>0.90384615384615385</v>
      </c>
      <c r="AI127" s="35">
        <v>262</v>
      </c>
      <c r="AJ127" s="32">
        <v>0.1114419396001701</v>
      </c>
      <c r="AK127" s="35">
        <v>6</v>
      </c>
      <c r="AL127" s="32">
        <v>0.82442748091603058</v>
      </c>
      <c r="AM127" s="35">
        <v>248</v>
      </c>
      <c r="AN127" s="35">
        <v>216</v>
      </c>
      <c r="AO127" s="32">
        <v>9.1875797532964695E-2</v>
      </c>
      <c r="AP127" s="32">
        <v>0.83076923076923082</v>
      </c>
      <c r="AQ127" s="33">
        <v>0.96414342629482075</v>
      </c>
      <c r="AR127" s="33" t="s">
        <v>411</v>
      </c>
      <c r="AS127" s="33">
        <v>0</v>
      </c>
      <c r="AT127" s="35">
        <v>0</v>
      </c>
      <c r="AU127" s="35">
        <v>0</v>
      </c>
      <c r="AV127" s="35">
        <v>87</v>
      </c>
      <c r="AW127" s="35">
        <v>83</v>
      </c>
      <c r="AX127" s="35">
        <v>72</v>
      </c>
      <c r="AY127" s="35">
        <v>24</v>
      </c>
      <c r="AZ127" s="32">
        <v>3.5304125903870692E-2</v>
      </c>
      <c r="BA127" s="32">
        <v>3.062526584432157E-2</v>
      </c>
      <c r="BB127" s="32">
        <v>1.020842194810719E-2</v>
      </c>
      <c r="BC127" s="32">
        <v>0.33333333333333331</v>
      </c>
      <c r="BD127" s="35">
        <v>0</v>
      </c>
      <c r="BE127" s="35">
        <v>0</v>
      </c>
      <c r="BF127" s="33">
        <v>1</v>
      </c>
      <c r="BG127" s="33">
        <v>1</v>
      </c>
      <c r="BH127" s="33" t="s">
        <v>412</v>
      </c>
    </row>
    <row r="128" spans="1:60" ht="19.5" customHeight="1">
      <c r="A128" s="36">
        <v>125</v>
      </c>
      <c r="B128" s="31" t="s">
        <v>410</v>
      </c>
      <c r="C128" s="37">
        <v>46194</v>
      </c>
      <c r="D128" s="31" t="s">
        <v>337</v>
      </c>
      <c r="E128" s="31">
        <v>6122</v>
      </c>
      <c r="F128" s="31">
        <v>5226</v>
      </c>
      <c r="G128" s="32">
        <v>0.85364260045736684</v>
      </c>
      <c r="H128" s="31">
        <v>2171</v>
      </c>
      <c r="I128" s="33">
        <v>0.35462267232930422</v>
      </c>
      <c r="J128" s="31">
        <v>5462</v>
      </c>
      <c r="K128" s="31">
        <v>5308</v>
      </c>
      <c r="L128" s="32">
        <v>0.97199999999999998</v>
      </c>
      <c r="M128" s="31">
        <v>26837</v>
      </c>
      <c r="N128" s="31">
        <v>26854</v>
      </c>
      <c r="O128" s="31">
        <v>26436</v>
      </c>
      <c r="P128" s="32">
        <v>0.98505794239296496</v>
      </c>
      <c r="Q128" s="31">
        <v>69</v>
      </c>
      <c r="R128" s="31">
        <v>0</v>
      </c>
      <c r="S128" s="31">
        <v>0</v>
      </c>
      <c r="T128" s="32">
        <v>0</v>
      </c>
      <c r="U128" s="31">
        <v>0</v>
      </c>
      <c r="V128" s="32">
        <v>0</v>
      </c>
      <c r="W128" s="31">
        <v>665</v>
      </c>
      <c r="X128" s="32">
        <v>0.108624632473048</v>
      </c>
      <c r="Y128" s="31">
        <v>1177</v>
      </c>
      <c r="Z128" s="34">
        <v>0.1922574322116955</v>
      </c>
      <c r="AA128" s="31">
        <v>31</v>
      </c>
      <c r="AB128" s="32">
        <v>5.0637046716759228E-3</v>
      </c>
      <c r="AC128" s="31">
        <v>1022</v>
      </c>
      <c r="AD128" s="32">
        <v>0.16693890885331589</v>
      </c>
      <c r="AE128" s="31">
        <v>173</v>
      </c>
      <c r="AF128" s="32">
        <v>0.16927592954990209</v>
      </c>
      <c r="AG128" s="31">
        <v>963</v>
      </c>
      <c r="AH128" s="32">
        <v>0.94227005870841485</v>
      </c>
      <c r="AI128" s="35">
        <v>1073</v>
      </c>
      <c r="AJ128" s="32">
        <v>0.17526951976478269</v>
      </c>
      <c r="AK128" s="35">
        <v>41</v>
      </c>
      <c r="AL128" s="32">
        <v>0.85927306616961785</v>
      </c>
      <c r="AM128" s="35">
        <v>1020</v>
      </c>
      <c r="AN128" s="35">
        <v>922</v>
      </c>
      <c r="AO128" s="32">
        <v>0.1506043776543613</v>
      </c>
      <c r="AP128" s="32">
        <v>0.90215264187866928</v>
      </c>
      <c r="AQ128" s="33">
        <v>0.97438087105038429</v>
      </c>
      <c r="AR128" s="33" t="s">
        <v>411</v>
      </c>
      <c r="AS128" s="33">
        <v>0</v>
      </c>
      <c r="AT128" s="35">
        <v>0</v>
      </c>
      <c r="AU128" s="35">
        <v>0</v>
      </c>
      <c r="AV128" s="35">
        <v>318</v>
      </c>
      <c r="AW128" s="35">
        <v>298</v>
      </c>
      <c r="AX128" s="35">
        <v>269</v>
      </c>
      <c r="AY128" s="35">
        <v>71</v>
      </c>
      <c r="AZ128" s="32">
        <v>4.8676902972884677E-2</v>
      </c>
      <c r="BA128" s="32">
        <v>4.3939888925187853E-2</v>
      </c>
      <c r="BB128" s="32">
        <v>1.159751715125776E-2</v>
      </c>
      <c r="BC128" s="32">
        <v>0.29175704989154011</v>
      </c>
      <c r="BD128" s="35">
        <v>0</v>
      </c>
      <c r="BE128" s="35">
        <v>1</v>
      </c>
      <c r="BF128" s="33">
        <v>0.97435897435897434</v>
      </c>
      <c r="BG128" s="33">
        <v>0.98571428571428577</v>
      </c>
      <c r="BH128" s="33" t="s">
        <v>412</v>
      </c>
    </row>
    <row r="129" spans="1:60" ht="19.5" customHeight="1">
      <c r="A129" s="36">
        <v>126</v>
      </c>
      <c r="B129" s="31" t="s">
        <v>410</v>
      </c>
      <c r="C129" s="37">
        <v>46194</v>
      </c>
      <c r="D129" s="31" t="s">
        <v>336</v>
      </c>
      <c r="E129" s="31">
        <v>4400</v>
      </c>
      <c r="F129" s="31">
        <v>3911</v>
      </c>
      <c r="G129" s="32">
        <v>0.88886363636363641</v>
      </c>
      <c r="H129" s="31">
        <v>2945</v>
      </c>
      <c r="I129" s="33">
        <v>0.66931818181818181</v>
      </c>
      <c r="J129" s="31">
        <v>5204</v>
      </c>
      <c r="K129" s="31">
        <v>5144</v>
      </c>
      <c r="L129" s="32">
        <v>0.98799999999999999</v>
      </c>
      <c r="M129" s="31">
        <v>22189</v>
      </c>
      <c r="N129" s="31">
        <v>22435</v>
      </c>
      <c r="O129" s="31">
        <v>21956</v>
      </c>
      <c r="P129" s="32">
        <v>0.98949930145567622</v>
      </c>
      <c r="Q129" s="31">
        <v>30</v>
      </c>
      <c r="R129" s="31">
        <v>0</v>
      </c>
      <c r="S129" s="31">
        <v>0</v>
      </c>
      <c r="T129" s="32">
        <v>0</v>
      </c>
      <c r="U129" s="31">
        <v>0</v>
      </c>
      <c r="V129" s="32">
        <v>0</v>
      </c>
      <c r="W129" s="31">
        <v>527</v>
      </c>
      <c r="X129" s="32">
        <v>0.11977272727272729</v>
      </c>
      <c r="Y129" s="31">
        <v>623</v>
      </c>
      <c r="Z129" s="34">
        <v>0.1415909090909091</v>
      </c>
      <c r="AA129" s="31">
        <v>50</v>
      </c>
      <c r="AB129" s="32">
        <v>1.136363636363636E-2</v>
      </c>
      <c r="AC129" s="31">
        <v>582</v>
      </c>
      <c r="AD129" s="32">
        <v>0.13227272727272729</v>
      </c>
      <c r="AE129" s="31">
        <v>99</v>
      </c>
      <c r="AF129" s="32">
        <v>0.17010309278350519</v>
      </c>
      <c r="AG129" s="31">
        <v>541</v>
      </c>
      <c r="AH129" s="32">
        <v>0.92955326460481102</v>
      </c>
      <c r="AI129" s="35">
        <v>559</v>
      </c>
      <c r="AJ129" s="32">
        <v>0.12704545454545449</v>
      </c>
      <c r="AK129" s="35">
        <v>40</v>
      </c>
      <c r="AL129" s="32">
        <v>0.95169946332737032</v>
      </c>
      <c r="AM129" s="35">
        <v>551</v>
      </c>
      <c r="AN129" s="35">
        <v>532</v>
      </c>
      <c r="AO129" s="32">
        <v>0.1209090909090909</v>
      </c>
      <c r="AP129" s="32">
        <v>0.91408934707903777</v>
      </c>
      <c r="AQ129" s="33">
        <v>0.95789473684210524</v>
      </c>
      <c r="AR129" s="33" t="s">
        <v>411</v>
      </c>
      <c r="AS129" s="33">
        <v>0</v>
      </c>
      <c r="AT129" s="35">
        <v>0</v>
      </c>
      <c r="AU129" s="35">
        <v>0</v>
      </c>
      <c r="AV129" s="35">
        <v>279</v>
      </c>
      <c r="AW129" s="35">
        <v>268</v>
      </c>
      <c r="AX129" s="35">
        <v>242</v>
      </c>
      <c r="AY129" s="35">
        <v>70</v>
      </c>
      <c r="AZ129" s="32">
        <v>6.0909090909090913E-2</v>
      </c>
      <c r="BA129" s="32">
        <v>5.5E-2</v>
      </c>
      <c r="BB129" s="32">
        <v>1.5909090909090911E-2</v>
      </c>
      <c r="BC129" s="32">
        <v>0.45488721804511278</v>
      </c>
      <c r="BD129" s="35">
        <v>0</v>
      </c>
      <c r="BE129" s="35">
        <v>0</v>
      </c>
      <c r="BF129" s="33">
        <v>0.96825396825396826</v>
      </c>
      <c r="BG129" s="33">
        <v>1</v>
      </c>
      <c r="BH129" s="33" t="s">
        <v>412</v>
      </c>
    </row>
    <row r="130" spans="1:60" ht="19.5" customHeight="1">
      <c r="A130" s="36">
        <v>127</v>
      </c>
      <c r="B130" s="31" t="s">
        <v>410</v>
      </c>
      <c r="C130" s="37">
        <v>46195</v>
      </c>
      <c r="D130" s="31"/>
      <c r="E130" s="31">
        <v>35</v>
      </c>
      <c r="F130" s="31">
        <v>35</v>
      </c>
      <c r="G130" s="32">
        <v>1</v>
      </c>
      <c r="H130" s="31">
        <v>35</v>
      </c>
      <c r="I130" s="33">
        <v>1</v>
      </c>
      <c r="J130" s="31">
        <v>0</v>
      </c>
      <c r="K130" s="31">
        <v>0</v>
      </c>
      <c r="L130" s="32">
        <v>0</v>
      </c>
      <c r="M130" s="31">
        <v>4</v>
      </c>
      <c r="N130" s="31">
        <v>2</v>
      </c>
      <c r="O130" s="31">
        <v>1</v>
      </c>
      <c r="P130" s="32">
        <v>0.25</v>
      </c>
      <c r="Q130" s="31">
        <v>3</v>
      </c>
      <c r="R130" s="31">
        <v>0</v>
      </c>
      <c r="S130" s="31">
        <v>0</v>
      </c>
      <c r="T130" s="32">
        <v>0</v>
      </c>
      <c r="U130" s="31">
        <v>0</v>
      </c>
      <c r="V130" s="32">
        <v>0</v>
      </c>
      <c r="W130" s="31">
        <v>16</v>
      </c>
      <c r="X130" s="32">
        <v>0.45714285714285707</v>
      </c>
      <c r="Y130" s="31">
        <v>13</v>
      </c>
      <c r="Z130" s="34">
        <v>0.37142857142857139</v>
      </c>
      <c r="AA130" s="31">
        <v>0</v>
      </c>
      <c r="AB130" s="32">
        <v>0</v>
      </c>
      <c r="AC130" s="31">
        <v>0</v>
      </c>
      <c r="AD130" s="32">
        <v>0</v>
      </c>
      <c r="AE130" s="31">
        <v>0</v>
      </c>
      <c r="AF130" s="32">
        <v>0</v>
      </c>
      <c r="AG130" s="31">
        <v>0</v>
      </c>
      <c r="AH130" s="32">
        <v>0</v>
      </c>
      <c r="AI130" s="35">
        <v>0</v>
      </c>
      <c r="AJ130" s="32">
        <v>0</v>
      </c>
      <c r="AK130" s="35">
        <v>0</v>
      </c>
      <c r="AL130" s="32">
        <v>0</v>
      </c>
      <c r="AM130" s="35">
        <v>0</v>
      </c>
      <c r="AN130" s="35">
        <v>0</v>
      </c>
      <c r="AO130" s="32">
        <v>0</v>
      </c>
      <c r="AP130" s="32">
        <v>0</v>
      </c>
      <c r="AQ130" s="33">
        <v>0</v>
      </c>
      <c r="AR130" s="33" t="s">
        <v>411</v>
      </c>
      <c r="AS130" s="33">
        <v>0</v>
      </c>
      <c r="AT130" s="35">
        <v>0</v>
      </c>
      <c r="AU130" s="35">
        <v>0</v>
      </c>
      <c r="AV130" s="35">
        <v>0</v>
      </c>
      <c r="AW130" s="35">
        <v>0</v>
      </c>
      <c r="AX130" s="35">
        <v>0</v>
      </c>
      <c r="AY130" s="35">
        <v>0</v>
      </c>
      <c r="AZ130" s="32">
        <v>0</v>
      </c>
      <c r="BA130" s="32">
        <v>0</v>
      </c>
      <c r="BB130" s="32">
        <v>0</v>
      </c>
      <c r="BC130" s="32">
        <v>0</v>
      </c>
      <c r="BD130" s="35">
        <v>0</v>
      </c>
      <c r="BE130" s="35">
        <v>0</v>
      </c>
      <c r="BF130" s="33" t="s">
        <v>412</v>
      </c>
      <c r="BG130" s="33" t="s">
        <v>412</v>
      </c>
      <c r="BH130" s="33">
        <v>0.98989898989898994</v>
      </c>
    </row>
    <row r="131" spans="1:60" ht="19.5" customHeight="1">
      <c r="A131" s="36">
        <v>128</v>
      </c>
      <c r="B131" s="31" t="s">
        <v>410</v>
      </c>
      <c r="C131" s="37">
        <v>46195</v>
      </c>
      <c r="D131" s="31" t="s">
        <v>413</v>
      </c>
      <c r="E131" s="31">
        <v>2</v>
      </c>
      <c r="F131" s="31">
        <v>2</v>
      </c>
      <c r="G131" s="32">
        <v>1</v>
      </c>
      <c r="H131" s="31">
        <v>0</v>
      </c>
      <c r="I131" s="33">
        <v>0</v>
      </c>
      <c r="J131" s="31">
        <v>1</v>
      </c>
      <c r="K131" s="31">
        <v>1</v>
      </c>
      <c r="L131" s="32">
        <v>1</v>
      </c>
      <c r="M131" s="31">
        <v>4</v>
      </c>
      <c r="N131" s="31">
        <v>4</v>
      </c>
      <c r="O131" s="31">
        <v>4</v>
      </c>
      <c r="P131" s="32">
        <v>1</v>
      </c>
      <c r="Q131" s="31">
        <v>0</v>
      </c>
      <c r="R131" s="31">
        <v>0</v>
      </c>
      <c r="S131" s="31">
        <v>0</v>
      </c>
      <c r="T131" s="32">
        <v>0</v>
      </c>
      <c r="U131" s="31">
        <v>0</v>
      </c>
      <c r="V131" s="32">
        <v>0</v>
      </c>
      <c r="W131" s="31">
        <v>0</v>
      </c>
      <c r="X131" s="32">
        <v>0</v>
      </c>
      <c r="Y131" s="31">
        <v>0</v>
      </c>
      <c r="Z131" s="34">
        <v>0</v>
      </c>
      <c r="AA131" s="31">
        <v>0</v>
      </c>
      <c r="AB131" s="32">
        <v>0</v>
      </c>
      <c r="AC131" s="31">
        <v>0</v>
      </c>
      <c r="AD131" s="32">
        <v>0</v>
      </c>
      <c r="AE131" s="31">
        <v>0</v>
      </c>
      <c r="AF131" s="32">
        <v>0</v>
      </c>
      <c r="AG131" s="31">
        <v>0</v>
      </c>
      <c r="AH131" s="32">
        <v>0</v>
      </c>
      <c r="AI131" s="35">
        <v>0</v>
      </c>
      <c r="AJ131" s="32">
        <v>0</v>
      </c>
      <c r="AK131" s="35">
        <v>0</v>
      </c>
      <c r="AL131" s="32">
        <v>0</v>
      </c>
      <c r="AM131" s="35">
        <v>0</v>
      </c>
      <c r="AN131" s="35">
        <v>0</v>
      </c>
      <c r="AO131" s="32">
        <v>0</v>
      </c>
      <c r="AP131" s="32">
        <v>0</v>
      </c>
      <c r="AQ131" s="33">
        <v>1</v>
      </c>
      <c r="AR131" s="33" t="s">
        <v>411</v>
      </c>
      <c r="AS131" s="33">
        <v>0</v>
      </c>
      <c r="AT131" s="35">
        <v>0</v>
      </c>
      <c r="AU131" s="35">
        <v>0</v>
      </c>
      <c r="AV131" s="35">
        <v>0</v>
      </c>
      <c r="AW131" s="35">
        <v>0</v>
      </c>
      <c r="AX131" s="35">
        <v>0</v>
      </c>
      <c r="AY131" s="35">
        <v>0</v>
      </c>
      <c r="AZ131" s="32">
        <v>0</v>
      </c>
      <c r="BA131" s="32">
        <v>0</v>
      </c>
      <c r="BB131" s="32">
        <v>0</v>
      </c>
      <c r="BC131" s="32">
        <v>0</v>
      </c>
      <c r="BD131" s="35">
        <v>0</v>
      </c>
      <c r="BE131" s="35">
        <v>0</v>
      </c>
      <c r="BF131" s="33" t="s">
        <v>412</v>
      </c>
      <c r="BG131" s="33" t="s">
        <v>412</v>
      </c>
      <c r="BH131" s="33" t="s">
        <v>412</v>
      </c>
    </row>
    <row r="132" spans="1:60" ht="19.5" customHeight="1">
      <c r="A132" s="36">
        <v>129</v>
      </c>
      <c r="B132" s="31" t="s">
        <v>410</v>
      </c>
      <c r="C132" s="37">
        <v>46195</v>
      </c>
      <c r="D132" s="31" t="s">
        <v>335</v>
      </c>
      <c r="E132" s="31">
        <v>2266</v>
      </c>
      <c r="F132" s="31">
        <v>1956</v>
      </c>
      <c r="G132" s="32">
        <v>0.86319505736981461</v>
      </c>
      <c r="H132" s="31">
        <v>871</v>
      </c>
      <c r="I132" s="33">
        <v>0.38437775816416592</v>
      </c>
      <c r="J132" s="31">
        <v>2332</v>
      </c>
      <c r="K132" s="31">
        <v>2286</v>
      </c>
      <c r="L132" s="32">
        <v>0.98</v>
      </c>
      <c r="M132" s="31">
        <v>11731</v>
      </c>
      <c r="N132" s="31">
        <v>11362</v>
      </c>
      <c r="O132" s="31">
        <v>11583</v>
      </c>
      <c r="P132" s="32">
        <v>0.98738385474384105</v>
      </c>
      <c r="Q132" s="31">
        <v>12</v>
      </c>
      <c r="R132" s="31">
        <v>0</v>
      </c>
      <c r="S132" s="31">
        <v>0</v>
      </c>
      <c r="T132" s="32">
        <v>0</v>
      </c>
      <c r="U132" s="31">
        <v>0</v>
      </c>
      <c r="V132" s="32">
        <v>0</v>
      </c>
      <c r="W132" s="31">
        <v>296</v>
      </c>
      <c r="X132" s="32">
        <v>0.13062665489849959</v>
      </c>
      <c r="Y132" s="31">
        <v>764</v>
      </c>
      <c r="Z132" s="34">
        <v>0.33715798764342447</v>
      </c>
      <c r="AA132" s="31">
        <v>42</v>
      </c>
      <c r="AB132" s="32">
        <v>1.8534863195057372E-2</v>
      </c>
      <c r="AC132" s="31">
        <v>150</v>
      </c>
      <c r="AD132" s="32">
        <v>6.6195939982347754E-2</v>
      </c>
      <c r="AE132" s="31">
        <v>18</v>
      </c>
      <c r="AF132" s="32">
        <v>0.12</v>
      </c>
      <c r="AG132" s="31">
        <v>139</v>
      </c>
      <c r="AH132" s="32">
        <v>0.92666666666666664</v>
      </c>
      <c r="AI132" s="35">
        <v>127</v>
      </c>
      <c r="AJ132" s="32">
        <v>5.6045895851721088E-2</v>
      </c>
      <c r="AK132" s="35">
        <v>4</v>
      </c>
      <c r="AL132" s="32">
        <v>0.90551181102362199</v>
      </c>
      <c r="AM132" s="35">
        <v>124</v>
      </c>
      <c r="AN132" s="35">
        <v>115</v>
      </c>
      <c r="AO132" s="32">
        <v>5.0750220653133282E-2</v>
      </c>
      <c r="AP132" s="32">
        <v>0.76666666666666672</v>
      </c>
      <c r="AQ132" s="33">
        <v>0.9707602339181286</v>
      </c>
      <c r="AR132" s="33" t="s">
        <v>411</v>
      </c>
      <c r="AS132" s="33">
        <v>0</v>
      </c>
      <c r="AT132" s="35">
        <v>0</v>
      </c>
      <c r="AU132" s="35">
        <v>0</v>
      </c>
      <c r="AV132" s="35">
        <v>34</v>
      </c>
      <c r="AW132" s="35">
        <v>20</v>
      </c>
      <c r="AX132" s="35">
        <v>28</v>
      </c>
      <c r="AY132" s="35">
        <v>64</v>
      </c>
      <c r="AZ132" s="32">
        <v>8.8261253309796991E-3</v>
      </c>
      <c r="BA132" s="32">
        <v>1.2356575463371581E-2</v>
      </c>
      <c r="BB132" s="32">
        <v>2.8243601059135041E-2</v>
      </c>
      <c r="BC132" s="32">
        <v>0.2434782608695652</v>
      </c>
      <c r="BD132" s="35">
        <v>0</v>
      </c>
      <c r="BE132" s="35">
        <v>1</v>
      </c>
      <c r="BF132" s="33">
        <v>0.90476190476190477</v>
      </c>
      <c r="BG132" s="33">
        <v>1</v>
      </c>
      <c r="BH132" s="33" t="s">
        <v>412</v>
      </c>
    </row>
    <row r="133" spans="1:60" ht="19.5" customHeight="1">
      <c r="A133" s="36">
        <v>130</v>
      </c>
      <c r="B133" s="31" t="s">
        <v>410</v>
      </c>
      <c r="C133" s="37">
        <v>46195</v>
      </c>
      <c r="D133" s="31" t="s">
        <v>334</v>
      </c>
      <c r="E133" s="31">
        <v>1980</v>
      </c>
      <c r="F133" s="31">
        <v>1700</v>
      </c>
      <c r="G133" s="32">
        <v>0.85858585858585856</v>
      </c>
      <c r="H133" s="31">
        <v>999</v>
      </c>
      <c r="I133" s="33">
        <v>0.50454545454545452</v>
      </c>
      <c r="J133" s="31">
        <v>2252</v>
      </c>
      <c r="K133" s="31">
        <v>2187</v>
      </c>
      <c r="L133" s="32">
        <v>0.97099999999999997</v>
      </c>
      <c r="M133" s="31">
        <v>10245</v>
      </c>
      <c r="N133" s="31">
        <v>9856</v>
      </c>
      <c r="O133" s="31">
        <v>10106</v>
      </c>
      <c r="P133" s="32">
        <v>0.98643240605173255</v>
      </c>
      <c r="Q133" s="31">
        <v>17</v>
      </c>
      <c r="R133" s="31">
        <v>0</v>
      </c>
      <c r="S133" s="31">
        <v>0</v>
      </c>
      <c r="T133" s="32">
        <v>0</v>
      </c>
      <c r="U133" s="31">
        <v>0</v>
      </c>
      <c r="V133" s="32">
        <v>0</v>
      </c>
      <c r="W133" s="31">
        <v>229</v>
      </c>
      <c r="X133" s="32">
        <v>0.11565656565656569</v>
      </c>
      <c r="Y133" s="31">
        <v>396</v>
      </c>
      <c r="Z133" s="34">
        <v>0.2</v>
      </c>
      <c r="AA133" s="31">
        <v>17</v>
      </c>
      <c r="AB133" s="32">
        <v>8.5858585858585856E-3</v>
      </c>
      <c r="AC133" s="31">
        <v>133</v>
      </c>
      <c r="AD133" s="32">
        <v>6.7171717171717174E-2</v>
      </c>
      <c r="AE133" s="31">
        <v>20</v>
      </c>
      <c r="AF133" s="32">
        <v>0.15037593984962411</v>
      </c>
      <c r="AG133" s="31">
        <v>123</v>
      </c>
      <c r="AH133" s="32">
        <v>0.92481203007518797</v>
      </c>
      <c r="AI133" s="35">
        <v>120</v>
      </c>
      <c r="AJ133" s="32">
        <v>6.0606060606060608E-2</v>
      </c>
      <c r="AK133" s="35">
        <v>3</v>
      </c>
      <c r="AL133" s="32">
        <v>0.85</v>
      </c>
      <c r="AM133" s="35">
        <v>119</v>
      </c>
      <c r="AN133" s="35">
        <v>102</v>
      </c>
      <c r="AO133" s="32">
        <v>5.1515151515151507E-2</v>
      </c>
      <c r="AP133" s="32">
        <v>0.76691729323308266</v>
      </c>
      <c r="AQ133" s="33">
        <v>0.99581589958159</v>
      </c>
      <c r="AR133" s="33" t="s">
        <v>411</v>
      </c>
      <c r="AS133" s="33">
        <v>0</v>
      </c>
      <c r="AT133" s="35">
        <v>0</v>
      </c>
      <c r="AU133" s="35">
        <v>0</v>
      </c>
      <c r="AV133" s="35">
        <v>33</v>
      </c>
      <c r="AW133" s="35">
        <v>22</v>
      </c>
      <c r="AX133" s="35">
        <v>27</v>
      </c>
      <c r="AY133" s="35">
        <v>49</v>
      </c>
      <c r="AZ133" s="32">
        <v>1.111111111111111E-2</v>
      </c>
      <c r="BA133" s="32">
        <v>1.3636363636363639E-2</v>
      </c>
      <c r="BB133" s="32">
        <v>2.4747474747474751E-2</v>
      </c>
      <c r="BC133" s="32">
        <v>0.26470588235294118</v>
      </c>
      <c r="BD133" s="35">
        <v>0</v>
      </c>
      <c r="BE133" s="35">
        <v>0</v>
      </c>
      <c r="BF133" s="33">
        <v>1</v>
      </c>
      <c r="BG133" s="33">
        <v>1</v>
      </c>
      <c r="BH133" s="33" t="s">
        <v>412</v>
      </c>
    </row>
    <row r="134" spans="1:60" ht="19.5" customHeight="1">
      <c r="A134" s="36">
        <v>131</v>
      </c>
      <c r="B134" s="31" t="s">
        <v>410</v>
      </c>
      <c r="C134" s="37">
        <v>46195</v>
      </c>
      <c r="D134" s="31" t="s">
        <v>337</v>
      </c>
      <c r="E134" s="31">
        <v>4733</v>
      </c>
      <c r="F134" s="31">
        <v>4116</v>
      </c>
      <c r="G134" s="32">
        <v>0.86963870695119372</v>
      </c>
      <c r="H134" s="31">
        <v>1687</v>
      </c>
      <c r="I134" s="33">
        <v>0.35643355165856749</v>
      </c>
      <c r="J134" s="31">
        <v>6003</v>
      </c>
      <c r="K134" s="31">
        <v>5834</v>
      </c>
      <c r="L134" s="32">
        <v>0.97199999999999998</v>
      </c>
      <c r="M134" s="31">
        <v>27028</v>
      </c>
      <c r="N134" s="31">
        <v>25905</v>
      </c>
      <c r="O134" s="31">
        <v>26619</v>
      </c>
      <c r="P134" s="32">
        <v>0.98486754476838834</v>
      </c>
      <c r="Q134" s="31">
        <v>69</v>
      </c>
      <c r="R134" s="31">
        <v>0</v>
      </c>
      <c r="S134" s="31">
        <v>0</v>
      </c>
      <c r="T134" s="32">
        <v>0</v>
      </c>
      <c r="U134" s="31">
        <v>0</v>
      </c>
      <c r="V134" s="32">
        <v>0</v>
      </c>
      <c r="W134" s="31">
        <v>503</v>
      </c>
      <c r="X134" s="32">
        <v>0.106275089795056</v>
      </c>
      <c r="Y134" s="31">
        <v>1246</v>
      </c>
      <c r="Z134" s="34">
        <v>0.26325797591379668</v>
      </c>
      <c r="AA134" s="31">
        <v>32</v>
      </c>
      <c r="AB134" s="32">
        <v>6.7610395098246356E-3</v>
      </c>
      <c r="AC134" s="31">
        <v>593</v>
      </c>
      <c r="AD134" s="32">
        <v>0.12529051341643779</v>
      </c>
      <c r="AE134" s="31">
        <v>87</v>
      </c>
      <c r="AF134" s="32">
        <v>0.14671163575042159</v>
      </c>
      <c r="AG134" s="31">
        <v>542</v>
      </c>
      <c r="AH134" s="32">
        <v>0.91399662731871834</v>
      </c>
      <c r="AI134" s="35">
        <v>585</v>
      </c>
      <c r="AJ134" s="32">
        <v>0.1236002535389816</v>
      </c>
      <c r="AK134" s="35">
        <v>31</v>
      </c>
      <c r="AL134" s="32">
        <v>0.90769230769230769</v>
      </c>
      <c r="AM134" s="35">
        <v>575</v>
      </c>
      <c r="AN134" s="35">
        <v>531</v>
      </c>
      <c r="AO134" s="32">
        <v>0.11219099936615259</v>
      </c>
      <c r="AP134" s="32">
        <v>0.89544688026981445</v>
      </c>
      <c r="AQ134" s="33">
        <v>0.9660144181256437</v>
      </c>
      <c r="AR134" s="33" t="s">
        <v>411</v>
      </c>
      <c r="AS134" s="33">
        <v>0</v>
      </c>
      <c r="AT134" s="35">
        <v>0</v>
      </c>
      <c r="AU134" s="35">
        <v>0</v>
      </c>
      <c r="AV134" s="35">
        <v>54</v>
      </c>
      <c r="AW134" s="35">
        <v>30</v>
      </c>
      <c r="AX134" s="35">
        <v>54</v>
      </c>
      <c r="AY134" s="35">
        <v>136</v>
      </c>
      <c r="AZ134" s="32">
        <v>6.3384745404605957E-3</v>
      </c>
      <c r="BA134" s="32">
        <v>1.1409254172829069E-2</v>
      </c>
      <c r="BB134" s="32">
        <v>2.8734417916754702E-2</v>
      </c>
      <c r="BC134" s="32">
        <v>0.10169491525423729</v>
      </c>
      <c r="BD134" s="35">
        <v>0</v>
      </c>
      <c r="BE134" s="35">
        <v>0</v>
      </c>
      <c r="BF134" s="33">
        <v>0.98290598290598286</v>
      </c>
      <c r="BG134" s="33">
        <v>1</v>
      </c>
      <c r="BH134" s="33" t="s">
        <v>412</v>
      </c>
    </row>
    <row r="135" spans="1:60" ht="19.5" customHeight="1">
      <c r="A135" s="36">
        <v>132</v>
      </c>
      <c r="B135" s="31" t="s">
        <v>410</v>
      </c>
      <c r="C135" s="37">
        <v>46195</v>
      </c>
      <c r="D135" s="31" t="s">
        <v>336</v>
      </c>
      <c r="E135" s="31">
        <v>3888</v>
      </c>
      <c r="F135" s="31">
        <v>3429</v>
      </c>
      <c r="G135" s="32">
        <v>0.88194444444444442</v>
      </c>
      <c r="H135" s="31">
        <v>2739</v>
      </c>
      <c r="I135" s="33">
        <v>0.70447530864197527</v>
      </c>
      <c r="J135" s="31">
        <v>5297</v>
      </c>
      <c r="K135" s="31">
        <v>5215</v>
      </c>
      <c r="L135" s="32">
        <v>0.98499999999999999</v>
      </c>
      <c r="M135" s="31">
        <v>21812</v>
      </c>
      <c r="N135" s="31">
        <v>21514</v>
      </c>
      <c r="O135" s="31">
        <v>21573</v>
      </c>
      <c r="P135" s="32">
        <v>0.98904272877315236</v>
      </c>
      <c r="Q135" s="31">
        <v>24</v>
      </c>
      <c r="R135" s="31">
        <v>0</v>
      </c>
      <c r="S135" s="31">
        <v>0</v>
      </c>
      <c r="T135" s="32">
        <v>0</v>
      </c>
      <c r="U135" s="31">
        <v>0</v>
      </c>
      <c r="V135" s="32">
        <v>0</v>
      </c>
      <c r="W135" s="31">
        <v>362</v>
      </c>
      <c r="X135" s="32">
        <v>9.3106995884773669E-2</v>
      </c>
      <c r="Y135" s="31">
        <v>579</v>
      </c>
      <c r="Z135" s="34">
        <v>0.14891975308641969</v>
      </c>
      <c r="AA135" s="31">
        <v>62</v>
      </c>
      <c r="AB135" s="32">
        <v>1.5946502057613169E-2</v>
      </c>
      <c r="AC135" s="31">
        <v>419</v>
      </c>
      <c r="AD135" s="32">
        <v>0.1077674897119342</v>
      </c>
      <c r="AE135" s="31">
        <v>93</v>
      </c>
      <c r="AF135" s="32">
        <v>0.22195704057279239</v>
      </c>
      <c r="AG135" s="31">
        <v>398</v>
      </c>
      <c r="AH135" s="32">
        <v>0.94988066825775652</v>
      </c>
      <c r="AI135" s="35">
        <v>418</v>
      </c>
      <c r="AJ135" s="32">
        <v>0.1075102880658436</v>
      </c>
      <c r="AK135" s="35">
        <v>52</v>
      </c>
      <c r="AL135" s="32">
        <v>0.94497607655502391</v>
      </c>
      <c r="AM135" s="35">
        <v>413</v>
      </c>
      <c r="AN135" s="35">
        <v>395</v>
      </c>
      <c r="AO135" s="32">
        <v>0.10159465020576131</v>
      </c>
      <c r="AP135" s="32">
        <v>0.94272076372315039</v>
      </c>
      <c r="AQ135" s="33">
        <v>0.94650205761316875</v>
      </c>
      <c r="AR135" s="33" t="s">
        <v>411</v>
      </c>
      <c r="AS135" s="33">
        <v>0</v>
      </c>
      <c r="AT135" s="35">
        <v>0</v>
      </c>
      <c r="AU135" s="35">
        <v>0</v>
      </c>
      <c r="AV135" s="35">
        <v>49</v>
      </c>
      <c r="AW135" s="35">
        <v>36</v>
      </c>
      <c r="AX135" s="35">
        <v>58</v>
      </c>
      <c r="AY135" s="35">
        <v>101</v>
      </c>
      <c r="AZ135" s="32">
        <v>9.2592592592592587E-3</v>
      </c>
      <c r="BA135" s="32">
        <v>1.491769547325103E-2</v>
      </c>
      <c r="BB135" s="32">
        <v>2.5977366255144029E-2</v>
      </c>
      <c r="BC135" s="32">
        <v>0.14683544303797469</v>
      </c>
      <c r="BD135" s="35">
        <v>0</v>
      </c>
      <c r="BE135" s="35">
        <v>0</v>
      </c>
      <c r="BF135" s="33">
        <v>1</v>
      </c>
      <c r="BG135" s="33">
        <v>1</v>
      </c>
      <c r="BH135" s="33" t="s">
        <v>412</v>
      </c>
    </row>
    <row r="136" spans="1:60" ht="25.7" customHeight="1">
      <c r="A136" s="36">
        <v>133</v>
      </c>
      <c r="B136" s="31" t="s">
        <v>410</v>
      </c>
      <c r="C136" s="37">
        <v>46196</v>
      </c>
      <c r="D136" s="31"/>
      <c r="E136" s="31">
        <v>26</v>
      </c>
      <c r="F136" s="31">
        <v>26</v>
      </c>
      <c r="G136" s="32">
        <v>1</v>
      </c>
      <c r="H136" s="31">
        <v>26</v>
      </c>
      <c r="I136" s="33">
        <v>1</v>
      </c>
      <c r="J136" s="31">
        <v>0</v>
      </c>
      <c r="K136" s="31">
        <v>0</v>
      </c>
      <c r="L136" s="32">
        <v>0</v>
      </c>
      <c r="M136" s="31">
        <v>6</v>
      </c>
      <c r="N136" s="31">
        <v>4</v>
      </c>
      <c r="O136" s="31">
        <v>6</v>
      </c>
      <c r="P136" s="32">
        <v>1</v>
      </c>
      <c r="Q136" s="31">
        <v>0</v>
      </c>
      <c r="R136" s="31">
        <v>0</v>
      </c>
      <c r="S136" s="31">
        <v>0</v>
      </c>
      <c r="T136" s="32">
        <v>0</v>
      </c>
      <c r="U136" s="31">
        <v>0</v>
      </c>
      <c r="V136" s="32">
        <v>0</v>
      </c>
      <c r="W136" s="31">
        <v>14</v>
      </c>
      <c r="X136" s="32">
        <v>0.53846153846153844</v>
      </c>
      <c r="Y136" s="31">
        <v>51</v>
      </c>
      <c r="Z136" s="34">
        <v>1.961538461538461</v>
      </c>
      <c r="AA136" s="31">
        <v>0</v>
      </c>
      <c r="AB136" s="32">
        <v>0</v>
      </c>
      <c r="AC136" s="31">
        <v>0</v>
      </c>
      <c r="AD136" s="32">
        <v>0</v>
      </c>
      <c r="AE136" s="31">
        <v>0</v>
      </c>
      <c r="AF136" s="32">
        <v>0</v>
      </c>
      <c r="AG136" s="31">
        <v>0</v>
      </c>
      <c r="AH136" s="32">
        <v>0</v>
      </c>
      <c r="AI136" s="35">
        <v>0</v>
      </c>
      <c r="AJ136" s="32">
        <v>0</v>
      </c>
      <c r="AK136" s="35">
        <v>0</v>
      </c>
      <c r="AL136" s="32">
        <v>0</v>
      </c>
      <c r="AM136" s="35">
        <v>0</v>
      </c>
      <c r="AN136" s="35">
        <v>0</v>
      </c>
      <c r="AO136" s="32">
        <v>0</v>
      </c>
      <c r="AP136" s="32">
        <v>0</v>
      </c>
      <c r="AQ136" s="33"/>
      <c r="AR136" s="33" t="s">
        <v>411</v>
      </c>
      <c r="AS136" s="33" t="s">
        <v>411</v>
      </c>
      <c r="AT136" s="35">
        <v>0</v>
      </c>
      <c r="AU136" s="35">
        <v>0</v>
      </c>
      <c r="AV136" s="35">
        <v>0</v>
      </c>
      <c r="AW136" s="35">
        <v>0</v>
      </c>
      <c r="AX136" s="35">
        <v>0</v>
      </c>
      <c r="AY136" s="35">
        <v>0</v>
      </c>
      <c r="AZ136" s="32">
        <v>0</v>
      </c>
      <c r="BA136" s="32">
        <v>0</v>
      </c>
      <c r="BB136" s="32">
        <v>0</v>
      </c>
      <c r="BC136" s="32">
        <v>0</v>
      </c>
      <c r="BD136" s="35">
        <v>0</v>
      </c>
      <c r="BE136" s="35">
        <v>0</v>
      </c>
      <c r="BF136" s="33" t="s">
        <v>412</v>
      </c>
      <c r="BG136" s="33" t="s">
        <v>412</v>
      </c>
      <c r="BH136" s="33">
        <v>0.99224806201550386</v>
      </c>
    </row>
    <row r="137" spans="1:60" ht="19.5" customHeight="1">
      <c r="A137" s="36">
        <v>134</v>
      </c>
      <c r="B137" s="31" t="s">
        <v>410</v>
      </c>
      <c r="C137" s="37">
        <v>46196</v>
      </c>
      <c r="D137" s="31" t="s">
        <v>413</v>
      </c>
      <c r="E137" s="31">
        <v>5</v>
      </c>
      <c r="F137" s="31">
        <v>5</v>
      </c>
      <c r="G137" s="32">
        <v>1</v>
      </c>
      <c r="H137" s="31">
        <v>2</v>
      </c>
      <c r="I137" s="33">
        <v>0.4</v>
      </c>
      <c r="J137" s="31">
        <v>0</v>
      </c>
      <c r="K137" s="31">
        <v>0</v>
      </c>
      <c r="L137" s="32">
        <v>0</v>
      </c>
      <c r="M137" s="31">
        <v>1</v>
      </c>
      <c r="N137" s="31">
        <v>3</v>
      </c>
      <c r="O137" s="31">
        <v>1</v>
      </c>
      <c r="P137" s="32">
        <v>1</v>
      </c>
      <c r="Q137" s="31">
        <v>0</v>
      </c>
      <c r="R137" s="31">
        <v>0</v>
      </c>
      <c r="S137" s="31">
        <v>0</v>
      </c>
      <c r="T137" s="32">
        <v>0</v>
      </c>
      <c r="U137" s="31">
        <v>0</v>
      </c>
      <c r="V137" s="32">
        <v>0</v>
      </c>
      <c r="W137" s="31">
        <v>0</v>
      </c>
      <c r="X137" s="32">
        <v>0</v>
      </c>
      <c r="Y137" s="31">
        <v>0</v>
      </c>
      <c r="Z137" s="34">
        <v>0</v>
      </c>
      <c r="AA137" s="31">
        <v>0</v>
      </c>
      <c r="AB137" s="32">
        <v>0</v>
      </c>
      <c r="AC137" s="31">
        <v>0</v>
      </c>
      <c r="AD137" s="32">
        <v>0</v>
      </c>
      <c r="AE137" s="31">
        <v>0</v>
      </c>
      <c r="AF137" s="32">
        <v>0</v>
      </c>
      <c r="AG137" s="31">
        <v>0</v>
      </c>
      <c r="AH137" s="32">
        <v>0</v>
      </c>
      <c r="AI137" s="35">
        <v>0</v>
      </c>
      <c r="AJ137" s="32">
        <v>0</v>
      </c>
      <c r="AK137" s="35">
        <v>0</v>
      </c>
      <c r="AL137" s="32">
        <v>0</v>
      </c>
      <c r="AM137" s="35">
        <v>0</v>
      </c>
      <c r="AN137" s="35">
        <v>0</v>
      </c>
      <c r="AO137" s="32">
        <v>0</v>
      </c>
      <c r="AP137" s="32">
        <v>0</v>
      </c>
      <c r="AQ137" s="33"/>
      <c r="AR137" s="33" t="s">
        <v>411</v>
      </c>
      <c r="AS137" s="33" t="s">
        <v>411</v>
      </c>
      <c r="AT137" s="35">
        <v>0</v>
      </c>
      <c r="AU137" s="35">
        <v>0</v>
      </c>
      <c r="AV137" s="35">
        <v>0</v>
      </c>
      <c r="AW137" s="35">
        <v>0</v>
      </c>
      <c r="AX137" s="35">
        <v>0</v>
      </c>
      <c r="AY137" s="35">
        <v>0</v>
      </c>
      <c r="AZ137" s="32">
        <v>0</v>
      </c>
      <c r="BA137" s="32">
        <v>0</v>
      </c>
      <c r="BB137" s="32">
        <v>0</v>
      </c>
      <c r="BC137" s="32">
        <v>0</v>
      </c>
      <c r="BD137" s="35">
        <v>0</v>
      </c>
      <c r="BE137" s="35">
        <v>0</v>
      </c>
      <c r="BF137" s="33" t="s">
        <v>412</v>
      </c>
      <c r="BG137" s="33" t="s">
        <v>412</v>
      </c>
      <c r="BH137" s="33" t="s">
        <v>412</v>
      </c>
    </row>
    <row r="138" spans="1:60" ht="19.5" customHeight="1">
      <c r="A138" s="36">
        <v>135</v>
      </c>
      <c r="B138" s="31" t="s">
        <v>410</v>
      </c>
      <c r="C138" s="37">
        <v>46196</v>
      </c>
      <c r="D138" s="31" t="s">
        <v>335</v>
      </c>
      <c r="E138" s="31">
        <v>2698</v>
      </c>
      <c r="F138" s="31">
        <v>2366</v>
      </c>
      <c r="G138" s="32">
        <v>0.87694588584136401</v>
      </c>
      <c r="H138" s="31">
        <v>1171</v>
      </c>
      <c r="I138" s="33">
        <v>0.43402520385470722</v>
      </c>
      <c r="J138" s="31">
        <v>2611</v>
      </c>
      <c r="K138" s="31">
        <v>2553</v>
      </c>
      <c r="L138" s="32">
        <v>0.97799999999999998</v>
      </c>
      <c r="M138" s="31">
        <v>12119</v>
      </c>
      <c r="N138" s="31">
        <v>12132</v>
      </c>
      <c r="O138" s="31">
        <v>11975</v>
      </c>
      <c r="P138" s="32">
        <v>0.98811783150424948</v>
      </c>
      <c r="Q138" s="31">
        <v>15</v>
      </c>
      <c r="R138" s="31">
        <v>0</v>
      </c>
      <c r="S138" s="31">
        <v>0</v>
      </c>
      <c r="T138" s="32">
        <v>0</v>
      </c>
      <c r="U138" s="31">
        <v>0</v>
      </c>
      <c r="V138" s="32">
        <v>0</v>
      </c>
      <c r="W138" s="31">
        <v>394</v>
      </c>
      <c r="X138" s="32">
        <v>0.14603409933283909</v>
      </c>
      <c r="Y138" s="31">
        <v>1439</v>
      </c>
      <c r="Z138" s="34">
        <v>0.53335804299481093</v>
      </c>
      <c r="AA138" s="31">
        <v>32</v>
      </c>
      <c r="AB138" s="32">
        <v>1.1860637509266121E-2</v>
      </c>
      <c r="AC138" s="31">
        <v>106</v>
      </c>
      <c r="AD138" s="32">
        <v>3.9288361749444042E-2</v>
      </c>
      <c r="AE138" s="31">
        <v>31</v>
      </c>
      <c r="AF138" s="32">
        <v>0.29245283018867918</v>
      </c>
      <c r="AG138" s="31">
        <v>104</v>
      </c>
      <c r="AH138" s="32">
        <v>0.98113207547169812</v>
      </c>
      <c r="AI138" s="35">
        <v>108</v>
      </c>
      <c r="AJ138" s="32">
        <v>4.0029651593773162E-2</v>
      </c>
      <c r="AK138" s="35">
        <v>10</v>
      </c>
      <c r="AL138" s="32">
        <v>0.87037037037037035</v>
      </c>
      <c r="AM138" s="35">
        <v>105</v>
      </c>
      <c r="AN138" s="35">
        <v>94</v>
      </c>
      <c r="AO138" s="32">
        <v>3.4840622683469227E-2</v>
      </c>
      <c r="AP138" s="32">
        <v>0.8867924528301887</v>
      </c>
      <c r="AQ138" s="33">
        <v>0.99137931034482762</v>
      </c>
      <c r="AR138" s="33" t="s">
        <v>411</v>
      </c>
      <c r="AS138" s="33">
        <v>0</v>
      </c>
      <c r="AT138" s="35">
        <v>0</v>
      </c>
      <c r="AU138" s="35">
        <v>0</v>
      </c>
      <c r="AV138" s="35">
        <v>84</v>
      </c>
      <c r="AW138" s="35">
        <v>79</v>
      </c>
      <c r="AX138" s="35">
        <v>81</v>
      </c>
      <c r="AY138" s="35">
        <v>46</v>
      </c>
      <c r="AZ138" s="32">
        <v>2.928094885100074E-2</v>
      </c>
      <c r="BA138" s="32">
        <v>3.002223869532987E-2</v>
      </c>
      <c r="BB138" s="32">
        <v>1.704966641957005E-2</v>
      </c>
      <c r="BC138" s="32">
        <v>0.86170212765957444</v>
      </c>
      <c r="BD138" s="35">
        <v>0</v>
      </c>
      <c r="BE138" s="35">
        <v>0</v>
      </c>
      <c r="BF138" s="33">
        <v>1</v>
      </c>
      <c r="BG138" s="33">
        <v>0.97435897435897434</v>
      </c>
      <c r="BH138" s="33" t="s">
        <v>412</v>
      </c>
    </row>
    <row r="139" spans="1:60" ht="19.5" customHeight="1">
      <c r="A139" s="36">
        <v>136</v>
      </c>
      <c r="B139" s="31" t="s">
        <v>410</v>
      </c>
      <c r="C139" s="37">
        <v>46196</v>
      </c>
      <c r="D139" s="31" t="s">
        <v>334</v>
      </c>
      <c r="E139" s="31">
        <v>2279</v>
      </c>
      <c r="F139" s="31">
        <v>1964</v>
      </c>
      <c r="G139" s="32">
        <v>0.86178148310662572</v>
      </c>
      <c r="H139" s="31">
        <v>1237</v>
      </c>
      <c r="I139" s="33">
        <v>0.54278192189556829</v>
      </c>
      <c r="J139" s="31">
        <v>2406</v>
      </c>
      <c r="K139" s="31">
        <v>2351</v>
      </c>
      <c r="L139" s="32">
        <v>0.97699999999999998</v>
      </c>
      <c r="M139" s="31">
        <v>10013</v>
      </c>
      <c r="N139" s="31">
        <v>10067</v>
      </c>
      <c r="O139" s="31">
        <v>9871</v>
      </c>
      <c r="P139" s="32">
        <v>0.98581843603315689</v>
      </c>
      <c r="Q139" s="31">
        <v>21</v>
      </c>
      <c r="R139" s="31">
        <v>0</v>
      </c>
      <c r="S139" s="31">
        <v>0</v>
      </c>
      <c r="T139" s="32">
        <v>0</v>
      </c>
      <c r="U139" s="31">
        <v>0</v>
      </c>
      <c r="V139" s="32">
        <v>0</v>
      </c>
      <c r="W139" s="31">
        <v>336</v>
      </c>
      <c r="X139" s="32">
        <v>0.1474330846862659</v>
      </c>
      <c r="Y139" s="31">
        <v>690</v>
      </c>
      <c r="Z139" s="34">
        <v>0.30276437033786752</v>
      </c>
      <c r="AA139" s="31">
        <v>14</v>
      </c>
      <c r="AB139" s="32">
        <v>6.1430451952610796E-3</v>
      </c>
      <c r="AC139" s="31">
        <v>137</v>
      </c>
      <c r="AD139" s="32">
        <v>6.0114085125054853E-2</v>
      </c>
      <c r="AE139" s="31">
        <v>30</v>
      </c>
      <c r="AF139" s="32">
        <v>0.218978102189781</v>
      </c>
      <c r="AG139" s="31">
        <v>128</v>
      </c>
      <c r="AH139" s="32">
        <v>0.93430656934306566</v>
      </c>
      <c r="AI139" s="35">
        <v>130</v>
      </c>
      <c r="AJ139" s="32">
        <v>5.7042562527424311E-2</v>
      </c>
      <c r="AK139" s="35">
        <v>5</v>
      </c>
      <c r="AL139" s="32">
        <v>0.87692307692307692</v>
      </c>
      <c r="AM139" s="35">
        <v>127</v>
      </c>
      <c r="AN139" s="35">
        <v>114</v>
      </c>
      <c r="AO139" s="32">
        <v>5.0021939447125928E-2</v>
      </c>
      <c r="AP139" s="32">
        <v>0.83211678832116787</v>
      </c>
      <c r="AQ139" s="33">
        <v>0.96825396825396826</v>
      </c>
      <c r="AR139" s="33" t="s">
        <v>411</v>
      </c>
      <c r="AS139" s="33">
        <v>0</v>
      </c>
      <c r="AT139" s="35">
        <v>0</v>
      </c>
      <c r="AU139" s="35">
        <v>0</v>
      </c>
      <c r="AV139" s="35">
        <v>64</v>
      </c>
      <c r="AW139" s="35">
        <v>59</v>
      </c>
      <c r="AX139" s="35">
        <v>58</v>
      </c>
      <c r="AY139" s="35">
        <v>36</v>
      </c>
      <c r="AZ139" s="32">
        <v>2.5888547608600258E-2</v>
      </c>
      <c r="BA139" s="32">
        <v>2.544975866608162E-2</v>
      </c>
      <c r="BB139" s="32">
        <v>1.5796401930671351E-2</v>
      </c>
      <c r="BC139" s="32">
        <v>0.50877192982456143</v>
      </c>
      <c r="BD139" s="35">
        <v>0</v>
      </c>
      <c r="BE139" s="35">
        <v>0</v>
      </c>
      <c r="BF139" s="33">
        <v>1</v>
      </c>
      <c r="BG139" s="33">
        <v>1</v>
      </c>
      <c r="BH139" s="33" t="s">
        <v>412</v>
      </c>
    </row>
    <row r="140" spans="1:60" ht="19.5" customHeight="1">
      <c r="A140" s="36">
        <v>137</v>
      </c>
      <c r="B140" s="31" t="s">
        <v>410</v>
      </c>
      <c r="C140" s="37">
        <v>46196</v>
      </c>
      <c r="D140" s="31" t="s">
        <v>337</v>
      </c>
      <c r="E140" s="31">
        <v>5194</v>
      </c>
      <c r="F140" s="31">
        <v>4620</v>
      </c>
      <c r="G140" s="32">
        <v>0.88948787061994605</v>
      </c>
      <c r="H140" s="31">
        <v>1451</v>
      </c>
      <c r="I140" s="33">
        <v>0.27936080092414323</v>
      </c>
      <c r="J140" s="31">
        <v>5708</v>
      </c>
      <c r="K140" s="31">
        <v>5561</v>
      </c>
      <c r="L140" s="32">
        <v>0.97399999999999998</v>
      </c>
      <c r="M140" s="31">
        <v>25979</v>
      </c>
      <c r="N140" s="31">
        <v>25921</v>
      </c>
      <c r="O140" s="31">
        <v>25567</v>
      </c>
      <c r="P140" s="32">
        <v>0.9841410369914162</v>
      </c>
      <c r="Q140" s="31">
        <v>44</v>
      </c>
      <c r="R140" s="31">
        <v>0</v>
      </c>
      <c r="S140" s="31">
        <v>0</v>
      </c>
      <c r="T140" s="32">
        <v>0</v>
      </c>
      <c r="U140" s="31">
        <v>0</v>
      </c>
      <c r="V140" s="32">
        <v>0</v>
      </c>
      <c r="W140" s="31">
        <v>882</v>
      </c>
      <c r="X140" s="32">
        <v>0.169811320754717</v>
      </c>
      <c r="Y140" s="31">
        <v>1800</v>
      </c>
      <c r="Z140" s="34">
        <v>0.34655371582595301</v>
      </c>
      <c r="AA140" s="31">
        <v>35</v>
      </c>
      <c r="AB140" s="32">
        <v>6.7385444743935314E-3</v>
      </c>
      <c r="AC140" s="31">
        <v>548</v>
      </c>
      <c r="AD140" s="32">
        <v>0.10550635348479009</v>
      </c>
      <c r="AE140" s="31">
        <v>77</v>
      </c>
      <c r="AF140" s="32">
        <v>0.14051094890510951</v>
      </c>
      <c r="AG140" s="31">
        <v>514</v>
      </c>
      <c r="AH140" s="32">
        <v>0.93795620437956206</v>
      </c>
      <c r="AI140" s="35">
        <v>546</v>
      </c>
      <c r="AJ140" s="32">
        <v>0.1051212938005391</v>
      </c>
      <c r="AK140" s="35">
        <v>39</v>
      </c>
      <c r="AL140" s="32">
        <v>0.90842490842490842</v>
      </c>
      <c r="AM140" s="35">
        <v>538</v>
      </c>
      <c r="AN140" s="35">
        <v>496</v>
      </c>
      <c r="AO140" s="32">
        <v>9.549480169426261E-2</v>
      </c>
      <c r="AP140" s="32">
        <v>0.9051094890510949</v>
      </c>
      <c r="AQ140" s="33">
        <v>0.96707105719237429</v>
      </c>
      <c r="AR140" s="33" t="s">
        <v>411</v>
      </c>
      <c r="AS140" s="33">
        <v>0</v>
      </c>
      <c r="AT140" s="35">
        <v>0</v>
      </c>
      <c r="AU140" s="35">
        <v>0</v>
      </c>
      <c r="AV140" s="35">
        <v>52</v>
      </c>
      <c r="AW140" s="35">
        <v>45</v>
      </c>
      <c r="AX140" s="35">
        <v>53</v>
      </c>
      <c r="AY140" s="35">
        <v>126</v>
      </c>
      <c r="AZ140" s="32">
        <v>8.6638428956488257E-3</v>
      </c>
      <c r="BA140" s="32">
        <v>1.020408163265306E-2</v>
      </c>
      <c r="BB140" s="32">
        <v>2.4258760107816711E-2</v>
      </c>
      <c r="BC140" s="32">
        <v>0.10685483870967739</v>
      </c>
      <c r="BD140" s="35">
        <v>0</v>
      </c>
      <c r="BE140" s="35">
        <v>0</v>
      </c>
      <c r="BF140" s="33">
        <v>0.96808510638297873</v>
      </c>
      <c r="BG140" s="33">
        <v>1</v>
      </c>
      <c r="BH140" s="33" t="s">
        <v>412</v>
      </c>
    </row>
    <row r="141" spans="1:60" ht="19.5" customHeight="1">
      <c r="A141" s="36">
        <v>138</v>
      </c>
      <c r="B141" s="31" t="s">
        <v>410</v>
      </c>
      <c r="C141" s="37">
        <v>46196</v>
      </c>
      <c r="D141" s="31" t="s">
        <v>336</v>
      </c>
      <c r="E141" s="31">
        <v>3648</v>
      </c>
      <c r="F141" s="31">
        <v>3202</v>
      </c>
      <c r="G141" s="32">
        <v>0.87774122807017541</v>
      </c>
      <c r="H141" s="31">
        <v>2557</v>
      </c>
      <c r="I141" s="33">
        <v>0.7009320175438597</v>
      </c>
      <c r="J141" s="31">
        <v>4536</v>
      </c>
      <c r="K141" s="31">
        <v>4446</v>
      </c>
      <c r="L141" s="32">
        <v>0.98</v>
      </c>
      <c r="M141" s="31">
        <v>20647</v>
      </c>
      <c r="N141" s="31">
        <v>21026</v>
      </c>
      <c r="O141" s="31">
        <v>20382</v>
      </c>
      <c r="P141" s="32">
        <v>0.98716520559887633</v>
      </c>
      <c r="Q141" s="31">
        <v>50</v>
      </c>
      <c r="R141" s="31">
        <v>0</v>
      </c>
      <c r="S141" s="31">
        <v>0</v>
      </c>
      <c r="T141" s="32">
        <v>0</v>
      </c>
      <c r="U141" s="31">
        <v>0</v>
      </c>
      <c r="V141" s="32">
        <v>0</v>
      </c>
      <c r="W141" s="31">
        <v>386</v>
      </c>
      <c r="X141" s="32">
        <v>0.1058114035087719</v>
      </c>
      <c r="Y141" s="31">
        <v>1029</v>
      </c>
      <c r="Z141" s="34">
        <v>0.28207236842105271</v>
      </c>
      <c r="AA141" s="31">
        <v>50</v>
      </c>
      <c r="AB141" s="32">
        <v>1.370614035087719E-2</v>
      </c>
      <c r="AC141" s="31">
        <v>382</v>
      </c>
      <c r="AD141" s="32">
        <v>0.1047149122807018</v>
      </c>
      <c r="AE141" s="31">
        <v>72</v>
      </c>
      <c r="AF141" s="32">
        <v>0.18848167539267019</v>
      </c>
      <c r="AG141" s="31">
        <v>360</v>
      </c>
      <c r="AH141" s="32">
        <v>0.94240837696335078</v>
      </c>
      <c r="AI141" s="35">
        <v>376</v>
      </c>
      <c r="AJ141" s="32">
        <v>0.10307017543859651</v>
      </c>
      <c r="AK141" s="35">
        <v>49</v>
      </c>
      <c r="AL141" s="32">
        <v>0.9228723404255319</v>
      </c>
      <c r="AM141" s="35">
        <v>374</v>
      </c>
      <c r="AN141" s="35">
        <v>347</v>
      </c>
      <c r="AO141" s="32">
        <v>9.5120614035087717E-2</v>
      </c>
      <c r="AP141" s="32">
        <v>0.90837696335078533</v>
      </c>
      <c r="AQ141" s="33">
        <v>0.93450881612090675</v>
      </c>
      <c r="AR141" s="33" t="s">
        <v>411</v>
      </c>
      <c r="AS141" s="33">
        <v>0</v>
      </c>
      <c r="AT141" s="35">
        <v>0</v>
      </c>
      <c r="AU141" s="35">
        <v>0</v>
      </c>
      <c r="AV141" s="35">
        <v>55</v>
      </c>
      <c r="AW141" s="35">
        <v>42</v>
      </c>
      <c r="AX141" s="35">
        <v>53</v>
      </c>
      <c r="AY141" s="35">
        <v>112</v>
      </c>
      <c r="AZ141" s="32">
        <v>1.151315789473684E-2</v>
      </c>
      <c r="BA141" s="32">
        <v>1.4528508771929819E-2</v>
      </c>
      <c r="BB141" s="32">
        <v>3.0701754385964911E-2</v>
      </c>
      <c r="BC141" s="32">
        <v>0.1527377521613833</v>
      </c>
      <c r="BD141" s="35">
        <v>0</v>
      </c>
      <c r="BE141" s="35">
        <v>1</v>
      </c>
      <c r="BF141" s="33">
        <v>0.92500000000000004</v>
      </c>
      <c r="BG141" s="33">
        <v>1</v>
      </c>
      <c r="BH141" s="33" t="s">
        <v>412</v>
      </c>
    </row>
    <row r="142" spans="1:60" ht="19.5" customHeight="1">
      <c r="A142" s="36">
        <v>139</v>
      </c>
      <c r="B142" s="31" t="s">
        <v>410</v>
      </c>
      <c r="C142" s="37">
        <v>46197</v>
      </c>
      <c r="D142" s="31"/>
      <c r="E142" s="31">
        <v>36</v>
      </c>
      <c r="F142" s="31">
        <v>34</v>
      </c>
      <c r="G142" s="32">
        <v>0.94444444444444442</v>
      </c>
      <c r="H142" s="31">
        <v>36</v>
      </c>
      <c r="I142" s="33">
        <v>1</v>
      </c>
      <c r="J142" s="31">
        <v>0</v>
      </c>
      <c r="K142" s="31">
        <v>0</v>
      </c>
      <c r="L142" s="32">
        <v>0</v>
      </c>
      <c r="M142" s="31">
        <v>2</v>
      </c>
      <c r="N142" s="31">
        <v>2</v>
      </c>
      <c r="O142" s="31">
        <v>1</v>
      </c>
      <c r="P142" s="32">
        <v>0.5</v>
      </c>
      <c r="Q142" s="31">
        <v>1</v>
      </c>
      <c r="R142" s="31">
        <v>0</v>
      </c>
      <c r="S142" s="31">
        <v>0</v>
      </c>
      <c r="T142" s="32">
        <v>0</v>
      </c>
      <c r="U142" s="31">
        <v>0</v>
      </c>
      <c r="V142" s="32">
        <v>0</v>
      </c>
      <c r="W142" s="31">
        <v>15</v>
      </c>
      <c r="X142" s="32">
        <v>0.41666666666666669</v>
      </c>
      <c r="Y142" s="31">
        <v>28</v>
      </c>
      <c r="Z142" s="34">
        <v>0.77777777777777779</v>
      </c>
      <c r="AA142" s="31">
        <v>0</v>
      </c>
      <c r="AB142" s="32">
        <v>0</v>
      </c>
      <c r="AC142" s="31">
        <v>0</v>
      </c>
      <c r="AD142" s="32">
        <v>0</v>
      </c>
      <c r="AE142" s="31">
        <v>0</v>
      </c>
      <c r="AF142" s="32">
        <v>0</v>
      </c>
      <c r="AG142" s="31">
        <v>0</v>
      </c>
      <c r="AH142" s="32">
        <v>0</v>
      </c>
      <c r="AI142" s="35">
        <v>0</v>
      </c>
      <c r="AJ142" s="32">
        <v>0</v>
      </c>
      <c r="AK142" s="35">
        <v>0</v>
      </c>
      <c r="AL142" s="32">
        <v>0</v>
      </c>
      <c r="AM142" s="35">
        <v>0</v>
      </c>
      <c r="AN142" s="35">
        <v>0</v>
      </c>
      <c r="AO142" s="32">
        <v>0</v>
      </c>
      <c r="AP142" s="32">
        <v>0</v>
      </c>
      <c r="AQ142" s="33">
        <v>0</v>
      </c>
      <c r="AR142" s="33" t="s">
        <v>411</v>
      </c>
      <c r="AS142" s="33">
        <v>0</v>
      </c>
      <c r="AT142" s="35">
        <v>0</v>
      </c>
      <c r="AU142" s="35">
        <v>0</v>
      </c>
      <c r="AV142" s="35">
        <v>0</v>
      </c>
      <c r="AW142" s="35">
        <v>0</v>
      </c>
      <c r="AX142" s="35">
        <v>0</v>
      </c>
      <c r="AY142" s="35">
        <v>0</v>
      </c>
      <c r="AZ142" s="32">
        <v>0</v>
      </c>
      <c r="BA142" s="32">
        <v>0</v>
      </c>
      <c r="BB142" s="32">
        <v>0</v>
      </c>
      <c r="BC142" s="32">
        <v>0</v>
      </c>
      <c r="BD142" s="35">
        <v>0</v>
      </c>
      <c r="BE142" s="35">
        <v>1</v>
      </c>
      <c r="BF142" s="33" t="s">
        <v>412</v>
      </c>
      <c r="BG142" s="33" t="s">
        <v>412</v>
      </c>
      <c r="BH142" s="33">
        <v>0.96261682242990654</v>
      </c>
    </row>
    <row r="143" spans="1:60" ht="19.5" customHeight="1">
      <c r="A143" s="36">
        <v>140</v>
      </c>
      <c r="B143" s="31" t="s">
        <v>410</v>
      </c>
      <c r="C143" s="37">
        <v>46197</v>
      </c>
      <c r="D143" s="31" t="s">
        <v>413</v>
      </c>
      <c r="E143" s="31">
        <v>1</v>
      </c>
      <c r="F143" s="31">
        <v>1</v>
      </c>
      <c r="G143" s="32">
        <v>1</v>
      </c>
      <c r="H143" s="31">
        <v>0</v>
      </c>
      <c r="I143" s="33">
        <v>0</v>
      </c>
      <c r="J143" s="31">
        <v>4</v>
      </c>
      <c r="K143" s="31">
        <v>4</v>
      </c>
      <c r="L143" s="32">
        <v>1</v>
      </c>
      <c r="M143" s="31">
        <v>10</v>
      </c>
      <c r="N143" s="31">
        <v>6</v>
      </c>
      <c r="O143" s="31">
        <v>10</v>
      </c>
      <c r="P143" s="32">
        <v>1</v>
      </c>
      <c r="Q143" s="31">
        <v>0</v>
      </c>
      <c r="R143" s="31">
        <v>0</v>
      </c>
      <c r="S143" s="31">
        <v>0</v>
      </c>
      <c r="T143" s="32">
        <v>0</v>
      </c>
      <c r="U143" s="31">
        <v>0</v>
      </c>
      <c r="V143" s="32">
        <v>0</v>
      </c>
      <c r="W143" s="31">
        <v>0</v>
      </c>
      <c r="X143" s="32">
        <v>0</v>
      </c>
      <c r="Y143" s="31">
        <v>0</v>
      </c>
      <c r="Z143" s="34">
        <v>0</v>
      </c>
      <c r="AA143" s="31">
        <v>0</v>
      </c>
      <c r="AB143" s="32">
        <v>0</v>
      </c>
      <c r="AC143" s="31">
        <v>0</v>
      </c>
      <c r="AD143" s="32">
        <v>0</v>
      </c>
      <c r="AE143" s="31">
        <v>0</v>
      </c>
      <c r="AF143" s="32">
        <v>0</v>
      </c>
      <c r="AG143" s="31">
        <v>0</v>
      </c>
      <c r="AH143" s="32">
        <v>0</v>
      </c>
      <c r="AI143" s="35">
        <v>0</v>
      </c>
      <c r="AJ143" s="32">
        <v>0</v>
      </c>
      <c r="AK143" s="35">
        <v>0</v>
      </c>
      <c r="AL143" s="32">
        <v>0</v>
      </c>
      <c r="AM143" s="35">
        <v>0</v>
      </c>
      <c r="AN143" s="35">
        <v>0</v>
      </c>
      <c r="AO143" s="32">
        <v>0</v>
      </c>
      <c r="AP143" s="32">
        <v>0</v>
      </c>
      <c r="AQ143" s="33"/>
      <c r="AR143" s="33" t="s">
        <v>411</v>
      </c>
      <c r="AS143" s="33" t="s">
        <v>411</v>
      </c>
      <c r="AT143" s="35">
        <v>0</v>
      </c>
      <c r="AU143" s="35">
        <v>0</v>
      </c>
      <c r="AV143" s="35">
        <v>0</v>
      </c>
      <c r="AW143" s="35">
        <v>0</v>
      </c>
      <c r="AX143" s="35">
        <v>0</v>
      </c>
      <c r="AY143" s="35">
        <v>0</v>
      </c>
      <c r="AZ143" s="32">
        <v>0</v>
      </c>
      <c r="BA143" s="32">
        <v>0</v>
      </c>
      <c r="BB143" s="32">
        <v>0</v>
      </c>
      <c r="BC143" s="32">
        <v>0</v>
      </c>
      <c r="BD143" s="35">
        <v>0</v>
      </c>
      <c r="BE143" s="35">
        <v>0</v>
      </c>
      <c r="BF143" s="33" t="s">
        <v>412</v>
      </c>
      <c r="BG143" s="33" t="s">
        <v>412</v>
      </c>
      <c r="BH143" s="33" t="s">
        <v>412</v>
      </c>
    </row>
    <row r="144" spans="1:60" ht="19.5" customHeight="1">
      <c r="A144" s="36">
        <v>141</v>
      </c>
      <c r="B144" s="31" t="s">
        <v>410</v>
      </c>
      <c r="C144" s="37">
        <v>46197</v>
      </c>
      <c r="D144" s="31" t="s">
        <v>335</v>
      </c>
      <c r="E144" s="31">
        <v>2489</v>
      </c>
      <c r="F144" s="31">
        <v>2162</v>
      </c>
      <c r="G144" s="32">
        <v>0.86862193652069108</v>
      </c>
      <c r="H144" s="31">
        <v>1234</v>
      </c>
      <c r="I144" s="33">
        <v>0.49578143832864602</v>
      </c>
      <c r="J144" s="31">
        <v>3220</v>
      </c>
      <c r="K144" s="31">
        <v>3160</v>
      </c>
      <c r="L144" s="32">
        <v>0.98099999999999998</v>
      </c>
      <c r="M144" s="31">
        <v>12019</v>
      </c>
      <c r="N144" s="31">
        <v>12009</v>
      </c>
      <c r="O144" s="31">
        <v>11865</v>
      </c>
      <c r="P144" s="32">
        <v>0.98718695398951661</v>
      </c>
      <c r="Q144" s="31">
        <v>23</v>
      </c>
      <c r="R144" s="31">
        <v>0</v>
      </c>
      <c r="S144" s="31">
        <v>0</v>
      </c>
      <c r="T144" s="32">
        <v>0</v>
      </c>
      <c r="U144" s="31">
        <v>0</v>
      </c>
      <c r="V144" s="32">
        <v>0</v>
      </c>
      <c r="W144" s="31">
        <v>318</v>
      </c>
      <c r="X144" s="32">
        <v>0.1277621534752913</v>
      </c>
      <c r="Y144" s="31">
        <v>1850</v>
      </c>
      <c r="Z144" s="34">
        <v>0.74327038971474491</v>
      </c>
      <c r="AA144" s="31">
        <v>46</v>
      </c>
      <c r="AB144" s="32">
        <v>1.848131779831258E-2</v>
      </c>
      <c r="AC144" s="31">
        <v>135</v>
      </c>
      <c r="AD144" s="32">
        <v>5.4238650060265167E-2</v>
      </c>
      <c r="AE144" s="31">
        <v>9</v>
      </c>
      <c r="AF144" s="32">
        <v>6.6666666666666666E-2</v>
      </c>
      <c r="AG144" s="31">
        <v>129</v>
      </c>
      <c r="AH144" s="32">
        <v>0.9555555555555556</v>
      </c>
      <c r="AI144" s="35">
        <v>123</v>
      </c>
      <c r="AJ144" s="32">
        <v>4.9417436721574927E-2</v>
      </c>
      <c r="AK144" s="35">
        <v>8</v>
      </c>
      <c r="AL144" s="32">
        <v>0.74796747967479671</v>
      </c>
      <c r="AM144" s="35">
        <v>116</v>
      </c>
      <c r="AN144" s="35">
        <v>92</v>
      </c>
      <c r="AO144" s="32">
        <v>3.6962635596625153E-2</v>
      </c>
      <c r="AP144" s="32">
        <v>0.68148148148148147</v>
      </c>
      <c r="AQ144" s="33">
        <v>0.98130841121495327</v>
      </c>
      <c r="AR144" s="33" t="s">
        <v>411</v>
      </c>
      <c r="AS144" s="33">
        <v>0</v>
      </c>
      <c r="AT144" s="35">
        <v>0</v>
      </c>
      <c r="AU144" s="35">
        <v>0</v>
      </c>
      <c r="AV144" s="35">
        <v>35</v>
      </c>
      <c r="AW144" s="35">
        <v>33</v>
      </c>
      <c r="AX144" s="35">
        <v>34</v>
      </c>
      <c r="AY144" s="35">
        <v>55</v>
      </c>
      <c r="AZ144" s="32">
        <v>1.325833668139815E-2</v>
      </c>
      <c r="BA144" s="32">
        <v>1.3660104459622339E-2</v>
      </c>
      <c r="BB144" s="32">
        <v>2.2097227802330251E-2</v>
      </c>
      <c r="BC144" s="32">
        <v>0.36956521739130432</v>
      </c>
      <c r="BD144" s="35">
        <v>0</v>
      </c>
      <c r="BE144" s="35">
        <v>0</v>
      </c>
      <c r="BF144" s="33">
        <v>1</v>
      </c>
      <c r="BG144" s="33">
        <v>1</v>
      </c>
      <c r="BH144" s="33" t="s">
        <v>412</v>
      </c>
    </row>
    <row r="145" spans="1:60" ht="19.5" customHeight="1">
      <c r="A145" s="36">
        <v>142</v>
      </c>
      <c r="B145" s="31" t="s">
        <v>410</v>
      </c>
      <c r="C145" s="37">
        <v>46197</v>
      </c>
      <c r="D145" s="31" t="s">
        <v>334</v>
      </c>
      <c r="E145" s="31">
        <v>2444</v>
      </c>
      <c r="F145" s="31">
        <v>2126</v>
      </c>
      <c r="G145" s="32">
        <v>0.86988543371522098</v>
      </c>
      <c r="H145" s="31">
        <v>1460</v>
      </c>
      <c r="I145" s="33">
        <v>0.59738134206219318</v>
      </c>
      <c r="J145" s="31">
        <v>2981</v>
      </c>
      <c r="K145" s="31">
        <v>2833</v>
      </c>
      <c r="L145" s="32">
        <v>0.95</v>
      </c>
      <c r="M145" s="31">
        <v>10448</v>
      </c>
      <c r="N145" s="31">
        <v>10644</v>
      </c>
      <c r="O145" s="31">
        <v>10222</v>
      </c>
      <c r="P145" s="32">
        <v>0.97836906584992345</v>
      </c>
      <c r="Q145" s="31">
        <v>16</v>
      </c>
      <c r="R145" s="31">
        <v>0</v>
      </c>
      <c r="S145" s="31">
        <v>0</v>
      </c>
      <c r="T145" s="32">
        <v>0</v>
      </c>
      <c r="U145" s="31">
        <v>0</v>
      </c>
      <c r="V145" s="32">
        <v>0</v>
      </c>
      <c r="W145" s="31">
        <v>280</v>
      </c>
      <c r="X145" s="32">
        <v>0.1145662847790507</v>
      </c>
      <c r="Y145" s="31">
        <v>1458</v>
      </c>
      <c r="Z145" s="34">
        <v>0.59656301145662849</v>
      </c>
      <c r="AA145" s="31">
        <v>16</v>
      </c>
      <c r="AB145" s="32">
        <v>6.5466448445171853E-3</v>
      </c>
      <c r="AC145" s="31">
        <v>140</v>
      </c>
      <c r="AD145" s="32">
        <v>5.7283142389525372E-2</v>
      </c>
      <c r="AE145" s="31">
        <v>18</v>
      </c>
      <c r="AF145" s="32">
        <v>0.12857142857142859</v>
      </c>
      <c r="AG145" s="31">
        <v>134</v>
      </c>
      <c r="AH145" s="32">
        <v>0.95714285714285718</v>
      </c>
      <c r="AI145" s="35">
        <v>132</v>
      </c>
      <c r="AJ145" s="32">
        <v>5.4009819967266767E-2</v>
      </c>
      <c r="AK145" s="35">
        <v>9</v>
      </c>
      <c r="AL145" s="32">
        <v>0.8257575757575758</v>
      </c>
      <c r="AM145" s="35">
        <v>129</v>
      </c>
      <c r="AN145" s="35">
        <v>109</v>
      </c>
      <c r="AO145" s="32">
        <v>4.4599018003273323E-2</v>
      </c>
      <c r="AP145" s="32">
        <v>0.77857142857142858</v>
      </c>
      <c r="AQ145" s="33">
        <v>0.967741935483871</v>
      </c>
      <c r="AR145" s="33" t="s">
        <v>411</v>
      </c>
      <c r="AS145" s="33">
        <v>0</v>
      </c>
      <c r="AT145" s="35">
        <v>0</v>
      </c>
      <c r="AU145" s="35">
        <v>0</v>
      </c>
      <c r="AV145" s="35">
        <v>30</v>
      </c>
      <c r="AW145" s="35">
        <v>22</v>
      </c>
      <c r="AX145" s="35">
        <v>28</v>
      </c>
      <c r="AY145" s="35">
        <v>51</v>
      </c>
      <c r="AZ145" s="32">
        <v>9.0016366612111296E-3</v>
      </c>
      <c r="BA145" s="32">
        <v>1.145662847790507E-2</v>
      </c>
      <c r="BB145" s="32">
        <v>2.0867430441898531E-2</v>
      </c>
      <c r="BC145" s="32">
        <v>0.25688073394495409</v>
      </c>
      <c r="BD145" s="35">
        <v>0</v>
      </c>
      <c r="BE145" s="35">
        <v>0</v>
      </c>
      <c r="BF145" s="33">
        <v>1</v>
      </c>
      <c r="BG145" s="33">
        <v>1</v>
      </c>
      <c r="BH145" s="33" t="s">
        <v>412</v>
      </c>
    </row>
    <row r="146" spans="1:60" ht="19.5" customHeight="1">
      <c r="A146" s="36">
        <v>143</v>
      </c>
      <c r="B146" s="31" t="s">
        <v>410</v>
      </c>
      <c r="C146" s="37">
        <v>46197</v>
      </c>
      <c r="D146" s="31" t="s">
        <v>337</v>
      </c>
      <c r="E146" s="31">
        <v>5220</v>
      </c>
      <c r="F146" s="31">
        <v>4618</v>
      </c>
      <c r="G146" s="32">
        <v>0.88467432950191571</v>
      </c>
      <c r="H146" s="31">
        <v>1671</v>
      </c>
      <c r="I146" s="33">
        <v>0.32011494252873562</v>
      </c>
      <c r="J146" s="31">
        <v>6735</v>
      </c>
      <c r="K146" s="31">
        <v>6570</v>
      </c>
      <c r="L146" s="32">
        <v>0.97599999999999998</v>
      </c>
      <c r="M146" s="31">
        <v>26380</v>
      </c>
      <c r="N146" s="31">
        <v>27022</v>
      </c>
      <c r="O146" s="31">
        <v>26016</v>
      </c>
      <c r="P146" s="32">
        <v>0.98620166793025021</v>
      </c>
      <c r="Q146" s="31">
        <v>54</v>
      </c>
      <c r="R146" s="31">
        <v>0</v>
      </c>
      <c r="S146" s="31">
        <v>0</v>
      </c>
      <c r="T146" s="32">
        <v>0</v>
      </c>
      <c r="U146" s="31">
        <v>0</v>
      </c>
      <c r="V146" s="32">
        <v>0</v>
      </c>
      <c r="W146" s="31">
        <v>605</v>
      </c>
      <c r="X146" s="32">
        <v>0.1159003831417625</v>
      </c>
      <c r="Y146" s="31">
        <v>4478</v>
      </c>
      <c r="Z146" s="34">
        <v>0.8578544061302682</v>
      </c>
      <c r="AA146" s="31">
        <v>46</v>
      </c>
      <c r="AB146" s="32">
        <v>8.8122605363984679E-3</v>
      </c>
      <c r="AC146" s="31">
        <v>610</v>
      </c>
      <c r="AD146" s="32">
        <v>0.11685823754789269</v>
      </c>
      <c r="AE146" s="31">
        <v>118</v>
      </c>
      <c r="AF146" s="32">
        <v>0.19344262295081971</v>
      </c>
      <c r="AG146" s="31">
        <v>580</v>
      </c>
      <c r="AH146" s="32">
        <v>0.95081967213114749</v>
      </c>
      <c r="AI146" s="35">
        <v>624</v>
      </c>
      <c r="AJ146" s="32">
        <v>0.1195402298850575</v>
      </c>
      <c r="AK146" s="35">
        <v>28</v>
      </c>
      <c r="AL146" s="32">
        <v>0.85576923076923073</v>
      </c>
      <c r="AM146" s="35">
        <v>616</v>
      </c>
      <c r="AN146" s="35">
        <v>534</v>
      </c>
      <c r="AO146" s="32">
        <v>0.10229885057471259</v>
      </c>
      <c r="AP146" s="32">
        <v>0.87540983606557377</v>
      </c>
      <c r="AQ146" s="33">
        <v>0.97537878787878785</v>
      </c>
      <c r="AR146" s="33" t="s">
        <v>411</v>
      </c>
      <c r="AS146" s="33">
        <v>0</v>
      </c>
      <c r="AT146" s="35">
        <v>0</v>
      </c>
      <c r="AU146" s="35">
        <v>0</v>
      </c>
      <c r="AV146" s="35">
        <v>64</v>
      </c>
      <c r="AW146" s="35">
        <v>41</v>
      </c>
      <c r="AX146" s="35">
        <v>57</v>
      </c>
      <c r="AY146" s="35">
        <v>125</v>
      </c>
      <c r="AZ146" s="32">
        <v>7.8544061302681985E-3</v>
      </c>
      <c r="BA146" s="32">
        <v>1.0919540229885061E-2</v>
      </c>
      <c r="BB146" s="32">
        <v>2.3946360153256709E-2</v>
      </c>
      <c r="BC146" s="32">
        <v>0.1067415730337079</v>
      </c>
      <c r="BD146" s="35">
        <v>0</v>
      </c>
      <c r="BE146" s="35">
        <v>0</v>
      </c>
      <c r="BF146" s="33">
        <v>0.9732142857142857</v>
      </c>
      <c r="BG146" s="33">
        <v>1</v>
      </c>
      <c r="BH146" s="33" t="s">
        <v>412</v>
      </c>
    </row>
    <row r="147" spans="1:60" ht="19.5" customHeight="1">
      <c r="A147" s="36">
        <v>144</v>
      </c>
      <c r="B147" s="31" t="s">
        <v>410</v>
      </c>
      <c r="C147" s="37">
        <v>46197</v>
      </c>
      <c r="D147" s="31" t="s">
        <v>336</v>
      </c>
      <c r="E147" s="31">
        <v>3884</v>
      </c>
      <c r="F147" s="31">
        <v>3462</v>
      </c>
      <c r="G147" s="32">
        <v>0.89134912461380023</v>
      </c>
      <c r="H147" s="31">
        <v>2778</v>
      </c>
      <c r="I147" s="33">
        <v>0.71524201853759006</v>
      </c>
      <c r="J147" s="31">
        <v>5172</v>
      </c>
      <c r="K147" s="31">
        <v>5082</v>
      </c>
      <c r="L147" s="32">
        <v>0.98299999999999998</v>
      </c>
      <c r="M147" s="31">
        <v>21637</v>
      </c>
      <c r="N147" s="31">
        <v>21682</v>
      </c>
      <c r="O147" s="31">
        <v>21371</v>
      </c>
      <c r="P147" s="32">
        <v>0.98770624393400197</v>
      </c>
      <c r="Q147" s="31">
        <v>40</v>
      </c>
      <c r="R147" s="31">
        <v>0</v>
      </c>
      <c r="S147" s="31">
        <v>0</v>
      </c>
      <c r="T147" s="32">
        <v>0</v>
      </c>
      <c r="U147" s="31">
        <v>0</v>
      </c>
      <c r="V147" s="32">
        <v>0</v>
      </c>
      <c r="W147" s="31">
        <v>399</v>
      </c>
      <c r="X147" s="32">
        <v>0.1027291452111226</v>
      </c>
      <c r="Y147" s="31">
        <v>2004</v>
      </c>
      <c r="Z147" s="34">
        <v>0.51596292481977346</v>
      </c>
      <c r="AA147" s="31">
        <v>64</v>
      </c>
      <c r="AB147" s="32">
        <v>1.6477857878475801E-2</v>
      </c>
      <c r="AC147" s="31">
        <v>458</v>
      </c>
      <c r="AD147" s="32">
        <v>0.11791967044284241</v>
      </c>
      <c r="AE147" s="31">
        <v>87</v>
      </c>
      <c r="AF147" s="32">
        <v>0.18995633187772931</v>
      </c>
      <c r="AG147" s="31">
        <v>428</v>
      </c>
      <c r="AH147" s="32">
        <v>0.93449781659388642</v>
      </c>
      <c r="AI147" s="35">
        <v>464</v>
      </c>
      <c r="AJ147" s="32">
        <v>0.11946446961894951</v>
      </c>
      <c r="AK147" s="35">
        <v>51</v>
      </c>
      <c r="AL147" s="32">
        <v>0.92241379310344829</v>
      </c>
      <c r="AM147" s="35">
        <v>458</v>
      </c>
      <c r="AN147" s="35">
        <v>428</v>
      </c>
      <c r="AO147" s="32">
        <v>0.1101956745623069</v>
      </c>
      <c r="AP147" s="32">
        <v>0.93449781659388642</v>
      </c>
      <c r="AQ147" s="33">
        <v>0.96185286103542234</v>
      </c>
      <c r="AR147" s="33" t="s">
        <v>411</v>
      </c>
      <c r="AS147" s="33">
        <v>0</v>
      </c>
      <c r="AT147" s="35">
        <v>0</v>
      </c>
      <c r="AU147" s="35">
        <v>0</v>
      </c>
      <c r="AV147" s="35">
        <v>62</v>
      </c>
      <c r="AW147" s="35">
        <v>46</v>
      </c>
      <c r="AX147" s="35">
        <v>52</v>
      </c>
      <c r="AY147" s="35">
        <v>81</v>
      </c>
      <c r="AZ147" s="32">
        <v>1.184346035015448E-2</v>
      </c>
      <c r="BA147" s="32">
        <v>1.3388259526261589E-2</v>
      </c>
      <c r="BB147" s="32">
        <v>2.0854788877445931E-2</v>
      </c>
      <c r="BC147" s="32">
        <v>0.1214953271028037</v>
      </c>
      <c r="BD147" s="35">
        <v>0</v>
      </c>
      <c r="BE147" s="35">
        <v>0</v>
      </c>
      <c r="BF147" s="33">
        <v>1</v>
      </c>
      <c r="BG147" s="33">
        <v>1</v>
      </c>
      <c r="BH147" s="33" t="s">
        <v>412</v>
      </c>
    </row>
    <row r="148" spans="1:60" ht="19.5" customHeight="1">
      <c r="A148" s="36">
        <v>145</v>
      </c>
      <c r="B148" s="31" t="s">
        <v>410</v>
      </c>
      <c r="C148" s="37">
        <v>46198</v>
      </c>
      <c r="D148" s="31"/>
      <c r="E148" s="31">
        <v>30</v>
      </c>
      <c r="F148" s="31">
        <v>30</v>
      </c>
      <c r="G148" s="32">
        <v>1</v>
      </c>
      <c r="H148" s="31">
        <v>30</v>
      </c>
      <c r="I148" s="33">
        <v>1</v>
      </c>
      <c r="J148" s="31">
        <v>2</v>
      </c>
      <c r="K148" s="31">
        <v>0</v>
      </c>
      <c r="L148" s="32">
        <v>0</v>
      </c>
      <c r="M148" s="31">
        <v>3</v>
      </c>
      <c r="N148" s="31">
        <v>0</v>
      </c>
      <c r="O148" s="31">
        <v>1</v>
      </c>
      <c r="P148" s="32">
        <v>0.33333333333333331</v>
      </c>
      <c r="Q148" s="31">
        <v>2</v>
      </c>
      <c r="R148" s="31">
        <v>0</v>
      </c>
      <c r="S148" s="31">
        <v>0</v>
      </c>
      <c r="T148" s="32">
        <v>0</v>
      </c>
      <c r="U148" s="31">
        <v>0</v>
      </c>
      <c r="V148" s="32">
        <v>0</v>
      </c>
      <c r="W148" s="31">
        <v>12</v>
      </c>
      <c r="X148" s="32">
        <v>0.4</v>
      </c>
      <c r="Y148" s="31">
        <v>25</v>
      </c>
      <c r="Z148" s="34">
        <v>0.83333333333333337</v>
      </c>
      <c r="AA148" s="31">
        <v>0</v>
      </c>
      <c r="AB148" s="32">
        <v>0</v>
      </c>
      <c r="AC148" s="31">
        <v>0</v>
      </c>
      <c r="AD148" s="32">
        <v>0</v>
      </c>
      <c r="AE148" s="31">
        <v>0</v>
      </c>
      <c r="AF148" s="32">
        <v>0</v>
      </c>
      <c r="AG148" s="31">
        <v>0</v>
      </c>
      <c r="AH148" s="32">
        <v>0</v>
      </c>
      <c r="AI148" s="35">
        <v>0</v>
      </c>
      <c r="AJ148" s="32">
        <v>0</v>
      </c>
      <c r="AK148" s="35">
        <v>0</v>
      </c>
      <c r="AL148" s="32">
        <v>0</v>
      </c>
      <c r="AM148" s="35">
        <v>0</v>
      </c>
      <c r="AN148" s="35">
        <v>0</v>
      </c>
      <c r="AO148" s="32">
        <v>0</v>
      </c>
      <c r="AP148" s="32">
        <v>0</v>
      </c>
      <c r="AQ148" s="33">
        <v>0</v>
      </c>
      <c r="AR148" s="33" t="s">
        <v>411</v>
      </c>
      <c r="AS148" s="33">
        <v>0</v>
      </c>
      <c r="AT148" s="35">
        <v>0</v>
      </c>
      <c r="AU148" s="35">
        <v>0</v>
      </c>
      <c r="AV148" s="35">
        <v>0</v>
      </c>
      <c r="AW148" s="35">
        <v>0</v>
      </c>
      <c r="AX148" s="35">
        <v>0</v>
      </c>
      <c r="AY148" s="35">
        <v>0</v>
      </c>
      <c r="AZ148" s="32">
        <v>0</v>
      </c>
      <c r="BA148" s="32">
        <v>0</v>
      </c>
      <c r="BB148" s="32">
        <v>0</v>
      </c>
      <c r="BC148" s="32">
        <v>0</v>
      </c>
      <c r="BD148" s="35">
        <v>0</v>
      </c>
      <c r="BE148" s="35">
        <v>1</v>
      </c>
      <c r="BF148" s="33" t="s">
        <v>412</v>
      </c>
      <c r="BG148" s="33" t="s">
        <v>412</v>
      </c>
      <c r="BH148" s="33">
        <v>0.97058823529411764</v>
      </c>
    </row>
    <row r="149" spans="1:60" ht="19.5" customHeight="1">
      <c r="A149" s="36">
        <v>146</v>
      </c>
      <c r="B149" s="31" t="s">
        <v>410</v>
      </c>
      <c r="C149" s="37">
        <v>46198</v>
      </c>
      <c r="D149" s="31" t="s">
        <v>413</v>
      </c>
      <c r="E149" s="31">
        <v>3</v>
      </c>
      <c r="F149" s="31">
        <v>3</v>
      </c>
      <c r="G149" s="32">
        <v>1</v>
      </c>
      <c r="H149" s="31">
        <v>1</v>
      </c>
      <c r="I149" s="33">
        <v>0.33333333333333331</v>
      </c>
      <c r="J149" s="31">
        <v>2</v>
      </c>
      <c r="K149" s="31">
        <v>2</v>
      </c>
      <c r="L149" s="32">
        <v>1</v>
      </c>
      <c r="M149" s="31">
        <v>2</v>
      </c>
      <c r="N149" s="31">
        <v>2</v>
      </c>
      <c r="O149" s="31">
        <v>2</v>
      </c>
      <c r="P149" s="32">
        <v>1</v>
      </c>
      <c r="Q149" s="31">
        <v>0</v>
      </c>
      <c r="R149" s="31">
        <v>0</v>
      </c>
      <c r="S149" s="31">
        <v>0</v>
      </c>
      <c r="T149" s="32">
        <v>0</v>
      </c>
      <c r="U149" s="31">
        <v>0</v>
      </c>
      <c r="V149" s="32">
        <v>0</v>
      </c>
      <c r="W149" s="31">
        <v>0</v>
      </c>
      <c r="X149" s="32">
        <v>0</v>
      </c>
      <c r="Y149" s="31">
        <v>0</v>
      </c>
      <c r="Z149" s="34">
        <v>0</v>
      </c>
      <c r="AA149" s="31">
        <v>0</v>
      </c>
      <c r="AB149" s="32">
        <v>0</v>
      </c>
      <c r="AC149" s="31">
        <v>0</v>
      </c>
      <c r="AD149" s="32">
        <v>0</v>
      </c>
      <c r="AE149" s="31">
        <v>0</v>
      </c>
      <c r="AF149" s="32">
        <v>0</v>
      </c>
      <c r="AG149" s="31">
        <v>0</v>
      </c>
      <c r="AH149" s="32">
        <v>0</v>
      </c>
      <c r="AI149" s="35">
        <v>0</v>
      </c>
      <c r="AJ149" s="32">
        <v>0</v>
      </c>
      <c r="AK149" s="35">
        <v>0</v>
      </c>
      <c r="AL149" s="32">
        <v>0</v>
      </c>
      <c r="AM149" s="35">
        <v>0</v>
      </c>
      <c r="AN149" s="35">
        <v>0</v>
      </c>
      <c r="AO149" s="32">
        <v>0</v>
      </c>
      <c r="AP149" s="32">
        <v>0</v>
      </c>
      <c r="AQ149" s="33"/>
      <c r="AR149" s="33" t="s">
        <v>411</v>
      </c>
      <c r="AS149" s="33" t="s">
        <v>411</v>
      </c>
      <c r="AT149" s="35">
        <v>0</v>
      </c>
      <c r="AU149" s="35">
        <v>0</v>
      </c>
      <c r="AV149" s="35">
        <v>0</v>
      </c>
      <c r="AW149" s="35">
        <v>0</v>
      </c>
      <c r="AX149" s="35">
        <v>0</v>
      </c>
      <c r="AY149" s="35">
        <v>0</v>
      </c>
      <c r="AZ149" s="32">
        <v>0</v>
      </c>
      <c r="BA149" s="32">
        <v>0</v>
      </c>
      <c r="BB149" s="32">
        <v>0</v>
      </c>
      <c r="BC149" s="32">
        <v>0</v>
      </c>
      <c r="BD149" s="35">
        <v>0</v>
      </c>
      <c r="BE149" s="35">
        <v>0</v>
      </c>
      <c r="BF149" s="33" t="s">
        <v>412</v>
      </c>
      <c r="BG149" s="33" t="s">
        <v>412</v>
      </c>
      <c r="BH149" s="33" t="s">
        <v>412</v>
      </c>
    </row>
    <row r="150" spans="1:60" ht="19.5" customHeight="1">
      <c r="A150" s="36">
        <v>147</v>
      </c>
      <c r="B150" s="31" t="s">
        <v>410</v>
      </c>
      <c r="C150" s="37">
        <v>46198</v>
      </c>
      <c r="D150" s="31" t="s">
        <v>335</v>
      </c>
      <c r="E150" s="31">
        <v>3316</v>
      </c>
      <c r="F150" s="31">
        <v>2784</v>
      </c>
      <c r="G150" s="32">
        <v>0.83956574185765986</v>
      </c>
      <c r="H150" s="31">
        <v>1779</v>
      </c>
      <c r="I150" s="33">
        <v>0.53648974668275029</v>
      </c>
      <c r="J150" s="31">
        <v>3617</v>
      </c>
      <c r="K150" s="31">
        <v>3532</v>
      </c>
      <c r="L150" s="32">
        <v>0.97599999999999998</v>
      </c>
      <c r="M150" s="31">
        <v>12753</v>
      </c>
      <c r="N150" s="31">
        <v>13003</v>
      </c>
      <c r="O150" s="31">
        <v>12556</v>
      </c>
      <c r="P150" s="32">
        <v>0.98455265427742489</v>
      </c>
      <c r="Q150" s="31">
        <v>23</v>
      </c>
      <c r="R150" s="31">
        <v>0</v>
      </c>
      <c r="S150" s="31">
        <v>0</v>
      </c>
      <c r="T150" s="32">
        <v>0</v>
      </c>
      <c r="U150" s="31">
        <v>0</v>
      </c>
      <c r="V150" s="32">
        <v>0</v>
      </c>
      <c r="W150" s="31">
        <v>382</v>
      </c>
      <c r="X150" s="32">
        <v>0.1151990349819059</v>
      </c>
      <c r="Y150" s="31">
        <v>1448</v>
      </c>
      <c r="Z150" s="34">
        <v>0.43667068757539201</v>
      </c>
      <c r="AA150" s="31">
        <v>38</v>
      </c>
      <c r="AB150" s="32">
        <v>1.1459589867310009E-2</v>
      </c>
      <c r="AC150" s="31">
        <v>150</v>
      </c>
      <c r="AD150" s="32">
        <v>4.5235223160434261E-2</v>
      </c>
      <c r="AE150" s="31">
        <v>34</v>
      </c>
      <c r="AF150" s="32">
        <v>0.22666666666666671</v>
      </c>
      <c r="AG150" s="31">
        <v>134</v>
      </c>
      <c r="AH150" s="32">
        <v>0.89333333333333331</v>
      </c>
      <c r="AI150" s="35">
        <v>140</v>
      </c>
      <c r="AJ150" s="32">
        <v>4.2219541616405308E-2</v>
      </c>
      <c r="AK150" s="35">
        <v>17</v>
      </c>
      <c r="AL150" s="32">
        <v>0.87857142857142856</v>
      </c>
      <c r="AM150" s="35">
        <v>138</v>
      </c>
      <c r="AN150" s="35">
        <v>123</v>
      </c>
      <c r="AO150" s="32">
        <v>3.7092882991556088E-2</v>
      </c>
      <c r="AP150" s="32">
        <v>0.82</v>
      </c>
      <c r="AQ150" s="33">
        <v>0.9719626168224299</v>
      </c>
      <c r="AR150" s="33" t="s">
        <v>411</v>
      </c>
      <c r="AS150" s="33">
        <v>0</v>
      </c>
      <c r="AT150" s="35">
        <v>0</v>
      </c>
      <c r="AU150" s="35">
        <v>0</v>
      </c>
      <c r="AV150" s="35">
        <v>38</v>
      </c>
      <c r="AW150" s="35">
        <v>36</v>
      </c>
      <c r="AX150" s="35">
        <v>36</v>
      </c>
      <c r="AY150" s="35">
        <v>40</v>
      </c>
      <c r="AZ150" s="32">
        <v>1.0856453558504221E-2</v>
      </c>
      <c r="BA150" s="32">
        <v>1.0856453558504221E-2</v>
      </c>
      <c r="BB150" s="32">
        <v>1.20627261761158E-2</v>
      </c>
      <c r="BC150" s="32">
        <v>0.29268292682926828</v>
      </c>
      <c r="BD150" s="35">
        <v>0</v>
      </c>
      <c r="BE150" s="35">
        <v>0</v>
      </c>
      <c r="BF150" s="33">
        <v>1</v>
      </c>
      <c r="BG150" s="33">
        <v>1</v>
      </c>
      <c r="BH150" s="33" t="s">
        <v>412</v>
      </c>
    </row>
    <row r="151" spans="1:60" ht="19.5" customHeight="1">
      <c r="A151" s="36">
        <v>148</v>
      </c>
      <c r="B151" s="31" t="s">
        <v>410</v>
      </c>
      <c r="C151" s="37">
        <v>46198</v>
      </c>
      <c r="D151" s="31" t="s">
        <v>334</v>
      </c>
      <c r="E151" s="31">
        <v>3008</v>
      </c>
      <c r="F151" s="31">
        <v>2619</v>
      </c>
      <c r="G151" s="32">
        <v>0.87067819148936165</v>
      </c>
      <c r="H151" s="31">
        <v>1825</v>
      </c>
      <c r="I151" s="33">
        <v>0.60671542553191493</v>
      </c>
      <c r="J151" s="31">
        <v>3084</v>
      </c>
      <c r="K151" s="31">
        <v>2906</v>
      </c>
      <c r="L151" s="32">
        <v>0.94199999999999995</v>
      </c>
      <c r="M151" s="31">
        <v>11255</v>
      </c>
      <c r="N151" s="31">
        <v>11403</v>
      </c>
      <c r="O151" s="31">
        <v>10986</v>
      </c>
      <c r="P151" s="32">
        <v>0.97609951132829853</v>
      </c>
      <c r="Q151" s="31">
        <v>19</v>
      </c>
      <c r="R151" s="31">
        <v>0</v>
      </c>
      <c r="S151" s="31">
        <v>0</v>
      </c>
      <c r="T151" s="32">
        <v>0</v>
      </c>
      <c r="U151" s="31">
        <v>0</v>
      </c>
      <c r="V151" s="32">
        <v>0</v>
      </c>
      <c r="W151" s="31">
        <v>271</v>
      </c>
      <c r="X151" s="32">
        <v>9.0093085106382975E-2</v>
      </c>
      <c r="Y151" s="31">
        <v>1005</v>
      </c>
      <c r="Z151" s="34">
        <v>0.33410904255319152</v>
      </c>
      <c r="AA151" s="31">
        <v>7</v>
      </c>
      <c r="AB151" s="32">
        <v>2.327127659574468E-3</v>
      </c>
      <c r="AC151" s="31">
        <v>156</v>
      </c>
      <c r="AD151" s="32">
        <v>5.1861702127659573E-2</v>
      </c>
      <c r="AE151" s="31">
        <v>22</v>
      </c>
      <c r="AF151" s="32">
        <v>0.141025641025641</v>
      </c>
      <c r="AG151" s="31">
        <v>149</v>
      </c>
      <c r="AH151" s="32">
        <v>0.95512820512820518</v>
      </c>
      <c r="AI151" s="35">
        <v>141</v>
      </c>
      <c r="AJ151" s="32">
        <v>4.6875E-2</v>
      </c>
      <c r="AK151" s="35">
        <v>6</v>
      </c>
      <c r="AL151" s="32">
        <v>0.82269503546099287</v>
      </c>
      <c r="AM151" s="35">
        <v>134</v>
      </c>
      <c r="AN151" s="35">
        <v>116</v>
      </c>
      <c r="AO151" s="32">
        <v>3.8563829787234043E-2</v>
      </c>
      <c r="AP151" s="32">
        <v>0.74358974358974361</v>
      </c>
      <c r="AQ151" s="33">
        <v>0.98373983739837401</v>
      </c>
      <c r="AR151" s="33" t="s">
        <v>411</v>
      </c>
      <c r="AS151" s="33">
        <v>0</v>
      </c>
      <c r="AT151" s="35">
        <v>0</v>
      </c>
      <c r="AU151" s="35">
        <v>0</v>
      </c>
      <c r="AV151" s="35">
        <v>37</v>
      </c>
      <c r="AW151" s="35">
        <v>34</v>
      </c>
      <c r="AX151" s="35">
        <v>37</v>
      </c>
      <c r="AY151" s="35">
        <v>33</v>
      </c>
      <c r="AZ151" s="32">
        <v>1.1303191489361699E-2</v>
      </c>
      <c r="BA151" s="32">
        <v>1.2300531914893619E-2</v>
      </c>
      <c r="BB151" s="32">
        <v>1.0970744680851061E-2</v>
      </c>
      <c r="BC151" s="32">
        <v>0.31896551724137928</v>
      </c>
      <c r="BD151" s="35">
        <v>0</v>
      </c>
      <c r="BE151" s="35">
        <v>0</v>
      </c>
      <c r="BF151" s="33">
        <v>0.94444444444444442</v>
      </c>
      <c r="BG151" s="33">
        <v>1</v>
      </c>
      <c r="BH151" s="33" t="s">
        <v>412</v>
      </c>
    </row>
    <row r="152" spans="1:60" ht="19.5" customHeight="1">
      <c r="A152" s="36">
        <v>149</v>
      </c>
      <c r="B152" s="31" t="s">
        <v>410</v>
      </c>
      <c r="C152" s="37">
        <v>46198</v>
      </c>
      <c r="D152" s="31" t="s">
        <v>337</v>
      </c>
      <c r="E152" s="31">
        <v>6320</v>
      </c>
      <c r="F152" s="31">
        <v>5427</v>
      </c>
      <c r="G152" s="32">
        <v>0.85870253164556964</v>
      </c>
      <c r="H152" s="31">
        <v>1794</v>
      </c>
      <c r="I152" s="33">
        <v>0.2838607594936709</v>
      </c>
      <c r="J152" s="31">
        <v>5905</v>
      </c>
      <c r="K152" s="31">
        <v>5755</v>
      </c>
      <c r="L152" s="32">
        <v>0.97499999999999998</v>
      </c>
      <c r="M152" s="31">
        <v>26545</v>
      </c>
      <c r="N152" s="31">
        <v>26761</v>
      </c>
      <c r="O152" s="31">
        <v>26157</v>
      </c>
      <c r="P152" s="32">
        <v>0.98538331135807122</v>
      </c>
      <c r="Q152" s="31">
        <v>44</v>
      </c>
      <c r="R152" s="31">
        <v>0</v>
      </c>
      <c r="S152" s="31">
        <v>0</v>
      </c>
      <c r="T152" s="32">
        <v>0</v>
      </c>
      <c r="U152" s="31">
        <v>0</v>
      </c>
      <c r="V152" s="32">
        <v>0</v>
      </c>
      <c r="W152" s="31">
        <v>716</v>
      </c>
      <c r="X152" s="32">
        <v>0.11329113924050629</v>
      </c>
      <c r="Y152" s="31">
        <v>3692</v>
      </c>
      <c r="Z152" s="34">
        <v>0.58417721518987342</v>
      </c>
      <c r="AA152" s="31">
        <v>46</v>
      </c>
      <c r="AB152" s="32">
        <v>7.2784810126582276E-3</v>
      </c>
      <c r="AC152" s="31">
        <v>663</v>
      </c>
      <c r="AD152" s="32">
        <v>0.1049050632911392</v>
      </c>
      <c r="AE152" s="31">
        <v>96</v>
      </c>
      <c r="AF152" s="32">
        <v>0.14479638009049781</v>
      </c>
      <c r="AG152" s="31">
        <v>626</v>
      </c>
      <c r="AH152" s="32">
        <v>0.94419306184012064</v>
      </c>
      <c r="AI152" s="35">
        <v>645</v>
      </c>
      <c r="AJ152" s="32">
        <v>0.1020569620253165</v>
      </c>
      <c r="AK152" s="35">
        <v>34</v>
      </c>
      <c r="AL152" s="32">
        <v>0.92248062015503873</v>
      </c>
      <c r="AM152" s="35">
        <v>639</v>
      </c>
      <c r="AN152" s="35">
        <v>595</v>
      </c>
      <c r="AO152" s="32">
        <v>9.4145569620253167E-2</v>
      </c>
      <c r="AP152" s="32">
        <v>0.89743589743589747</v>
      </c>
      <c r="AQ152" s="33">
        <v>0.98228663446054754</v>
      </c>
      <c r="AR152" s="33" t="s">
        <v>411</v>
      </c>
      <c r="AS152" s="33">
        <v>0</v>
      </c>
      <c r="AT152" s="35">
        <v>0</v>
      </c>
      <c r="AU152" s="35">
        <v>0</v>
      </c>
      <c r="AV152" s="35">
        <v>89</v>
      </c>
      <c r="AW152" s="35">
        <v>76</v>
      </c>
      <c r="AX152" s="35">
        <v>75</v>
      </c>
      <c r="AY152" s="35">
        <v>128</v>
      </c>
      <c r="AZ152" s="32">
        <v>1.2025316455696201E-2</v>
      </c>
      <c r="BA152" s="32">
        <v>1.1867088607594939E-2</v>
      </c>
      <c r="BB152" s="32">
        <v>2.0253164556962029E-2</v>
      </c>
      <c r="BC152" s="32">
        <v>0.1260504201680672</v>
      </c>
      <c r="BD152" s="35">
        <v>0</v>
      </c>
      <c r="BE152" s="35">
        <v>0</v>
      </c>
      <c r="BF152" s="33">
        <v>1</v>
      </c>
      <c r="BG152" s="33">
        <v>1</v>
      </c>
      <c r="BH152" s="33" t="s">
        <v>412</v>
      </c>
    </row>
    <row r="153" spans="1:60" ht="19.5" customHeight="1">
      <c r="A153" s="36">
        <v>150</v>
      </c>
      <c r="B153" s="31" t="s">
        <v>410</v>
      </c>
      <c r="C153" s="37">
        <v>46198</v>
      </c>
      <c r="D153" s="31" t="s">
        <v>336</v>
      </c>
      <c r="E153" s="31">
        <v>4224</v>
      </c>
      <c r="F153" s="31">
        <v>3698</v>
      </c>
      <c r="G153" s="32">
        <v>0.87547348484848486</v>
      </c>
      <c r="H153" s="31">
        <v>3041</v>
      </c>
      <c r="I153" s="33">
        <v>0.71993371212121215</v>
      </c>
      <c r="J153" s="31">
        <v>5851</v>
      </c>
      <c r="K153" s="31">
        <v>5789</v>
      </c>
      <c r="L153" s="32">
        <v>0.98899999999999999</v>
      </c>
      <c r="M153" s="31">
        <v>23035</v>
      </c>
      <c r="N153" s="31">
        <v>23139</v>
      </c>
      <c r="O153" s="31">
        <v>22773</v>
      </c>
      <c r="P153" s="32">
        <v>0.98862600390709787</v>
      </c>
      <c r="Q153" s="31">
        <v>28</v>
      </c>
      <c r="R153" s="31">
        <v>0</v>
      </c>
      <c r="S153" s="31">
        <v>0</v>
      </c>
      <c r="T153" s="32">
        <v>0</v>
      </c>
      <c r="U153" s="31">
        <v>0</v>
      </c>
      <c r="V153" s="32">
        <v>0</v>
      </c>
      <c r="W153" s="31">
        <v>439</v>
      </c>
      <c r="X153" s="32">
        <v>0.1039299242424242</v>
      </c>
      <c r="Y153" s="31">
        <v>1347</v>
      </c>
      <c r="Z153" s="34">
        <v>0.31889204545454553</v>
      </c>
      <c r="AA153" s="31">
        <v>68</v>
      </c>
      <c r="AB153" s="32">
        <v>1.6098484848484852E-2</v>
      </c>
      <c r="AC153" s="31">
        <v>505</v>
      </c>
      <c r="AD153" s="32">
        <v>0.1195549242424242</v>
      </c>
      <c r="AE153" s="31">
        <v>96</v>
      </c>
      <c r="AF153" s="32">
        <v>0.1900990099009901</v>
      </c>
      <c r="AG153" s="31">
        <v>469</v>
      </c>
      <c r="AH153" s="32">
        <v>0.92871287128712876</v>
      </c>
      <c r="AI153" s="35">
        <v>519</v>
      </c>
      <c r="AJ153" s="32">
        <v>0.1228693181818182</v>
      </c>
      <c r="AK153" s="35">
        <v>57</v>
      </c>
      <c r="AL153" s="32">
        <v>0.93063583815028905</v>
      </c>
      <c r="AM153" s="35">
        <v>514</v>
      </c>
      <c r="AN153" s="35">
        <v>483</v>
      </c>
      <c r="AO153" s="32">
        <v>0.1143465909090909</v>
      </c>
      <c r="AP153" s="32">
        <v>0.9564356435643564</v>
      </c>
      <c r="AQ153" s="33">
        <v>0.9447004608294931</v>
      </c>
      <c r="AR153" s="33" t="s">
        <v>411</v>
      </c>
      <c r="AS153" s="33">
        <v>0</v>
      </c>
      <c r="AT153" s="35">
        <v>0</v>
      </c>
      <c r="AU153" s="35">
        <v>0</v>
      </c>
      <c r="AV153" s="35">
        <v>71</v>
      </c>
      <c r="AW153" s="35">
        <v>59</v>
      </c>
      <c r="AX153" s="35">
        <v>56</v>
      </c>
      <c r="AY153" s="35">
        <v>70</v>
      </c>
      <c r="AZ153" s="32">
        <v>1.396780303030303E-2</v>
      </c>
      <c r="BA153" s="32">
        <v>1.325757575757576E-2</v>
      </c>
      <c r="BB153" s="32">
        <v>1.65719696969697E-2</v>
      </c>
      <c r="BC153" s="32">
        <v>0.11594202898550721</v>
      </c>
      <c r="BD153" s="35">
        <v>0</v>
      </c>
      <c r="BE153" s="35">
        <v>0</v>
      </c>
      <c r="BF153" s="33">
        <v>1</v>
      </c>
      <c r="BG153" s="33">
        <v>1</v>
      </c>
      <c r="BH153" s="33" t="s">
        <v>412</v>
      </c>
    </row>
    <row r="154" spans="1:60" ht="19.5" customHeight="1">
      <c r="A154" s="36">
        <v>151</v>
      </c>
      <c r="B154" s="31" t="s">
        <v>410</v>
      </c>
      <c r="C154" s="37">
        <v>46199</v>
      </c>
      <c r="D154" s="31"/>
      <c r="E154" s="31">
        <v>33</v>
      </c>
      <c r="F154" s="31">
        <v>33</v>
      </c>
      <c r="G154" s="32">
        <v>1</v>
      </c>
      <c r="H154" s="31">
        <v>33</v>
      </c>
      <c r="I154" s="33">
        <v>1</v>
      </c>
      <c r="J154" s="31">
        <v>0</v>
      </c>
      <c r="K154" s="31">
        <v>0</v>
      </c>
      <c r="L154" s="32">
        <v>0</v>
      </c>
      <c r="M154" s="31">
        <v>0</v>
      </c>
      <c r="N154" s="31">
        <v>0</v>
      </c>
      <c r="O154" s="31">
        <v>0</v>
      </c>
      <c r="P154" s="32">
        <v>0</v>
      </c>
      <c r="Q154" s="31">
        <v>0</v>
      </c>
      <c r="R154" s="31">
        <v>0</v>
      </c>
      <c r="S154" s="31">
        <v>0</v>
      </c>
      <c r="T154" s="32">
        <v>0</v>
      </c>
      <c r="U154" s="31">
        <v>0</v>
      </c>
      <c r="V154" s="32">
        <v>0</v>
      </c>
      <c r="W154" s="31">
        <v>36</v>
      </c>
      <c r="X154" s="32">
        <v>1.0909090909090911</v>
      </c>
      <c r="Y154" s="31">
        <v>17</v>
      </c>
      <c r="Z154" s="34">
        <v>0.51515151515151514</v>
      </c>
      <c r="AA154" s="31">
        <v>0</v>
      </c>
      <c r="AB154" s="32">
        <v>0</v>
      </c>
      <c r="AC154" s="31">
        <v>0</v>
      </c>
      <c r="AD154" s="32">
        <v>0</v>
      </c>
      <c r="AE154" s="31">
        <v>0</v>
      </c>
      <c r="AF154" s="32">
        <v>0</v>
      </c>
      <c r="AG154" s="31">
        <v>0</v>
      </c>
      <c r="AH154" s="32">
        <v>0</v>
      </c>
      <c r="AI154" s="35">
        <v>0</v>
      </c>
      <c r="AJ154" s="32">
        <v>0</v>
      </c>
      <c r="AK154" s="35">
        <v>0</v>
      </c>
      <c r="AL154" s="32">
        <v>0</v>
      </c>
      <c r="AM154" s="35">
        <v>0</v>
      </c>
      <c r="AN154" s="35">
        <v>0</v>
      </c>
      <c r="AO154" s="32">
        <v>0</v>
      </c>
      <c r="AP154" s="32">
        <v>0</v>
      </c>
      <c r="AQ154" s="33"/>
      <c r="AR154" s="33" t="s">
        <v>411</v>
      </c>
      <c r="AS154" s="33" t="s">
        <v>411</v>
      </c>
      <c r="AT154" s="35">
        <v>0</v>
      </c>
      <c r="AU154" s="35">
        <v>0</v>
      </c>
      <c r="AV154" s="35">
        <v>0</v>
      </c>
      <c r="AW154" s="35">
        <v>0</v>
      </c>
      <c r="AX154" s="35">
        <v>0</v>
      </c>
      <c r="AY154" s="35">
        <v>0</v>
      </c>
      <c r="AZ154" s="32">
        <v>0</v>
      </c>
      <c r="BA154" s="32">
        <v>0</v>
      </c>
      <c r="BB154" s="32">
        <v>0</v>
      </c>
      <c r="BC154" s="32">
        <v>0</v>
      </c>
      <c r="BD154" s="35">
        <v>0</v>
      </c>
      <c r="BE154" s="35">
        <v>0</v>
      </c>
      <c r="BF154" s="33" t="s">
        <v>412</v>
      </c>
      <c r="BG154" s="33" t="s">
        <v>412</v>
      </c>
      <c r="BH154" s="33">
        <v>0.99180327868852458</v>
      </c>
    </row>
    <row r="155" spans="1:60" ht="19.5" customHeight="1">
      <c r="A155" s="36">
        <v>152</v>
      </c>
      <c r="B155" s="31" t="s">
        <v>410</v>
      </c>
      <c r="C155" s="37">
        <v>46199</v>
      </c>
      <c r="D155" s="31" t="s">
        <v>413</v>
      </c>
      <c r="E155" s="31">
        <v>0</v>
      </c>
      <c r="F155" s="31">
        <v>0</v>
      </c>
      <c r="G155" s="32">
        <v>0</v>
      </c>
      <c r="H155" s="31">
        <v>0</v>
      </c>
      <c r="I155" s="33">
        <v>0</v>
      </c>
      <c r="J155" s="31">
        <v>2</v>
      </c>
      <c r="K155" s="31">
        <v>2</v>
      </c>
      <c r="L155" s="32">
        <v>1</v>
      </c>
      <c r="M155" s="31">
        <v>4</v>
      </c>
      <c r="N155" s="31">
        <v>2</v>
      </c>
      <c r="O155" s="31">
        <v>4</v>
      </c>
      <c r="P155" s="32">
        <v>1</v>
      </c>
      <c r="Q155" s="31">
        <v>0</v>
      </c>
      <c r="R155" s="31">
        <v>0</v>
      </c>
      <c r="S155" s="31">
        <v>0</v>
      </c>
      <c r="T155" s="32">
        <v>0</v>
      </c>
      <c r="U155" s="31">
        <v>0</v>
      </c>
      <c r="V155" s="32">
        <v>0</v>
      </c>
      <c r="W155" s="31">
        <v>0</v>
      </c>
      <c r="X155" s="32">
        <v>0</v>
      </c>
      <c r="Y155" s="31">
        <v>0</v>
      </c>
      <c r="Z155" s="34">
        <v>0</v>
      </c>
      <c r="AA155" s="31">
        <v>0</v>
      </c>
      <c r="AB155" s="32">
        <v>0</v>
      </c>
      <c r="AC155" s="31">
        <v>0</v>
      </c>
      <c r="AD155" s="32">
        <v>0</v>
      </c>
      <c r="AE155" s="31">
        <v>0</v>
      </c>
      <c r="AF155" s="32">
        <v>0</v>
      </c>
      <c r="AG155" s="31">
        <v>0</v>
      </c>
      <c r="AH155" s="32">
        <v>0</v>
      </c>
      <c r="AI155" s="35">
        <v>0</v>
      </c>
      <c r="AJ155" s="32">
        <v>0</v>
      </c>
      <c r="AK155" s="35">
        <v>0</v>
      </c>
      <c r="AL155" s="32">
        <v>0</v>
      </c>
      <c r="AM155" s="35">
        <v>0</v>
      </c>
      <c r="AN155" s="35">
        <v>0</v>
      </c>
      <c r="AO155" s="32">
        <v>0</v>
      </c>
      <c r="AP155" s="32">
        <v>0</v>
      </c>
      <c r="AQ155" s="33"/>
      <c r="AR155" s="33" t="s">
        <v>411</v>
      </c>
      <c r="AS155" s="33" t="s">
        <v>411</v>
      </c>
      <c r="AT155" s="35">
        <v>0</v>
      </c>
      <c r="AU155" s="35">
        <v>0</v>
      </c>
      <c r="AV155" s="35">
        <v>0</v>
      </c>
      <c r="AW155" s="35">
        <v>0</v>
      </c>
      <c r="AX155" s="35">
        <v>0</v>
      </c>
      <c r="AY155" s="35">
        <v>0</v>
      </c>
      <c r="AZ155" s="32">
        <v>0</v>
      </c>
      <c r="BA155" s="32">
        <v>0</v>
      </c>
      <c r="BB155" s="32">
        <v>0</v>
      </c>
      <c r="BC155" s="32">
        <v>0</v>
      </c>
      <c r="BD155" s="35">
        <v>0</v>
      </c>
      <c r="BE155" s="35">
        <v>0</v>
      </c>
      <c r="BF155" s="33" t="s">
        <v>412</v>
      </c>
      <c r="BG155" s="33" t="s">
        <v>412</v>
      </c>
      <c r="BH155" s="33" t="s">
        <v>412</v>
      </c>
    </row>
    <row r="156" spans="1:60" ht="19.5" customHeight="1">
      <c r="A156" s="36">
        <v>153</v>
      </c>
      <c r="B156" s="31" t="s">
        <v>410</v>
      </c>
      <c r="C156" s="37">
        <v>46199</v>
      </c>
      <c r="D156" s="31" t="s">
        <v>335</v>
      </c>
      <c r="E156" s="31">
        <v>2785</v>
      </c>
      <c r="F156" s="31">
        <v>2400</v>
      </c>
      <c r="G156" s="32">
        <v>0.86175942549371631</v>
      </c>
      <c r="H156" s="31">
        <v>1346</v>
      </c>
      <c r="I156" s="33">
        <v>0.48330341113105918</v>
      </c>
      <c r="J156" s="31">
        <v>3070</v>
      </c>
      <c r="K156" s="31">
        <v>3019</v>
      </c>
      <c r="L156" s="32">
        <v>0.98299999999999998</v>
      </c>
      <c r="M156" s="31">
        <v>12920</v>
      </c>
      <c r="N156" s="31">
        <v>12978</v>
      </c>
      <c r="O156" s="31">
        <v>12795</v>
      </c>
      <c r="P156" s="32">
        <v>0.9903250773993808</v>
      </c>
      <c r="Q156" s="31">
        <v>23</v>
      </c>
      <c r="R156" s="31">
        <v>0</v>
      </c>
      <c r="S156" s="31">
        <v>0</v>
      </c>
      <c r="T156" s="32">
        <v>0</v>
      </c>
      <c r="U156" s="31">
        <v>0</v>
      </c>
      <c r="V156" s="32">
        <v>0</v>
      </c>
      <c r="W156" s="31">
        <v>506</v>
      </c>
      <c r="X156" s="32">
        <v>0.18168761220825849</v>
      </c>
      <c r="Y156" s="31">
        <v>997</v>
      </c>
      <c r="Z156" s="34">
        <v>0.3579892280071813</v>
      </c>
      <c r="AA156" s="31">
        <v>42</v>
      </c>
      <c r="AB156" s="32">
        <v>1.508078994614004E-2</v>
      </c>
      <c r="AC156" s="31">
        <v>155</v>
      </c>
      <c r="AD156" s="32">
        <v>5.565529622980251E-2</v>
      </c>
      <c r="AE156" s="31">
        <v>25</v>
      </c>
      <c r="AF156" s="32">
        <v>0.16129032258064521</v>
      </c>
      <c r="AG156" s="31">
        <v>145</v>
      </c>
      <c r="AH156" s="32">
        <v>0.93548387096774188</v>
      </c>
      <c r="AI156" s="35">
        <v>135</v>
      </c>
      <c r="AJ156" s="32">
        <v>4.8473967684021541E-2</v>
      </c>
      <c r="AK156" s="35">
        <v>17</v>
      </c>
      <c r="AL156" s="32">
        <v>0.87407407407407411</v>
      </c>
      <c r="AM156" s="35">
        <v>129</v>
      </c>
      <c r="AN156" s="35">
        <v>118</v>
      </c>
      <c r="AO156" s="32">
        <v>4.2369838420107719E-2</v>
      </c>
      <c r="AP156" s="32">
        <v>0.76129032258064511</v>
      </c>
      <c r="AQ156" s="33">
        <v>0.98473282442748089</v>
      </c>
      <c r="AR156" s="33" t="s">
        <v>411</v>
      </c>
      <c r="AS156" s="33">
        <v>0</v>
      </c>
      <c r="AT156" s="35">
        <v>0</v>
      </c>
      <c r="AU156" s="35">
        <v>0</v>
      </c>
      <c r="AV156" s="35">
        <v>36</v>
      </c>
      <c r="AW156" s="35">
        <v>34</v>
      </c>
      <c r="AX156" s="35">
        <v>33</v>
      </c>
      <c r="AY156" s="35">
        <v>56</v>
      </c>
      <c r="AZ156" s="32">
        <v>1.2208258527827649E-2</v>
      </c>
      <c r="BA156" s="32">
        <v>1.18491921005386E-2</v>
      </c>
      <c r="BB156" s="32">
        <v>2.0107719928186711E-2</v>
      </c>
      <c r="BC156" s="32">
        <v>0.27966101694915252</v>
      </c>
      <c r="BD156" s="35">
        <v>0</v>
      </c>
      <c r="BE156" s="35">
        <v>0</v>
      </c>
      <c r="BF156" s="33">
        <v>1</v>
      </c>
      <c r="BG156" s="33">
        <v>1</v>
      </c>
      <c r="BH156" s="33" t="s">
        <v>412</v>
      </c>
    </row>
    <row r="157" spans="1:60" ht="19.5" customHeight="1">
      <c r="A157" s="36">
        <v>154</v>
      </c>
      <c r="B157" s="31" t="s">
        <v>410</v>
      </c>
      <c r="C157" s="37">
        <v>46199</v>
      </c>
      <c r="D157" s="31" t="s">
        <v>334</v>
      </c>
      <c r="E157" s="31">
        <v>2310</v>
      </c>
      <c r="F157" s="31">
        <v>1999</v>
      </c>
      <c r="G157" s="32">
        <v>0.86536796536796534</v>
      </c>
      <c r="H157" s="31">
        <v>1142</v>
      </c>
      <c r="I157" s="33">
        <v>0.49437229437229441</v>
      </c>
      <c r="J157" s="31">
        <v>2913</v>
      </c>
      <c r="K157" s="31">
        <v>2866</v>
      </c>
      <c r="L157" s="32">
        <v>0.98399999999999999</v>
      </c>
      <c r="M157" s="31">
        <v>11340</v>
      </c>
      <c r="N157" s="31">
        <v>11572</v>
      </c>
      <c r="O157" s="31">
        <v>11216</v>
      </c>
      <c r="P157" s="32">
        <v>0.98906525573192239</v>
      </c>
      <c r="Q157" s="31">
        <v>21</v>
      </c>
      <c r="R157" s="31">
        <v>0</v>
      </c>
      <c r="S157" s="31">
        <v>0</v>
      </c>
      <c r="T157" s="32">
        <v>0</v>
      </c>
      <c r="U157" s="31">
        <v>0</v>
      </c>
      <c r="V157" s="32">
        <v>0</v>
      </c>
      <c r="W157" s="31">
        <v>434</v>
      </c>
      <c r="X157" s="32">
        <v>0.1878787878787879</v>
      </c>
      <c r="Y157" s="31">
        <v>758</v>
      </c>
      <c r="Z157" s="34">
        <v>0.32813852813852812</v>
      </c>
      <c r="AA157" s="31">
        <v>13</v>
      </c>
      <c r="AB157" s="32">
        <v>5.6277056277056281E-3</v>
      </c>
      <c r="AC157" s="31">
        <v>128</v>
      </c>
      <c r="AD157" s="32">
        <v>5.5411255411255411E-2</v>
      </c>
      <c r="AE157" s="31">
        <v>29</v>
      </c>
      <c r="AF157" s="32">
        <v>0.2265625</v>
      </c>
      <c r="AG157" s="31">
        <v>116</v>
      </c>
      <c r="AH157" s="32">
        <v>0.90625</v>
      </c>
      <c r="AI157" s="35">
        <v>132</v>
      </c>
      <c r="AJ157" s="32">
        <v>5.7142857142857141E-2</v>
      </c>
      <c r="AK157" s="35">
        <v>9</v>
      </c>
      <c r="AL157" s="32">
        <v>0.81060606060606055</v>
      </c>
      <c r="AM157" s="35">
        <v>128</v>
      </c>
      <c r="AN157" s="35">
        <v>107</v>
      </c>
      <c r="AO157" s="32">
        <v>4.6320346320346317E-2</v>
      </c>
      <c r="AP157" s="32">
        <v>0.8359375</v>
      </c>
      <c r="AQ157" s="33">
        <v>0.97744360902255634</v>
      </c>
      <c r="AR157" s="33" t="s">
        <v>411</v>
      </c>
      <c r="AS157" s="33">
        <v>0</v>
      </c>
      <c r="AT157" s="35">
        <v>0</v>
      </c>
      <c r="AU157" s="35">
        <v>0</v>
      </c>
      <c r="AV157" s="35">
        <v>51</v>
      </c>
      <c r="AW157" s="35">
        <v>48</v>
      </c>
      <c r="AX157" s="35">
        <v>48</v>
      </c>
      <c r="AY157" s="35">
        <v>52</v>
      </c>
      <c r="AZ157" s="32">
        <v>2.0779220779220779E-2</v>
      </c>
      <c r="BA157" s="32">
        <v>2.0779220779220779E-2</v>
      </c>
      <c r="BB157" s="32">
        <v>2.2510822510822509E-2</v>
      </c>
      <c r="BC157" s="32">
        <v>0.44859813084112149</v>
      </c>
      <c r="BD157" s="35">
        <v>0</v>
      </c>
      <c r="BE157" s="35">
        <v>0</v>
      </c>
      <c r="BF157" s="33">
        <v>1</v>
      </c>
      <c r="BG157" s="33">
        <v>1</v>
      </c>
      <c r="BH157" s="33" t="s">
        <v>412</v>
      </c>
    </row>
    <row r="158" spans="1:60" ht="19.5" customHeight="1">
      <c r="A158" s="36">
        <v>155</v>
      </c>
      <c r="B158" s="31" t="s">
        <v>410</v>
      </c>
      <c r="C158" s="37">
        <v>46199</v>
      </c>
      <c r="D158" s="31" t="s">
        <v>337</v>
      </c>
      <c r="E158" s="31">
        <v>5460</v>
      </c>
      <c r="F158" s="31">
        <v>4791</v>
      </c>
      <c r="G158" s="32">
        <v>0.87747252747252746</v>
      </c>
      <c r="H158" s="31">
        <v>1350</v>
      </c>
      <c r="I158" s="33">
        <v>0.24725274725274729</v>
      </c>
      <c r="J158" s="31">
        <v>5203</v>
      </c>
      <c r="K158" s="31">
        <v>5075</v>
      </c>
      <c r="L158" s="32">
        <v>0.97499999999999998</v>
      </c>
      <c r="M158" s="31">
        <v>26620</v>
      </c>
      <c r="N158" s="31">
        <v>27795</v>
      </c>
      <c r="O158" s="31">
        <v>26336</v>
      </c>
      <c r="P158" s="32">
        <v>0.98933132982719763</v>
      </c>
      <c r="Q158" s="31">
        <v>45</v>
      </c>
      <c r="R158" s="31">
        <v>0</v>
      </c>
      <c r="S158" s="31">
        <v>0</v>
      </c>
      <c r="T158" s="32">
        <v>0</v>
      </c>
      <c r="U158" s="31">
        <v>0</v>
      </c>
      <c r="V158" s="32">
        <v>0</v>
      </c>
      <c r="W158" s="31">
        <v>1463</v>
      </c>
      <c r="X158" s="32">
        <v>0.26794871794871788</v>
      </c>
      <c r="Y158" s="31">
        <v>2183</v>
      </c>
      <c r="Z158" s="34">
        <v>0.39981684981684978</v>
      </c>
      <c r="AA158" s="31">
        <v>47</v>
      </c>
      <c r="AB158" s="32">
        <v>8.6080586080586087E-3</v>
      </c>
      <c r="AC158" s="31">
        <v>631</v>
      </c>
      <c r="AD158" s="32">
        <v>0.1155677655677656</v>
      </c>
      <c r="AE158" s="31">
        <v>124</v>
      </c>
      <c r="AF158" s="32">
        <v>0.196513470681458</v>
      </c>
      <c r="AG158" s="31">
        <v>602</v>
      </c>
      <c r="AH158" s="32">
        <v>0.95404120443740092</v>
      </c>
      <c r="AI158" s="35">
        <v>664</v>
      </c>
      <c r="AJ158" s="32">
        <v>0.1216117216117216</v>
      </c>
      <c r="AK158" s="35">
        <v>26</v>
      </c>
      <c r="AL158" s="32">
        <v>0.87951807228915657</v>
      </c>
      <c r="AM158" s="35">
        <v>650</v>
      </c>
      <c r="AN158" s="35">
        <v>584</v>
      </c>
      <c r="AO158" s="32">
        <v>0.106959706959707</v>
      </c>
      <c r="AP158" s="32">
        <v>0.92551505546751189</v>
      </c>
      <c r="AQ158" s="33">
        <v>0.97611464968152861</v>
      </c>
      <c r="AR158" s="33" t="s">
        <v>411</v>
      </c>
      <c r="AS158" s="33">
        <v>0</v>
      </c>
      <c r="AT158" s="35">
        <v>0</v>
      </c>
      <c r="AU158" s="35">
        <v>0</v>
      </c>
      <c r="AV158" s="35">
        <v>73</v>
      </c>
      <c r="AW158" s="35">
        <v>56</v>
      </c>
      <c r="AX158" s="35">
        <v>48</v>
      </c>
      <c r="AY158" s="35">
        <v>185</v>
      </c>
      <c r="AZ158" s="32">
        <v>1.025641025641026E-2</v>
      </c>
      <c r="BA158" s="32">
        <v>8.7912087912087912E-3</v>
      </c>
      <c r="BB158" s="32">
        <v>3.388278388278388E-2</v>
      </c>
      <c r="BC158" s="32">
        <v>8.2191780821917804E-2</v>
      </c>
      <c r="BD158" s="35">
        <v>0</v>
      </c>
      <c r="BE158" s="35">
        <v>0</v>
      </c>
      <c r="BF158" s="33">
        <v>1</v>
      </c>
      <c r="BG158" s="33">
        <v>1</v>
      </c>
      <c r="BH158" s="33" t="s">
        <v>412</v>
      </c>
    </row>
    <row r="159" spans="1:60" ht="19.5" customHeight="1">
      <c r="A159" s="36">
        <v>156</v>
      </c>
      <c r="B159" s="31" t="s">
        <v>410</v>
      </c>
      <c r="C159" s="37">
        <v>46199</v>
      </c>
      <c r="D159" s="31" t="s">
        <v>336</v>
      </c>
      <c r="E159" s="31">
        <v>3209</v>
      </c>
      <c r="F159" s="31">
        <v>2902</v>
      </c>
      <c r="G159" s="32">
        <v>0.90433156746650045</v>
      </c>
      <c r="H159" s="31">
        <v>1957</v>
      </c>
      <c r="I159" s="33">
        <v>0.60984730445621693</v>
      </c>
      <c r="J159" s="31">
        <v>4679</v>
      </c>
      <c r="K159" s="31">
        <v>4630</v>
      </c>
      <c r="L159" s="32">
        <v>0.99</v>
      </c>
      <c r="M159" s="31">
        <v>21747</v>
      </c>
      <c r="N159" s="31">
        <v>22078</v>
      </c>
      <c r="O159" s="31">
        <v>21563</v>
      </c>
      <c r="P159" s="32">
        <v>0.99153906285924498</v>
      </c>
      <c r="Q159" s="31">
        <v>29</v>
      </c>
      <c r="R159" s="31">
        <v>0</v>
      </c>
      <c r="S159" s="31">
        <v>0</v>
      </c>
      <c r="T159" s="32">
        <v>0</v>
      </c>
      <c r="U159" s="31">
        <v>0</v>
      </c>
      <c r="V159" s="32">
        <v>0</v>
      </c>
      <c r="W159" s="31">
        <v>700</v>
      </c>
      <c r="X159" s="32">
        <v>0.2181364911187286</v>
      </c>
      <c r="Y159" s="31">
        <v>1100</v>
      </c>
      <c r="Z159" s="34">
        <v>0.3427859146151449</v>
      </c>
      <c r="AA159" s="31">
        <v>80</v>
      </c>
      <c r="AB159" s="32">
        <v>2.492988469928327E-2</v>
      </c>
      <c r="AC159" s="31">
        <v>527</v>
      </c>
      <c r="AD159" s="32">
        <v>0.1642256154565285</v>
      </c>
      <c r="AE159" s="31">
        <v>135</v>
      </c>
      <c r="AF159" s="32">
        <v>0.25616698292220108</v>
      </c>
      <c r="AG159" s="31">
        <v>498</v>
      </c>
      <c r="AH159" s="32">
        <v>0.94497153700189751</v>
      </c>
      <c r="AI159" s="35">
        <v>572</v>
      </c>
      <c r="AJ159" s="32">
        <v>0.17824867559987531</v>
      </c>
      <c r="AK159" s="35">
        <v>66</v>
      </c>
      <c r="AL159" s="32">
        <v>0.94055944055944052</v>
      </c>
      <c r="AM159" s="35">
        <v>568</v>
      </c>
      <c r="AN159" s="35">
        <v>538</v>
      </c>
      <c r="AO159" s="32">
        <v>0.16765347460268001</v>
      </c>
      <c r="AP159" s="32">
        <v>1.020872865275142</v>
      </c>
      <c r="AQ159" s="33">
        <v>0.9524793388429752</v>
      </c>
      <c r="AR159" s="33" t="s">
        <v>411</v>
      </c>
      <c r="AS159" s="33">
        <v>0</v>
      </c>
      <c r="AT159" s="35">
        <v>0</v>
      </c>
      <c r="AU159" s="35">
        <v>0</v>
      </c>
      <c r="AV159" s="35">
        <v>60</v>
      </c>
      <c r="AW159" s="35">
        <v>49</v>
      </c>
      <c r="AX159" s="35">
        <v>50</v>
      </c>
      <c r="AY159" s="35">
        <v>139</v>
      </c>
      <c r="AZ159" s="32">
        <v>1.5269554378311E-2</v>
      </c>
      <c r="BA159" s="32">
        <v>1.558117793705204E-2</v>
      </c>
      <c r="BB159" s="32">
        <v>4.3315674665004668E-2</v>
      </c>
      <c r="BC159" s="32">
        <v>9.2936802973977689E-2</v>
      </c>
      <c r="BD159" s="35">
        <v>0</v>
      </c>
      <c r="BE159" s="35">
        <v>0</v>
      </c>
      <c r="BF159" s="33">
        <v>0.97333333333333338</v>
      </c>
      <c r="BG159" s="33">
        <v>1</v>
      </c>
      <c r="BH159" s="33" t="s">
        <v>412</v>
      </c>
    </row>
    <row r="160" spans="1:60" ht="19.5" customHeight="1">
      <c r="A160" s="36">
        <v>157</v>
      </c>
      <c r="B160" s="31" t="s">
        <v>410</v>
      </c>
      <c r="C160" s="37">
        <v>46200</v>
      </c>
      <c r="D160" s="31"/>
      <c r="E160" s="31">
        <v>55</v>
      </c>
      <c r="F160" s="31">
        <v>54</v>
      </c>
      <c r="G160" s="32">
        <v>0.98181818181818181</v>
      </c>
      <c r="H160" s="31">
        <v>55</v>
      </c>
      <c r="I160" s="33">
        <v>1</v>
      </c>
      <c r="J160" s="31">
        <v>0</v>
      </c>
      <c r="K160" s="31">
        <v>0</v>
      </c>
      <c r="L160" s="32">
        <v>0</v>
      </c>
      <c r="M160" s="31">
        <v>4</v>
      </c>
      <c r="N160" s="31">
        <v>4</v>
      </c>
      <c r="O160" s="31">
        <v>3</v>
      </c>
      <c r="P160" s="32">
        <v>0.75</v>
      </c>
      <c r="Q160" s="31">
        <v>1</v>
      </c>
      <c r="R160" s="31">
        <v>0</v>
      </c>
      <c r="S160" s="31">
        <v>0</v>
      </c>
      <c r="T160" s="32">
        <v>0</v>
      </c>
      <c r="U160" s="31">
        <v>0</v>
      </c>
      <c r="V160" s="32">
        <v>0</v>
      </c>
      <c r="W160" s="31">
        <v>8</v>
      </c>
      <c r="X160" s="32">
        <v>0.14545454545454539</v>
      </c>
      <c r="Y160" s="31">
        <v>14</v>
      </c>
      <c r="Z160" s="34">
        <v>0.25454545454545452</v>
      </c>
      <c r="AA160" s="31">
        <v>0</v>
      </c>
      <c r="AB160" s="32">
        <v>0</v>
      </c>
      <c r="AC160" s="31">
        <v>0</v>
      </c>
      <c r="AD160" s="32">
        <v>0</v>
      </c>
      <c r="AE160" s="31">
        <v>0</v>
      </c>
      <c r="AF160" s="32">
        <v>0</v>
      </c>
      <c r="AG160" s="31">
        <v>0</v>
      </c>
      <c r="AH160" s="32">
        <v>0</v>
      </c>
      <c r="AI160" s="35">
        <v>0</v>
      </c>
      <c r="AJ160" s="32">
        <v>0</v>
      </c>
      <c r="AK160" s="35">
        <v>0</v>
      </c>
      <c r="AL160" s="32">
        <v>0</v>
      </c>
      <c r="AM160" s="35">
        <v>0</v>
      </c>
      <c r="AN160" s="35">
        <v>0</v>
      </c>
      <c r="AO160" s="32">
        <v>0</v>
      </c>
      <c r="AP160" s="32">
        <v>0</v>
      </c>
      <c r="AQ160" s="33"/>
      <c r="AR160" s="33" t="s">
        <v>411</v>
      </c>
      <c r="AS160" s="33" t="s">
        <v>411</v>
      </c>
      <c r="AT160" s="35">
        <v>0</v>
      </c>
      <c r="AU160" s="35">
        <v>0</v>
      </c>
      <c r="AV160" s="35">
        <v>0</v>
      </c>
      <c r="AW160" s="35">
        <v>0</v>
      </c>
      <c r="AX160" s="35">
        <v>0</v>
      </c>
      <c r="AY160" s="35">
        <v>0</v>
      </c>
      <c r="AZ160" s="32">
        <v>0</v>
      </c>
      <c r="BA160" s="32">
        <v>0</v>
      </c>
      <c r="BB160" s="32">
        <v>0</v>
      </c>
      <c r="BC160" s="32">
        <v>0</v>
      </c>
      <c r="BD160" s="35">
        <v>0</v>
      </c>
      <c r="BE160" s="35">
        <v>0</v>
      </c>
      <c r="BF160" s="33" t="s">
        <v>412</v>
      </c>
      <c r="BG160" s="33" t="s">
        <v>412</v>
      </c>
      <c r="BH160" s="33">
        <v>1</v>
      </c>
    </row>
    <row r="161" spans="1:60" ht="19.5" customHeight="1">
      <c r="A161" s="36">
        <v>158</v>
      </c>
      <c r="B161" s="31" t="s">
        <v>410</v>
      </c>
      <c r="C161" s="37">
        <v>46200</v>
      </c>
      <c r="D161" s="31" t="s">
        <v>413</v>
      </c>
      <c r="E161" s="31">
        <v>0</v>
      </c>
      <c r="F161" s="31">
        <v>0</v>
      </c>
      <c r="G161" s="32">
        <v>0</v>
      </c>
      <c r="H161" s="31">
        <v>0</v>
      </c>
      <c r="I161" s="33">
        <v>0</v>
      </c>
      <c r="J161" s="31">
        <v>2</v>
      </c>
      <c r="K161" s="31">
        <v>2</v>
      </c>
      <c r="L161" s="32">
        <v>1</v>
      </c>
      <c r="M161" s="31">
        <v>5</v>
      </c>
      <c r="N161" s="31">
        <v>6</v>
      </c>
      <c r="O161" s="31">
        <v>5</v>
      </c>
      <c r="P161" s="32">
        <v>1</v>
      </c>
      <c r="Q161" s="31">
        <v>0</v>
      </c>
      <c r="R161" s="31">
        <v>0</v>
      </c>
      <c r="S161" s="31">
        <v>0</v>
      </c>
      <c r="T161" s="32">
        <v>0</v>
      </c>
      <c r="U161" s="31">
        <v>0</v>
      </c>
      <c r="V161" s="32">
        <v>0</v>
      </c>
      <c r="W161" s="31">
        <v>0</v>
      </c>
      <c r="X161" s="32">
        <v>0</v>
      </c>
      <c r="Y161" s="31">
        <v>0</v>
      </c>
      <c r="Z161" s="34">
        <v>0</v>
      </c>
      <c r="AA161" s="31">
        <v>0</v>
      </c>
      <c r="AB161" s="32">
        <v>0</v>
      </c>
      <c r="AC161" s="31">
        <v>0</v>
      </c>
      <c r="AD161" s="32">
        <v>0</v>
      </c>
      <c r="AE161" s="31">
        <v>0</v>
      </c>
      <c r="AF161" s="32">
        <v>0</v>
      </c>
      <c r="AG161" s="31">
        <v>0</v>
      </c>
      <c r="AH161" s="32">
        <v>0</v>
      </c>
      <c r="AI161" s="35">
        <v>0</v>
      </c>
      <c r="AJ161" s="32">
        <v>0</v>
      </c>
      <c r="AK161" s="35">
        <v>0</v>
      </c>
      <c r="AL161" s="32">
        <v>0</v>
      </c>
      <c r="AM161" s="35">
        <v>0</v>
      </c>
      <c r="AN161" s="35">
        <v>0</v>
      </c>
      <c r="AO161" s="32">
        <v>0</v>
      </c>
      <c r="AP161" s="32">
        <v>0</v>
      </c>
      <c r="AQ161" s="33"/>
      <c r="AR161" s="33" t="s">
        <v>411</v>
      </c>
      <c r="AS161" s="33" t="s">
        <v>411</v>
      </c>
      <c r="AT161" s="35">
        <v>0</v>
      </c>
      <c r="AU161" s="35">
        <v>0</v>
      </c>
      <c r="AV161" s="35">
        <v>0</v>
      </c>
      <c r="AW161" s="35">
        <v>0</v>
      </c>
      <c r="AX161" s="35">
        <v>0</v>
      </c>
      <c r="AY161" s="35">
        <v>0</v>
      </c>
      <c r="AZ161" s="32">
        <v>0</v>
      </c>
      <c r="BA161" s="32">
        <v>0</v>
      </c>
      <c r="BB161" s="32">
        <v>0</v>
      </c>
      <c r="BC161" s="32">
        <v>0</v>
      </c>
      <c r="BD161" s="35">
        <v>0</v>
      </c>
      <c r="BE161" s="35">
        <v>0</v>
      </c>
      <c r="BF161" s="33" t="s">
        <v>412</v>
      </c>
      <c r="BG161" s="33" t="s">
        <v>412</v>
      </c>
      <c r="BH161" s="33" t="s">
        <v>412</v>
      </c>
    </row>
    <row r="162" spans="1:60" ht="19.5" customHeight="1">
      <c r="A162" s="36">
        <v>159</v>
      </c>
      <c r="B162" s="31" t="s">
        <v>410</v>
      </c>
      <c r="C162" s="37">
        <v>46200</v>
      </c>
      <c r="D162" s="31" t="s">
        <v>335</v>
      </c>
      <c r="E162" s="31">
        <v>2856</v>
      </c>
      <c r="F162" s="31">
        <v>2515</v>
      </c>
      <c r="G162" s="32">
        <v>0.88060224089635852</v>
      </c>
      <c r="H162" s="31">
        <v>1564</v>
      </c>
      <c r="I162" s="33">
        <v>0.54761904761904767</v>
      </c>
      <c r="J162" s="31">
        <v>2439</v>
      </c>
      <c r="K162" s="31">
        <v>2400</v>
      </c>
      <c r="L162" s="32">
        <v>0.98399999999999999</v>
      </c>
      <c r="M162" s="31">
        <v>12279</v>
      </c>
      <c r="N162" s="31">
        <v>12762</v>
      </c>
      <c r="O162" s="31">
        <v>12181</v>
      </c>
      <c r="P162" s="32">
        <v>0.99201889404674648</v>
      </c>
      <c r="Q162" s="31">
        <v>13</v>
      </c>
      <c r="R162" s="31">
        <v>0</v>
      </c>
      <c r="S162" s="31">
        <v>0</v>
      </c>
      <c r="T162" s="32">
        <v>0</v>
      </c>
      <c r="U162" s="31">
        <v>0</v>
      </c>
      <c r="V162" s="32">
        <v>0</v>
      </c>
      <c r="W162" s="31">
        <v>306</v>
      </c>
      <c r="X162" s="32">
        <v>0.1071428571428571</v>
      </c>
      <c r="Y162" s="31">
        <v>838</v>
      </c>
      <c r="Z162" s="34">
        <v>0.29341736694677872</v>
      </c>
      <c r="AA162" s="31">
        <v>35</v>
      </c>
      <c r="AB162" s="32">
        <v>1.225490196078431E-2</v>
      </c>
      <c r="AC162" s="31">
        <v>232</v>
      </c>
      <c r="AD162" s="32">
        <v>8.1232492997198882E-2</v>
      </c>
      <c r="AE162" s="31">
        <v>40</v>
      </c>
      <c r="AF162" s="32">
        <v>0.17241379310344829</v>
      </c>
      <c r="AG162" s="31">
        <v>214</v>
      </c>
      <c r="AH162" s="32">
        <v>0.92241379310344829</v>
      </c>
      <c r="AI162" s="35">
        <v>237</v>
      </c>
      <c r="AJ162" s="32">
        <v>8.2983193277310921E-2</v>
      </c>
      <c r="AK162" s="35">
        <v>33</v>
      </c>
      <c r="AL162" s="32">
        <v>0.7932489451476793</v>
      </c>
      <c r="AM162" s="35">
        <v>216</v>
      </c>
      <c r="AN162" s="35">
        <v>188</v>
      </c>
      <c r="AO162" s="32">
        <v>6.5826330532212887E-2</v>
      </c>
      <c r="AP162" s="32">
        <v>0.81034482758620685</v>
      </c>
      <c r="AQ162" s="33">
        <v>0.97744360902255634</v>
      </c>
      <c r="AR162" s="33" t="s">
        <v>411</v>
      </c>
      <c r="AS162" s="33">
        <v>0</v>
      </c>
      <c r="AT162" s="35">
        <v>0</v>
      </c>
      <c r="AU162" s="35">
        <v>0</v>
      </c>
      <c r="AV162" s="35">
        <v>63</v>
      </c>
      <c r="AW162" s="35">
        <v>60</v>
      </c>
      <c r="AX162" s="35">
        <v>61</v>
      </c>
      <c r="AY162" s="35">
        <v>38</v>
      </c>
      <c r="AZ162" s="32">
        <v>2.100840336134454E-2</v>
      </c>
      <c r="BA162" s="32">
        <v>2.1358543417366951E-2</v>
      </c>
      <c r="BB162" s="32">
        <v>1.330532212885154E-2</v>
      </c>
      <c r="BC162" s="32">
        <v>0.32446808510638298</v>
      </c>
      <c r="BD162" s="35">
        <v>0</v>
      </c>
      <c r="BE162" s="35">
        <v>0</v>
      </c>
      <c r="BF162" s="33">
        <v>1</v>
      </c>
      <c r="BG162" s="33">
        <v>1</v>
      </c>
      <c r="BH162" s="33" t="s">
        <v>412</v>
      </c>
    </row>
    <row r="163" spans="1:60" ht="19.5" customHeight="1">
      <c r="A163" s="36">
        <v>160</v>
      </c>
      <c r="B163" s="31" t="s">
        <v>410</v>
      </c>
      <c r="C163" s="37">
        <v>46200</v>
      </c>
      <c r="D163" s="31" t="s">
        <v>334</v>
      </c>
      <c r="E163" s="31">
        <v>2177</v>
      </c>
      <c r="F163" s="31">
        <v>1873</v>
      </c>
      <c r="G163" s="32">
        <v>0.86035829122645846</v>
      </c>
      <c r="H163" s="31">
        <v>1229</v>
      </c>
      <c r="I163" s="33">
        <v>0.56453835553514009</v>
      </c>
      <c r="J163" s="31">
        <v>2046</v>
      </c>
      <c r="K163" s="31">
        <v>2018</v>
      </c>
      <c r="L163" s="32">
        <v>0.98599999999999999</v>
      </c>
      <c r="M163" s="31">
        <v>10378</v>
      </c>
      <c r="N163" s="31">
        <v>10910</v>
      </c>
      <c r="O163" s="31">
        <v>10284</v>
      </c>
      <c r="P163" s="32">
        <v>0.99094237810753516</v>
      </c>
      <c r="Q163" s="31">
        <v>18</v>
      </c>
      <c r="R163" s="31">
        <v>0</v>
      </c>
      <c r="S163" s="31">
        <v>0</v>
      </c>
      <c r="T163" s="32">
        <v>0</v>
      </c>
      <c r="U163" s="31">
        <v>0</v>
      </c>
      <c r="V163" s="32">
        <v>0</v>
      </c>
      <c r="W163" s="31">
        <v>277</v>
      </c>
      <c r="X163" s="32">
        <v>0.12723932016536521</v>
      </c>
      <c r="Y163" s="31">
        <v>666</v>
      </c>
      <c r="Z163" s="34">
        <v>0.30592558566835087</v>
      </c>
      <c r="AA163" s="31">
        <v>15</v>
      </c>
      <c r="AB163" s="32">
        <v>6.8902158934313279E-3</v>
      </c>
      <c r="AC163" s="31">
        <v>236</v>
      </c>
      <c r="AD163" s="32">
        <v>0.10840606338998619</v>
      </c>
      <c r="AE163" s="31">
        <v>30</v>
      </c>
      <c r="AF163" s="32">
        <v>0.1271186440677966</v>
      </c>
      <c r="AG163" s="31">
        <v>223</v>
      </c>
      <c r="AH163" s="32">
        <v>0.94491525423728817</v>
      </c>
      <c r="AI163" s="35">
        <v>241</v>
      </c>
      <c r="AJ163" s="32">
        <v>0.11070280202113</v>
      </c>
      <c r="AK163" s="35">
        <v>13</v>
      </c>
      <c r="AL163" s="32">
        <v>0.77178423236514526</v>
      </c>
      <c r="AM163" s="35">
        <v>225</v>
      </c>
      <c r="AN163" s="35">
        <v>186</v>
      </c>
      <c r="AO163" s="32">
        <v>8.5438677078548464E-2</v>
      </c>
      <c r="AP163" s="32">
        <v>0.78813559322033899</v>
      </c>
      <c r="AQ163" s="33">
        <v>0.9568965517241379</v>
      </c>
      <c r="AR163" s="33" t="s">
        <v>411</v>
      </c>
      <c r="AS163" s="33">
        <v>0</v>
      </c>
      <c r="AT163" s="35">
        <v>0</v>
      </c>
      <c r="AU163" s="35">
        <v>0</v>
      </c>
      <c r="AV163" s="35">
        <v>82</v>
      </c>
      <c r="AW163" s="35">
        <v>76</v>
      </c>
      <c r="AX163" s="35">
        <v>74</v>
      </c>
      <c r="AY163" s="35">
        <v>37</v>
      </c>
      <c r="AZ163" s="32">
        <v>3.4910427193385392E-2</v>
      </c>
      <c r="BA163" s="32">
        <v>3.3991731740927893E-2</v>
      </c>
      <c r="BB163" s="32">
        <v>1.6995865870463939E-2</v>
      </c>
      <c r="BC163" s="32">
        <v>0.39784946236559138</v>
      </c>
      <c r="BD163" s="35">
        <v>0</v>
      </c>
      <c r="BE163" s="35">
        <v>0</v>
      </c>
      <c r="BF163" s="33">
        <v>0.95652173913043481</v>
      </c>
      <c r="BG163" s="33">
        <v>1</v>
      </c>
      <c r="BH163" s="33" t="s">
        <v>412</v>
      </c>
    </row>
    <row r="164" spans="1:60" ht="19.5" customHeight="1">
      <c r="A164" s="36">
        <v>161</v>
      </c>
      <c r="B164" s="31" t="s">
        <v>410</v>
      </c>
      <c r="C164" s="37">
        <v>46200</v>
      </c>
      <c r="D164" s="31" t="s">
        <v>337</v>
      </c>
      <c r="E164" s="31">
        <v>5356</v>
      </c>
      <c r="F164" s="31">
        <v>4684</v>
      </c>
      <c r="G164" s="32">
        <v>0.87453323375653469</v>
      </c>
      <c r="H164" s="31">
        <v>1731</v>
      </c>
      <c r="I164" s="33">
        <v>0.32318894697535472</v>
      </c>
      <c r="J164" s="31">
        <v>4273</v>
      </c>
      <c r="K164" s="31">
        <v>4178</v>
      </c>
      <c r="L164" s="32">
        <v>0.97799999999999998</v>
      </c>
      <c r="M164" s="31">
        <v>25459</v>
      </c>
      <c r="N164" s="31">
        <v>26438</v>
      </c>
      <c r="O164" s="31">
        <v>25191</v>
      </c>
      <c r="P164" s="32">
        <v>0.98947327074904745</v>
      </c>
      <c r="Q164" s="31">
        <v>35</v>
      </c>
      <c r="R164" s="31">
        <v>0</v>
      </c>
      <c r="S164" s="31">
        <v>0</v>
      </c>
      <c r="T164" s="32">
        <v>0</v>
      </c>
      <c r="U164" s="31">
        <v>0</v>
      </c>
      <c r="V164" s="32">
        <v>0</v>
      </c>
      <c r="W164" s="31">
        <v>757</v>
      </c>
      <c r="X164" s="32">
        <v>0.14133681852128449</v>
      </c>
      <c r="Y164" s="31">
        <v>1901</v>
      </c>
      <c r="Z164" s="34">
        <v>0.3549290515309933</v>
      </c>
      <c r="AA164" s="31">
        <v>49</v>
      </c>
      <c r="AB164" s="32">
        <v>9.1486183719193433E-3</v>
      </c>
      <c r="AC164" s="31">
        <v>1017</v>
      </c>
      <c r="AD164" s="32">
        <v>0.1898805078416729</v>
      </c>
      <c r="AE164" s="31">
        <v>164</v>
      </c>
      <c r="AF164" s="32">
        <v>0.16125860373647979</v>
      </c>
      <c r="AG164" s="31">
        <v>954</v>
      </c>
      <c r="AH164" s="32">
        <v>0.93805309734513276</v>
      </c>
      <c r="AI164" s="35">
        <v>1088</v>
      </c>
      <c r="AJ164" s="32">
        <v>0.20313666915608661</v>
      </c>
      <c r="AK164" s="35">
        <v>45</v>
      </c>
      <c r="AL164" s="32">
        <v>0.86397058823529416</v>
      </c>
      <c r="AM164" s="35">
        <v>1026</v>
      </c>
      <c r="AN164" s="35">
        <v>940</v>
      </c>
      <c r="AO164" s="32">
        <v>0.17550410754294249</v>
      </c>
      <c r="AP164" s="32">
        <v>0.92428711897738447</v>
      </c>
      <c r="AQ164" s="33">
        <v>0.97001499250374812</v>
      </c>
      <c r="AR164" s="33" t="s">
        <v>411</v>
      </c>
      <c r="AS164" s="33">
        <v>0</v>
      </c>
      <c r="AT164" s="35">
        <v>0</v>
      </c>
      <c r="AU164" s="35">
        <v>0</v>
      </c>
      <c r="AV164" s="35">
        <v>163</v>
      </c>
      <c r="AW164" s="35">
        <v>142</v>
      </c>
      <c r="AX164" s="35">
        <v>137</v>
      </c>
      <c r="AY164" s="35">
        <v>138</v>
      </c>
      <c r="AZ164" s="32">
        <v>2.6512322628827481E-2</v>
      </c>
      <c r="BA164" s="32">
        <v>2.5578790141896939E-2</v>
      </c>
      <c r="BB164" s="32">
        <v>2.5765496639283049E-2</v>
      </c>
      <c r="BC164" s="32">
        <v>0.14574468085106379</v>
      </c>
      <c r="BD164" s="35">
        <v>0</v>
      </c>
      <c r="BE164" s="35">
        <v>1</v>
      </c>
      <c r="BF164" s="33">
        <v>0.97777777777777775</v>
      </c>
      <c r="BG164" s="33">
        <v>0.95454545454545459</v>
      </c>
      <c r="BH164" s="33" t="s">
        <v>412</v>
      </c>
    </row>
    <row r="165" spans="1:60" ht="19.5" customHeight="1">
      <c r="A165" s="36">
        <v>162</v>
      </c>
      <c r="B165" s="31" t="s">
        <v>410</v>
      </c>
      <c r="C165" s="37">
        <v>46200</v>
      </c>
      <c r="D165" s="31" t="s">
        <v>336</v>
      </c>
      <c r="E165" s="31">
        <v>3661</v>
      </c>
      <c r="F165" s="31">
        <v>3268</v>
      </c>
      <c r="G165" s="32">
        <v>0.89265228079759629</v>
      </c>
      <c r="H165" s="31">
        <v>2432</v>
      </c>
      <c r="I165" s="33">
        <v>0.66429937175635068</v>
      </c>
      <c r="J165" s="31">
        <v>4482</v>
      </c>
      <c r="K165" s="31">
        <v>4423</v>
      </c>
      <c r="L165" s="32">
        <v>0.98699999999999999</v>
      </c>
      <c r="M165" s="31">
        <v>22062</v>
      </c>
      <c r="N165" s="31">
        <v>22578</v>
      </c>
      <c r="O165" s="31">
        <v>21872</v>
      </c>
      <c r="P165" s="32">
        <v>0.99138790680808631</v>
      </c>
      <c r="Q165" s="31">
        <v>18</v>
      </c>
      <c r="R165" s="31">
        <v>0</v>
      </c>
      <c r="S165" s="31">
        <v>0</v>
      </c>
      <c r="T165" s="32">
        <v>0</v>
      </c>
      <c r="U165" s="31">
        <v>0</v>
      </c>
      <c r="V165" s="32">
        <v>0</v>
      </c>
      <c r="W165" s="31">
        <v>374</v>
      </c>
      <c r="X165" s="32">
        <v>0.1021578803605572</v>
      </c>
      <c r="Y165" s="31">
        <v>878</v>
      </c>
      <c r="Z165" s="34">
        <v>0.2398251843758536</v>
      </c>
      <c r="AA165" s="31">
        <v>69</v>
      </c>
      <c r="AB165" s="32">
        <v>1.884730947828462E-2</v>
      </c>
      <c r="AC165" s="31">
        <v>759</v>
      </c>
      <c r="AD165" s="32">
        <v>0.2073204042611308</v>
      </c>
      <c r="AE165" s="31">
        <v>129</v>
      </c>
      <c r="AF165" s="32">
        <v>0.16996047430830041</v>
      </c>
      <c r="AG165" s="31">
        <v>708</v>
      </c>
      <c r="AH165" s="32">
        <v>0.93280632411067199</v>
      </c>
      <c r="AI165" s="35">
        <v>739</v>
      </c>
      <c r="AJ165" s="32">
        <v>0.2018574160065556</v>
      </c>
      <c r="AK165" s="35">
        <v>76</v>
      </c>
      <c r="AL165" s="32">
        <v>0.9242219215155616</v>
      </c>
      <c r="AM165" s="35">
        <v>723</v>
      </c>
      <c r="AN165" s="35">
        <v>683</v>
      </c>
      <c r="AO165" s="32">
        <v>0.18656104889374489</v>
      </c>
      <c r="AP165" s="32">
        <v>0.8998682476943346</v>
      </c>
      <c r="AQ165" s="33">
        <v>0.96296296296296291</v>
      </c>
      <c r="AR165" s="33" t="s">
        <v>411</v>
      </c>
      <c r="AS165" s="33">
        <v>0</v>
      </c>
      <c r="AT165" s="35">
        <v>0</v>
      </c>
      <c r="AU165" s="35">
        <v>0</v>
      </c>
      <c r="AV165" s="35">
        <v>125</v>
      </c>
      <c r="AW165" s="35">
        <v>118</v>
      </c>
      <c r="AX165" s="35">
        <v>116</v>
      </c>
      <c r="AY165" s="35">
        <v>95</v>
      </c>
      <c r="AZ165" s="32">
        <v>3.2231630701993988E-2</v>
      </c>
      <c r="BA165" s="32">
        <v>3.1685331876536472E-2</v>
      </c>
      <c r="BB165" s="32">
        <v>2.5949194209232449E-2</v>
      </c>
      <c r="BC165" s="32">
        <v>0.1698389458272328</v>
      </c>
      <c r="BD165" s="35">
        <v>0</v>
      </c>
      <c r="BE165" s="35">
        <v>0</v>
      </c>
      <c r="BF165" s="33">
        <v>0.98863636363636365</v>
      </c>
      <c r="BG165" s="33">
        <v>1</v>
      </c>
      <c r="BH165" s="33" t="s">
        <v>412</v>
      </c>
    </row>
    <row r="166" spans="1:60" ht="19.5" customHeight="1">
      <c r="A166" s="36">
        <v>163</v>
      </c>
      <c r="B166" s="31" t="s">
        <v>410</v>
      </c>
      <c r="C166" s="37">
        <v>46201</v>
      </c>
      <c r="D166" s="31"/>
      <c r="E166" s="31">
        <v>52</v>
      </c>
      <c r="F166" s="31">
        <v>50</v>
      </c>
      <c r="G166" s="32">
        <v>0.96153846153846156</v>
      </c>
      <c r="H166" s="31">
        <v>52</v>
      </c>
      <c r="I166" s="33">
        <v>1</v>
      </c>
      <c r="J166" s="31">
        <v>2</v>
      </c>
      <c r="K166" s="31">
        <v>0</v>
      </c>
      <c r="L166" s="32">
        <v>0</v>
      </c>
      <c r="M166" s="31">
        <v>7</v>
      </c>
      <c r="N166" s="31">
        <v>2</v>
      </c>
      <c r="O166" s="31">
        <v>2</v>
      </c>
      <c r="P166" s="32">
        <v>0.2857142857142857</v>
      </c>
      <c r="Q166" s="31">
        <v>5</v>
      </c>
      <c r="R166" s="31">
        <v>0</v>
      </c>
      <c r="S166" s="31">
        <v>0</v>
      </c>
      <c r="T166" s="32">
        <v>0</v>
      </c>
      <c r="U166" s="31">
        <v>0</v>
      </c>
      <c r="V166" s="32">
        <v>0</v>
      </c>
      <c r="W166" s="31">
        <v>9</v>
      </c>
      <c r="X166" s="32">
        <v>0.1730769230769231</v>
      </c>
      <c r="Y166" s="31">
        <v>20</v>
      </c>
      <c r="Z166" s="34">
        <v>0.38461538461538458</v>
      </c>
      <c r="AA166" s="31">
        <v>0</v>
      </c>
      <c r="AB166" s="32">
        <v>0</v>
      </c>
      <c r="AC166" s="31">
        <v>0</v>
      </c>
      <c r="AD166" s="32">
        <v>0</v>
      </c>
      <c r="AE166" s="31">
        <v>0</v>
      </c>
      <c r="AF166" s="32">
        <v>0</v>
      </c>
      <c r="AG166" s="31">
        <v>0</v>
      </c>
      <c r="AH166" s="32">
        <v>0</v>
      </c>
      <c r="AI166" s="35">
        <v>0</v>
      </c>
      <c r="AJ166" s="32">
        <v>0</v>
      </c>
      <c r="AK166" s="35">
        <v>0</v>
      </c>
      <c r="AL166" s="32">
        <v>0</v>
      </c>
      <c r="AM166" s="35">
        <v>0</v>
      </c>
      <c r="AN166" s="35">
        <v>0</v>
      </c>
      <c r="AO166" s="32">
        <v>0</v>
      </c>
      <c r="AP166" s="32">
        <v>0</v>
      </c>
      <c r="AQ166" s="33">
        <v>0</v>
      </c>
      <c r="AR166" s="33" t="s">
        <v>411</v>
      </c>
      <c r="AS166" s="33">
        <v>0</v>
      </c>
      <c r="AT166" s="35">
        <v>0</v>
      </c>
      <c r="AU166" s="35">
        <v>0</v>
      </c>
      <c r="AV166" s="35">
        <v>0</v>
      </c>
      <c r="AW166" s="35">
        <v>0</v>
      </c>
      <c r="AX166" s="35">
        <v>0</v>
      </c>
      <c r="AY166" s="35">
        <v>0</v>
      </c>
      <c r="AZ166" s="32">
        <v>0</v>
      </c>
      <c r="BA166" s="32">
        <v>0</v>
      </c>
      <c r="BB166" s="32">
        <v>0</v>
      </c>
      <c r="BC166" s="32">
        <v>0</v>
      </c>
      <c r="BD166" s="35">
        <v>0</v>
      </c>
      <c r="BE166" s="35">
        <v>0</v>
      </c>
      <c r="BF166" s="33" t="s">
        <v>412</v>
      </c>
      <c r="BG166" s="33" t="s">
        <v>412</v>
      </c>
      <c r="BH166" s="33">
        <v>0.9821428571428571</v>
      </c>
    </row>
    <row r="167" spans="1:60" ht="19.5" customHeight="1">
      <c r="A167" s="36">
        <v>164</v>
      </c>
      <c r="B167" s="31" t="s">
        <v>410</v>
      </c>
      <c r="C167" s="37">
        <v>46201</v>
      </c>
      <c r="D167" s="31" t="s">
        <v>413</v>
      </c>
      <c r="E167" s="31">
        <v>2</v>
      </c>
      <c r="F167" s="31">
        <v>2</v>
      </c>
      <c r="G167" s="32">
        <v>1</v>
      </c>
      <c r="H167" s="31">
        <v>1</v>
      </c>
      <c r="I167" s="33">
        <v>0.5</v>
      </c>
      <c r="J167" s="31">
        <v>3</v>
      </c>
      <c r="K167" s="31">
        <v>3</v>
      </c>
      <c r="L167" s="32">
        <v>1</v>
      </c>
      <c r="M167" s="31">
        <v>4</v>
      </c>
      <c r="N167" s="31">
        <v>7</v>
      </c>
      <c r="O167" s="31">
        <v>4</v>
      </c>
      <c r="P167" s="32">
        <v>1</v>
      </c>
      <c r="Q167" s="31">
        <v>0</v>
      </c>
      <c r="R167" s="31">
        <v>0</v>
      </c>
      <c r="S167" s="31">
        <v>0</v>
      </c>
      <c r="T167" s="32">
        <v>0</v>
      </c>
      <c r="U167" s="31">
        <v>0</v>
      </c>
      <c r="V167" s="32">
        <v>0</v>
      </c>
      <c r="W167" s="31">
        <v>0</v>
      </c>
      <c r="X167" s="32">
        <v>0</v>
      </c>
      <c r="Y167" s="31">
        <v>0</v>
      </c>
      <c r="Z167" s="34">
        <v>0</v>
      </c>
      <c r="AA167" s="31">
        <v>0</v>
      </c>
      <c r="AB167" s="32">
        <v>0</v>
      </c>
      <c r="AC167" s="31">
        <v>0</v>
      </c>
      <c r="AD167" s="32">
        <v>0</v>
      </c>
      <c r="AE167" s="31">
        <v>0</v>
      </c>
      <c r="AF167" s="32">
        <v>0</v>
      </c>
      <c r="AG167" s="31">
        <v>0</v>
      </c>
      <c r="AH167" s="32">
        <v>0</v>
      </c>
      <c r="AI167" s="35">
        <v>0</v>
      </c>
      <c r="AJ167" s="32">
        <v>0</v>
      </c>
      <c r="AK167" s="35">
        <v>0</v>
      </c>
      <c r="AL167" s="32">
        <v>0</v>
      </c>
      <c r="AM167" s="35">
        <v>0</v>
      </c>
      <c r="AN167" s="35">
        <v>0</v>
      </c>
      <c r="AO167" s="32">
        <v>0</v>
      </c>
      <c r="AP167" s="32">
        <v>0</v>
      </c>
      <c r="AQ167" s="33"/>
      <c r="AR167" s="33" t="s">
        <v>411</v>
      </c>
      <c r="AS167" s="33" t="s">
        <v>411</v>
      </c>
      <c r="AT167" s="35">
        <v>0</v>
      </c>
      <c r="AU167" s="35">
        <v>0</v>
      </c>
      <c r="AV167" s="35">
        <v>0</v>
      </c>
      <c r="AW167" s="35">
        <v>0</v>
      </c>
      <c r="AX167" s="35">
        <v>0</v>
      </c>
      <c r="AY167" s="35">
        <v>0</v>
      </c>
      <c r="AZ167" s="32">
        <v>0</v>
      </c>
      <c r="BA167" s="32">
        <v>0</v>
      </c>
      <c r="BB167" s="32">
        <v>0</v>
      </c>
      <c r="BC167" s="32">
        <v>0</v>
      </c>
      <c r="BD167" s="35">
        <v>0</v>
      </c>
      <c r="BE167" s="35">
        <v>0</v>
      </c>
      <c r="BF167" s="33" t="s">
        <v>412</v>
      </c>
      <c r="BG167" s="33" t="s">
        <v>412</v>
      </c>
      <c r="BH167" s="33" t="s">
        <v>412</v>
      </c>
    </row>
    <row r="168" spans="1:60" ht="19.5" customHeight="1">
      <c r="A168" s="36">
        <v>165</v>
      </c>
      <c r="B168" s="31" t="s">
        <v>410</v>
      </c>
      <c r="C168" s="37">
        <v>46201</v>
      </c>
      <c r="D168" s="31" t="s">
        <v>335</v>
      </c>
      <c r="E168" s="31">
        <v>2723</v>
      </c>
      <c r="F168" s="31">
        <v>2338</v>
      </c>
      <c r="G168" s="32">
        <v>0.8586118251928021</v>
      </c>
      <c r="H168" s="31">
        <v>1335</v>
      </c>
      <c r="I168" s="33">
        <v>0.49026808666911492</v>
      </c>
      <c r="J168" s="31">
        <v>2738</v>
      </c>
      <c r="K168" s="31">
        <v>2682</v>
      </c>
      <c r="L168" s="32">
        <v>0.98</v>
      </c>
      <c r="M168" s="31">
        <v>13222</v>
      </c>
      <c r="N168" s="31">
        <v>13515</v>
      </c>
      <c r="O168" s="31">
        <v>13049</v>
      </c>
      <c r="P168" s="32">
        <v>0.98691574648313418</v>
      </c>
      <c r="Q168" s="31">
        <v>14</v>
      </c>
      <c r="R168" s="31">
        <v>0</v>
      </c>
      <c r="S168" s="31">
        <v>0</v>
      </c>
      <c r="T168" s="32">
        <v>0</v>
      </c>
      <c r="U168" s="31">
        <v>0</v>
      </c>
      <c r="V168" s="32">
        <v>0</v>
      </c>
      <c r="W168" s="31">
        <v>217</v>
      </c>
      <c r="X168" s="32">
        <v>7.9691516709511565E-2</v>
      </c>
      <c r="Y168" s="31">
        <v>782</v>
      </c>
      <c r="Z168" s="34">
        <v>0.28718325376423071</v>
      </c>
      <c r="AA168" s="31">
        <v>40</v>
      </c>
      <c r="AB168" s="32">
        <v>1.468968049944914E-2</v>
      </c>
      <c r="AC168" s="31">
        <v>228</v>
      </c>
      <c r="AD168" s="32">
        <v>8.3731178846860085E-2</v>
      </c>
      <c r="AE168" s="31">
        <v>48</v>
      </c>
      <c r="AF168" s="32">
        <v>0.2105263157894737</v>
      </c>
      <c r="AG168" s="31">
        <v>218</v>
      </c>
      <c r="AH168" s="32">
        <v>0.95614035087719296</v>
      </c>
      <c r="AI168" s="35">
        <v>254</v>
      </c>
      <c r="AJ168" s="32">
        <v>9.3279471171502024E-2</v>
      </c>
      <c r="AK168" s="35">
        <v>18</v>
      </c>
      <c r="AL168" s="32">
        <v>0.79527559055118113</v>
      </c>
      <c r="AM168" s="35">
        <v>228</v>
      </c>
      <c r="AN168" s="35">
        <v>202</v>
      </c>
      <c r="AO168" s="32">
        <v>7.4182886522218147E-2</v>
      </c>
      <c r="AP168" s="32">
        <v>0.88596491228070173</v>
      </c>
      <c r="AQ168" s="33">
        <v>0.96482412060301503</v>
      </c>
      <c r="AR168" s="33" t="s">
        <v>411</v>
      </c>
      <c r="AS168" s="33">
        <v>0</v>
      </c>
      <c r="AT168" s="35">
        <v>0</v>
      </c>
      <c r="AU168" s="35">
        <v>0</v>
      </c>
      <c r="AV168" s="35">
        <v>84</v>
      </c>
      <c r="AW168" s="35">
        <v>79</v>
      </c>
      <c r="AX168" s="35">
        <v>74</v>
      </c>
      <c r="AY168" s="35">
        <v>36</v>
      </c>
      <c r="AZ168" s="32">
        <v>2.9012118986412049E-2</v>
      </c>
      <c r="BA168" s="32">
        <v>2.7175908923980901E-2</v>
      </c>
      <c r="BB168" s="32">
        <v>1.3220712449504219E-2</v>
      </c>
      <c r="BC168" s="32">
        <v>0.36633663366336627</v>
      </c>
      <c r="BD168" s="35">
        <v>0</v>
      </c>
      <c r="BE168" s="35">
        <v>0</v>
      </c>
      <c r="BF168" s="33">
        <v>0.96296296296296291</v>
      </c>
      <c r="BG168" s="33">
        <v>1</v>
      </c>
      <c r="BH168" s="33" t="s">
        <v>412</v>
      </c>
    </row>
    <row r="169" spans="1:60" ht="19.5" customHeight="1">
      <c r="A169" s="36">
        <v>166</v>
      </c>
      <c r="B169" s="31" t="s">
        <v>410</v>
      </c>
      <c r="C169" s="37">
        <v>46201</v>
      </c>
      <c r="D169" s="31" t="s">
        <v>334</v>
      </c>
      <c r="E169" s="31">
        <v>2069</v>
      </c>
      <c r="F169" s="31">
        <v>1823</v>
      </c>
      <c r="G169" s="32">
        <v>0.8811019816336394</v>
      </c>
      <c r="H169" s="31">
        <v>1017</v>
      </c>
      <c r="I169" s="33">
        <v>0.49154180763653937</v>
      </c>
      <c r="J169" s="31">
        <v>1927</v>
      </c>
      <c r="K169" s="31">
        <v>1882</v>
      </c>
      <c r="L169" s="32">
        <v>0.97699999999999998</v>
      </c>
      <c r="M169" s="31">
        <v>10369</v>
      </c>
      <c r="N169" s="31">
        <v>10534</v>
      </c>
      <c r="O169" s="31">
        <v>10243</v>
      </c>
      <c r="P169" s="32">
        <v>0.98784839425209758</v>
      </c>
      <c r="Q169" s="31">
        <v>21</v>
      </c>
      <c r="R169" s="31">
        <v>0</v>
      </c>
      <c r="S169" s="31">
        <v>0</v>
      </c>
      <c r="T169" s="32">
        <v>0</v>
      </c>
      <c r="U169" s="31">
        <v>0</v>
      </c>
      <c r="V169" s="32">
        <v>0</v>
      </c>
      <c r="W169" s="31">
        <v>205</v>
      </c>
      <c r="X169" s="32">
        <v>9.9081681971967137E-2</v>
      </c>
      <c r="Y169" s="31">
        <v>644</v>
      </c>
      <c r="Z169" s="34">
        <v>0.31126147897535039</v>
      </c>
      <c r="AA169" s="31">
        <v>12</v>
      </c>
      <c r="AB169" s="32">
        <v>5.7999033349444172E-3</v>
      </c>
      <c r="AC169" s="31">
        <v>262</v>
      </c>
      <c r="AD169" s="32">
        <v>0.12663122281295311</v>
      </c>
      <c r="AE169" s="31">
        <v>43</v>
      </c>
      <c r="AF169" s="32">
        <v>0.16412213740458009</v>
      </c>
      <c r="AG169" s="31">
        <v>250</v>
      </c>
      <c r="AH169" s="32">
        <v>0.95419847328244278</v>
      </c>
      <c r="AI169" s="35">
        <v>291</v>
      </c>
      <c r="AJ169" s="32">
        <v>0.14064765587240211</v>
      </c>
      <c r="AK169" s="35">
        <v>9</v>
      </c>
      <c r="AL169" s="32">
        <v>0.7903780068728522</v>
      </c>
      <c r="AM169" s="35">
        <v>266</v>
      </c>
      <c r="AN169" s="35">
        <v>230</v>
      </c>
      <c r="AO169" s="32">
        <v>0.111164813919768</v>
      </c>
      <c r="AP169" s="32">
        <v>0.87786259541984735</v>
      </c>
      <c r="AQ169" s="33">
        <v>0.9634703196347032</v>
      </c>
      <c r="AR169" s="33" t="s">
        <v>411</v>
      </c>
      <c r="AS169" s="33">
        <v>0</v>
      </c>
      <c r="AT169" s="35">
        <v>0</v>
      </c>
      <c r="AU169" s="35">
        <v>0</v>
      </c>
      <c r="AV169" s="35">
        <v>95</v>
      </c>
      <c r="AW169" s="35">
        <v>89</v>
      </c>
      <c r="AX169" s="35">
        <v>87</v>
      </c>
      <c r="AY169" s="35">
        <v>35</v>
      </c>
      <c r="AZ169" s="32">
        <v>4.3015949734171097E-2</v>
      </c>
      <c r="BA169" s="32">
        <v>4.204929917834703E-2</v>
      </c>
      <c r="BB169" s="32">
        <v>1.6916384726921221E-2</v>
      </c>
      <c r="BC169" s="32">
        <v>0.37826086956521737</v>
      </c>
      <c r="BD169" s="35">
        <v>0</v>
      </c>
      <c r="BE169" s="35">
        <v>0</v>
      </c>
      <c r="BF169" s="33">
        <v>0.93103448275862066</v>
      </c>
      <c r="BG169" s="33">
        <v>1</v>
      </c>
      <c r="BH169" s="33" t="s">
        <v>412</v>
      </c>
    </row>
    <row r="170" spans="1:60" ht="19.5" customHeight="1">
      <c r="A170" s="36">
        <v>167</v>
      </c>
      <c r="B170" s="31" t="s">
        <v>410</v>
      </c>
      <c r="C170" s="37">
        <v>46201</v>
      </c>
      <c r="D170" s="31" t="s">
        <v>337</v>
      </c>
      <c r="E170" s="31">
        <v>4625</v>
      </c>
      <c r="F170" s="31">
        <v>3968</v>
      </c>
      <c r="G170" s="32">
        <v>0.85794594594594598</v>
      </c>
      <c r="H170" s="31">
        <v>1526</v>
      </c>
      <c r="I170" s="33">
        <v>0.32994594594594601</v>
      </c>
      <c r="J170" s="31">
        <v>4411</v>
      </c>
      <c r="K170" s="31">
        <v>4315</v>
      </c>
      <c r="L170" s="32">
        <v>0.97799999999999998</v>
      </c>
      <c r="M170" s="31">
        <v>26408</v>
      </c>
      <c r="N170" s="31">
        <v>26365</v>
      </c>
      <c r="O170" s="31">
        <v>26086</v>
      </c>
      <c r="P170" s="32">
        <v>0.98780672523477731</v>
      </c>
      <c r="Q170" s="31">
        <v>29</v>
      </c>
      <c r="R170" s="31">
        <v>0</v>
      </c>
      <c r="S170" s="31">
        <v>0</v>
      </c>
      <c r="T170" s="32">
        <v>0</v>
      </c>
      <c r="U170" s="31">
        <v>0</v>
      </c>
      <c r="V170" s="32">
        <v>0</v>
      </c>
      <c r="W170" s="31">
        <v>475</v>
      </c>
      <c r="X170" s="32">
        <v>0.10270270270270269</v>
      </c>
      <c r="Y170" s="31">
        <v>1816</v>
      </c>
      <c r="Z170" s="34">
        <v>0.39264864864864862</v>
      </c>
      <c r="AA170" s="31">
        <v>47</v>
      </c>
      <c r="AB170" s="32">
        <v>1.0162162162162159E-2</v>
      </c>
      <c r="AC170" s="31">
        <v>968</v>
      </c>
      <c r="AD170" s="32">
        <v>0.20929729729729729</v>
      </c>
      <c r="AE170" s="31">
        <v>188</v>
      </c>
      <c r="AF170" s="32">
        <v>0.19421487603305779</v>
      </c>
      <c r="AG170" s="31">
        <v>906</v>
      </c>
      <c r="AH170" s="32">
        <v>0.93595041322314054</v>
      </c>
      <c r="AI170" s="35">
        <v>1091</v>
      </c>
      <c r="AJ170" s="32">
        <v>0.23589189189189191</v>
      </c>
      <c r="AK170" s="35">
        <v>62</v>
      </c>
      <c r="AL170" s="32">
        <v>0.82951420714940427</v>
      </c>
      <c r="AM170" s="35">
        <v>987</v>
      </c>
      <c r="AN170" s="35">
        <v>905</v>
      </c>
      <c r="AO170" s="32">
        <v>0.1956756756756757</v>
      </c>
      <c r="AP170" s="32">
        <v>0.93491735537190079</v>
      </c>
      <c r="AQ170" s="33">
        <v>0.97262952101661782</v>
      </c>
      <c r="AR170" s="33" t="s">
        <v>411</v>
      </c>
      <c r="AS170" s="33">
        <v>0</v>
      </c>
      <c r="AT170" s="35">
        <v>0</v>
      </c>
      <c r="AU170" s="35">
        <v>0</v>
      </c>
      <c r="AV170" s="35">
        <v>191</v>
      </c>
      <c r="AW170" s="35">
        <v>174</v>
      </c>
      <c r="AX170" s="35">
        <v>172</v>
      </c>
      <c r="AY170" s="35">
        <v>102</v>
      </c>
      <c r="AZ170" s="32">
        <v>3.7621621621621623E-2</v>
      </c>
      <c r="BA170" s="32">
        <v>3.718918918918919E-2</v>
      </c>
      <c r="BB170" s="32">
        <v>2.2054054054054049E-2</v>
      </c>
      <c r="BC170" s="32">
        <v>0.19005524861878451</v>
      </c>
      <c r="BD170" s="35">
        <v>0</v>
      </c>
      <c r="BE170" s="35">
        <v>0</v>
      </c>
      <c r="BF170" s="33">
        <v>0.98290598290598286</v>
      </c>
      <c r="BG170" s="33">
        <v>1</v>
      </c>
      <c r="BH170" s="33" t="s">
        <v>412</v>
      </c>
    </row>
    <row r="171" spans="1:60" ht="19.5" customHeight="1">
      <c r="A171" s="36">
        <v>168</v>
      </c>
      <c r="B171" s="31" t="s">
        <v>410</v>
      </c>
      <c r="C171" s="37">
        <v>46201</v>
      </c>
      <c r="D171" s="31" t="s">
        <v>336</v>
      </c>
      <c r="E171" s="31">
        <v>3379</v>
      </c>
      <c r="F171" s="31">
        <v>3078</v>
      </c>
      <c r="G171" s="32">
        <v>0.91092039064812069</v>
      </c>
      <c r="H171" s="31">
        <v>1988</v>
      </c>
      <c r="I171" s="33">
        <v>0.58833974548683043</v>
      </c>
      <c r="J171" s="31">
        <v>3828</v>
      </c>
      <c r="K171" s="31">
        <v>3761</v>
      </c>
      <c r="L171" s="32">
        <v>0.98199999999999998</v>
      </c>
      <c r="M171" s="31">
        <v>21940</v>
      </c>
      <c r="N171" s="31">
        <v>22265</v>
      </c>
      <c r="O171" s="31">
        <v>21702</v>
      </c>
      <c r="P171" s="32">
        <v>0.98915223336371927</v>
      </c>
      <c r="Q171" s="31">
        <v>31</v>
      </c>
      <c r="R171" s="31">
        <v>0</v>
      </c>
      <c r="S171" s="31">
        <v>0</v>
      </c>
      <c r="T171" s="32">
        <v>0</v>
      </c>
      <c r="U171" s="31">
        <v>0</v>
      </c>
      <c r="V171" s="32">
        <v>0</v>
      </c>
      <c r="W171" s="31">
        <v>294</v>
      </c>
      <c r="X171" s="32">
        <v>8.7007990529742521E-2</v>
      </c>
      <c r="Y171" s="31">
        <v>834</v>
      </c>
      <c r="Z171" s="34">
        <v>0.24681858538029</v>
      </c>
      <c r="AA171" s="31">
        <v>69</v>
      </c>
      <c r="AB171" s="32">
        <v>2.0420242675347741E-2</v>
      </c>
      <c r="AC171" s="31">
        <v>738</v>
      </c>
      <c r="AD171" s="32">
        <v>0.2184078129624149</v>
      </c>
      <c r="AE171" s="31">
        <v>164</v>
      </c>
      <c r="AF171" s="32">
        <v>0.22222222222222221</v>
      </c>
      <c r="AG171" s="31">
        <v>703</v>
      </c>
      <c r="AH171" s="32">
        <v>0.95257452574525747</v>
      </c>
      <c r="AI171" s="35">
        <v>779</v>
      </c>
      <c r="AJ171" s="32">
        <v>0.23054158034921571</v>
      </c>
      <c r="AK171" s="35">
        <v>83</v>
      </c>
      <c r="AL171" s="32">
        <v>0.90885750962772782</v>
      </c>
      <c r="AM171" s="35">
        <v>753</v>
      </c>
      <c r="AN171" s="35">
        <v>708</v>
      </c>
      <c r="AO171" s="32">
        <v>0.20952944658182901</v>
      </c>
      <c r="AP171" s="32">
        <v>0.95934959349593496</v>
      </c>
      <c r="AQ171" s="33">
        <v>0.97097242380261251</v>
      </c>
      <c r="AR171" s="33" t="s">
        <v>411</v>
      </c>
      <c r="AS171" s="33">
        <v>0</v>
      </c>
      <c r="AT171" s="35">
        <v>0</v>
      </c>
      <c r="AU171" s="35">
        <v>0</v>
      </c>
      <c r="AV171" s="35">
        <v>199</v>
      </c>
      <c r="AW171" s="35">
        <v>182</v>
      </c>
      <c r="AX171" s="35">
        <v>177</v>
      </c>
      <c r="AY171" s="35">
        <v>65</v>
      </c>
      <c r="AZ171" s="32">
        <v>5.3862089375554888E-2</v>
      </c>
      <c r="BA171" s="32">
        <v>5.2382361645457239E-2</v>
      </c>
      <c r="BB171" s="32">
        <v>1.9236460491269609E-2</v>
      </c>
      <c r="BC171" s="32">
        <v>0.25</v>
      </c>
      <c r="BD171" s="35">
        <v>0</v>
      </c>
      <c r="BE171" s="35">
        <v>1</v>
      </c>
      <c r="BF171" s="33">
        <v>0.95454545454545459</v>
      </c>
      <c r="BG171" s="33">
        <v>1</v>
      </c>
      <c r="BH171" s="33" t="s">
        <v>412</v>
      </c>
    </row>
    <row r="172" spans="1:60" ht="19.5" customHeight="1">
      <c r="A172" s="36">
        <v>169</v>
      </c>
      <c r="B172" s="31" t="s">
        <v>410</v>
      </c>
      <c r="C172" s="37">
        <v>46202</v>
      </c>
      <c r="D172" s="31"/>
      <c r="E172" s="31">
        <v>32</v>
      </c>
      <c r="F172" s="31">
        <v>30</v>
      </c>
      <c r="G172" s="32">
        <v>0.9375</v>
      </c>
      <c r="H172" s="31">
        <v>32</v>
      </c>
      <c r="I172" s="33">
        <v>1</v>
      </c>
      <c r="J172" s="31">
        <v>0</v>
      </c>
      <c r="K172" s="31">
        <v>0</v>
      </c>
      <c r="L172" s="32">
        <v>0</v>
      </c>
      <c r="M172" s="31">
        <v>6</v>
      </c>
      <c r="N172" s="31">
        <v>2</v>
      </c>
      <c r="O172" s="31">
        <v>1</v>
      </c>
      <c r="P172" s="32">
        <v>0.16666666666666671</v>
      </c>
      <c r="Q172" s="31">
        <v>5</v>
      </c>
      <c r="R172" s="31">
        <v>0</v>
      </c>
      <c r="S172" s="31">
        <v>0</v>
      </c>
      <c r="T172" s="32">
        <v>0</v>
      </c>
      <c r="U172" s="31">
        <v>0</v>
      </c>
      <c r="V172" s="32">
        <v>0</v>
      </c>
      <c r="W172" s="31">
        <v>12</v>
      </c>
      <c r="X172" s="32">
        <v>0.375</v>
      </c>
      <c r="Y172" s="31">
        <v>12</v>
      </c>
      <c r="Z172" s="34">
        <v>0.375</v>
      </c>
      <c r="AA172" s="31">
        <v>0</v>
      </c>
      <c r="AB172" s="32">
        <v>0</v>
      </c>
      <c r="AC172" s="31">
        <v>0</v>
      </c>
      <c r="AD172" s="32">
        <v>0</v>
      </c>
      <c r="AE172" s="31">
        <v>0</v>
      </c>
      <c r="AF172" s="32">
        <v>0</v>
      </c>
      <c r="AG172" s="31">
        <v>0</v>
      </c>
      <c r="AH172" s="32">
        <v>0</v>
      </c>
      <c r="AI172" s="35">
        <v>0</v>
      </c>
      <c r="AJ172" s="32">
        <v>0</v>
      </c>
      <c r="AK172" s="35">
        <v>0</v>
      </c>
      <c r="AL172" s="32">
        <v>0</v>
      </c>
      <c r="AM172" s="35">
        <v>0</v>
      </c>
      <c r="AN172" s="35">
        <v>0</v>
      </c>
      <c r="AO172" s="32">
        <v>0</v>
      </c>
      <c r="AP172" s="32">
        <v>0</v>
      </c>
      <c r="AQ172" s="33">
        <v>0</v>
      </c>
      <c r="AR172" s="33" t="s">
        <v>411</v>
      </c>
      <c r="AS172" s="33">
        <v>0</v>
      </c>
      <c r="AT172" s="35">
        <v>0</v>
      </c>
      <c r="AU172" s="35">
        <v>0</v>
      </c>
      <c r="AV172" s="35">
        <v>0</v>
      </c>
      <c r="AW172" s="35">
        <v>0</v>
      </c>
      <c r="AX172" s="35">
        <v>0</v>
      </c>
      <c r="AY172" s="35">
        <v>0</v>
      </c>
      <c r="AZ172" s="32">
        <v>0</v>
      </c>
      <c r="BA172" s="32">
        <v>0</v>
      </c>
      <c r="BB172" s="32">
        <v>0</v>
      </c>
      <c r="BC172" s="32">
        <v>0</v>
      </c>
      <c r="BD172" s="35">
        <v>0</v>
      </c>
      <c r="BE172" s="35">
        <v>1</v>
      </c>
      <c r="BF172" s="33" t="s">
        <v>412</v>
      </c>
      <c r="BG172" s="33" t="s">
        <v>412</v>
      </c>
      <c r="BH172" s="33">
        <v>0.98484848484848486</v>
      </c>
    </row>
    <row r="173" spans="1:60" ht="19.5" customHeight="1">
      <c r="A173" s="36">
        <v>170</v>
      </c>
      <c r="B173" s="31" t="s">
        <v>410</v>
      </c>
      <c r="C173" s="37">
        <v>46202</v>
      </c>
      <c r="D173" s="31" t="s">
        <v>413</v>
      </c>
      <c r="E173" s="31">
        <v>1</v>
      </c>
      <c r="F173" s="31">
        <v>0</v>
      </c>
      <c r="G173" s="32">
        <v>0</v>
      </c>
      <c r="H173" s="31">
        <v>0</v>
      </c>
      <c r="I173" s="33">
        <v>0</v>
      </c>
      <c r="J173" s="31">
        <v>1</v>
      </c>
      <c r="K173" s="31">
        <v>1</v>
      </c>
      <c r="L173" s="32">
        <v>1</v>
      </c>
      <c r="M173" s="31">
        <v>9</v>
      </c>
      <c r="N173" s="31">
        <v>6</v>
      </c>
      <c r="O173" s="31">
        <v>9</v>
      </c>
      <c r="P173" s="32">
        <v>1</v>
      </c>
      <c r="Q173" s="31">
        <v>0</v>
      </c>
      <c r="R173" s="31">
        <v>0</v>
      </c>
      <c r="S173" s="31">
        <v>0</v>
      </c>
      <c r="T173" s="32">
        <v>0</v>
      </c>
      <c r="U173" s="31">
        <v>0</v>
      </c>
      <c r="V173" s="32">
        <v>0</v>
      </c>
      <c r="W173" s="31">
        <v>0</v>
      </c>
      <c r="X173" s="32">
        <v>0</v>
      </c>
      <c r="Y173" s="31">
        <v>0</v>
      </c>
      <c r="Z173" s="34">
        <v>0</v>
      </c>
      <c r="AA173" s="31">
        <v>0</v>
      </c>
      <c r="AB173" s="32">
        <v>0</v>
      </c>
      <c r="AC173" s="31">
        <v>0</v>
      </c>
      <c r="AD173" s="32">
        <v>0</v>
      </c>
      <c r="AE173" s="31">
        <v>0</v>
      </c>
      <c r="AF173" s="32">
        <v>0</v>
      </c>
      <c r="AG173" s="31">
        <v>0</v>
      </c>
      <c r="AH173" s="32">
        <v>0</v>
      </c>
      <c r="AI173" s="35">
        <v>0</v>
      </c>
      <c r="AJ173" s="32">
        <v>0</v>
      </c>
      <c r="AK173" s="35">
        <v>0</v>
      </c>
      <c r="AL173" s="32">
        <v>0</v>
      </c>
      <c r="AM173" s="35">
        <v>0</v>
      </c>
      <c r="AN173" s="35">
        <v>0</v>
      </c>
      <c r="AO173" s="32">
        <v>0</v>
      </c>
      <c r="AP173" s="32">
        <v>0</v>
      </c>
      <c r="AQ173" s="33">
        <v>1</v>
      </c>
      <c r="AR173" s="33" t="s">
        <v>411</v>
      </c>
      <c r="AS173" s="33">
        <v>0</v>
      </c>
      <c r="AT173" s="35">
        <v>0</v>
      </c>
      <c r="AU173" s="35">
        <v>0</v>
      </c>
      <c r="AV173" s="35">
        <v>0</v>
      </c>
      <c r="AW173" s="35">
        <v>0</v>
      </c>
      <c r="AX173" s="35">
        <v>0</v>
      </c>
      <c r="AY173" s="35">
        <v>0</v>
      </c>
      <c r="AZ173" s="32">
        <v>0</v>
      </c>
      <c r="BA173" s="32">
        <v>0</v>
      </c>
      <c r="BB173" s="32">
        <v>0</v>
      </c>
      <c r="BC173" s="32">
        <v>0</v>
      </c>
      <c r="BD173" s="35">
        <v>0</v>
      </c>
      <c r="BE173" s="35">
        <v>0</v>
      </c>
      <c r="BF173" s="33" t="s">
        <v>412</v>
      </c>
      <c r="BG173" s="33" t="s">
        <v>412</v>
      </c>
      <c r="BH173" s="33" t="s">
        <v>412</v>
      </c>
    </row>
    <row r="174" spans="1:60" ht="19.5" customHeight="1">
      <c r="A174" s="36">
        <v>171</v>
      </c>
      <c r="B174" s="31" t="s">
        <v>410</v>
      </c>
      <c r="C174" s="37">
        <v>46202</v>
      </c>
      <c r="D174" s="31" t="s">
        <v>335</v>
      </c>
      <c r="E174" s="31">
        <v>2444</v>
      </c>
      <c r="F174" s="31">
        <v>2000</v>
      </c>
      <c r="G174" s="32">
        <v>0.81833060556464809</v>
      </c>
      <c r="H174" s="31">
        <v>1201</v>
      </c>
      <c r="I174" s="33">
        <v>0.49140752864157122</v>
      </c>
      <c r="J174" s="31">
        <v>2519</v>
      </c>
      <c r="K174" s="31">
        <v>2469</v>
      </c>
      <c r="L174" s="32">
        <v>0.98</v>
      </c>
      <c r="M174" s="31">
        <v>11901</v>
      </c>
      <c r="N174" s="31">
        <v>11829</v>
      </c>
      <c r="O174" s="31">
        <v>11740</v>
      </c>
      <c r="P174" s="32">
        <v>0.9864717250651206</v>
      </c>
      <c r="Q174" s="31">
        <v>20</v>
      </c>
      <c r="R174" s="31">
        <v>0</v>
      </c>
      <c r="S174" s="31">
        <v>0</v>
      </c>
      <c r="T174" s="32">
        <v>0</v>
      </c>
      <c r="U174" s="31">
        <v>0</v>
      </c>
      <c r="V174" s="32">
        <v>0</v>
      </c>
      <c r="W174" s="31">
        <v>336</v>
      </c>
      <c r="X174" s="32">
        <v>0.13747954173486091</v>
      </c>
      <c r="Y174" s="31">
        <v>741</v>
      </c>
      <c r="Z174" s="34">
        <v>0.30319148936170209</v>
      </c>
      <c r="AA174" s="31">
        <v>39</v>
      </c>
      <c r="AB174" s="32">
        <v>1.5957446808510641E-2</v>
      </c>
      <c r="AC174" s="31">
        <v>153</v>
      </c>
      <c r="AD174" s="32">
        <v>6.2602291325695586E-2</v>
      </c>
      <c r="AE174" s="31">
        <v>47</v>
      </c>
      <c r="AF174" s="32">
        <v>0.30718954248366009</v>
      </c>
      <c r="AG174" s="31">
        <v>139</v>
      </c>
      <c r="AH174" s="32">
        <v>0.90849673202614378</v>
      </c>
      <c r="AI174" s="35">
        <v>150</v>
      </c>
      <c r="AJ174" s="32">
        <v>6.137479541734861E-2</v>
      </c>
      <c r="AK174" s="35">
        <v>12</v>
      </c>
      <c r="AL174" s="32">
        <v>0.8666666666666667</v>
      </c>
      <c r="AM174" s="35">
        <v>144</v>
      </c>
      <c r="AN174" s="35">
        <v>130</v>
      </c>
      <c r="AO174" s="32">
        <v>5.3191489361702128E-2</v>
      </c>
      <c r="AP174" s="32">
        <v>0.84967320261437906</v>
      </c>
      <c r="AQ174" s="33">
        <v>0.98104265402843605</v>
      </c>
      <c r="AR174" s="33" t="s">
        <v>411</v>
      </c>
      <c r="AS174" s="33">
        <v>0</v>
      </c>
      <c r="AT174" s="35">
        <v>0</v>
      </c>
      <c r="AU174" s="35">
        <v>0</v>
      </c>
      <c r="AV174" s="35">
        <v>101</v>
      </c>
      <c r="AW174" s="35">
        <v>95</v>
      </c>
      <c r="AX174" s="35">
        <v>95</v>
      </c>
      <c r="AY174" s="35">
        <v>73</v>
      </c>
      <c r="AZ174" s="32">
        <v>3.8870703764320787E-2</v>
      </c>
      <c r="BA174" s="32">
        <v>3.8870703764320787E-2</v>
      </c>
      <c r="BB174" s="32">
        <v>2.9869067103109659E-2</v>
      </c>
      <c r="BC174" s="32">
        <v>0.73076923076923073</v>
      </c>
      <c r="BD174" s="35">
        <v>0</v>
      </c>
      <c r="BE174" s="35">
        <v>0</v>
      </c>
      <c r="BF174" s="33">
        <v>1</v>
      </c>
      <c r="BG174" s="33">
        <v>1</v>
      </c>
      <c r="BH174" s="33" t="s">
        <v>412</v>
      </c>
    </row>
    <row r="175" spans="1:60" ht="19.5" customHeight="1">
      <c r="A175" s="36">
        <v>172</v>
      </c>
      <c r="B175" s="31" t="s">
        <v>410</v>
      </c>
      <c r="C175" s="37">
        <v>46202</v>
      </c>
      <c r="D175" s="31" t="s">
        <v>334</v>
      </c>
      <c r="E175" s="31">
        <v>2238</v>
      </c>
      <c r="F175" s="31">
        <v>1908</v>
      </c>
      <c r="G175" s="32">
        <v>0.85254691689008044</v>
      </c>
      <c r="H175" s="31">
        <v>1048</v>
      </c>
      <c r="I175" s="33">
        <v>0.46827524575513851</v>
      </c>
      <c r="J175" s="31">
        <v>2035</v>
      </c>
      <c r="K175" s="31">
        <v>1976</v>
      </c>
      <c r="L175" s="32">
        <v>0.97099999999999997</v>
      </c>
      <c r="M175" s="31">
        <v>10360</v>
      </c>
      <c r="N175" s="31">
        <v>10294</v>
      </c>
      <c r="O175" s="31">
        <v>10198</v>
      </c>
      <c r="P175" s="32">
        <v>0.98436293436293432</v>
      </c>
      <c r="Q175" s="31">
        <v>21</v>
      </c>
      <c r="R175" s="31">
        <v>0</v>
      </c>
      <c r="S175" s="31">
        <v>0</v>
      </c>
      <c r="T175" s="32">
        <v>0</v>
      </c>
      <c r="U175" s="31">
        <v>0</v>
      </c>
      <c r="V175" s="32">
        <v>0</v>
      </c>
      <c r="W175" s="31">
        <v>318</v>
      </c>
      <c r="X175" s="32">
        <v>0.14209115281501339</v>
      </c>
      <c r="Y175" s="31">
        <v>509</v>
      </c>
      <c r="Z175" s="34">
        <v>0.22743521000893649</v>
      </c>
      <c r="AA175" s="31">
        <v>14</v>
      </c>
      <c r="AB175" s="32">
        <v>6.2555853440571943E-3</v>
      </c>
      <c r="AC175" s="31">
        <v>143</v>
      </c>
      <c r="AD175" s="32">
        <v>6.3896336014298477E-2</v>
      </c>
      <c r="AE175" s="31">
        <v>24</v>
      </c>
      <c r="AF175" s="32">
        <v>0.16783216783216781</v>
      </c>
      <c r="AG175" s="31">
        <v>133</v>
      </c>
      <c r="AH175" s="32">
        <v>0.93006993006993011</v>
      </c>
      <c r="AI175" s="35">
        <v>141</v>
      </c>
      <c r="AJ175" s="32">
        <v>6.3002680965147453E-2</v>
      </c>
      <c r="AK175" s="35">
        <v>9</v>
      </c>
      <c r="AL175" s="32">
        <v>0.77304964539007093</v>
      </c>
      <c r="AM175" s="35">
        <v>131</v>
      </c>
      <c r="AN175" s="35">
        <v>109</v>
      </c>
      <c r="AO175" s="32">
        <v>4.8704200178731012E-2</v>
      </c>
      <c r="AP175" s="32">
        <v>0.76223776223776218</v>
      </c>
      <c r="AQ175" s="33">
        <v>0.9711934156378601</v>
      </c>
      <c r="AR175" s="33" t="s">
        <v>411</v>
      </c>
      <c r="AS175" s="33">
        <v>0</v>
      </c>
      <c r="AT175" s="35">
        <v>0</v>
      </c>
      <c r="AU175" s="35">
        <v>0</v>
      </c>
      <c r="AV175" s="35">
        <v>47</v>
      </c>
      <c r="AW175" s="35">
        <v>41</v>
      </c>
      <c r="AX175" s="35">
        <v>44</v>
      </c>
      <c r="AY175" s="35">
        <v>71</v>
      </c>
      <c r="AZ175" s="32">
        <v>1.8319928507596069E-2</v>
      </c>
      <c r="BA175" s="32">
        <v>1.9660411081322611E-2</v>
      </c>
      <c r="BB175" s="32">
        <v>3.1724754244861493E-2</v>
      </c>
      <c r="BC175" s="32">
        <v>0.40366972477064222</v>
      </c>
      <c r="BD175" s="35">
        <v>0</v>
      </c>
      <c r="BE175" s="35">
        <v>0</v>
      </c>
      <c r="BF175" s="33">
        <v>1</v>
      </c>
      <c r="BG175" s="33">
        <v>1</v>
      </c>
      <c r="BH175" s="33" t="s">
        <v>412</v>
      </c>
    </row>
    <row r="176" spans="1:60" ht="19.5" customHeight="1">
      <c r="A176" s="36">
        <v>173</v>
      </c>
      <c r="B176" s="31" t="s">
        <v>410</v>
      </c>
      <c r="C176" s="37">
        <v>46202</v>
      </c>
      <c r="D176" s="31" t="s">
        <v>337</v>
      </c>
      <c r="E176" s="31">
        <v>4145</v>
      </c>
      <c r="F176" s="31">
        <v>3694</v>
      </c>
      <c r="G176" s="32">
        <v>0.8911942098914355</v>
      </c>
      <c r="H176" s="31">
        <v>1185</v>
      </c>
      <c r="I176" s="33">
        <v>0.28588661037394453</v>
      </c>
      <c r="J176" s="31">
        <v>4892</v>
      </c>
      <c r="K176" s="31">
        <v>4727</v>
      </c>
      <c r="L176" s="32">
        <v>0.96599999999999997</v>
      </c>
      <c r="M176" s="31">
        <v>26306</v>
      </c>
      <c r="N176" s="31">
        <v>25434</v>
      </c>
      <c r="O176" s="31">
        <v>25897</v>
      </c>
      <c r="P176" s="32">
        <v>0.98445221622443546</v>
      </c>
      <c r="Q176" s="31">
        <v>28</v>
      </c>
      <c r="R176" s="31">
        <v>0</v>
      </c>
      <c r="S176" s="31">
        <v>0</v>
      </c>
      <c r="T176" s="32">
        <v>0</v>
      </c>
      <c r="U176" s="31">
        <v>0</v>
      </c>
      <c r="V176" s="32">
        <v>0</v>
      </c>
      <c r="W176" s="31">
        <v>697</v>
      </c>
      <c r="X176" s="32">
        <v>0.16815440289505429</v>
      </c>
      <c r="Y176" s="31">
        <v>1591</v>
      </c>
      <c r="Z176" s="34">
        <v>0.3838359469240048</v>
      </c>
      <c r="AA176" s="31">
        <v>43</v>
      </c>
      <c r="AB176" s="32">
        <v>1.0373944511459589E-2</v>
      </c>
      <c r="AC176" s="31">
        <v>524</v>
      </c>
      <c r="AD176" s="32">
        <v>0.12641737032569361</v>
      </c>
      <c r="AE176" s="31">
        <v>108</v>
      </c>
      <c r="AF176" s="32">
        <v>0.20610687022900759</v>
      </c>
      <c r="AG176" s="31">
        <v>490</v>
      </c>
      <c r="AH176" s="32">
        <v>0.93511450381679384</v>
      </c>
      <c r="AI176" s="35">
        <v>524</v>
      </c>
      <c r="AJ176" s="32">
        <v>0.12641737032569361</v>
      </c>
      <c r="AK176" s="35">
        <v>45</v>
      </c>
      <c r="AL176" s="32">
        <v>0.90267175572519087</v>
      </c>
      <c r="AM176" s="35">
        <v>515</v>
      </c>
      <c r="AN176" s="35">
        <v>473</v>
      </c>
      <c r="AO176" s="32">
        <v>0.11411338962605549</v>
      </c>
      <c r="AP176" s="32">
        <v>0.90267175572519087</v>
      </c>
      <c r="AQ176" s="33">
        <v>0.97137014314928427</v>
      </c>
      <c r="AR176" s="33" t="s">
        <v>411</v>
      </c>
      <c r="AS176" s="33">
        <v>0</v>
      </c>
      <c r="AT176" s="35">
        <v>0</v>
      </c>
      <c r="AU176" s="35">
        <v>0</v>
      </c>
      <c r="AV176" s="35">
        <v>122</v>
      </c>
      <c r="AW176" s="35">
        <v>88</v>
      </c>
      <c r="AX176" s="35">
        <v>88</v>
      </c>
      <c r="AY176" s="35">
        <v>204</v>
      </c>
      <c r="AZ176" s="32">
        <v>2.123039806996381E-2</v>
      </c>
      <c r="BA176" s="32">
        <v>2.123039806996381E-2</v>
      </c>
      <c r="BB176" s="32">
        <v>4.9215922798552469E-2</v>
      </c>
      <c r="BC176" s="32">
        <v>0.186046511627907</v>
      </c>
      <c r="BD176" s="35">
        <v>0</v>
      </c>
      <c r="BE176" s="35">
        <v>1</v>
      </c>
      <c r="BF176" s="33">
        <v>0.96875</v>
      </c>
      <c r="BG176" s="33">
        <v>1</v>
      </c>
      <c r="BH176" s="33" t="s">
        <v>412</v>
      </c>
    </row>
    <row r="177" spans="1:60" ht="19.5" customHeight="1">
      <c r="A177" s="36">
        <v>174</v>
      </c>
      <c r="B177" s="31" t="s">
        <v>410</v>
      </c>
      <c r="C177" s="37">
        <v>46202</v>
      </c>
      <c r="D177" s="31" t="s">
        <v>336</v>
      </c>
      <c r="E177" s="31">
        <v>3168</v>
      </c>
      <c r="F177" s="31">
        <v>2823</v>
      </c>
      <c r="G177" s="32">
        <v>0.89109848484848486</v>
      </c>
      <c r="H177" s="31">
        <v>2111</v>
      </c>
      <c r="I177" s="33">
        <v>0.66635101010101006</v>
      </c>
      <c r="J177" s="31">
        <v>4278</v>
      </c>
      <c r="K177" s="31">
        <v>4195</v>
      </c>
      <c r="L177" s="32">
        <v>0.98099999999999998</v>
      </c>
      <c r="M177" s="31">
        <v>20961</v>
      </c>
      <c r="N177" s="31">
        <v>21046</v>
      </c>
      <c r="O177" s="31">
        <v>20650</v>
      </c>
      <c r="P177" s="32">
        <v>0.98516292161633512</v>
      </c>
      <c r="Q177" s="31">
        <v>21</v>
      </c>
      <c r="R177" s="31">
        <v>0</v>
      </c>
      <c r="S177" s="31">
        <v>0</v>
      </c>
      <c r="T177" s="32">
        <v>0</v>
      </c>
      <c r="U177" s="31">
        <v>0</v>
      </c>
      <c r="V177" s="32">
        <v>0</v>
      </c>
      <c r="W177" s="31">
        <v>416</v>
      </c>
      <c r="X177" s="32">
        <v>0.1313131313131313</v>
      </c>
      <c r="Y177" s="31">
        <v>798</v>
      </c>
      <c r="Z177" s="34">
        <v>0.25189393939393939</v>
      </c>
      <c r="AA177" s="31">
        <v>87</v>
      </c>
      <c r="AB177" s="32">
        <v>2.7462121212121209E-2</v>
      </c>
      <c r="AC177" s="31">
        <v>481</v>
      </c>
      <c r="AD177" s="32">
        <v>0.15183080808080809</v>
      </c>
      <c r="AE177" s="31">
        <v>166</v>
      </c>
      <c r="AF177" s="32">
        <v>0.34511434511434508</v>
      </c>
      <c r="AG177" s="31">
        <v>422</v>
      </c>
      <c r="AH177" s="32">
        <v>0.87733887733887739</v>
      </c>
      <c r="AI177" s="35">
        <v>513</v>
      </c>
      <c r="AJ177" s="32">
        <v>0.1619318181818182</v>
      </c>
      <c r="AK177" s="35">
        <v>90</v>
      </c>
      <c r="AL177" s="32">
        <v>0.93567251461988299</v>
      </c>
      <c r="AM177" s="35">
        <v>507</v>
      </c>
      <c r="AN177" s="35">
        <v>480</v>
      </c>
      <c r="AO177" s="32">
        <v>0.15151515151515149</v>
      </c>
      <c r="AP177" s="32">
        <v>0.99792099792099798</v>
      </c>
      <c r="AQ177" s="33">
        <v>0.95868945868945865</v>
      </c>
      <c r="AR177" s="33" t="s">
        <v>411</v>
      </c>
      <c r="AS177" s="33">
        <v>0</v>
      </c>
      <c r="AT177" s="35">
        <v>0</v>
      </c>
      <c r="AU177" s="35">
        <v>0</v>
      </c>
      <c r="AV177" s="35">
        <v>149</v>
      </c>
      <c r="AW177" s="35">
        <v>124</v>
      </c>
      <c r="AX177" s="35">
        <v>119</v>
      </c>
      <c r="AY177" s="35">
        <v>130</v>
      </c>
      <c r="AZ177" s="32">
        <v>3.9141414141414137E-2</v>
      </c>
      <c r="BA177" s="32">
        <v>3.7563131313131312E-2</v>
      </c>
      <c r="BB177" s="32">
        <v>4.1035353535353543E-2</v>
      </c>
      <c r="BC177" s="32">
        <v>0.2479166666666667</v>
      </c>
      <c r="BD177" s="35">
        <v>0</v>
      </c>
      <c r="BE177" s="35">
        <v>0</v>
      </c>
      <c r="BF177" s="33">
        <v>0.96969696969696972</v>
      </c>
      <c r="BG177" s="33">
        <v>1</v>
      </c>
      <c r="BH177" s="33" t="s">
        <v>412</v>
      </c>
    </row>
    <row r="178" spans="1:60" ht="19.5" customHeight="1">
      <c r="A178" s="36">
        <v>175</v>
      </c>
      <c r="B178" s="31" t="s">
        <v>410</v>
      </c>
      <c r="C178" s="37">
        <v>46203</v>
      </c>
      <c r="D178" s="31"/>
      <c r="E178" s="31">
        <v>42</v>
      </c>
      <c r="F178" s="31">
        <v>41</v>
      </c>
      <c r="G178" s="32">
        <v>0.97619047619047616</v>
      </c>
      <c r="H178" s="31">
        <v>42</v>
      </c>
      <c r="I178" s="33">
        <v>1</v>
      </c>
      <c r="J178" s="31">
        <v>1</v>
      </c>
      <c r="K178" s="31">
        <v>1</v>
      </c>
      <c r="L178" s="32">
        <v>1</v>
      </c>
      <c r="M178" s="31">
        <v>5</v>
      </c>
      <c r="N178" s="31">
        <v>3</v>
      </c>
      <c r="O178" s="31">
        <v>4</v>
      </c>
      <c r="P178" s="32">
        <v>0.8</v>
      </c>
      <c r="Q178" s="31">
        <v>1</v>
      </c>
      <c r="R178" s="31">
        <v>0</v>
      </c>
      <c r="S178" s="31">
        <v>0</v>
      </c>
      <c r="T178" s="32">
        <v>0</v>
      </c>
      <c r="U178" s="31">
        <v>0</v>
      </c>
      <c r="V178" s="32">
        <v>0</v>
      </c>
      <c r="W178" s="31">
        <v>8</v>
      </c>
      <c r="X178" s="32">
        <v>0.19047619047619049</v>
      </c>
      <c r="Y178" s="31">
        <v>30</v>
      </c>
      <c r="Z178" s="34">
        <v>0.7142857142857143</v>
      </c>
      <c r="AA178" s="31">
        <v>0</v>
      </c>
      <c r="AB178" s="32">
        <v>0</v>
      </c>
      <c r="AC178" s="31">
        <v>0</v>
      </c>
      <c r="AD178" s="32">
        <v>0</v>
      </c>
      <c r="AE178" s="31">
        <v>0</v>
      </c>
      <c r="AF178" s="32">
        <v>0</v>
      </c>
      <c r="AG178" s="31">
        <v>0</v>
      </c>
      <c r="AH178" s="32">
        <v>0</v>
      </c>
      <c r="AI178" s="35">
        <v>0</v>
      </c>
      <c r="AJ178" s="32">
        <v>0</v>
      </c>
      <c r="AK178" s="35">
        <v>0</v>
      </c>
      <c r="AL178" s="32">
        <v>0</v>
      </c>
      <c r="AM178" s="35">
        <v>0</v>
      </c>
      <c r="AN178" s="35">
        <v>0</v>
      </c>
      <c r="AO178" s="32">
        <v>0</v>
      </c>
      <c r="AP178" s="32">
        <v>0</v>
      </c>
      <c r="AQ178" s="33">
        <v>1</v>
      </c>
      <c r="AR178" s="33" t="s">
        <v>411</v>
      </c>
      <c r="AS178" s="33">
        <v>0</v>
      </c>
      <c r="AT178" s="35">
        <v>0</v>
      </c>
      <c r="AU178" s="35">
        <v>0</v>
      </c>
      <c r="AV178" s="35">
        <v>0</v>
      </c>
      <c r="AW178" s="35">
        <v>0</v>
      </c>
      <c r="AX178" s="35">
        <v>0</v>
      </c>
      <c r="AY178" s="35">
        <v>0</v>
      </c>
      <c r="AZ178" s="32">
        <v>0</v>
      </c>
      <c r="BA178" s="32">
        <v>0</v>
      </c>
      <c r="BB178" s="32">
        <v>0</v>
      </c>
      <c r="BC178" s="32">
        <v>0</v>
      </c>
      <c r="BD178" s="35">
        <v>0</v>
      </c>
      <c r="BE178" s="35">
        <v>1</v>
      </c>
      <c r="BF178" s="33" t="s">
        <v>412</v>
      </c>
      <c r="BG178" s="33" t="s">
        <v>412</v>
      </c>
      <c r="BH178" s="33">
        <v>0.97692307692307689</v>
      </c>
    </row>
    <row r="179" spans="1:60" ht="19.5" customHeight="1">
      <c r="A179" s="36">
        <v>176</v>
      </c>
      <c r="B179" s="31" t="s">
        <v>410</v>
      </c>
      <c r="C179" s="37">
        <v>46203</v>
      </c>
      <c r="D179" s="31" t="s">
        <v>413</v>
      </c>
      <c r="E179" s="31">
        <v>0</v>
      </c>
      <c r="F179" s="31">
        <v>0</v>
      </c>
      <c r="G179" s="32">
        <v>0</v>
      </c>
      <c r="H179" s="31">
        <v>0</v>
      </c>
      <c r="I179" s="33">
        <v>0</v>
      </c>
      <c r="J179" s="31">
        <v>2</v>
      </c>
      <c r="K179" s="31">
        <v>2</v>
      </c>
      <c r="L179" s="32">
        <v>1</v>
      </c>
      <c r="M179" s="31">
        <v>5</v>
      </c>
      <c r="N179" s="31">
        <v>4</v>
      </c>
      <c r="O179" s="31">
        <v>5</v>
      </c>
      <c r="P179" s="32">
        <v>1</v>
      </c>
      <c r="Q179" s="31">
        <v>0</v>
      </c>
      <c r="R179" s="31">
        <v>0</v>
      </c>
      <c r="S179" s="31">
        <v>0</v>
      </c>
      <c r="T179" s="32">
        <v>0</v>
      </c>
      <c r="U179" s="31">
        <v>0</v>
      </c>
      <c r="V179" s="32">
        <v>0</v>
      </c>
      <c r="W179" s="31">
        <v>0</v>
      </c>
      <c r="X179" s="32">
        <v>0</v>
      </c>
      <c r="Y179" s="31">
        <v>0</v>
      </c>
      <c r="Z179" s="34">
        <v>0</v>
      </c>
      <c r="AA179" s="31">
        <v>0</v>
      </c>
      <c r="AB179" s="32">
        <v>0</v>
      </c>
      <c r="AC179" s="31">
        <v>0</v>
      </c>
      <c r="AD179" s="32">
        <v>0</v>
      </c>
      <c r="AE179" s="31">
        <v>1</v>
      </c>
      <c r="AF179" s="32">
        <v>0</v>
      </c>
      <c r="AG179" s="31">
        <v>0</v>
      </c>
      <c r="AH179" s="32">
        <v>0</v>
      </c>
      <c r="AI179" s="35">
        <v>0</v>
      </c>
      <c r="AJ179" s="32">
        <v>0</v>
      </c>
      <c r="AK179" s="35">
        <v>0</v>
      </c>
      <c r="AL179" s="32">
        <v>0</v>
      </c>
      <c r="AM179" s="35">
        <v>0</v>
      </c>
      <c r="AN179" s="35">
        <v>0</v>
      </c>
      <c r="AO179" s="32">
        <v>0</v>
      </c>
      <c r="AP179" s="32">
        <v>0</v>
      </c>
      <c r="AQ179" s="33"/>
      <c r="AR179" s="33" t="s">
        <v>411</v>
      </c>
      <c r="AS179" s="33" t="s">
        <v>411</v>
      </c>
      <c r="AT179" s="35">
        <v>0</v>
      </c>
      <c r="AU179" s="35">
        <v>0</v>
      </c>
      <c r="AV179" s="35">
        <v>0</v>
      </c>
      <c r="AW179" s="35">
        <v>0</v>
      </c>
      <c r="AX179" s="35">
        <v>0</v>
      </c>
      <c r="AY179" s="35">
        <v>0</v>
      </c>
      <c r="AZ179" s="32">
        <v>0</v>
      </c>
      <c r="BA179" s="32">
        <v>0</v>
      </c>
      <c r="BB179" s="32">
        <v>0</v>
      </c>
      <c r="BC179" s="32">
        <v>0</v>
      </c>
      <c r="BD179" s="35">
        <v>0</v>
      </c>
      <c r="BE179" s="35">
        <v>0</v>
      </c>
      <c r="BF179" s="33" t="s">
        <v>412</v>
      </c>
      <c r="BG179" s="33" t="s">
        <v>412</v>
      </c>
      <c r="BH179" s="33" t="s">
        <v>412</v>
      </c>
    </row>
    <row r="180" spans="1:60" ht="19.5" customHeight="1">
      <c r="A180" s="36">
        <v>177</v>
      </c>
      <c r="B180" s="31" t="s">
        <v>410</v>
      </c>
      <c r="C180" s="37">
        <v>46203</v>
      </c>
      <c r="D180" s="31" t="s">
        <v>335</v>
      </c>
      <c r="E180" s="31">
        <v>2066</v>
      </c>
      <c r="F180" s="31">
        <v>1859</v>
      </c>
      <c r="G180" s="32">
        <v>0.89980638915779287</v>
      </c>
      <c r="H180" s="31">
        <v>930</v>
      </c>
      <c r="I180" s="33">
        <v>0.45014520813165543</v>
      </c>
      <c r="J180" s="31">
        <v>2264</v>
      </c>
      <c r="K180" s="31">
        <v>2210</v>
      </c>
      <c r="L180" s="32">
        <v>0.97599999999999998</v>
      </c>
      <c r="M180" s="31">
        <v>11520</v>
      </c>
      <c r="N180" s="31">
        <v>11189</v>
      </c>
      <c r="O180" s="31">
        <v>11356</v>
      </c>
      <c r="P180" s="32">
        <v>0.98576388888888888</v>
      </c>
      <c r="Q180" s="31">
        <v>32</v>
      </c>
      <c r="R180" s="31">
        <v>0</v>
      </c>
      <c r="S180" s="31">
        <v>0</v>
      </c>
      <c r="T180" s="32">
        <v>0</v>
      </c>
      <c r="U180" s="31">
        <v>0</v>
      </c>
      <c r="V180" s="32">
        <v>0</v>
      </c>
      <c r="W180" s="31">
        <v>244</v>
      </c>
      <c r="X180" s="32">
        <v>0.11810261374636979</v>
      </c>
      <c r="Y180" s="31">
        <v>694</v>
      </c>
      <c r="Z180" s="34">
        <v>0.33591481122942879</v>
      </c>
      <c r="AA180" s="31">
        <v>40</v>
      </c>
      <c r="AB180" s="32">
        <v>1.9361084220716359E-2</v>
      </c>
      <c r="AC180" s="31">
        <v>125</v>
      </c>
      <c r="AD180" s="32">
        <v>6.0503388189738633E-2</v>
      </c>
      <c r="AE180" s="31">
        <v>18</v>
      </c>
      <c r="AF180" s="32">
        <v>0.14399999999999999</v>
      </c>
      <c r="AG180" s="31">
        <v>108</v>
      </c>
      <c r="AH180" s="32">
        <v>0.86399999999999999</v>
      </c>
      <c r="AI180" s="35">
        <v>119</v>
      </c>
      <c r="AJ180" s="32">
        <v>5.7599225556631169E-2</v>
      </c>
      <c r="AK180" s="35">
        <v>3</v>
      </c>
      <c r="AL180" s="32">
        <v>0.79831932773109249</v>
      </c>
      <c r="AM180" s="35">
        <v>106</v>
      </c>
      <c r="AN180" s="35">
        <v>95</v>
      </c>
      <c r="AO180" s="32">
        <v>4.5982575024201347E-2</v>
      </c>
      <c r="AP180" s="32">
        <v>0.76</v>
      </c>
      <c r="AQ180" s="33">
        <v>0.97037037037037033</v>
      </c>
      <c r="AR180" s="33" t="s">
        <v>411</v>
      </c>
      <c r="AS180" s="33">
        <v>0</v>
      </c>
      <c r="AT180" s="35">
        <v>0</v>
      </c>
      <c r="AU180" s="35">
        <v>0</v>
      </c>
      <c r="AV180" s="35">
        <v>67</v>
      </c>
      <c r="AW180" s="35">
        <v>62</v>
      </c>
      <c r="AX180" s="35">
        <v>68</v>
      </c>
      <c r="AY180" s="35">
        <v>93</v>
      </c>
      <c r="AZ180" s="32">
        <v>3.000968054211036E-2</v>
      </c>
      <c r="BA180" s="32">
        <v>3.2913843175217811E-2</v>
      </c>
      <c r="BB180" s="32">
        <v>4.5014520813165537E-2</v>
      </c>
      <c r="BC180" s="32">
        <v>0.71578947368421053</v>
      </c>
      <c r="BD180" s="35">
        <v>0</v>
      </c>
      <c r="BE180" s="35">
        <v>0</v>
      </c>
      <c r="BF180" s="33">
        <v>0.91666666666666663</v>
      </c>
      <c r="BG180" s="33">
        <v>1</v>
      </c>
      <c r="BH180" s="33" t="s">
        <v>412</v>
      </c>
    </row>
    <row r="181" spans="1:60" ht="19.5" customHeight="1">
      <c r="A181" s="36">
        <v>178</v>
      </c>
      <c r="B181" s="31" t="s">
        <v>410</v>
      </c>
      <c r="C181" s="37">
        <v>46203</v>
      </c>
      <c r="D181" s="31" t="s">
        <v>334</v>
      </c>
      <c r="E181" s="31">
        <v>2148</v>
      </c>
      <c r="F181" s="31">
        <v>1827</v>
      </c>
      <c r="G181" s="32">
        <v>0.8505586592178771</v>
      </c>
      <c r="H181" s="31">
        <v>1034</v>
      </c>
      <c r="I181" s="33">
        <v>0.48137802607076352</v>
      </c>
      <c r="J181" s="31">
        <v>2222</v>
      </c>
      <c r="K181" s="31">
        <v>2166</v>
      </c>
      <c r="L181" s="32">
        <v>0.97499999999999998</v>
      </c>
      <c r="M181" s="31">
        <v>10060</v>
      </c>
      <c r="N181" s="31">
        <v>9534</v>
      </c>
      <c r="O181" s="31">
        <v>9919</v>
      </c>
      <c r="P181" s="32">
        <v>0.98598409542743537</v>
      </c>
      <c r="Q181" s="31">
        <v>30</v>
      </c>
      <c r="R181" s="31">
        <v>0</v>
      </c>
      <c r="S181" s="31">
        <v>0</v>
      </c>
      <c r="T181" s="32">
        <v>0</v>
      </c>
      <c r="U181" s="31">
        <v>0</v>
      </c>
      <c r="V181" s="32">
        <v>0</v>
      </c>
      <c r="W181" s="31">
        <v>215</v>
      </c>
      <c r="X181" s="32">
        <v>0.1000931098696462</v>
      </c>
      <c r="Y181" s="31">
        <v>632</v>
      </c>
      <c r="Z181" s="34">
        <v>0.29422718808193671</v>
      </c>
      <c r="AA181" s="31">
        <v>17</v>
      </c>
      <c r="AB181" s="32">
        <v>7.9143389199255124E-3</v>
      </c>
      <c r="AC181" s="31">
        <v>126</v>
      </c>
      <c r="AD181" s="32">
        <v>5.8659217877094973E-2</v>
      </c>
      <c r="AE181" s="31">
        <v>33</v>
      </c>
      <c r="AF181" s="32">
        <v>0.26190476190476192</v>
      </c>
      <c r="AG181" s="31">
        <v>117</v>
      </c>
      <c r="AH181" s="32">
        <v>0.9285714285714286</v>
      </c>
      <c r="AI181" s="35">
        <v>135</v>
      </c>
      <c r="AJ181" s="32">
        <v>6.2849162011173187E-2</v>
      </c>
      <c r="AK181" s="35">
        <v>8</v>
      </c>
      <c r="AL181" s="32">
        <v>0.78518518518518521</v>
      </c>
      <c r="AM181" s="35">
        <v>125</v>
      </c>
      <c r="AN181" s="35">
        <v>106</v>
      </c>
      <c r="AO181" s="32">
        <v>4.9348230912476733E-2</v>
      </c>
      <c r="AP181" s="32">
        <v>0.84126984126984128</v>
      </c>
      <c r="AQ181" s="33">
        <v>0.95967741935483875</v>
      </c>
      <c r="AR181" s="33" t="s">
        <v>411</v>
      </c>
      <c r="AS181" s="33">
        <v>0</v>
      </c>
      <c r="AT181" s="35">
        <v>0</v>
      </c>
      <c r="AU181" s="35">
        <v>0</v>
      </c>
      <c r="AV181" s="35">
        <v>64</v>
      </c>
      <c r="AW181" s="35">
        <v>56</v>
      </c>
      <c r="AX181" s="35">
        <v>54</v>
      </c>
      <c r="AY181" s="35">
        <v>185</v>
      </c>
      <c r="AZ181" s="32">
        <v>2.6070763500931099E-2</v>
      </c>
      <c r="BA181" s="32">
        <v>2.5139664804469272E-2</v>
      </c>
      <c r="BB181" s="32">
        <v>8.6126629422718814E-2</v>
      </c>
      <c r="BC181" s="32">
        <v>0.50943396226415094</v>
      </c>
      <c r="BD181" s="35">
        <v>0</v>
      </c>
      <c r="BE181" s="35">
        <v>1</v>
      </c>
      <c r="BF181" s="33">
        <v>0.875</v>
      </c>
      <c r="BG181" s="33">
        <v>1</v>
      </c>
      <c r="BH181" s="33" t="s">
        <v>412</v>
      </c>
    </row>
    <row r="182" spans="1:60" ht="19.5" customHeight="1">
      <c r="A182" s="36">
        <v>179</v>
      </c>
      <c r="B182" s="31" t="s">
        <v>410</v>
      </c>
      <c r="C182" s="37">
        <v>46203</v>
      </c>
      <c r="D182" s="31" t="s">
        <v>337</v>
      </c>
      <c r="E182" s="31">
        <v>3977</v>
      </c>
      <c r="F182" s="31">
        <v>3553</v>
      </c>
      <c r="G182" s="32">
        <v>0.89338697510686449</v>
      </c>
      <c r="H182" s="31">
        <v>1126</v>
      </c>
      <c r="I182" s="33">
        <v>0.28312798591903438</v>
      </c>
      <c r="J182" s="31">
        <v>4304</v>
      </c>
      <c r="K182" s="31">
        <v>4154</v>
      </c>
      <c r="L182" s="32">
        <v>0.96499999999999997</v>
      </c>
      <c r="M182" s="31">
        <v>23977</v>
      </c>
      <c r="N182" s="31">
        <v>23142</v>
      </c>
      <c r="O182" s="31">
        <v>23576</v>
      </c>
      <c r="P182" s="32">
        <v>0.98327563915418947</v>
      </c>
      <c r="Q182" s="31">
        <v>60</v>
      </c>
      <c r="R182" s="31">
        <v>0</v>
      </c>
      <c r="S182" s="31">
        <v>0</v>
      </c>
      <c r="T182" s="32">
        <v>0</v>
      </c>
      <c r="U182" s="31">
        <v>0</v>
      </c>
      <c r="V182" s="32">
        <v>0</v>
      </c>
      <c r="W182" s="31">
        <v>591</v>
      </c>
      <c r="X182" s="32">
        <v>0.148604475735479</v>
      </c>
      <c r="Y182" s="31">
        <v>1740</v>
      </c>
      <c r="Z182" s="34">
        <v>0.43751571536333922</v>
      </c>
      <c r="AA182" s="31">
        <v>53</v>
      </c>
      <c r="AB182" s="32">
        <v>1.3326628111641941E-2</v>
      </c>
      <c r="AC182" s="31">
        <v>594</v>
      </c>
      <c r="AD182" s="32">
        <v>0.14935881317576061</v>
      </c>
      <c r="AE182" s="31">
        <v>111</v>
      </c>
      <c r="AF182" s="32">
        <v>0.18686868686868691</v>
      </c>
      <c r="AG182" s="31">
        <v>532</v>
      </c>
      <c r="AH182" s="32">
        <v>0.89562289562289565</v>
      </c>
      <c r="AI182" s="35">
        <v>634</v>
      </c>
      <c r="AJ182" s="32">
        <v>0.15941664571284889</v>
      </c>
      <c r="AK182" s="35">
        <v>21</v>
      </c>
      <c r="AL182" s="32">
        <v>0.83438485804416407</v>
      </c>
      <c r="AM182" s="35">
        <v>593</v>
      </c>
      <c r="AN182" s="35">
        <v>529</v>
      </c>
      <c r="AO182" s="32">
        <v>0.13301483530299221</v>
      </c>
      <c r="AP182" s="32">
        <v>0.89057239057239057</v>
      </c>
      <c r="AQ182" s="33">
        <v>0.97595190380761521</v>
      </c>
      <c r="AR182" s="33" t="s">
        <v>411</v>
      </c>
      <c r="AS182" s="33">
        <v>0</v>
      </c>
      <c r="AT182" s="35">
        <v>0</v>
      </c>
      <c r="AU182" s="35">
        <v>0</v>
      </c>
      <c r="AV182" s="35">
        <v>194</v>
      </c>
      <c r="AW182" s="35">
        <v>151</v>
      </c>
      <c r="AX182" s="35">
        <v>159</v>
      </c>
      <c r="AY182" s="35">
        <v>326</v>
      </c>
      <c r="AZ182" s="32">
        <v>3.7968317827508168E-2</v>
      </c>
      <c r="BA182" s="32">
        <v>3.9979884334925823E-2</v>
      </c>
      <c r="BB182" s="32">
        <v>8.1971335177269303E-2</v>
      </c>
      <c r="BC182" s="32">
        <v>0.30056710775047257</v>
      </c>
      <c r="BD182" s="35">
        <v>0</v>
      </c>
      <c r="BE182" s="35">
        <v>0</v>
      </c>
      <c r="BF182" s="33">
        <v>1</v>
      </c>
      <c r="BG182" s="33">
        <v>1</v>
      </c>
      <c r="BH182" s="33" t="s">
        <v>412</v>
      </c>
    </row>
    <row r="183" spans="1:60" ht="19.5" customHeight="1">
      <c r="A183" s="36">
        <v>180</v>
      </c>
      <c r="B183" s="31" t="s">
        <v>410</v>
      </c>
      <c r="C183" s="37">
        <v>46203</v>
      </c>
      <c r="D183" s="31" t="s">
        <v>336</v>
      </c>
      <c r="E183" s="31">
        <v>2948</v>
      </c>
      <c r="F183" s="31">
        <v>2646</v>
      </c>
      <c r="G183" s="32">
        <v>0.8975576662143826</v>
      </c>
      <c r="H183" s="31">
        <v>1689</v>
      </c>
      <c r="I183" s="33">
        <v>0.57293080054274081</v>
      </c>
      <c r="J183" s="31">
        <v>3687</v>
      </c>
      <c r="K183" s="31">
        <v>3599</v>
      </c>
      <c r="L183" s="32">
        <v>0.97599999999999998</v>
      </c>
      <c r="M183" s="31">
        <v>20034</v>
      </c>
      <c r="N183" s="31">
        <v>19309</v>
      </c>
      <c r="O183" s="31">
        <v>19766</v>
      </c>
      <c r="P183" s="32">
        <v>0.9866227413397225</v>
      </c>
      <c r="Q183" s="31">
        <v>29</v>
      </c>
      <c r="R183" s="31">
        <v>0</v>
      </c>
      <c r="S183" s="31">
        <v>0</v>
      </c>
      <c r="T183" s="32">
        <v>0</v>
      </c>
      <c r="U183" s="31">
        <v>0</v>
      </c>
      <c r="V183" s="32">
        <v>0</v>
      </c>
      <c r="W183" s="31">
        <v>411</v>
      </c>
      <c r="X183" s="32">
        <v>0.1394165535956581</v>
      </c>
      <c r="Y183" s="31">
        <v>911</v>
      </c>
      <c r="Z183" s="34">
        <v>0.30902306648575312</v>
      </c>
      <c r="AA183" s="31">
        <v>58</v>
      </c>
      <c r="AB183" s="32">
        <v>1.9674355495251018E-2</v>
      </c>
      <c r="AC183" s="31">
        <v>565</v>
      </c>
      <c r="AD183" s="32">
        <v>0.19165535956580729</v>
      </c>
      <c r="AE183" s="31">
        <v>133</v>
      </c>
      <c r="AF183" s="32">
        <v>0.23539823008849561</v>
      </c>
      <c r="AG183" s="31">
        <v>504</v>
      </c>
      <c r="AH183" s="32">
        <v>0.89203539823008848</v>
      </c>
      <c r="AI183" s="35">
        <v>625</v>
      </c>
      <c r="AJ183" s="32">
        <v>0.2120081411126187</v>
      </c>
      <c r="AK183" s="35">
        <v>95</v>
      </c>
      <c r="AL183" s="32">
        <v>0.92159999999999997</v>
      </c>
      <c r="AM183" s="35">
        <v>615</v>
      </c>
      <c r="AN183" s="35">
        <v>576</v>
      </c>
      <c r="AO183" s="32">
        <v>0.19538670284938939</v>
      </c>
      <c r="AP183" s="32">
        <v>1.019469026548673</v>
      </c>
      <c r="AQ183" s="33">
        <v>0.95901639344262291</v>
      </c>
      <c r="AR183" s="33" t="s">
        <v>411</v>
      </c>
      <c r="AS183" s="33">
        <v>0</v>
      </c>
      <c r="AT183" s="35">
        <v>0</v>
      </c>
      <c r="AU183" s="35">
        <v>0</v>
      </c>
      <c r="AV183" s="35">
        <v>209</v>
      </c>
      <c r="AW183" s="35">
        <v>183</v>
      </c>
      <c r="AX183" s="35">
        <v>187</v>
      </c>
      <c r="AY183" s="35">
        <v>297</v>
      </c>
      <c r="AZ183" s="32">
        <v>6.2075983717774758E-2</v>
      </c>
      <c r="BA183" s="32">
        <v>6.3432835820895525E-2</v>
      </c>
      <c r="BB183" s="32">
        <v>0.1007462686567164</v>
      </c>
      <c r="BC183" s="32">
        <v>0.32465277777777779</v>
      </c>
      <c r="BD183" s="35">
        <v>0</v>
      </c>
      <c r="BE183" s="35">
        <v>0</v>
      </c>
      <c r="BF183" s="33">
        <v>1</v>
      </c>
      <c r="BG183" s="33">
        <v>1</v>
      </c>
      <c r="BH183" s="33" t="s">
        <v>412</v>
      </c>
    </row>
    <row r="184" spans="1:60" ht="19.5" customHeight="1">
      <c r="A184" s="36">
        <v>181</v>
      </c>
      <c r="B184" s="31" t="s">
        <v>410</v>
      </c>
      <c r="C184" s="37">
        <v>46204</v>
      </c>
      <c r="D184" s="31"/>
      <c r="E184" s="31">
        <v>23</v>
      </c>
      <c r="F184" s="31">
        <v>23</v>
      </c>
      <c r="G184" s="32">
        <v>1</v>
      </c>
      <c r="H184" s="31">
        <v>23</v>
      </c>
      <c r="I184" s="33">
        <v>1</v>
      </c>
      <c r="J184" s="31">
        <v>0</v>
      </c>
      <c r="K184" s="31">
        <v>0</v>
      </c>
      <c r="L184" s="32">
        <v>0</v>
      </c>
      <c r="M184" s="31">
        <v>2</v>
      </c>
      <c r="N184" s="31">
        <v>2</v>
      </c>
      <c r="O184" s="31">
        <v>1</v>
      </c>
      <c r="P184" s="32">
        <v>0.5</v>
      </c>
      <c r="Q184" s="31">
        <v>1</v>
      </c>
      <c r="R184" s="31">
        <v>0</v>
      </c>
      <c r="S184" s="31">
        <v>0</v>
      </c>
      <c r="T184" s="32">
        <v>0</v>
      </c>
      <c r="U184" s="31">
        <v>0</v>
      </c>
      <c r="V184" s="32">
        <v>0</v>
      </c>
      <c r="W184" s="31">
        <v>9</v>
      </c>
      <c r="X184" s="32">
        <v>0.39130434782608697</v>
      </c>
      <c r="Y184" s="31">
        <v>10</v>
      </c>
      <c r="Z184" s="34">
        <v>0.43478260869565222</v>
      </c>
      <c r="AA184" s="31">
        <v>0</v>
      </c>
      <c r="AB184" s="32">
        <v>0</v>
      </c>
      <c r="AC184" s="31">
        <v>0</v>
      </c>
      <c r="AD184" s="32">
        <v>0</v>
      </c>
      <c r="AE184" s="31">
        <v>0</v>
      </c>
      <c r="AF184" s="32">
        <v>0</v>
      </c>
      <c r="AG184" s="31">
        <v>0</v>
      </c>
      <c r="AH184" s="32">
        <v>0</v>
      </c>
      <c r="AI184" s="35">
        <v>0</v>
      </c>
      <c r="AJ184" s="32">
        <v>0</v>
      </c>
      <c r="AK184" s="35">
        <v>0</v>
      </c>
      <c r="AL184" s="32">
        <v>0</v>
      </c>
      <c r="AM184" s="35">
        <v>0</v>
      </c>
      <c r="AN184" s="35">
        <v>0</v>
      </c>
      <c r="AO184" s="32">
        <v>0</v>
      </c>
      <c r="AP184" s="32">
        <v>0</v>
      </c>
      <c r="AQ184" s="33"/>
      <c r="AR184" s="33" t="s">
        <v>411</v>
      </c>
      <c r="AS184" s="33" t="s">
        <v>411</v>
      </c>
      <c r="AT184" s="35">
        <v>0</v>
      </c>
      <c r="AU184" s="35">
        <v>0</v>
      </c>
      <c r="AV184" s="35">
        <v>0</v>
      </c>
      <c r="AW184" s="35">
        <v>0</v>
      </c>
      <c r="AX184" s="35">
        <v>0</v>
      </c>
      <c r="AY184" s="35">
        <v>0</v>
      </c>
      <c r="AZ184" s="32">
        <v>0</v>
      </c>
      <c r="BA184" s="32">
        <v>0</v>
      </c>
      <c r="BB184" s="32">
        <v>0</v>
      </c>
      <c r="BC184" s="32">
        <v>0</v>
      </c>
      <c r="BD184" s="35">
        <v>0</v>
      </c>
      <c r="BE184" s="35">
        <v>0</v>
      </c>
      <c r="BF184" s="33" t="s">
        <v>412</v>
      </c>
      <c r="BG184" s="33" t="s">
        <v>412</v>
      </c>
      <c r="BH184" s="33">
        <v>0.98198198198198194</v>
      </c>
    </row>
    <row r="185" spans="1:60" ht="19.5" customHeight="1">
      <c r="A185" s="36">
        <v>182</v>
      </c>
      <c r="B185" s="31" t="s">
        <v>410</v>
      </c>
      <c r="C185" s="37">
        <v>46204</v>
      </c>
      <c r="D185" s="31" t="s">
        <v>413</v>
      </c>
      <c r="E185" s="31">
        <v>1</v>
      </c>
      <c r="F185" s="31">
        <v>0</v>
      </c>
      <c r="G185" s="32">
        <v>0</v>
      </c>
      <c r="H185" s="31">
        <v>0</v>
      </c>
      <c r="I185" s="33">
        <v>0</v>
      </c>
      <c r="J185" s="31">
        <v>1</v>
      </c>
      <c r="K185" s="31">
        <v>1</v>
      </c>
      <c r="L185" s="32">
        <v>1</v>
      </c>
      <c r="M185" s="31">
        <v>9</v>
      </c>
      <c r="N185" s="31">
        <v>9</v>
      </c>
      <c r="O185" s="31">
        <v>9</v>
      </c>
      <c r="P185" s="32">
        <v>1</v>
      </c>
      <c r="Q185" s="31">
        <v>0</v>
      </c>
      <c r="R185" s="31">
        <v>0</v>
      </c>
      <c r="S185" s="31">
        <v>0</v>
      </c>
      <c r="T185" s="32">
        <v>0</v>
      </c>
      <c r="U185" s="31">
        <v>0</v>
      </c>
      <c r="V185" s="32">
        <v>0</v>
      </c>
      <c r="W185" s="31">
        <v>0</v>
      </c>
      <c r="X185" s="32">
        <v>0</v>
      </c>
      <c r="Y185" s="31">
        <v>0</v>
      </c>
      <c r="Z185" s="34">
        <v>0</v>
      </c>
      <c r="AA185" s="31">
        <v>0</v>
      </c>
      <c r="AB185" s="32">
        <v>0</v>
      </c>
      <c r="AC185" s="31">
        <v>0</v>
      </c>
      <c r="AD185" s="32">
        <v>0</v>
      </c>
      <c r="AE185" s="31">
        <v>0</v>
      </c>
      <c r="AF185" s="32">
        <v>0</v>
      </c>
      <c r="AG185" s="31">
        <v>0</v>
      </c>
      <c r="AH185" s="32">
        <v>0</v>
      </c>
      <c r="AI185" s="35">
        <v>0</v>
      </c>
      <c r="AJ185" s="32">
        <v>0</v>
      </c>
      <c r="AK185" s="35">
        <v>0</v>
      </c>
      <c r="AL185" s="32">
        <v>0</v>
      </c>
      <c r="AM185" s="35">
        <v>0</v>
      </c>
      <c r="AN185" s="35">
        <v>0</v>
      </c>
      <c r="AO185" s="32">
        <v>0</v>
      </c>
      <c r="AP185" s="32">
        <v>0</v>
      </c>
      <c r="AQ185" s="33">
        <v>1</v>
      </c>
      <c r="AR185" s="33" t="s">
        <v>411</v>
      </c>
      <c r="AS185" s="33">
        <v>0</v>
      </c>
      <c r="AT185" s="35">
        <v>0</v>
      </c>
      <c r="AU185" s="35">
        <v>0</v>
      </c>
      <c r="AV185" s="35">
        <v>0</v>
      </c>
      <c r="AW185" s="35">
        <v>0</v>
      </c>
      <c r="AX185" s="35">
        <v>0</v>
      </c>
      <c r="AY185" s="35">
        <v>0</v>
      </c>
      <c r="AZ185" s="32">
        <v>0</v>
      </c>
      <c r="BA185" s="32">
        <v>0</v>
      </c>
      <c r="BB185" s="32">
        <v>0</v>
      </c>
      <c r="BC185" s="32">
        <v>0</v>
      </c>
      <c r="BD185" s="35">
        <v>0</v>
      </c>
      <c r="BE185" s="35">
        <v>0</v>
      </c>
      <c r="BF185" s="33" t="s">
        <v>412</v>
      </c>
      <c r="BG185" s="33" t="s">
        <v>412</v>
      </c>
      <c r="BH185" s="33" t="s">
        <v>412</v>
      </c>
    </row>
    <row r="186" spans="1:60" ht="19.5" customHeight="1">
      <c r="A186" s="36">
        <v>183</v>
      </c>
      <c r="B186" s="31" t="s">
        <v>410</v>
      </c>
      <c r="C186" s="37">
        <v>46204</v>
      </c>
      <c r="D186" s="31" t="s">
        <v>335</v>
      </c>
      <c r="E186" s="31">
        <v>1658</v>
      </c>
      <c r="F186" s="31">
        <v>1459</v>
      </c>
      <c r="G186" s="32">
        <v>0.87997587454764781</v>
      </c>
      <c r="H186" s="31">
        <v>714</v>
      </c>
      <c r="I186" s="33">
        <v>0.43063932448733422</v>
      </c>
      <c r="J186" s="31">
        <v>1868</v>
      </c>
      <c r="K186" s="31">
        <v>1814</v>
      </c>
      <c r="L186" s="32">
        <v>0.97099999999999997</v>
      </c>
      <c r="M186" s="31">
        <v>10948</v>
      </c>
      <c r="N186" s="31">
        <v>10456</v>
      </c>
      <c r="O186" s="31">
        <v>10790</v>
      </c>
      <c r="P186" s="32">
        <v>0.98556814029959805</v>
      </c>
      <c r="Q186" s="31">
        <v>27</v>
      </c>
      <c r="R186" s="31">
        <v>0</v>
      </c>
      <c r="S186" s="31">
        <v>0</v>
      </c>
      <c r="T186" s="32">
        <v>0</v>
      </c>
      <c r="U186" s="31">
        <v>0</v>
      </c>
      <c r="V186" s="32">
        <v>0</v>
      </c>
      <c r="W186" s="31">
        <v>162</v>
      </c>
      <c r="X186" s="32">
        <v>9.7708082026537996E-2</v>
      </c>
      <c r="Y186" s="31">
        <v>690</v>
      </c>
      <c r="Z186" s="34">
        <v>0.41616405307599519</v>
      </c>
      <c r="AA186" s="31">
        <v>0</v>
      </c>
      <c r="AB186" s="32">
        <v>0</v>
      </c>
      <c r="AC186" s="31">
        <v>74</v>
      </c>
      <c r="AD186" s="32">
        <v>4.4632086851628471E-2</v>
      </c>
      <c r="AE186" s="31">
        <v>14</v>
      </c>
      <c r="AF186" s="32">
        <v>0.1891891891891892</v>
      </c>
      <c r="AG186" s="31">
        <v>70</v>
      </c>
      <c r="AH186" s="32">
        <v>0.94594594594594594</v>
      </c>
      <c r="AI186" s="35">
        <v>71</v>
      </c>
      <c r="AJ186" s="32">
        <v>4.2822677925211099E-2</v>
      </c>
      <c r="AK186" s="35">
        <v>4</v>
      </c>
      <c r="AL186" s="32">
        <v>0.80281690140845074</v>
      </c>
      <c r="AM186" s="35">
        <v>66</v>
      </c>
      <c r="AN186" s="35">
        <v>57</v>
      </c>
      <c r="AO186" s="32">
        <v>3.4378769601930037E-2</v>
      </c>
      <c r="AP186" s="32">
        <v>0.77027027027027029</v>
      </c>
      <c r="AQ186" s="33">
        <v>0.91919191919191923</v>
      </c>
      <c r="AR186" s="33" t="s">
        <v>411</v>
      </c>
      <c r="AS186" s="33">
        <v>0</v>
      </c>
      <c r="AT186" s="35">
        <v>0</v>
      </c>
      <c r="AU186" s="35">
        <v>0</v>
      </c>
      <c r="AV186" s="35">
        <v>17</v>
      </c>
      <c r="AW186" s="35">
        <v>15</v>
      </c>
      <c r="AX186" s="35">
        <v>14</v>
      </c>
      <c r="AY186" s="35">
        <v>26</v>
      </c>
      <c r="AZ186" s="32">
        <v>9.0470446320868522E-3</v>
      </c>
      <c r="BA186" s="32">
        <v>8.4439083232810616E-3</v>
      </c>
      <c r="BB186" s="32">
        <v>1.5681544028950539E-2</v>
      </c>
      <c r="BC186" s="32">
        <v>0.24561403508771931</v>
      </c>
      <c r="BD186" s="35">
        <v>0</v>
      </c>
      <c r="BE186" s="35">
        <v>0</v>
      </c>
      <c r="BF186" s="33">
        <v>1</v>
      </c>
      <c r="BG186" s="33">
        <v>1</v>
      </c>
      <c r="BH186" s="33" t="s">
        <v>412</v>
      </c>
    </row>
    <row r="187" spans="1:60" ht="19.5" customHeight="1">
      <c r="A187" s="36">
        <v>184</v>
      </c>
      <c r="B187" s="31" t="s">
        <v>410</v>
      </c>
      <c r="C187" s="37">
        <v>46204</v>
      </c>
      <c r="D187" s="31" t="s">
        <v>334</v>
      </c>
      <c r="E187" s="31">
        <v>1318</v>
      </c>
      <c r="F187" s="31">
        <v>1152</v>
      </c>
      <c r="G187" s="32">
        <v>0.87405159332321702</v>
      </c>
      <c r="H187" s="31">
        <v>675</v>
      </c>
      <c r="I187" s="33">
        <v>0.51213960546282244</v>
      </c>
      <c r="J187" s="31">
        <v>1465</v>
      </c>
      <c r="K187" s="31">
        <v>1425</v>
      </c>
      <c r="L187" s="32">
        <v>0.97299999999999998</v>
      </c>
      <c r="M187" s="31">
        <v>9082</v>
      </c>
      <c r="N187" s="31">
        <v>8831</v>
      </c>
      <c r="O187" s="31">
        <v>8947</v>
      </c>
      <c r="P187" s="32">
        <v>0.98513543272406956</v>
      </c>
      <c r="Q187" s="31">
        <v>29</v>
      </c>
      <c r="R187" s="31">
        <v>0</v>
      </c>
      <c r="S187" s="31">
        <v>0</v>
      </c>
      <c r="T187" s="32">
        <v>0</v>
      </c>
      <c r="U187" s="31">
        <v>0</v>
      </c>
      <c r="V187" s="32">
        <v>0</v>
      </c>
      <c r="W187" s="31">
        <v>152</v>
      </c>
      <c r="X187" s="32">
        <v>0.11532625189681341</v>
      </c>
      <c r="Y187" s="31">
        <v>563</v>
      </c>
      <c r="Z187" s="34">
        <v>0.42716236722306528</v>
      </c>
      <c r="AA187" s="31">
        <v>0</v>
      </c>
      <c r="AB187" s="32">
        <v>0</v>
      </c>
      <c r="AC187" s="31">
        <v>85</v>
      </c>
      <c r="AD187" s="32">
        <v>6.4491654021244307E-2</v>
      </c>
      <c r="AE187" s="31">
        <v>12</v>
      </c>
      <c r="AF187" s="32">
        <v>0.14117647058823529</v>
      </c>
      <c r="AG187" s="31">
        <v>80</v>
      </c>
      <c r="AH187" s="32">
        <v>0.94117647058823528</v>
      </c>
      <c r="AI187" s="35">
        <v>75</v>
      </c>
      <c r="AJ187" s="32">
        <v>5.6904400606980272E-2</v>
      </c>
      <c r="AK187" s="35">
        <v>2</v>
      </c>
      <c r="AL187" s="32">
        <v>0.89333333333333331</v>
      </c>
      <c r="AM187" s="35">
        <v>75</v>
      </c>
      <c r="AN187" s="35">
        <v>67</v>
      </c>
      <c r="AO187" s="32">
        <v>5.0834597875569043E-2</v>
      </c>
      <c r="AP187" s="32">
        <v>0.78823529411764703</v>
      </c>
      <c r="AQ187" s="33">
        <v>0.99193548387096775</v>
      </c>
      <c r="AR187" s="33" t="s">
        <v>411</v>
      </c>
      <c r="AS187" s="33">
        <v>0</v>
      </c>
      <c r="AT187" s="35">
        <v>0</v>
      </c>
      <c r="AU187" s="35">
        <v>0</v>
      </c>
      <c r="AV187" s="35">
        <v>21</v>
      </c>
      <c r="AW187" s="35">
        <v>15</v>
      </c>
      <c r="AX187" s="35">
        <v>19</v>
      </c>
      <c r="AY187" s="35">
        <v>72</v>
      </c>
      <c r="AZ187" s="32">
        <v>1.1380880121396051E-2</v>
      </c>
      <c r="BA187" s="32">
        <v>1.4415781487101671E-2</v>
      </c>
      <c r="BB187" s="32">
        <v>5.4628224582701057E-2</v>
      </c>
      <c r="BC187" s="32">
        <v>0.28358208955223879</v>
      </c>
      <c r="BD187" s="35">
        <v>0</v>
      </c>
      <c r="BE187" s="35">
        <v>0</v>
      </c>
      <c r="BF187" s="33">
        <v>1</v>
      </c>
      <c r="BG187" s="33">
        <v>1</v>
      </c>
      <c r="BH187" s="33" t="s">
        <v>412</v>
      </c>
    </row>
    <row r="188" spans="1:60" ht="19.5" customHeight="1">
      <c r="A188" s="36">
        <v>185</v>
      </c>
      <c r="B188" s="31" t="s">
        <v>410</v>
      </c>
      <c r="C188" s="37">
        <v>46204</v>
      </c>
      <c r="D188" s="31" t="s">
        <v>337</v>
      </c>
      <c r="E188" s="31">
        <v>2884</v>
      </c>
      <c r="F188" s="31">
        <v>2611</v>
      </c>
      <c r="G188" s="32">
        <v>0.90533980582524276</v>
      </c>
      <c r="H188" s="31">
        <v>907</v>
      </c>
      <c r="I188" s="33">
        <v>0.31449375866851598</v>
      </c>
      <c r="J188" s="31">
        <v>3346</v>
      </c>
      <c r="K188" s="31">
        <v>3237</v>
      </c>
      <c r="L188" s="32">
        <v>0.96699999999999997</v>
      </c>
      <c r="M188" s="31">
        <v>23196</v>
      </c>
      <c r="N188" s="31">
        <v>22248</v>
      </c>
      <c r="O188" s="31">
        <v>22781</v>
      </c>
      <c r="P188" s="32">
        <v>0.98210898430763927</v>
      </c>
      <c r="Q188" s="31">
        <v>67</v>
      </c>
      <c r="R188" s="31">
        <v>0</v>
      </c>
      <c r="S188" s="31">
        <v>0</v>
      </c>
      <c r="T188" s="32">
        <v>0</v>
      </c>
      <c r="U188" s="31">
        <v>0</v>
      </c>
      <c r="V188" s="32">
        <v>0</v>
      </c>
      <c r="W188" s="31">
        <v>370</v>
      </c>
      <c r="X188" s="32">
        <v>0.12829403606102641</v>
      </c>
      <c r="Y188" s="31">
        <v>1630</v>
      </c>
      <c r="Z188" s="34">
        <v>0.56518723994452147</v>
      </c>
      <c r="AA188" s="31">
        <v>0</v>
      </c>
      <c r="AB188" s="32">
        <v>0</v>
      </c>
      <c r="AC188" s="31">
        <v>321</v>
      </c>
      <c r="AD188" s="32">
        <v>0.11130374479889039</v>
      </c>
      <c r="AE188" s="31">
        <v>76</v>
      </c>
      <c r="AF188" s="32">
        <v>0.2367601246105919</v>
      </c>
      <c r="AG188" s="31">
        <v>314</v>
      </c>
      <c r="AH188" s="32">
        <v>0.97819314641744548</v>
      </c>
      <c r="AI188" s="35">
        <v>348</v>
      </c>
      <c r="AJ188" s="32">
        <v>0.1206657420249653</v>
      </c>
      <c r="AK188" s="35">
        <v>17</v>
      </c>
      <c r="AL188" s="32">
        <v>0.87356321839080464</v>
      </c>
      <c r="AM188" s="35">
        <v>328</v>
      </c>
      <c r="AN188" s="35">
        <v>304</v>
      </c>
      <c r="AO188" s="32">
        <v>0.1054091539528433</v>
      </c>
      <c r="AP188" s="32">
        <v>0.9470404984423676</v>
      </c>
      <c r="AQ188" s="33">
        <v>0.96836555360281196</v>
      </c>
      <c r="AR188" s="33" t="s">
        <v>411</v>
      </c>
      <c r="AS188" s="33">
        <v>0</v>
      </c>
      <c r="AT188" s="35">
        <v>0</v>
      </c>
      <c r="AU188" s="35">
        <v>0</v>
      </c>
      <c r="AV188" s="35">
        <v>73</v>
      </c>
      <c r="AW188" s="35">
        <v>61</v>
      </c>
      <c r="AX188" s="35">
        <v>64</v>
      </c>
      <c r="AY188" s="35">
        <v>116</v>
      </c>
      <c r="AZ188" s="32">
        <v>2.115117891816921E-2</v>
      </c>
      <c r="BA188" s="32">
        <v>2.2191400832177528E-2</v>
      </c>
      <c r="BB188" s="32">
        <v>4.0221914008321778E-2</v>
      </c>
      <c r="BC188" s="32">
        <v>0.2105263157894737</v>
      </c>
      <c r="BD188" s="35">
        <v>0</v>
      </c>
      <c r="BE188" s="35">
        <v>0</v>
      </c>
      <c r="BF188" s="33">
        <v>1</v>
      </c>
      <c r="BG188" s="33">
        <v>1</v>
      </c>
      <c r="BH188" s="33" t="s">
        <v>412</v>
      </c>
    </row>
    <row r="189" spans="1:60" ht="19.5" customHeight="1">
      <c r="A189" s="36">
        <v>186</v>
      </c>
      <c r="B189" s="31" t="s">
        <v>410</v>
      </c>
      <c r="C189" s="37">
        <v>46204</v>
      </c>
      <c r="D189" s="31" t="s">
        <v>336</v>
      </c>
      <c r="E189" s="31">
        <v>2145</v>
      </c>
      <c r="F189" s="31">
        <v>1970</v>
      </c>
      <c r="G189" s="32">
        <v>0.9184149184149184</v>
      </c>
      <c r="H189" s="31">
        <v>1264</v>
      </c>
      <c r="I189" s="33">
        <v>0.58927738927738926</v>
      </c>
      <c r="J189" s="31">
        <v>3383</v>
      </c>
      <c r="K189" s="31">
        <v>3318</v>
      </c>
      <c r="L189" s="32">
        <v>0.98099999999999998</v>
      </c>
      <c r="M189" s="31">
        <v>19466</v>
      </c>
      <c r="N189" s="31">
        <v>18799</v>
      </c>
      <c r="O189" s="31">
        <v>19226</v>
      </c>
      <c r="P189" s="32">
        <v>0.98767081064420015</v>
      </c>
      <c r="Q189" s="31">
        <v>44</v>
      </c>
      <c r="R189" s="31">
        <v>0</v>
      </c>
      <c r="S189" s="31">
        <v>0</v>
      </c>
      <c r="T189" s="32">
        <v>0</v>
      </c>
      <c r="U189" s="31">
        <v>0</v>
      </c>
      <c r="V189" s="32">
        <v>0</v>
      </c>
      <c r="W189" s="31">
        <v>199</v>
      </c>
      <c r="X189" s="32">
        <v>9.277389277389278E-2</v>
      </c>
      <c r="Y189" s="31">
        <v>834</v>
      </c>
      <c r="Z189" s="34">
        <v>0.38881118881118881</v>
      </c>
      <c r="AA189" s="31">
        <v>0</v>
      </c>
      <c r="AB189" s="32">
        <v>0</v>
      </c>
      <c r="AC189" s="31">
        <v>188</v>
      </c>
      <c r="AD189" s="32">
        <v>8.7645687645687642E-2</v>
      </c>
      <c r="AE189" s="31">
        <v>39</v>
      </c>
      <c r="AF189" s="32">
        <v>0.20744680851063829</v>
      </c>
      <c r="AG189" s="31">
        <v>179</v>
      </c>
      <c r="AH189" s="32">
        <v>0.9521276595744681</v>
      </c>
      <c r="AI189" s="35">
        <v>188</v>
      </c>
      <c r="AJ189" s="32">
        <v>8.7645687645687642E-2</v>
      </c>
      <c r="AK189" s="35">
        <v>11</v>
      </c>
      <c r="AL189" s="32">
        <v>0.87234042553191493</v>
      </c>
      <c r="AM189" s="35">
        <v>180</v>
      </c>
      <c r="AN189" s="35">
        <v>164</v>
      </c>
      <c r="AO189" s="32">
        <v>7.645687645687646E-2</v>
      </c>
      <c r="AP189" s="32">
        <v>0.87234042553191493</v>
      </c>
      <c r="AQ189" s="33">
        <v>0.95811518324607325</v>
      </c>
      <c r="AR189" s="33" t="s">
        <v>411</v>
      </c>
      <c r="AS189" s="33">
        <v>0</v>
      </c>
      <c r="AT189" s="35">
        <v>0</v>
      </c>
      <c r="AU189" s="35">
        <v>0</v>
      </c>
      <c r="AV189" s="35">
        <v>49</v>
      </c>
      <c r="AW189" s="35">
        <v>33</v>
      </c>
      <c r="AX189" s="35">
        <v>37</v>
      </c>
      <c r="AY189" s="35">
        <v>60</v>
      </c>
      <c r="AZ189" s="32">
        <v>1.5384615384615391E-2</v>
      </c>
      <c r="BA189" s="32">
        <v>1.724941724941725E-2</v>
      </c>
      <c r="BB189" s="32">
        <v>2.7972027972027969E-2</v>
      </c>
      <c r="BC189" s="32">
        <v>0.22560975609756101</v>
      </c>
      <c r="BD189" s="35">
        <v>0</v>
      </c>
      <c r="BE189" s="35">
        <v>0</v>
      </c>
      <c r="BF189" s="33">
        <v>0.92592592592592593</v>
      </c>
      <c r="BG189" s="33">
        <v>1</v>
      </c>
      <c r="BH189" s="33" t="s">
        <v>412</v>
      </c>
    </row>
    <row r="190" spans="1:60" ht="19.5" customHeight="1">
      <c r="A190" s="36">
        <v>187</v>
      </c>
      <c r="B190" s="31" t="s">
        <v>410</v>
      </c>
      <c r="C190" s="37">
        <v>46205</v>
      </c>
      <c r="D190" s="31"/>
      <c r="E190" s="31">
        <v>30</v>
      </c>
      <c r="F190" s="31">
        <v>30</v>
      </c>
      <c r="G190" s="32">
        <v>1</v>
      </c>
      <c r="H190" s="31">
        <v>30</v>
      </c>
      <c r="I190" s="33">
        <v>1</v>
      </c>
      <c r="J190" s="31">
        <v>0</v>
      </c>
      <c r="K190" s="31">
        <v>0</v>
      </c>
      <c r="L190" s="32">
        <v>0</v>
      </c>
      <c r="M190" s="31">
        <v>1</v>
      </c>
      <c r="N190" s="31">
        <v>0</v>
      </c>
      <c r="O190" s="31">
        <v>1</v>
      </c>
      <c r="P190" s="32">
        <v>1</v>
      </c>
      <c r="Q190" s="31">
        <v>0</v>
      </c>
      <c r="R190" s="31">
        <v>0</v>
      </c>
      <c r="S190" s="31">
        <v>0</v>
      </c>
      <c r="T190" s="32">
        <v>0</v>
      </c>
      <c r="U190" s="31">
        <v>0</v>
      </c>
      <c r="V190" s="32">
        <v>0</v>
      </c>
      <c r="W190" s="31">
        <v>3</v>
      </c>
      <c r="X190" s="32">
        <v>0.1</v>
      </c>
      <c r="Y190" s="31">
        <v>18</v>
      </c>
      <c r="Z190" s="34">
        <v>0.6</v>
      </c>
      <c r="AA190" s="31">
        <v>0</v>
      </c>
      <c r="AB190" s="32">
        <v>0</v>
      </c>
      <c r="AC190" s="31">
        <v>0</v>
      </c>
      <c r="AD190" s="32">
        <v>0</v>
      </c>
      <c r="AE190" s="31">
        <v>0</v>
      </c>
      <c r="AF190" s="32">
        <v>0</v>
      </c>
      <c r="AG190" s="31">
        <v>0</v>
      </c>
      <c r="AH190" s="32">
        <v>0</v>
      </c>
      <c r="AI190" s="35">
        <v>0</v>
      </c>
      <c r="AJ190" s="32">
        <v>0</v>
      </c>
      <c r="AK190" s="35">
        <v>0</v>
      </c>
      <c r="AL190" s="32">
        <v>0</v>
      </c>
      <c r="AM190" s="35">
        <v>0</v>
      </c>
      <c r="AN190" s="35">
        <v>0</v>
      </c>
      <c r="AO190" s="32">
        <v>0</v>
      </c>
      <c r="AP190" s="32">
        <v>0</v>
      </c>
      <c r="AQ190" s="33"/>
      <c r="AR190" s="33" t="s">
        <v>411</v>
      </c>
      <c r="AS190" s="33" t="s">
        <v>411</v>
      </c>
      <c r="AT190" s="35">
        <v>0</v>
      </c>
      <c r="AU190" s="35">
        <v>0</v>
      </c>
      <c r="AV190" s="35">
        <v>0</v>
      </c>
      <c r="AW190" s="35">
        <v>0</v>
      </c>
      <c r="AX190" s="35">
        <v>0</v>
      </c>
      <c r="AY190" s="35">
        <v>0</v>
      </c>
      <c r="AZ190" s="32">
        <v>0</v>
      </c>
      <c r="BA190" s="32">
        <v>0</v>
      </c>
      <c r="BB190" s="32">
        <v>0</v>
      </c>
      <c r="BC190" s="32">
        <v>0</v>
      </c>
      <c r="BD190" s="35">
        <v>0</v>
      </c>
      <c r="BE190" s="35">
        <v>0</v>
      </c>
      <c r="BF190" s="33" t="s">
        <v>412</v>
      </c>
      <c r="BG190" s="33" t="s">
        <v>412</v>
      </c>
      <c r="BH190" s="33">
        <v>1</v>
      </c>
    </row>
    <row r="191" spans="1:60" ht="19.5" customHeight="1">
      <c r="A191" s="36">
        <v>188</v>
      </c>
      <c r="B191" s="31" t="s">
        <v>410</v>
      </c>
      <c r="C191" s="37">
        <v>46205</v>
      </c>
      <c r="D191" s="31" t="s">
        <v>413</v>
      </c>
      <c r="E191" s="31">
        <v>0</v>
      </c>
      <c r="F191" s="31">
        <v>0</v>
      </c>
      <c r="G191" s="32">
        <v>0</v>
      </c>
      <c r="H191" s="31">
        <v>0</v>
      </c>
      <c r="I191" s="33">
        <v>0</v>
      </c>
      <c r="J191" s="31">
        <v>1</v>
      </c>
      <c r="K191" s="31">
        <v>1</v>
      </c>
      <c r="L191" s="32">
        <v>1</v>
      </c>
      <c r="M191" s="31">
        <v>3</v>
      </c>
      <c r="N191" s="31">
        <v>3</v>
      </c>
      <c r="O191" s="31">
        <v>3</v>
      </c>
      <c r="P191" s="32">
        <v>1</v>
      </c>
      <c r="Q191" s="31">
        <v>0</v>
      </c>
      <c r="R191" s="31">
        <v>0</v>
      </c>
      <c r="S191" s="31">
        <v>0</v>
      </c>
      <c r="T191" s="32">
        <v>0</v>
      </c>
      <c r="U191" s="31">
        <v>0</v>
      </c>
      <c r="V191" s="32">
        <v>0</v>
      </c>
      <c r="W191" s="31">
        <v>0</v>
      </c>
      <c r="X191" s="32">
        <v>0</v>
      </c>
      <c r="Y191" s="31">
        <v>0</v>
      </c>
      <c r="Z191" s="34">
        <v>0</v>
      </c>
      <c r="AA191" s="31">
        <v>0</v>
      </c>
      <c r="AB191" s="32">
        <v>0</v>
      </c>
      <c r="AC191" s="31">
        <v>0</v>
      </c>
      <c r="AD191" s="32">
        <v>0</v>
      </c>
      <c r="AE191" s="31">
        <v>0</v>
      </c>
      <c r="AF191" s="32">
        <v>0</v>
      </c>
      <c r="AG191" s="31">
        <v>0</v>
      </c>
      <c r="AH191" s="32">
        <v>0</v>
      </c>
      <c r="AI191" s="35">
        <v>0</v>
      </c>
      <c r="AJ191" s="32">
        <v>0</v>
      </c>
      <c r="AK191" s="35">
        <v>0</v>
      </c>
      <c r="AL191" s="32">
        <v>0</v>
      </c>
      <c r="AM191" s="35">
        <v>0</v>
      </c>
      <c r="AN191" s="35">
        <v>0</v>
      </c>
      <c r="AO191" s="32">
        <v>0</v>
      </c>
      <c r="AP191" s="32">
        <v>0</v>
      </c>
      <c r="AQ191" s="33"/>
      <c r="AR191" s="33" t="s">
        <v>411</v>
      </c>
      <c r="AS191" s="33" t="s">
        <v>411</v>
      </c>
      <c r="AT191" s="35">
        <v>0</v>
      </c>
      <c r="AU191" s="35">
        <v>0</v>
      </c>
      <c r="AV191" s="35">
        <v>0</v>
      </c>
      <c r="AW191" s="35">
        <v>0</v>
      </c>
      <c r="AX191" s="35">
        <v>0</v>
      </c>
      <c r="AY191" s="35">
        <v>0</v>
      </c>
      <c r="AZ191" s="32">
        <v>0</v>
      </c>
      <c r="BA191" s="32">
        <v>0</v>
      </c>
      <c r="BB191" s="32">
        <v>0</v>
      </c>
      <c r="BC191" s="32">
        <v>0</v>
      </c>
      <c r="BD191" s="35">
        <v>0</v>
      </c>
      <c r="BE191" s="35">
        <v>0</v>
      </c>
      <c r="BF191" s="33" t="s">
        <v>412</v>
      </c>
      <c r="BG191" s="33" t="s">
        <v>412</v>
      </c>
      <c r="BH191" s="33" t="s">
        <v>412</v>
      </c>
    </row>
    <row r="192" spans="1:60" ht="19.5" customHeight="1">
      <c r="A192" s="36">
        <v>189</v>
      </c>
      <c r="B192" s="31" t="s">
        <v>410</v>
      </c>
      <c r="C192" s="37">
        <v>46205</v>
      </c>
      <c r="D192" s="31" t="s">
        <v>335</v>
      </c>
      <c r="E192" s="31">
        <v>1732</v>
      </c>
      <c r="F192" s="31">
        <v>1552</v>
      </c>
      <c r="G192" s="32">
        <v>0.89607390300230949</v>
      </c>
      <c r="H192" s="31">
        <v>688</v>
      </c>
      <c r="I192" s="33">
        <v>0.39722863741339492</v>
      </c>
      <c r="J192" s="31">
        <v>1948</v>
      </c>
      <c r="K192" s="31">
        <v>1916</v>
      </c>
      <c r="L192" s="32">
        <v>0.98399999999999999</v>
      </c>
      <c r="M192" s="31">
        <v>10456</v>
      </c>
      <c r="N192" s="31">
        <v>10345</v>
      </c>
      <c r="O192" s="31">
        <v>10286</v>
      </c>
      <c r="P192" s="32">
        <v>0.98374139250191273</v>
      </c>
      <c r="Q192" s="31">
        <v>26</v>
      </c>
      <c r="R192" s="31">
        <v>0</v>
      </c>
      <c r="S192" s="31">
        <v>0</v>
      </c>
      <c r="T192" s="32">
        <v>0</v>
      </c>
      <c r="U192" s="31">
        <v>0</v>
      </c>
      <c r="V192" s="32">
        <v>0</v>
      </c>
      <c r="W192" s="31">
        <v>234</v>
      </c>
      <c r="X192" s="32">
        <v>0.1351039260969977</v>
      </c>
      <c r="Y192" s="31">
        <v>640</v>
      </c>
      <c r="Z192" s="34">
        <v>0.36951501154734412</v>
      </c>
      <c r="AA192" s="31">
        <v>0</v>
      </c>
      <c r="AB192" s="32">
        <v>0</v>
      </c>
      <c r="AC192" s="31">
        <v>74</v>
      </c>
      <c r="AD192" s="32">
        <v>4.2725173210161657E-2</v>
      </c>
      <c r="AE192" s="31">
        <v>7</v>
      </c>
      <c r="AF192" s="32">
        <v>9.45945945945946E-2</v>
      </c>
      <c r="AG192" s="31">
        <v>72</v>
      </c>
      <c r="AH192" s="32">
        <v>0.97297297297297303</v>
      </c>
      <c r="AI192" s="35">
        <v>71</v>
      </c>
      <c r="AJ192" s="32">
        <v>4.0993071593533492E-2</v>
      </c>
      <c r="AK192" s="35">
        <v>7</v>
      </c>
      <c r="AL192" s="32">
        <v>0.85915492957746475</v>
      </c>
      <c r="AM192" s="35">
        <v>68</v>
      </c>
      <c r="AN192" s="35">
        <v>61</v>
      </c>
      <c r="AO192" s="32">
        <v>3.5219399538106239E-2</v>
      </c>
      <c r="AP192" s="32">
        <v>0.82432432432432434</v>
      </c>
      <c r="AQ192" s="33">
        <v>0.98412698412698407</v>
      </c>
      <c r="AR192" s="33" t="s">
        <v>411</v>
      </c>
      <c r="AS192" s="33">
        <v>0</v>
      </c>
      <c r="AT192" s="35">
        <v>0</v>
      </c>
      <c r="AU192" s="35">
        <v>0</v>
      </c>
      <c r="AV192" s="35">
        <v>30</v>
      </c>
      <c r="AW192" s="35">
        <v>26</v>
      </c>
      <c r="AX192" s="35">
        <v>26</v>
      </c>
      <c r="AY192" s="35">
        <v>30</v>
      </c>
      <c r="AZ192" s="32">
        <v>1.5011547344110849E-2</v>
      </c>
      <c r="BA192" s="32">
        <v>1.5011547344110849E-2</v>
      </c>
      <c r="BB192" s="32">
        <v>1.732101616628175E-2</v>
      </c>
      <c r="BC192" s="32">
        <v>0.42622950819672129</v>
      </c>
      <c r="BD192" s="35">
        <v>0</v>
      </c>
      <c r="BE192" s="35">
        <v>0</v>
      </c>
      <c r="BF192" s="33">
        <v>1</v>
      </c>
      <c r="BG192" s="33">
        <v>1</v>
      </c>
      <c r="BH192" s="33" t="s">
        <v>412</v>
      </c>
    </row>
    <row r="193" spans="1:60" ht="19.5" customHeight="1">
      <c r="A193" s="36">
        <v>190</v>
      </c>
      <c r="B193" s="31" t="s">
        <v>410</v>
      </c>
      <c r="C193" s="37">
        <v>46205</v>
      </c>
      <c r="D193" s="31" t="s">
        <v>334</v>
      </c>
      <c r="E193" s="31">
        <v>1378</v>
      </c>
      <c r="F193" s="31">
        <v>1226</v>
      </c>
      <c r="G193" s="32">
        <v>0.88969521044992739</v>
      </c>
      <c r="H193" s="31">
        <v>632</v>
      </c>
      <c r="I193" s="33">
        <v>0.45863570391872283</v>
      </c>
      <c r="J193" s="31">
        <v>1383</v>
      </c>
      <c r="K193" s="31">
        <v>1352</v>
      </c>
      <c r="L193" s="32">
        <v>0.97799999999999998</v>
      </c>
      <c r="M193" s="31">
        <v>8835</v>
      </c>
      <c r="N193" s="31">
        <v>8817</v>
      </c>
      <c r="O193" s="31">
        <v>8698</v>
      </c>
      <c r="P193" s="32">
        <v>0.98449349179400114</v>
      </c>
      <c r="Q193" s="31">
        <v>23</v>
      </c>
      <c r="R193" s="31">
        <v>0</v>
      </c>
      <c r="S193" s="31">
        <v>0</v>
      </c>
      <c r="T193" s="32">
        <v>0</v>
      </c>
      <c r="U193" s="31">
        <v>0</v>
      </c>
      <c r="V193" s="32">
        <v>0</v>
      </c>
      <c r="W193" s="31">
        <v>196</v>
      </c>
      <c r="X193" s="32">
        <v>0.14223512336719879</v>
      </c>
      <c r="Y193" s="31">
        <v>594</v>
      </c>
      <c r="Z193" s="34">
        <v>0.43105950653120462</v>
      </c>
      <c r="AA193" s="31">
        <v>0</v>
      </c>
      <c r="AB193" s="32">
        <v>0</v>
      </c>
      <c r="AC193" s="31">
        <v>99</v>
      </c>
      <c r="AD193" s="32">
        <v>7.1843251088534107E-2</v>
      </c>
      <c r="AE193" s="31">
        <v>4</v>
      </c>
      <c r="AF193" s="32">
        <v>4.0404040404040407E-2</v>
      </c>
      <c r="AG193" s="31">
        <v>97</v>
      </c>
      <c r="AH193" s="32">
        <v>0.97979797979797978</v>
      </c>
      <c r="AI193" s="35">
        <v>85</v>
      </c>
      <c r="AJ193" s="32">
        <v>6.1683599419448468E-2</v>
      </c>
      <c r="AK193" s="35">
        <v>3</v>
      </c>
      <c r="AL193" s="32">
        <v>0.8</v>
      </c>
      <c r="AM193" s="35">
        <v>81</v>
      </c>
      <c r="AN193" s="35">
        <v>68</v>
      </c>
      <c r="AO193" s="32">
        <v>4.9346879535558781E-2</v>
      </c>
      <c r="AP193" s="32">
        <v>0.68686868686868685</v>
      </c>
      <c r="AQ193" s="33">
        <v>0.9726027397260274</v>
      </c>
      <c r="AR193" s="33" t="s">
        <v>411</v>
      </c>
      <c r="AS193" s="33">
        <v>0</v>
      </c>
      <c r="AT193" s="35">
        <v>0</v>
      </c>
      <c r="AU193" s="35">
        <v>0</v>
      </c>
      <c r="AV193" s="35">
        <v>25</v>
      </c>
      <c r="AW193" s="35">
        <v>20</v>
      </c>
      <c r="AX193" s="35">
        <v>21</v>
      </c>
      <c r="AY193" s="35">
        <v>29</v>
      </c>
      <c r="AZ193" s="32">
        <v>1.4513788098693759E-2</v>
      </c>
      <c r="BA193" s="32">
        <v>1.5239477503628449E-2</v>
      </c>
      <c r="BB193" s="32">
        <v>2.104499274310595E-2</v>
      </c>
      <c r="BC193" s="32">
        <v>0.30882352941176472</v>
      </c>
      <c r="BD193" s="35">
        <v>0</v>
      </c>
      <c r="BE193" s="35">
        <v>0</v>
      </c>
      <c r="BF193" s="33">
        <v>1</v>
      </c>
      <c r="BG193" s="33">
        <v>1</v>
      </c>
      <c r="BH193" s="33" t="s">
        <v>412</v>
      </c>
    </row>
    <row r="194" spans="1:60" ht="19.5" customHeight="1">
      <c r="A194" s="36">
        <v>191</v>
      </c>
      <c r="B194" s="31" t="s">
        <v>410</v>
      </c>
      <c r="C194" s="37">
        <v>46205</v>
      </c>
      <c r="D194" s="31" t="s">
        <v>337</v>
      </c>
      <c r="E194" s="31">
        <v>3055</v>
      </c>
      <c r="F194" s="31">
        <v>2744</v>
      </c>
      <c r="G194" s="32">
        <v>0.8981996726677578</v>
      </c>
      <c r="H194" s="31">
        <v>976</v>
      </c>
      <c r="I194" s="33">
        <v>0.31947626841243859</v>
      </c>
      <c r="J194" s="31">
        <v>3133</v>
      </c>
      <c r="K194" s="31">
        <v>3060</v>
      </c>
      <c r="L194" s="32">
        <v>0.97699999999999998</v>
      </c>
      <c r="M194" s="31">
        <v>21955</v>
      </c>
      <c r="N194" s="31">
        <v>21808</v>
      </c>
      <c r="O194" s="31">
        <v>21552</v>
      </c>
      <c r="P194" s="32">
        <v>0.98164427237531315</v>
      </c>
      <c r="Q194" s="31">
        <v>37</v>
      </c>
      <c r="R194" s="31">
        <v>0</v>
      </c>
      <c r="S194" s="31">
        <v>0</v>
      </c>
      <c r="T194" s="32">
        <v>0</v>
      </c>
      <c r="U194" s="31">
        <v>0</v>
      </c>
      <c r="V194" s="32">
        <v>0</v>
      </c>
      <c r="W194" s="31">
        <v>563</v>
      </c>
      <c r="X194" s="32">
        <v>0.18428805237315879</v>
      </c>
      <c r="Y194" s="31">
        <v>1300</v>
      </c>
      <c r="Z194" s="34">
        <v>0.42553191489361702</v>
      </c>
      <c r="AA194" s="31">
        <v>0</v>
      </c>
      <c r="AB194" s="32">
        <v>0</v>
      </c>
      <c r="AC194" s="31">
        <v>326</v>
      </c>
      <c r="AD194" s="32">
        <v>0.10671031096563011</v>
      </c>
      <c r="AE194" s="31">
        <v>64</v>
      </c>
      <c r="AF194" s="32">
        <v>0.19631901840490801</v>
      </c>
      <c r="AG194" s="31">
        <v>315</v>
      </c>
      <c r="AH194" s="32">
        <v>0.96625766871165641</v>
      </c>
      <c r="AI194" s="35">
        <v>325</v>
      </c>
      <c r="AJ194" s="32">
        <v>0.1063829787234043</v>
      </c>
      <c r="AK194" s="35">
        <v>18</v>
      </c>
      <c r="AL194" s="32">
        <v>0.88307692307692309</v>
      </c>
      <c r="AM194" s="35">
        <v>316</v>
      </c>
      <c r="AN194" s="35">
        <v>287</v>
      </c>
      <c r="AO194" s="32">
        <v>9.3944353518821605E-2</v>
      </c>
      <c r="AP194" s="32">
        <v>0.88036809815950923</v>
      </c>
      <c r="AQ194" s="33">
        <v>0.97791798107255523</v>
      </c>
      <c r="AR194" s="33" t="s">
        <v>411</v>
      </c>
      <c r="AS194" s="33">
        <v>0</v>
      </c>
      <c r="AT194" s="35">
        <v>0</v>
      </c>
      <c r="AU194" s="35">
        <v>0</v>
      </c>
      <c r="AV194" s="35">
        <v>61</v>
      </c>
      <c r="AW194" s="35">
        <v>53</v>
      </c>
      <c r="AX194" s="35">
        <v>51</v>
      </c>
      <c r="AY194" s="35">
        <v>136</v>
      </c>
      <c r="AZ194" s="32">
        <v>1.7348608837970542E-2</v>
      </c>
      <c r="BA194" s="32">
        <v>1.6693944353518821E-2</v>
      </c>
      <c r="BB194" s="32">
        <v>4.4517184942716857E-2</v>
      </c>
      <c r="BC194" s="32">
        <v>0.17770034843205579</v>
      </c>
      <c r="BD194" s="35">
        <v>0</v>
      </c>
      <c r="BE194" s="35">
        <v>0</v>
      </c>
      <c r="BF194" s="33">
        <v>0.97872340425531912</v>
      </c>
      <c r="BG194" s="33">
        <v>1</v>
      </c>
      <c r="BH194" s="33" t="s">
        <v>412</v>
      </c>
    </row>
    <row r="195" spans="1:60" ht="19.5" customHeight="1">
      <c r="A195" s="36">
        <v>192</v>
      </c>
      <c r="B195" s="31" t="s">
        <v>410</v>
      </c>
      <c r="C195" s="37">
        <v>46205</v>
      </c>
      <c r="D195" s="31" t="s">
        <v>336</v>
      </c>
      <c r="E195" s="31">
        <v>2260</v>
      </c>
      <c r="F195" s="31">
        <v>2020</v>
      </c>
      <c r="G195" s="32">
        <v>0.89380530973451322</v>
      </c>
      <c r="H195" s="31">
        <v>1256</v>
      </c>
      <c r="I195" s="33">
        <v>0.55575221238938055</v>
      </c>
      <c r="J195" s="31">
        <v>3084</v>
      </c>
      <c r="K195" s="31">
        <v>3012</v>
      </c>
      <c r="L195" s="32">
        <v>0.97699999999999998</v>
      </c>
      <c r="M195" s="31">
        <v>18576</v>
      </c>
      <c r="N195" s="31">
        <v>18242</v>
      </c>
      <c r="O195" s="31">
        <v>18305</v>
      </c>
      <c r="P195" s="32">
        <v>0.9854112833763996</v>
      </c>
      <c r="Q195" s="31">
        <v>43</v>
      </c>
      <c r="R195" s="31">
        <v>0</v>
      </c>
      <c r="S195" s="31">
        <v>0</v>
      </c>
      <c r="T195" s="32">
        <v>0</v>
      </c>
      <c r="U195" s="31">
        <v>0</v>
      </c>
      <c r="V195" s="32">
        <v>0</v>
      </c>
      <c r="W195" s="31">
        <v>346</v>
      </c>
      <c r="X195" s="32">
        <v>0.1530973451327434</v>
      </c>
      <c r="Y195" s="31">
        <v>673</v>
      </c>
      <c r="Z195" s="34">
        <v>0.29778761061946901</v>
      </c>
      <c r="AA195" s="31">
        <v>0</v>
      </c>
      <c r="AB195" s="32">
        <v>0</v>
      </c>
      <c r="AC195" s="31">
        <v>150</v>
      </c>
      <c r="AD195" s="32">
        <v>6.637168141592921E-2</v>
      </c>
      <c r="AE195" s="31">
        <v>24</v>
      </c>
      <c r="AF195" s="32">
        <v>0.16</v>
      </c>
      <c r="AG195" s="31">
        <v>142</v>
      </c>
      <c r="AH195" s="32">
        <v>0.94666666666666666</v>
      </c>
      <c r="AI195" s="35">
        <v>141</v>
      </c>
      <c r="AJ195" s="32">
        <v>6.2389380530973447E-2</v>
      </c>
      <c r="AK195" s="35">
        <v>7</v>
      </c>
      <c r="AL195" s="32">
        <v>0.95744680851063835</v>
      </c>
      <c r="AM195" s="35">
        <v>140</v>
      </c>
      <c r="AN195" s="35">
        <v>135</v>
      </c>
      <c r="AO195" s="32">
        <v>5.9734513274336293E-2</v>
      </c>
      <c r="AP195" s="32">
        <v>0.9</v>
      </c>
      <c r="AQ195" s="33">
        <v>0.96385542168674698</v>
      </c>
      <c r="AR195" s="33" t="s">
        <v>411</v>
      </c>
      <c r="AS195" s="33">
        <v>0</v>
      </c>
      <c r="AT195" s="35">
        <v>0</v>
      </c>
      <c r="AU195" s="35">
        <v>0</v>
      </c>
      <c r="AV195" s="35">
        <v>49</v>
      </c>
      <c r="AW195" s="35">
        <v>34</v>
      </c>
      <c r="AX195" s="35">
        <v>35</v>
      </c>
      <c r="AY195" s="35">
        <v>87</v>
      </c>
      <c r="AZ195" s="32">
        <v>1.5044247787610619E-2</v>
      </c>
      <c r="BA195" s="32">
        <v>1.548672566371681E-2</v>
      </c>
      <c r="BB195" s="32">
        <v>3.8495575221238941E-2</v>
      </c>
      <c r="BC195" s="32">
        <v>0.25925925925925919</v>
      </c>
      <c r="BD195" s="35">
        <v>0</v>
      </c>
      <c r="BE195" s="35">
        <v>0</v>
      </c>
      <c r="BF195" s="33">
        <v>1</v>
      </c>
      <c r="BG195" s="33">
        <v>1</v>
      </c>
      <c r="BH195" s="33" t="s">
        <v>412</v>
      </c>
    </row>
    <row r="196" spans="1:60" ht="19.5" customHeight="1">
      <c r="A196" s="36">
        <v>193</v>
      </c>
      <c r="B196" s="31" t="s">
        <v>410</v>
      </c>
      <c r="C196" s="37">
        <v>46206</v>
      </c>
      <c r="D196" s="31"/>
      <c r="E196" s="31">
        <v>34</v>
      </c>
      <c r="F196" s="31">
        <v>34</v>
      </c>
      <c r="G196" s="32">
        <v>1</v>
      </c>
      <c r="H196" s="31">
        <v>34</v>
      </c>
      <c r="I196" s="33">
        <v>1</v>
      </c>
      <c r="J196" s="31">
        <v>0</v>
      </c>
      <c r="K196" s="31">
        <v>0</v>
      </c>
      <c r="L196" s="32">
        <v>0</v>
      </c>
      <c r="M196" s="31">
        <v>1</v>
      </c>
      <c r="N196" s="31">
        <v>1</v>
      </c>
      <c r="O196" s="31">
        <v>1</v>
      </c>
      <c r="P196" s="32">
        <v>1</v>
      </c>
      <c r="Q196" s="31">
        <v>0</v>
      </c>
      <c r="R196" s="31">
        <v>0</v>
      </c>
      <c r="S196" s="31">
        <v>0</v>
      </c>
      <c r="T196" s="32">
        <v>0</v>
      </c>
      <c r="U196" s="31">
        <v>0</v>
      </c>
      <c r="V196" s="32">
        <v>0</v>
      </c>
      <c r="W196" s="31">
        <v>14</v>
      </c>
      <c r="X196" s="32">
        <v>0.41176470588235292</v>
      </c>
      <c r="Y196" s="31">
        <v>22</v>
      </c>
      <c r="Z196" s="34">
        <v>0.6470588235294118</v>
      </c>
      <c r="AA196" s="31">
        <v>0</v>
      </c>
      <c r="AB196" s="32">
        <v>0</v>
      </c>
      <c r="AC196" s="31">
        <v>0</v>
      </c>
      <c r="AD196" s="32">
        <v>0</v>
      </c>
      <c r="AE196" s="31">
        <v>0</v>
      </c>
      <c r="AF196" s="32">
        <v>0</v>
      </c>
      <c r="AG196" s="31">
        <v>0</v>
      </c>
      <c r="AH196" s="32">
        <v>0</v>
      </c>
      <c r="AI196" s="35">
        <v>0</v>
      </c>
      <c r="AJ196" s="32">
        <v>0</v>
      </c>
      <c r="AK196" s="35">
        <v>0</v>
      </c>
      <c r="AL196" s="32">
        <v>0</v>
      </c>
      <c r="AM196" s="35">
        <v>0</v>
      </c>
      <c r="AN196" s="35">
        <v>0</v>
      </c>
      <c r="AO196" s="32">
        <v>0</v>
      </c>
      <c r="AP196" s="32">
        <v>0</v>
      </c>
      <c r="AQ196" s="33"/>
      <c r="AR196" s="33" t="s">
        <v>411</v>
      </c>
      <c r="AS196" s="33" t="s">
        <v>411</v>
      </c>
      <c r="AT196" s="35">
        <v>0</v>
      </c>
      <c r="AU196" s="35">
        <v>0</v>
      </c>
      <c r="AV196" s="35">
        <v>0</v>
      </c>
      <c r="AW196" s="35">
        <v>0</v>
      </c>
      <c r="AX196" s="35">
        <v>0</v>
      </c>
      <c r="AY196" s="35">
        <v>0</v>
      </c>
      <c r="AZ196" s="32">
        <v>0</v>
      </c>
      <c r="BA196" s="32">
        <v>0</v>
      </c>
      <c r="BB196" s="32">
        <v>0</v>
      </c>
      <c r="BC196" s="32">
        <v>0</v>
      </c>
      <c r="BD196" s="35">
        <v>0</v>
      </c>
      <c r="BE196" s="35">
        <v>1</v>
      </c>
      <c r="BF196" s="33" t="s">
        <v>412</v>
      </c>
      <c r="BG196" s="33" t="s">
        <v>412</v>
      </c>
      <c r="BH196" s="33">
        <v>0.97101449275362317</v>
      </c>
    </row>
    <row r="197" spans="1:60" ht="19.5" customHeight="1">
      <c r="A197" s="36">
        <v>194</v>
      </c>
      <c r="B197" s="31" t="s">
        <v>410</v>
      </c>
      <c r="C197" s="37">
        <v>46206</v>
      </c>
      <c r="D197" s="31" t="s">
        <v>413</v>
      </c>
      <c r="E197" s="31">
        <v>1</v>
      </c>
      <c r="F197" s="31">
        <v>1</v>
      </c>
      <c r="G197" s="32">
        <v>1</v>
      </c>
      <c r="H197" s="31">
        <v>1</v>
      </c>
      <c r="I197" s="33">
        <v>1</v>
      </c>
      <c r="J197" s="31">
        <v>1</v>
      </c>
      <c r="K197" s="31">
        <v>1</v>
      </c>
      <c r="L197" s="32">
        <v>1</v>
      </c>
      <c r="M197" s="31">
        <v>5</v>
      </c>
      <c r="N197" s="31">
        <v>8</v>
      </c>
      <c r="O197" s="31">
        <v>5</v>
      </c>
      <c r="P197" s="32">
        <v>1</v>
      </c>
      <c r="Q197" s="31">
        <v>0</v>
      </c>
      <c r="R197" s="31">
        <v>0</v>
      </c>
      <c r="S197" s="31">
        <v>0</v>
      </c>
      <c r="T197" s="32">
        <v>0</v>
      </c>
      <c r="U197" s="31">
        <v>0</v>
      </c>
      <c r="V197" s="32">
        <v>0</v>
      </c>
      <c r="W197" s="31">
        <v>0</v>
      </c>
      <c r="X197" s="32">
        <v>0</v>
      </c>
      <c r="Y197" s="31">
        <v>0</v>
      </c>
      <c r="Z197" s="34">
        <v>0</v>
      </c>
      <c r="AA197" s="31">
        <v>0</v>
      </c>
      <c r="AB197" s="32">
        <v>0</v>
      </c>
      <c r="AC197" s="31">
        <v>0</v>
      </c>
      <c r="AD197" s="32">
        <v>0</v>
      </c>
      <c r="AE197" s="31">
        <v>0</v>
      </c>
      <c r="AF197" s="32">
        <v>0</v>
      </c>
      <c r="AG197" s="31">
        <v>0</v>
      </c>
      <c r="AH197" s="32">
        <v>0</v>
      </c>
      <c r="AI197" s="35">
        <v>0</v>
      </c>
      <c r="AJ197" s="32">
        <v>0</v>
      </c>
      <c r="AK197" s="35">
        <v>0</v>
      </c>
      <c r="AL197" s="32">
        <v>0</v>
      </c>
      <c r="AM197" s="35">
        <v>0</v>
      </c>
      <c r="AN197" s="35">
        <v>0</v>
      </c>
      <c r="AO197" s="32">
        <v>0</v>
      </c>
      <c r="AP197" s="32">
        <v>0</v>
      </c>
      <c r="AQ197" s="33"/>
      <c r="AR197" s="33" t="s">
        <v>411</v>
      </c>
      <c r="AS197" s="33" t="s">
        <v>411</v>
      </c>
      <c r="AT197" s="35">
        <v>0</v>
      </c>
      <c r="AU197" s="35">
        <v>0</v>
      </c>
      <c r="AV197" s="35">
        <v>0</v>
      </c>
      <c r="AW197" s="35">
        <v>0</v>
      </c>
      <c r="AX197" s="35">
        <v>0</v>
      </c>
      <c r="AY197" s="35">
        <v>0</v>
      </c>
      <c r="AZ197" s="32">
        <v>0</v>
      </c>
      <c r="BA197" s="32">
        <v>0</v>
      </c>
      <c r="BB197" s="32">
        <v>0</v>
      </c>
      <c r="BC197" s="32">
        <v>0</v>
      </c>
      <c r="BD197" s="35">
        <v>0</v>
      </c>
      <c r="BE197" s="35">
        <v>0</v>
      </c>
      <c r="BF197" s="33" t="s">
        <v>412</v>
      </c>
      <c r="BG197" s="33" t="s">
        <v>412</v>
      </c>
      <c r="BH197" s="33" t="s">
        <v>412</v>
      </c>
    </row>
    <row r="198" spans="1:60" ht="19.5" customHeight="1">
      <c r="A198" s="36">
        <v>195</v>
      </c>
      <c r="B198" s="31" t="s">
        <v>410</v>
      </c>
      <c r="C198" s="37">
        <v>46206</v>
      </c>
      <c r="D198" s="31" t="s">
        <v>335</v>
      </c>
      <c r="E198" s="31">
        <v>1599</v>
      </c>
      <c r="F198" s="31">
        <v>1415</v>
      </c>
      <c r="G198" s="32">
        <v>0.88492808005003132</v>
      </c>
      <c r="H198" s="31">
        <v>700</v>
      </c>
      <c r="I198" s="33">
        <v>0.43777360850531583</v>
      </c>
      <c r="J198" s="31">
        <v>1861</v>
      </c>
      <c r="K198" s="31">
        <v>1820</v>
      </c>
      <c r="L198" s="32">
        <v>0.97799999999999998</v>
      </c>
      <c r="M198" s="31">
        <v>10830</v>
      </c>
      <c r="N198" s="31">
        <v>11091</v>
      </c>
      <c r="O198" s="31">
        <v>10710</v>
      </c>
      <c r="P198" s="32">
        <v>0.9889196675900277</v>
      </c>
      <c r="Q198" s="31">
        <v>31</v>
      </c>
      <c r="R198" s="31">
        <v>0</v>
      </c>
      <c r="S198" s="31">
        <v>0</v>
      </c>
      <c r="T198" s="32">
        <v>0</v>
      </c>
      <c r="U198" s="31">
        <v>0</v>
      </c>
      <c r="V198" s="32">
        <v>0</v>
      </c>
      <c r="W198" s="31">
        <v>405</v>
      </c>
      <c r="X198" s="32">
        <v>0.25328330206378991</v>
      </c>
      <c r="Y198" s="31">
        <v>694</v>
      </c>
      <c r="Z198" s="34">
        <v>0.43402126328955598</v>
      </c>
      <c r="AA198" s="31">
        <v>0</v>
      </c>
      <c r="AB198" s="32">
        <v>0</v>
      </c>
      <c r="AC198" s="31">
        <v>72</v>
      </c>
      <c r="AD198" s="32">
        <v>4.5028142589118199E-2</v>
      </c>
      <c r="AE198" s="31">
        <v>11</v>
      </c>
      <c r="AF198" s="32">
        <v>0.15277777777777779</v>
      </c>
      <c r="AG198" s="31">
        <v>71</v>
      </c>
      <c r="AH198" s="32">
        <v>0.98611111111111116</v>
      </c>
      <c r="AI198" s="35">
        <v>79</v>
      </c>
      <c r="AJ198" s="32">
        <v>4.9405878674171358E-2</v>
      </c>
      <c r="AK198" s="35">
        <v>10</v>
      </c>
      <c r="AL198" s="32">
        <v>0.79746835443037978</v>
      </c>
      <c r="AM198" s="35">
        <v>75</v>
      </c>
      <c r="AN198" s="35">
        <v>63</v>
      </c>
      <c r="AO198" s="32">
        <v>3.9399624765478418E-2</v>
      </c>
      <c r="AP198" s="32">
        <v>0.875</v>
      </c>
      <c r="AQ198" s="33">
        <v>0.98360655737704916</v>
      </c>
      <c r="AR198" s="33" t="s">
        <v>411</v>
      </c>
      <c r="AS198" s="33">
        <v>0</v>
      </c>
      <c r="AT198" s="35">
        <v>0</v>
      </c>
      <c r="AU198" s="35">
        <v>0</v>
      </c>
      <c r="AV198" s="35">
        <v>31</v>
      </c>
      <c r="AW198" s="35">
        <v>30</v>
      </c>
      <c r="AX198" s="35">
        <v>30</v>
      </c>
      <c r="AY198" s="35">
        <v>48</v>
      </c>
      <c r="AZ198" s="32">
        <v>1.8761726078799251E-2</v>
      </c>
      <c r="BA198" s="32">
        <v>1.8761726078799251E-2</v>
      </c>
      <c r="BB198" s="32">
        <v>3.0018761726078799E-2</v>
      </c>
      <c r="BC198" s="32">
        <v>0.47619047619047622</v>
      </c>
      <c r="BD198" s="35">
        <v>0</v>
      </c>
      <c r="BE198" s="35">
        <v>1</v>
      </c>
      <c r="BF198" s="33">
        <v>1</v>
      </c>
      <c r="BG198" s="33">
        <v>0.77777777777777779</v>
      </c>
      <c r="BH198" s="33" t="s">
        <v>412</v>
      </c>
    </row>
    <row r="199" spans="1:60" ht="19.5" customHeight="1">
      <c r="A199" s="36">
        <v>196</v>
      </c>
      <c r="B199" s="31" t="s">
        <v>410</v>
      </c>
      <c r="C199" s="37">
        <v>46206</v>
      </c>
      <c r="D199" s="31" t="s">
        <v>334</v>
      </c>
      <c r="E199" s="31">
        <v>1434</v>
      </c>
      <c r="F199" s="31">
        <v>1260</v>
      </c>
      <c r="G199" s="32">
        <v>0.87866108786610875</v>
      </c>
      <c r="H199" s="31">
        <v>585</v>
      </c>
      <c r="I199" s="33">
        <v>0.40794979079497912</v>
      </c>
      <c r="J199" s="31">
        <v>1449</v>
      </c>
      <c r="K199" s="31">
        <v>1405</v>
      </c>
      <c r="L199" s="32">
        <v>0.97</v>
      </c>
      <c r="M199" s="31">
        <v>9354</v>
      </c>
      <c r="N199" s="31">
        <v>9604</v>
      </c>
      <c r="O199" s="31">
        <v>9233</v>
      </c>
      <c r="P199" s="32">
        <v>0.98706435749412014</v>
      </c>
      <c r="Q199" s="31">
        <v>31</v>
      </c>
      <c r="R199" s="31">
        <v>0</v>
      </c>
      <c r="S199" s="31">
        <v>0</v>
      </c>
      <c r="T199" s="32">
        <v>0</v>
      </c>
      <c r="U199" s="31">
        <v>0</v>
      </c>
      <c r="V199" s="32">
        <v>0</v>
      </c>
      <c r="W199" s="31">
        <v>373</v>
      </c>
      <c r="X199" s="32">
        <v>0.26011157601115759</v>
      </c>
      <c r="Y199" s="31">
        <v>658</v>
      </c>
      <c r="Z199" s="34">
        <v>0.45885634588563462</v>
      </c>
      <c r="AA199" s="31">
        <v>0</v>
      </c>
      <c r="AB199" s="32">
        <v>0</v>
      </c>
      <c r="AC199" s="31">
        <v>77</v>
      </c>
      <c r="AD199" s="32">
        <v>5.3695955369595538E-2</v>
      </c>
      <c r="AE199" s="31">
        <v>14</v>
      </c>
      <c r="AF199" s="32">
        <v>0.1818181818181818</v>
      </c>
      <c r="AG199" s="31">
        <v>76</v>
      </c>
      <c r="AH199" s="32">
        <v>0.98701298701298701</v>
      </c>
      <c r="AI199" s="35">
        <v>77</v>
      </c>
      <c r="AJ199" s="32">
        <v>5.3695955369595538E-2</v>
      </c>
      <c r="AK199" s="35">
        <v>6</v>
      </c>
      <c r="AL199" s="32">
        <v>0.74025974025974028</v>
      </c>
      <c r="AM199" s="35">
        <v>74</v>
      </c>
      <c r="AN199" s="35">
        <v>57</v>
      </c>
      <c r="AO199" s="32">
        <v>3.9748953974895397E-2</v>
      </c>
      <c r="AP199" s="32">
        <v>0.74025974025974028</v>
      </c>
      <c r="AQ199" s="33">
        <v>1</v>
      </c>
      <c r="AR199" s="33" t="s">
        <v>411</v>
      </c>
      <c r="AS199" s="33">
        <v>0</v>
      </c>
      <c r="AT199" s="35">
        <v>0</v>
      </c>
      <c r="AU199" s="35">
        <v>0</v>
      </c>
      <c r="AV199" s="35">
        <v>26</v>
      </c>
      <c r="AW199" s="35">
        <v>23</v>
      </c>
      <c r="AX199" s="35">
        <v>21</v>
      </c>
      <c r="AY199" s="35">
        <v>31</v>
      </c>
      <c r="AZ199" s="32">
        <v>1.6039051603905161E-2</v>
      </c>
      <c r="BA199" s="32">
        <v>1.464435146443515E-2</v>
      </c>
      <c r="BB199" s="32">
        <v>2.1617852161785221E-2</v>
      </c>
      <c r="BC199" s="32">
        <v>0.36842105263157893</v>
      </c>
      <c r="BD199" s="35">
        <v>0</v>
      </c>
      <c r="BE199" s="35">
        <v>0</v>
      </c>
      <c r="BF199" s="33">
        <v>1</v>
      </c>
      <c r="BG199" s="33">
        <v>1</v>
      </c>
      <c r="BH199" s="33" t="s">
        <v>412</v>
      </c>
    </row>
    <row r="200" spans="1:60" ht="19.5" customHeight="1">
      <c r="A200" s="36">
        <v>197</v>
      </c>
      <c r="B200" s="31" t="s">
        <v>410</v>
      </c>
      <c r="C200" s="37">
        <v>46206</v>
      </c>
      <c r="D200" s="31" t="s">
        <v>337</v>
      </c>
      <c r="E200" s="31">
        <v>2793</v>
      </c>
      <c r="F200" s="31">
        <v>2485</v>
      </c>
      <c r="G200" s="32">
        <v>0.88972431077694236</v>
      </c>
      <c r="H200" s="31">
        <v>1001</v>
      </c>
      <c r="I200" s="33">
        <v>0.35839598997493732</v>
      </c>
      <c r="J200" s="31">
        <v>3706</v>
      </c>
      <c r="K200" s="31">
        <v>3596</v>
      </c>
      <c r="L200" s="32">
        <v>0.97</v>
      </c>
      <c r="M200" s="31">
        <v>23283</v>
      </c>
      <c r="N200" s="31">
        <v>23376</v>
      </c>
      <c r="O200" s="31">
        <v>22943</v>
      </c>
      <c r="P200" s="32">
        <v>0.98539707082420647</v>
      </c>
      <c r="Q200" s="31">
        <v>56</v>
      </c>
      <c r="R200" s="31">
        <v>0</v>
      </c>
      <c r="S200" s="31">
        <v>0</v>
      </c>
      <c r="T200" s="32">
        <v>0</v>
      </c>
      <c r="U200" s="31">
        <v>0</v>
      </c>
      <c r="V200" s="32">
        <v>0</v>
      </c>
      <c r="W200" s="31">
        <v>941</v>
      </c>
      <c r="X200" s="32">
        <v>0.33691371285356247</v>
      </c>
      <c r="Y200" s="31">
        <v>2020</v>
      </c>
      <c r="Z200" s="34">
        <v>0.7232366630862872</v>
      </c>
      <c r="AA200" s="31">
        <v>0</v>
      </c>
      <c r="AB200" s="32">
        <v>0</v>
      </c>
      <c r="AC200" s="31">
        <v>334</v>
      </c>
      <c r="AD200" s="32">
        <v>0.11958467597565341</v>
      </c>
      <c r="AE200" s="31">
        <v>53</v>
      </c>
      <c r="AF200" s="32">
        <v>0.1586826347305389</v>
      </c>
      <c r="AG200" s="31">
        <v>321</v>
      </c>
      <c r="AH200" s="32">
        <v>0.96107784431137722</v>
      </c>
      <c r="AI200" s="35">
        <v>315</v>
      </c>
      <c r="AJ200" s="32">
        <v>0.112781954887218</v>
      </c>
      <c r="AK200" s="35">
        <v>17</v>
      </c>
      <c r="AL200" s="32">
        <v>0.87936507936507935</v>
      </c>
      <c r="AM200" s="35">
        <v>308</v>
      </c>
      <c r="AN200" s="35">
        <v>277</v>
      </c>
      <c r="AO200" s="32">
        <v>9.9176512710347303E-2</v>
      </c>
      <c r="AP200" s="32">
        <v>0.8293413173652695</v>
      </c>
      <c r="AQ200" s="33">
        <v>0.97770700636942676</v>
      </c>
      <c r="AR200" s="33" t="s">
        <v>411</v>
      </c>
      <c r="AS200" s="33">
        <v>0</v>
      </c>
      <c r="AT200" s="35">
        <v>0</v>
      </c>
      <c r="AU200" s="35">
        <v>0</v>
      </c>
      <c r="AV200" s="35">
        <v>42</v>
      </c>
      <c r="AW200" s="35">
        <v>32</v>
      </c>
      <c r="AX200" s="35">
        <v>39</v>
      </c>
      <c r="AY200" s="35">
        <v>135</v>
      </c>
      <c r="AZ200" s="32">
        <v>1.1457214464733261E-2</v>
      </c>
      <c r="BA200" s="32">
        <v>1.396348012889366E-2</v>
      </c>
      <c r="BB200" s="32">
        <v>4.8335123523093451E-2</v>
      </c>
      <c r="BC200" s="32">
        <v>0.1407942238267148</v>
      </c>
      <c r="BD200" s="35">
        <v>0</v>
      </c>
      <c r="BE200" s="35">
        <v>0</v>
      </c>
      <c r="BF200" s="33">
        <v>1</v>
      </c>
      <c r="BG200" s="33">
        <v>1</v>
      </c>
      <c r="BH200" s="33" t="s">
        <v>412</v>
      </c>
    </row>
    <row r="201" spans="1:60" ht="19.5" customHeight="1">
      <c r="A201" s="36">
        <v>198</v>
      </c>
      <c r="B201" s="31" t="s">
        <v>410</v>
      </c>
      <c r="C201" s="37">
        <v>46206</v>
      </c>
      <c r="D201" s="31" t="s">
        <v>336</v>
      </c>
      <c r="E201" s="31">
        <v>2232</v>
      </c>
      <c r="F201" s="31">
        <v>2029</v>
      </c>
      <c r="G201" s="32">
        <v>0.90905017921146958</v>
      </c>
      <c r="H201" s="31">
        <v>1214</v>
      </c>
      <c r="I201" s="33">
        <v>0.54390681003584229</v>
      </c>
      <c r="J201" s="31">
        <v>2673</v>
      </c>
      <c r="K201" s="31">
        <v>2617</v>
      </c>
      <c r="L201" s="32">
        <v>0.97899999999999998</v>
      </c>
      <c r="M201" s="31">
        <v>17960</v>
      </c>
      <c r="N201" s="31">
        <v>18652</v>
      </c>
      <c r="O201" s="31">
        <v>17757</v>
      </c>
      <c r="P201" s="32">
        <v>0.98869710467706018</v>
      </c>
      <c r="Q201" s="31">
        <v>36</v>
      </c>
      <c r="R201" s="31">
        <v>0</v>
      </c>
      <c r="S201" s="31">
        <v>0</v>
      </c>
      <c r="T201" s="32">
        <v>0</v>
      </c>
      <c r="U201" s="31">
        <v>0</v>
      </c>
      <c r="V201" s="32">
        <v>0</v>
      </c>
      <c r="W201" s="31">
        <v>516</v>
      </c>
      <c r="X201" s="32">
        <v>0.23118279569892469</v>
      </c>
      <c r="Y201" s="31">
        <v>869</v>
      </c>
      <c r="Z201" s="34">
        <v>0.38933691756272398</v>
      </c>
      <c r="AA201" s="31">
        <v>0</v>
      </c>
      <c r="AB201" s="32">
        <v>0</v>
      </c>
      <c r="AC201" s="31">
        <v>163</v>
      </c>
      <c r="AD201" s="32">
        <v>7.3028673835125443E-2</v>
      </c>
      <c r="AE201" s="31">
        <v>34</v>
      </c>
      <c r="AF201" s="32">
        <v>0.20858895705521471</v>
      </c>
      <c r="AG201" s="31">
        <v>159</v>
      </c>
      <c r="AH201" s="32">
        <v>0.97546012269938653</v>
      </c>
      <c r="AI201" s="35">
        <v>164</v>
      </c>
      <c r="AJ201" s="32">
        <v>7.3476702508960573E-2</v>
      </c>
      <c r="AK201" s="35">
        <v>8</v>
      </c>
      <c r="AL201" s="32">
        <v>0.92682926829268297</v>
      </c>
      <c r="AM201" s="35">
        <v>159</v>
      </c>
      <c r="AN201" s="35">
        <v>152</v>
      </c>
      <c r="AO201" s="32">
        <v>6.8100358422939072E-2</v>
      </c>
      <c r="AP201" s="32">
        <v>0.93251533742331283</v>
      </c>
      <c r="AQ201" s="33">
        <v>0.93430656934306566</v>
      </c>
      <c r="AR201" s="33" t="s">
        <v>411</v>
      </c>
      <c r="AS201" s="33">
        <v>0</v>
      </c>
      <c r="AT201" s="35">
        <v>0</v>
      </c>
      <c r="AU201" s="35">
        <v>0</v>
      </c>
      <c r="AV201" s="35">
        <v>45</v>
      </c>
      <c r="AW201" s="35">
        <v>29</v>
      </c>
      <c r="AX201" s="35">
        <v>35</v>
      </c>
      <c r="AY201" s="35">
        <v>90</v>
      </c>
      <c r="AZ201" s="32">
        <v>1.2992831541218639E-2</v>
      </c>
      <c r="BA201" s="32">
        <v>1.5681003584229389E-2</v>
      </c>
      <c r="BB201" s="32">
        <v>4.0322580645161289E-2</v>
      </c>
      <c r="BC201" s="32">
        <v>0.23026315789473681</v>
      </c>
      <c r="BD201" s="35">
        <v>0</v>
      </c>
      <c r="BE201" s="35">
        <v>0</v>
      </c>
      <c r="BF201" s="33">
        <v>1</v>
      </c>
      <c r="BG201" s="33">
        <v>1</v>
      </c>
      <c r="BH201" s="33" t="s">
        <v>412</v>
      </c>
    </row>
    <row r="202" spans="1:60" ht="19.5" customHeight="1">
      <c r="A202" s="36">
        <v>199</v>
      </c>
      <c r="B202" s="31" t="s">
        <v>410</v>
      </c>
      <c r="C202" s="37">
        <v>46207</v>
      </c>
      <c r="D202" s="31"/>
      <c r="E202" s="31">
        <v>49</v>
      </c>
      <c r="F202" s="31">
        <v>47</v>
      </c>
      <c r="G202" s="32">
        <v>0.95918367346938771</v>
      </c>
      <c r="H202" s="31">
        <v>49</v>
      </c>
      <c r="I202" s="33">
        <v>1</v>
      </c>
      <c r="J202" s="31">
        <v>0</v>
      </c>
      <c r="K202" s="31">
        <v>0</v>
      </c>
      <c r="L202" s="32">
        <v>0</v>
      </c>
      <c r="M202" s="31">
        <v>4</v>
      </c>
      <c r="N202" s="31">
        <v>0</v>
      </c>
      <c r="O202" s="31">
        <v>1</v>
      </c>
      <c r="P202" s="32">
        <v>0.25</v>
      </c>
      <c r="Q202" s="31">
        <v>3</v>
      </c>
      <c r="R202" s="31">
        <v>0</v>
      </c>
      <c r="S202" s="31">
        <v>0</v>
      </c>
      <c r="T202" s="32">
        <v>0</v>
      </c>
      <c r="U202" s="31">
        <v>0</v>
      </c>
      <c r="V202" s="32">
        <v>0</v>
      </c>
      <c r="W202" s="31">
        <v>31</v>
      </c>
      <c r="X202" s="32">
        <v>0.63265306122448983</v>
      </c>
      <c r="Y202" s="31">
        <v>14</v>
      </c>
      <c r="Z202" s="34">
        <v>0.2857142857142857</v>
      </c>
      <c r="AA202" s="31">
        <v>0</v>
      </c>
      <c r="AB202" s="32">
        <v>0</v>
      </c>
      <c r="AC202" s="31">
        <v>0</v>
      </c>
      <c r="AD202" s="32">
        <v>0</v>
      </c>
      <c r="AE202" s="31">
        <v>0</v>
      </c>
      <c r="AF202" s="32">
        <v>0</v>
      </c>
      <c r="AG202" s="31">
        <v>0</v>
      </c>
      <c r="AH202" s="32">
        <v>0</v>
      </c>
      <c r="AI202" s="35">
        <v>0</v>
      </c>
      <c r="AJ202" s="32">
        <v>0</v>
      </c>
      <c r="AK202" s="35">
        <v>0</v>
      </c>
      <c r="AL202" s="32">
        <v>0</v>
      </c>
      <c r="AM202" s="35">
        <v>0</v>
      </c>
      <c r="AN202" s="35">
        <v>0</v>
      </c>
      <c r="AO202" s="32">
        <v>0</v>
      </c>
      <c r="AP202" s="32">
        <v>0</v>
      </c>
      <c r="AQ202" s="33">
        <v>0</v>
      </c>
      <c r="AR202" s="33" t="s">
        <v>411</v>
      </c>
      <c r="AS202" s="33">
        <v>0</v>
      </c>
      <c r="AT202" s="35">
        <v>0</v>
      </c>
      <c r="AU202" s="35">
        <v>0</v>
      </c>
      <c r="AV202" s="35">
        <v>0</v>
      </c>
      <c r="AW202" s="35">
        <v>0</v>
      </c>
      <c r="AX202" s="35">
        <v>0</v>
      </c>
      <c r="AY202" s="35">
        <v>0</v>
      </c>
      <c r="AZ202" s="32">
        <v>0</v>
      </c>
      <c r="BA202" s="32">
        <v>0</v>
      </c>
      <c r="BB202" s="32">
        <v>0</v>
      </c>
      <c r="BC202" s="32">
        <v>0</v>
      </c>
      <c r="BD202" s="35">
        <v>0</v>
      </c>
      <c r="BE202" s="35">
        <v>0</v>
      </c>
      <c r="BF202" s="33" t="s">
        <v>412</v>
      </c>
      <c r="BG202" s="33" t="s">
        <v>412</v>
      </c>
      <c r="BH202" s="33">
        <v>0.99173553719008267</v>
      </c>
    </row>
    <row r="203" spans="1:60" ht="19.5" customHeight="1">
      <c r="A203" s="36">
        <v>200</v>
      </c>
      <c r="B203" s="31" t="s">
        <v>410</v>
      </c>
      <c r="C203" s="37">
        <v>46207</v>
      </c>
      <c r="D203" s="31" t="s">
        <v>413</v>
      </c>
      <c r="E203" s="31">
        <v>2</v>
      </c>
      <c r="F203" s="31">
        <v>2</v>
      </c>
      <c r="G203" s="32">
        <v>1</v>
      </c>
      <c r="H203" s="31">
        <v>0</v>
      </c>
      <c r="I203" s="33">
        <v>0</v>
      </c>
      <c r="J203" s="31">
        <v>1</v>
      </c>
      <c r="K203" s="31">
        <v>1</v>
      </c>
      <c r="L203" s="32">
        <v>1</v>
      </c>
      <c r="M203" s="31">
        <v>3</v>
      </c>
      <c r="N203" s="31">
        <v>7</v>
      </c>
      <c r="O203" s="31">
        <v>3</v>
      </c>
      <c r="P203" s="32">
        <v>1</v>
      </c>
      <c r="Q203" s="31">
        <v>0</v>
      </c>
      <c r="R203" s="31">
        <v>0</v>
      </c>
      <c r="S203" s="31">
        <v>0</v>
      </c>
      <c r="T203" s="32">
        <v>0</v>
      </c>
      <c r="U203" s="31">
        <v>0</v>
      </c>
      <c r="V203" s="32">
        <v>0</v>
      </c>
      <c r="W203" s="31">
        <v>0</v>
      </c>
      <c r="X203" s="32">
        <v>0</v>
      </c>
      <c r="Y203" s="31">
        <v>0</v>
      </c>
      <c r="Z203" s="34">
        <v>0</v>
      </c>
      <c r="AA203" s="31">
        <v>0</v>
      </c>
      <c r="AB203" s="32">
        <v>0</v>
      </c>
      <c r="AC203" s="31">
        <v>0</v>
      </c>
      <c r="AD203" s="32">
        <v>0</v>
      </c>
      <c r="AE203" s="31">
        <v>0</v>
      </c>
      <c r="AF203" s="32">
        <v>0</v>
      </c>
      <c r="AG203" s="31">
        <v>0</v>
      </c>
      <c r="AH203" s="32">
        <v>0</v>
      </c>
      <c r="AI203" s="35">
        <v>0</v>
      </c>
      <c r="AJ203" s="32">
        <v>0</v>
      </c>
      <c r="AK203" s="35">
        <v>0</v>
      </c>
      <c r="AL203" s="32">
        <v>0</v>
      </c>
      <c r="AM203" s="35">
        <v>0</v>
      </c>
      <c r="AN203" s="35">
        <v>0</v>
      </c>
      <c r="AO203" s="32">
        <v>0</v>
      </c>
      <c r="AP203" s="32">
        <v>0</v>
      </c>
      <c r="AQ203" s="33"/>
      <c r="AR203" s="33" t="s">
        <v>411</v>
      </c>
      <c r="AS203" s="33" t="s">
        <v>411</v>
      </c>
      <c r="AT203" s="35">
        <v>0</v>
      </c>
      <c r="AU203" s="35">
        <v>0</v>
      </c>
      <c r="AV203" s="35">
        <v>0</v>
      </c>
      <c r="AW203" s="35">
        <v>0</v>
      </c>
      <c r="AX203" s="35">
        <v>0</v>
      </c>
      <c r="AY203" s="35">
        <v>0</v>
      </c>
      <c r="AZ203" s="32">
        <v>0</v>
      </c>
      <c r="BA203" s="32">
        <v>0</v>
      </c>
      <c r="BB203" s="32">
        <v>0</v>
      </c>
      <c r="BC203" s="32">
        <v>0</v>
      </c>
      <c r="BD203" s="35">
        <v>0</v>
      </c>
      <c r="BE203" s="35">
        <v>0</v>
      </c>
      <c r="BF203" s="33" t="s">
        <v>412</v>
      </c>
      <c r="BG203" s="33" t="s">
        <v>412</v>
      </c>
      <c r="BH203" s="33" t="s">
        <v>412</v>
      </c>
    </row>
    <row r="204" spans="1:60" ht="19.5" customHeight="1">
      <c r="A204" s="36">
        <v>201</v>
      </c>
      <c r="B204" s="31" t="s">
        <v>410</v>
      </c>
      <c r="C204" s="37">
        <v>46207</v>
      </c>
      <c r="D204" s="31" t="s">
        <v>335</v>
      </c>
      <c r="E204" s="31">
        <v>1774</v>
      </c>
      <c r="F204" s="31">
        <v>1571</v>
      </c>
      <c r="G204" s="32">
        <v>0.88556933483652767</v>
      </c>
      <c r="H204" s="31">
        <v>727</v>
      </c>
      <c r="I204" s="33">
        <v>0.40980834272829758</v>
      </c>
      <c r="J204" s="31">
        <v>1673</v>
      </c>
      <c r="K204" s="31">
        <v>1627</v>
      </c>
      <c r="L204" s="32">
        <v>0.97299999999999998</v>
      </c>
      <c r="M204" s="31">
        <v>10436</v>
      </c>
      <c r="N204" s="31">
        <v>10390</v>
      </c>
      <c r="O204" s="31">
        <v>10305</v>
      </c>
      <c r="P204" s="32">
        <v>0.98744729781525487</v>
      </c>
      <c r="Q204" s="31">
        <v>26</v>
      </c>
      <c r="R204" s="31">
        <v>0</v>
      </c>
      <c r="S204" s="31">
        <v>0</v>
      </c>
      <c r="T204" s="32">
        <v>0</v>
      </c>
      <c r="U204" s="31">
        <v>0</v>
      </c>
      <c r="V204" s="32">
        <v>0</v>
      </c>
      <c r="W204" s="31">
        <v>305</v>
      </c>
      <c r="X204" s="32">
        <v>0.17192784667418259</v>
      </c>
      <c r="Y204" s="31">
        <v>963</v>
      </c>
      <c r="Z204" s="34">
        <v>0.54284103720405863</v>
      </c>
      <c r="AA204" s="31">
        <v>0</v>
      </c>
      <c r="AB204" s="32">
        <v>0</v>
      </c>
      <c r="AC204" s="31">
        <v>180</v>
      </c>
      <c r="AD204" s="32">
        <v>0.10146561443066519</v>
      </c>
      <c r="AE204" s="31">
        <v>35</v>
      </c>
      <c r="AF204" s="32">
        <v>0.19444444444444439</v>
      </c>
      <c r="AG204" s="31">
        <v>171</v>
      </c>
      <c r="AH204" s="32">
        <v>0.95</v>
      </c>
      <c r="AI204" s="35">
        <v>180</v>
      </c>
      <c r="AJ204" s="32">
        <v>0.10146561443066519</v>
      </c>
      <c r="AK204" s="35">
        <v>8</v>
      </c>
      <c r="AL204" s="32">
        <v>0.77777777777777779</v>
      </c>
      <c r="AM204" s="35">
        <v>168</v>
      </c>
      <c r="AN204" s="35">
        <v>140</v>
      </c>
      <c r="AO204" s="32">
        <v>7.8917700112739575E-2</v>
      </c>
      <c r="AP204" s="32">
        <v>0.77777777777777779</v>
      </c>
      <c r="AQ204" s="33">
        <v>1</v>
      </c>
      <c r="AR204" s="33" t="s">
        <v>411</v>
      </c>
      <c r="AS204" s="33">
        <v>0</v>
      </c>
      <c r="AT204" s="35">
        <v>0</v>
      </c>
      <c r="AU204" s="35">
        <v>0</v>
      </c>
      <c r="AV204" s="35">
        <v>45</v>
      </c>
      <c r="AW204" s="35">
        <v>44</v>
      </c>
      <c r="AX204" s="35">
        <v>38</v>
      </c>
      <c r="AY204" s="35">
        <v>26</v>
      </c>
      <c r="AZ204" s="32">
        <v>2.480270574971815E-2</v>
      </c>
      <c r="BA204" s="32">
        <v>2.1420518602029311E-2</v>
      </c>
      <c r="BB204" s="32">
        <v>1.4656144306651631E-2</v>
      </c>
      <c r="BC204" s="32">
        <v>0.27142857142857141</v>
      </c>
      <c r="BD204" s="35">
        <v>0</v>
      </c>
      <c r="BE204" s="35">
        <v>1</v>
      </c>
      <c r="BF204" s="33">
        <v>0.8</v>
      </c>
      <c r="BG204" s="33">
        <v>1</v>
      </c>
      <c r="BH204" s="33" t="s">
        <v>412</v>
      </c>
    </row>
    <row r="205" spans="1:60" ht="19.5" customHeight="1">
      <c r="A205" s="36">
        <v>202</v>
      </c>
      <c r="B205" s="31" t="s">
        <v>410</v>
      </c>
      <c r="C205" s="37">
        <v>46207</v>
      </c>
      <c r="D205" s="31" t="s">
        <v>334</v>
      </c>
      <c r="E205" s="31">
        <v>1710</v>
      </c>
      <c r="F205" s="31">
        <v>1496</v>
      </c>
      <c r="G205" s="32">
        <v>0.87485380116959066</v>
      </c>
      <c r="H205" s="31">
        <v>732</v>
      </c>
      <c r="I205" s="33">
        <v>0.42807017543859649</v>
      </c>
      <c r="J205" s="31">
        <v>1528</v>
      </c>
      <c r="K205" s="31">
        <v>1492</v>
      </c>
      <c r="L205" s="32">
        <v>0.97599999999999998</v>
      </c>
      <c r="M205" s="31">
        <v>9015</v>
      </c>
      <c r="N205" s="31">
        <v>9037</v>
      </c>
      <c r="O205" s="31">
        <v>8891</v>
      </c>
      <c r="P205" s="32">
        <v>0.98624514697726007</v>
      </c>
      <c r="Q205" s="31">
        <v>20</v>
      </c>
      <c r="R205" s="31">
        <v>0</v>
      </c>
      <c r="S205" s="31">
        <v>0</v>
      </c>
      <c r="T205" s="32">
        <v>0</v>
      </c>
      <c r="U205" s="31">
        <v>0</v>
      </c>
      <c r="V205" s="32">
        <v>0</v>
      </c>
      <c r="W205" s="31">
        <v>295</v>
      </c>
      <c r="X205" s="32">
        <v>0.1725146198830409</v>
      </c>
      <c r="Y205" s="31">
        <v>693</v>
      </c>
      <c r="Z205" s="34">
        <v>0.40526315789473683</v>
      </c>
      <c r="AA205" s="31">
        <v>0</v>
      </c>
      <c r="AB205" s="32">
        <v>0</v>
      </c>
      <c r="AC205" s="31">
        <v>182</v>
      </c>
      <c r="AD205" s="32">
        <v>0.1064327485380117</v>
      </c>
      <c r="AE205" s="31">
        <v>19</v>
      </c>
      <c r="AF205" s="32">
        <v>0.1043956043956044</v>
      </c>
      <c r="AG205" s="31">
        <v>176</v>
      </c>
      <c r="AH205" s="32">
        <v>0.96703296703296704</v>
      </c>
      <c r="AI205" s="35">
        <v>184</v>
      </c>
      <c r="AJ205" s="32">
        <v>0.1076023391812865</v>
      </c>
      <c r="AK205" s="35">
        <v>6</v>
      </c>
      <c r="AL205" s="32">
        <v>0.77173913043478259</v>
      </c>
      <c r="AM205" s="35">
        <v>172</v>
      </c>
      <c r="AN205" s="35">
        <v>142</v>
      </c>
      <c r="AO205" s="32">
        <v>8.3040935672514624E-2</v>
      </c>
      <c r="AP205" s="32">
        <v>0.78021978021978022</v>
      </c>
      <c r="AQ205" s="33">
        <v>0.95714285714285718</v>
      </c>
      <c r="AR205" s="33" t="s">
        <v>411</v>
      </c>
      <c r="AS205" s="33">
        <v>0</v>
      </c>
      <c r="AT205" s="35">
        <v>0</v>
      </c>
      <c r="AU205" s="35">
        <v>0</v>
      </c>
      <c r="AV205" s="35">
        <v>45</v>
      </c>
      <c r="AW205" s="35">
        <v>41</v>
      </c>
      <c r="AX205" s="35">
        <v>41</v>
      </c>
      <c r="AY205" s="35">
        <v>31</v>
      </c>
      <c r="AZ205" s="32">
        <v>2.3976608187134499E-2</v>
      </c>
      <c r="BA205" s="32">
        <v>2.3976608187134499E-2</v>
      </c>
      <c r="BB205" s="32">
        <v>1.812865497076023E-2</v>
      </c>
      <c r="BC205" s="32">
        <v>0.28873239436619719</v>
      </c>
      <c r="BD205" s="35">
        <v>0</v>
      </c>
      <c r="BE205" s="35">
        <v>0</v>
      </c>
      <c r="BF205" s="33">
        <v>0.91666666666666663</v>
      </c>
      <c r="BG205" s="33">
        <v>1</v>
      </c>
      <c r="BH205" s="33" t="s">
        <v>412</v>
      </c>
    </row>
    <row r="206" spans="1:60" ht="19.5" customHeight="1">
      <c r="A206" s="36">
        <v>203</v>
      </c>
      <c r="B206" s="31" t="s">
        <v>410</v>
      </c>
      <c r="C206" s="37">
        <v>46207</v>
      </c>
      <c r="D206" s="31" t="s">
        <v>337</v>
      </c>
      <c r="E206" s="31">
        <v>3613</v>
      </c>
      <c r="F206" s="31">
        <v>3231</v>
      </c>
      <c r="G206" s="32">
        <v>0.89427068917796848</v>
      </c>
      <c r="H206" s="31">
        <v>1254</v>
      </c>
      <c r="I206" s="33">
        <v>0.34707998892886799</v>
      </c>
      <c r="J206" s="31">
        <v>3335</v>
      </c>
      <c r="K206" s="31">
        <v>3255</v>
      </c>
      <c r="L206" s="32">
        <v>0.97599999999999998</v>
      </c>
      <c r="M206" s="31">
        <v>22744</v>
      </c>
      <c r="N206" s="31">
        <v>22750</v>
      </c>
      <c r="O206" s="31">
        <v>22377</v>
      </c>
      <c r="P206" s="32">
        <v>0.98386387618712623</v>
      </c>
      <c r="Q206" s="31">
        <v>65</v>
      </c>
      <c r="R206" s="31">
        <v>0</v>
      </c>
      <c r="S206" s="31">
        <v>0</v>
      </c>
      <c r="T206" s="32">
        <v>0</v>
      </c>
      <c r="U206" s="31">
        <v>0</v>
      </c>
      <c r="V206" s="32">
        <v>0</v>
      </c>
      <c r="W206" s="31">
        <v>610</v>
      </c>
      <c r="X206" s="32">
        <v>0.168834763354553</v>
      </c>
      <c r="Y206" s="31">
        <v>1890</v>
      </c>
      <c r="Z206" s="34">
        <v>0.52311098809853307</v>
      </c>
      <c r="AA206" s="31">
        <v>0</v>
      </c>
      <c r="AB206" s="32">
        <v>0</v>
      </c>
      <c r="AC206" s="31">
        <v>663</v>
      </c>
      <c r="AD206" s="32">
        <v>0.1835040132853584</v>
      </c>
      <c r="AE206" s="31">
        <v>82</v>
      </c>
      <c r="AF206" s="32">
        <v>0.1236802413273002</v>
      </c>
      <c r="AG206" s="31">
        <v>641</v>
      </c>
      <c r="AH206" s="32">
        <v>0.96681749622926094</v>
      </c>
      <c r="AI206" s="35">
        <v>691</v>
      </c>
      <c r="AJ206" s="32">
        <v>0.191253805701633</v>
      </c>
      <c r="AK206" s="35">
        <v>21</v>
      </c>
      <c r="AL206" s="32">
        <v>0.8581765557163531</v>
      </c>
      <c r="AM206" s="35">
        <v>646</v>
      </c>
      <c r="AN206" s="35">
        <v>593</v>
      </c>
      <c r="AO206" s="32">
        <v>0.164129532244672</v>
      </c>
      <c r="AP206" s="32">
        <v>0.89441930618401211</v>
      </c>
      <c r="AQ206" s="33">
        <v>0.9701986754966887</v>
      </c>
      <c r="AR206" s="33" t="s">
        <v>411</v>
      </c>
      <c r="AS206" s="33">
        <v>0</v>
      </c>
      <c r="AT206" s="35">
        <v>0</v>
      </c>
      <c r="AU206" s="35">
        <v>0</v>
      </c>
      <c r="AV206" s="35">
        <v>116</v>
      </c>
      <c r="AW206" s="35">
        <v>110</v>
      </c>
      <c r="AX206" s="35">
        <v>105</v>
      </c>
      <c r="AY206" s="35">
        <v>117</v>
      </c>
      <c r="AZ206" s="32">
        <v>3.0445613063935791E-2</v>
      </c>
      <c r="BA206" s="32">
        <v>2.906172156102961E-2</v>
      </c>
      <c r="BB206" s="32">
        <v>3.2383061168004428E-2</v>
      </c>
      <c r="BC206" s="32">
        <v>0.1770657672849916</v>
      </c>
      <c r="BD206" s="35">
        <v>0</v>
      </c>
      <c r="BE206" s="35">
        <v>1</v>
      </c>
      <c r="BF206" s="33">
        <v>1</v>
      </c>
      <c r="BG206" s="33">
        <v>0.9285714285714286</v>
      </c>
      <c r="BH206" s="33" t="s">
        <v>412</v>
      </c>
    </row>
    <row r="207" spans="1:60" ht="19.5" customHeight="1">
      <c r="A207" s="36">
        <v>204</v>
      </c>
      <c r="B207" s="31" t="s">
        <v>410</v>
      </c>
      <c r="C207" s="37">
        <v>46207</v>
      </c>
      <c r="D207" s="31" t="s">
        <v>336</v>
      </c>
      <c r="E207" s="31">
        <v>2251</v>
      </c>
      <c r="F207" s="31">
        <v>2022</v>
      </c>
      <c r="G207" s="32">
        <v>0.89826743669480236</v>
      </c>
      <c r="H207" s="31">
        <v>1337</v>
      </c>
      <c r="I207" s="33">
        <v>0.59395824078187476</v>
      </c>
      <c r="J207" s="31">
        <v>3363</v>
      </c>
      <c r="K207" s="31">
        <v>3299</v>
      </c>
      <c r="L207" s="32">
        <v>0.98099999999999998</v>
      </c>
      <c r="M207" s="31">
        <v>19187</v>
      </c>
      <c r="N207" s="31">
        <v>19190</v>
      </c>
      <c r="O207" s="31">
        <v>18959</v>
      </c>
      <c r="P207" s="32">
        <v>0.98811695418773127</v>
      </c>
      <c r="Q207" s="31">
        <v>40</v>
      </c>
      <c r="R207" s="31">
        <v>0</v>
      </c>
      <c r="S207" s="31">
        <v>0</v>
      </c>
      <c r="T207" s="32">
        <v>0</v>
      </c>
      <c r="U207" s="31">
        <v>0</v>
      </c>
      <c r="V207" s="32">
        <v>0</v>
      </c>
      <c r="W207" s="31">
        <v>454</v>
      </c>
      <c r="X207" s="32">
        <v>0.2016881386050644</v>
      </c>
      <c r="Y207" s="31">
        <v>1213</v>
      </c>
      <c r="Z207" s="34">
        <v>0.53887161261661487</v>
      </c>
      <c r="AA207" s="31">
        <v>0</v>
      </c>
      <c r="AB207" s="32">
        <v>0</v>
      </c>
      <c r="AC207" s="31">
        <v>270</v>
      </c>
      <c r="AD207" s="32">
        <v>0.1199466903598401</v>
      </c>
      <c r="AE207" s="31">
        <v>43</v>
      </c>
      <c r="AF207" s="32">
        <v>0.15925925925925929</v>
      </c>
      <c r="AG207" s="31">
        <v>261</v>
      </c>
      <c r="AH207" s="32">
        <v>0.96666666666666667</v>
      </c>
      <c r="AI207" s="35">
        <v>288</v>
      </c>
      <c r="AJ207" s="32">
        <v>0.1279431363838294</v>
      </c>
      <c r="AK207" s="35">
        <v>11</v>
      </c>
      <c r="AL207" s="32">
        <v>0.84722222222222221</v>
      </c>
      <c r="AM207" s="35">
        <v>270</v>
      </c>
      <c r="AN207" s="35">
        <v>244</v>
      </c>
      <c r="AO207" s="32">
        <v>0.1083962683251888</v>
      </c>
      <c r="AP207" s="32">
        <v>0.90370370370370368</v>
      </c>
      <c r="AQ207" s="33">
        <v>0.9503105590062112</v>
      </c>
      <c r="AR207" s="33" t="s">
        <v>411</v>
      </c>
      <c r="AS207" s="33">
        <v>0</v>
      </c>
      <c r="AT207" s="35">
        <v>0</v>
      </c>
      <c r="AU207" s="35">
        <v>0</v>
      </c>
      <c r="AV207" s="35">
        <v>68</v>
      </c>
      <c r="AW207" s="35">
        <v>58</v>
      </c>
      <c r="AX207" s="35">
        <v>58</v>
      </c>
      <c r="AY207" s="35">
        <v>58</v>
      </c>
      <c r="AZ207" s="32">
        <v>2.5766326077298979E-2</v>
      </c>
      <c r="BA207" s="32">
        <v>2.5766326077298979E-2</v>
      </c>
      <c r="BB207" s="32">
        <v>2.5766326077298979E-2</v>
      </c>
      <c r="BC207" s="32">
        <v>0.2377049180327869</v>
      </c>
      <c r="BD207" s="35">
        <v>0</v>
      </c>
      <c r="BE207" s="35">
        <v>0</v>
      </c>
      <c r="BF207" s="33">
        <v>1</v>
      </c>
      <c r="BG207" s="33">
        <v>0.94736842105263153</v>
      </c>
      <c r="BH207" s="33" t="s">
        <v>412</v>
      </c>
    </row>
    <row r="208" spans="1:60" ht="19.5" customHeight="1">
      <c r="A208" s="36">
        <v>205</v>
      </c>
      <c r="B208" s="31" t="s">
        <v>410</v>
      </c>
      <c r="C208" s="37">
        <v>46208</v>
      </c>
      <c r="D208" s="31"/>
      <c r="E208" s="31">
        <v>54</v>
      </c>
      <c r="F208" s="31">
        <v>54</v>
      </c>
      <c r="G208" s="32">
        <v>1</v>
      </c>
      <c r="H208" s="31">
        <v>54</v>
      </c>
      <c r="I208" s="33">
        <v>1</v>
      </c>
      <c r="J208" s="31">
        <v>1</v>
      </c>
      <c r="K208" s="31">
        <v>0</v>
      </c>
      <c r="L208" s="32">
        <v>0</v>
      </c>
      <c r="M208" s="31">
        <v>1</v>
      </c>
      <c r="N208" s="31">
        <v>0</v>
      </c>
      <c r="O208" s="31">
        <v>0</v>
      </c>
      <c r="P208" s="32">
        <v>0</v>
      </c>
      <c r="Q208" s="31">
        <v>1</v>
      </c>
      <c r="R208" s="31">
        <v>0</v>
      </c>
      <c r="S208" s="31">
        <v>0</v>
      </c>
      <c r="T208" s="32">
        <v>0</v>
      </c>
      <c r="U208" s="31">
        <v>0</v>
      </c>
      <c r="V208" s="32">
        <v>0</v>
      </c>
      <c r="W208" s="31">
        <v>14</v>
      </c>
      <c r="X208" s="32">
        <v>0.25925925925925919</v>
      </c>
      <c r="Y208" s="31">
        <v>15</v>
      </c>
      <c r="Z208" s="34">
        <v>0.27777777777777779</v>
      </c>
      <c r="AA208" s="31">
        <v>0</v>
      </c>
      <c r="AB208" s="32">
        <v>0</v>
      </c>
      <c r="AC208" s="31">
        <v>0</v>
      </c>
      <c r="AD208" s="32">
        <v>0</v>
      </c>
      <c r="AE208" s="31">
        <v>0</v>
      </c>
      <c r="AF208" s="32">
        <v>0</v>
      </c>
      <c r="AG208" s="31">
        <v>0</v>
      </c>
      <c r="AH208" s="32">
        <v>0</v>
      </c>
      <c r="AI208" s="35">
        <v>0</v>
      </c>
      <c r="AJ208" s="32">
        <v>0</v>
      </c>
      <c r="AK208" s="35">
        <v>0</v>
      </c>
      <c r="AL208" s="32">
        <v>0</v>
      </c>
      <c r="AM208" s="35">
        <v>0</v>
      </c>
      <c r="AN208" s="35">
        <v>0</v>
      </c>
      <c r="AO208" s="32">
        <v>0</v>
      </c>
      <c r="AP208" s="32">
        <v>0</v>
      </c>
      <c r="AQ208" s="33">
        <v>0</v>
      </c>
      <c r="AR208" s="33" t="s">
        <v>411</v>
      </c>
      <c r="AS208" s="33">
        <v>0</v>
      </c>
      <c r="AT208" s="35">
        <v>0</v>
      </c>
      <c r="AU208" s="35">
        <v>0</v>
      </c>
      <c r="AV208" s="35">
        <v>0</v>
      </c>
      <c r="AW208" s="35">
        <v>0</v>
      </c>
      <c r="AX208" s="35">
        <v>0</v>
      </c>
      <c r="AY208" s="35">
        <v>0</v>
      </c>
      <c r="AZ208" s="32">
        <v>0</v>
      </c>
      <c r="BA208" s="32">
        <v>0</v>
      </c>
      <c r="BB208" s="32">
        <v>0</v>
      </c>
      <c r="BC208" s="32">
        <v>0</v>
      </c>
      <c r="BD208" s="35">
        <v>0</v>
      </c>
      <c r="BE208" s="35">
        <v>1</v>
      </c>
      <c r="BF208" s="33" t="s">
        <v>412</v>
      </c>
      <c r="BG208" s="33" t="s">
        <v>412</v>
      </c>
      <c r="BH208" s="33">
        <v>0.97058823529411764</v>
      </c>
    </row>
    <row r="209" spans="1:60" ht="19.5" customHeight="1">
      <c r="A209" s="36">
        <v>206</v>
      </c>
      <c r="B209" s="31" t="s">
        <v>410</v>
      </c>
      <c r="C209" s="37">
        <v>46208</v>
      </c>
      <c r="D209" s="31" t="s">
        <v>413</v>
      </c>
      <c r="E209" s="31">
        <v>0</v>
      </c>
      <c r="F209" s="31">
        <v>0</v>
      </c>
      <c r="G209" s="32">
        <v>0</v>
      </c>
      <c r="H209" s="31">
        <v>0</v>
      </c>
      <c r="I209" s="33">
        <v>0</v>
      </c>
      <c r="J209" s="31">
        <v>0</v>
      </c>
      <c r="K209" s="31">
        <v>0</v>
      </c>
      <c r="L209" s="32">
        <v>0</v>
      </c>
      <c r="M209" s="31">
        <v>5</v>
      </c>
      <c r="N209" s="31">
        <v>3</v>
      </c>
      <c r="O209" s="31">
        <v>5</v>
      </c>
      <c r="P209" s="32">
        <v>1</v>
      </c>
      <c r="Q209" s="31">
        <v>0</v>
      </c>
      <c r="R209" s="31">
        <v>0</v>
      </c>
      <c r="S209" s="31">
        <v>0</v>
      </c>
      <c r="T209" s="32">
        <v>0</v>
      </c>
      <c r="U209" s="31">
        <v>0</v>
      </c>
      <c r="V209" s="32">
        <v>0</v>
      </c>
      <c r="W209" s="31">
        <v>0</v>
      </c>
      <c r="X209" s="32">
        <v>0</v>
      </c>
      <c r="Y209" s="31">
        <v>0</v>
      </c>
      <c r="Z209" s="34">
        <v>0</v>
      </c>
      <c r="AA209" s="31">
        <v>0</v>
      </c>
      <c r="AB209" s="32">
        <v>0</v>
      </c>
      <c r="AC209" s="31">
        <v>0</v>
      </c>
      <c r="AD209" s="32">
        <v>0</v>
      </c>
      <c r="AE209" s="31">
        <v>0</v>
      </c>
      <c r="AF209" s="32">
        <v>0</v>
      </c>
      <c r="AG209" s="31">
        <v>0</v>
      </c>
      <c r="AH209" s="32">
        <v>0</v>
      </c>
      <c r="AI209" s="35">
        <v>0</v>
      </c>
      <c r="AJ209" s="32">
        <v>0</v>
      </c>
      <c r="AK209" s="35">
        <v>0</v>
      </c>
      <c r="AL209" s="32">
        <v>0</v>
      </c>
      <c r="AM209" s="35">
        <v>0</v>
      </c>
      <c r="AN209" s="35">
        <v>0</v>
      </c>
      <c r="AO209" s="32">
        <v>0</v>
      </c>
      <c r="AP209" s="32">
        <v>0</v>
      </c>
      <c r="AQ209" s="33">
        <v>1</v>
      </c>
      <c r="AR209" s="33" t="s">
        <v>411</v>
      </c>
      <c r="AS209" s="33">
        <v>0</v>
      </c>
      <c r="AT209" s="35">
        <v>0</v>
      </c>
      <c r="AU209" s="35">
        <v>0</v>
      </c>
      <c r="AV209" s="35">
        <v>0</v>
      </c>
      <c r="AW209" s="35">
        <v>0</v>
      </c>
      <c r="AX209" s="35">
        <v>0</v>
      </c>
      <c r="AY209" s="35">
        <v>0</v>
      </c>
      <c r="AZ209" s="32">
        <v>0</v>
      </c>
      <c r="BA209" s="32">
        <v>0</v>
      </c>
      <c r="BB209" s="32">
        <v>0</v>
      </c>
      <c r="BC209" s="32">
        <v>0</v>
      </c>
      <c r="BD209" s="35">
        <v>0</v>
      </c>
      <c r="BE209" s="35">
        <v>0</v>
      </c>
      <c r="BF209" s="33" t="s">
        <v>412</v>
      </c>
      <c r="BG209" s="33" t="s">
        <v>412</v>
      </c>
      <c r="BH209" s="33" t="s">
        <v>412</v>
      </c>
    </row>
    <row r="210" spans="1:60" ht="19.5" customHeight="1">
      <c r="A210" s="36">
        <v>207</v>
      </c>
      <c r="B210" s="31" t="s">
        <v>410</v>
      </c>
      <c r="C210" s="37">
        <v>46208</v>
      </c>
      <c r="D210" s="31" t="s">
        <v>335</v>
      </c>
      <c r="E210" s="31">
        <v>1767</v>
      </c>
      <c r="F210" s="31">
        <v>1541</v>
      </c>
      <c r="G210" s="32">
        <v>0.87209960384833052</v>
      </c>
      <c r="H210" s="31">
        <v>699</v>
      </c>
      <c r="I210" s="33">
        <v>0.39558573853989809</v>
      </c>
      <c r="J210" s="31">
        <v>1774</v>
      </c>
      <c r="K210" s="31">
        <v>1732</v>
      </c>
      <c r="L210" s="32">
        <v>0.97599999999999998</v>
      </c>
      <c r="M210" s="31">
        <v>10954</v>
      </c>
      <c r="N210" s="31">
        <v>11078</v>
      </c>
      <c r="O210" s="31">
        <v>10778</v>
      </c>
      <c r="P210" s="32">
        <v>0.98393280993244481</v>
      </c>
      <c r="Q210" s="31">
        <v>48</v>
      </c>
      <c r="R210" s="31">
        <v>0</v>
      </c>
      <c r="S210" s="31">
        <v>0</v>
      </c>
      <c r="T210" s="32">
        <v>0</v>
      </c>
      <c r="U210" s="31">
        <v>0</v>
      </c>
      <c r="V210" s="32">
        <v>0</v>
      </c>
      <c r="W210" s="31">
        <v>506</v>
      </c>
      <c r="X210" s="32">
        <v>0.28636106395019811</v>
      </c>
      <c r="Y210" s="31">
        <v>1095</v>
      </c>
      <c r="Z210" s="34">
        <v>0.61969439728353137</v>
      </c>
      <c r="AA210" s="31">
        <v>0</v>
      </c>
      <c r="AB210" s="32">
        <v>0</v>
      </c>
      <c r="AC210" s="31">
        <v>161</v>
      </c>
      <c r="AD210" s="32">
        <v>9.1114883984153933E-2</v>
      </c>
      <c r="AE210" s="31">
        <v>25</v>
      </c>
      <c r="AF210" s="32">
        <v>0.15527950310558999</v>
      </c>
      <c r="AG210" s="31">
        <v>153</v>
      </c>
      <c r="AH210" s="32">
        <v>0.9503105590062112</v>
      </c>
      <c r="AI210" s="35">
        <v>160</v>
      </c>
      <c r="AJ210" s="32">
        <v>9.0548953027730611E-2</v>
      </c>
      <c r="AK210" s="35">
        <v>9</v>
      </c>
      <c r="AL210" s="32">
        <v>0.79374999999999996</v>
      </c>
      <c r="AM210" s="35">
        <v>145</v>
      </c>
      <c r="AN210" s="35">
        <v>127</v>
      </c>
      <c r="AO210" s="32">
        <v>7.1873231465761175E-2</v>
      </c>
      <c r="AP210" s="32">
        <v>0.78881987577639756</v>
      </c>
      <c r="AQ210" s="33">
        <v>0.99363057324840764</v>
      </c>
      <c r="AR210" s="33" t="s">
        <v>411</v>
      </c>
      <c r="AS210" s="33">
        <v>0</v>
      </c>
      <c r="AT210" s="35">
        <v>0</v>
      </c>
      <c r="AU210" s="35">
        <v>0</v>
      </c>
      <c r="AV210" s="35">
        <v>73</v>
      </c>
      <c r="AW210" s="35">
        <v>68</v>
      </c>
      <c r="AX210" s="35">
        <v>66</v>
      </c>
      <c r="AY210" s="35">
        <v>26</v>
      </c>
      <c r="AZ210" s="32">
        <v>3.8483305036785508E-2</v>
      </c>
      <c r="BA210" s="32">
        <v>3.7351443123938878E-2</v>
      </c>
      <c r="BB210" s="32">
        <v>1.4714204867006231E-2</v>
      </c>
      <c r="BC210" s="32">
        <v>0.51968503937007871</v>
      </c>
      <c r="BD210" s="35">
        <v>0</v>
      </c>
      <c r="BE210" s="35">
        <v>0</v>
      </c>
      <c r="BF210" s="33">
        <v>1</v>
      </c>
      <c r="BG210" s="33">
        <v>1</v>
      </c>
      <c r="BH210" s="33" t="s">
        <v>412</v>
      </c>
    </row>
    <row r="211" spans="1:60" ht="19.5" customHeight="1">
      <c r="A211" s="36">
        <v>208</v>
      </c>
      <c r="B211" s="31" t="s">
        <v>410</v>
      </c>
      <c r="C211" s="37">
        <v>46208</v>
      </c>
      <c r="D211" s="31" t="s">
        <v>334</v>
      </c>
      <c r="E211" s="31">
        <v>1659</v>
      </c>
      <c r="F211" s="31">
        <v>1467</v>
      </c>
      <c r="G211" s="32">
        <v>0.88426763110307416</v>
      </c>
      <c r="H211" s="31">
        <v>686</v>
      </c>
      <c r="I211" s="33">
        <v>0.41350210970464141</v>
      </c>
      <c r="J211" s="31">
        <v>1845</v>
      </c>
      <c r="K211" s="31">
        <v>1792</v>
      </c>
      <c r="L211" s="32">
        <v>0.97099999999999997</v>
      </c>
      <c r="M211" s="31">
        <v>9375</v>
      </c>
      <c r="N211" s="31">
        <v>9853</v>
      </c>
      <c r="O211" s="31">
        <v>9215</v>
      </c>
      <c r="P211" s="32">
        <v>0.98293333333333333</v>
      </c>
      <c r="Q211" s="31">
        <v>47</v>
      </c>
      <c r="R211" s="31">
        <v>0</v>
      </c>
      <c r="S211" s="31">
        <v>0</v>
      </c>
      <c r="T211" s="32">
        <v>0</v>
      </c>
      <c r="U211" s="31">
        <v>0</v>
      </c>
      <c r="V211" s="32">
        <v>0</v>
      </c>
      <c r="W211" s="31">
        <v>398</v>
      </c>
      <c r="X211" s="32">
        <v>0.23990355635925259</v>
      </c>
      <c r="Y211" s="31">
        <v>921</v>
      </c>
      <c r="Z211" s="34">
        <v>0.55515370705244127</v>
      </c>
      <c r="AA211" s="31">
        <v>0</v>
      </c>
      <c r="AB211" s="32">
        <v>0</v>
      </c>
      <c r="AC211" s="31">
        <v>201</v>
      </c>
      <c r="AD211" s="32">
        <v>0.1211573236889693</v>
      </c>
      <c r="AE211" s="31">
        <v>25</v>
      </c>
      <c r="AF211" s="32">
        <v>0.12437810945273629</v>
      </c>
      <c r="AG211" s="31">
        <v>193</v>
      </c>
      <c r="AH211" s="32">
        <v>0.96019900497512434</v>
      </c>
      <c r="AI211" s="35">
        <v>197</v>
      </c>
      <c r="AJ211" s="32">
        <v>0.11874623267028329</v>
      </c>
      <c r="AK211" s="35">
        <v>3</v>
      </c>
      <c r="AL211" s="32">
        <v>0.8324873096446701</v>
      </c>
      <c r="AM211" s="35">
        <v>189</v>
      </c>
      <c r="AN211" s="35">
        <v>164</v>
      </c>
      <c r="AO211" s="32">
        <v>9.8854731766124165E-2</v>
      </c>
      <c r="AP211" s="32">
        <v>0.8159203980099502</v>
      </c>
      <c r="AQ211" s="33">
        <v>0.95757575757575752</v>
      </c>
      <c r="AR211" s="33" t="s">
        <v>411</v>
      </c>
      <c r="AS211" s="33">
        <v>0</v>
      </c>
      <c r="AT211" s="35">
        <v>0</v>
      </c>
      <c r="AU211" s="35">
        <v>0</v>
      </c>
      <c r="AV211" s="35">
        <v>50</v>
      </c>
      <c r="AW211" s="35">
        <v>48</v>
      </c>
      <c r="AX211" s="35">
        <v>46</v>
      </c>
      <c r="AY211" s="35">
        <v>18</v>
      </c>
      <c r="AZ211" s="32">
        <v>2.893309222423146E-2</v>
      </c>
      <c r="BA211" s="32">
        <v>2.7727546714888491E-2</v>
      </c>
      <c r="BB211" s="32">
        <v>1.0849909584086799E-2</v>
      </c>
      <c r="BC211" s="32">
        <v>0.28048780487804881</v>
      </c>
      <c r="BD211" s="35">
        <v>0</v>
      </c>
      <c r="BE211" s="35">
        <v>0</v>
      </c>
      <c r="BF211" s="33">
        <v>1</v>
      </c>
      <c r="BG211" s="33">
        <v>1</v>
      </c>
      <c r="BH211" s="33" t="s">
        <v>412</v>
      </c>
    </row>
    <row r="212" spans="1:60" ht="19.5" customHeight="1">
      <c r="A212" s="36">
        <v>209</v>
      </c>
      <c r="B212" s="31" t="s">
        <v>410</v>
      </c>
      <c r="C212" s="37">
        <v>46208</v>
      </c>
      <c r="D212" s="31" t="s">
        <v>337</v>
      </c>
      <c r="E212" s="31">
        <v>3929</v>
      </c>
      <c r="F212" s="31">
        <v>3514</v>
      </c>
      <c r="G212" s="32">
        <v>0.89437515907355558</v>
      </c>
      <c r="H212" s="31">
        <v>1284</v>
      </c>
      <c r="I212" s="33">
        <v>0.32680071264952909</v>
      </c>
      <c r="J212" s="31">
        <v>3486</v>
      </c>
      <c r="K212" s="31">
        <v>3392</v>
      </c>
      <c r="L212" s="32">
        <v>0.97299999999999998</v>
      </c>
      <c r="M212" s="31">
        <v>23047</v>
      </c>
      <c r="N212" s="31">
        <v>23498</v>
      </c>
      <c r="O212" s="31">
        <v>22678</v>
      </c>
      <c r="P212" s="32">
        <v>0.98398923938039662</v>
      </c>
      <c r="Q212" s="31">
        <v>101</v>
      </c>
      <c r="R212" s="31">
        <v>0</v>
      </c>
      <c r="S212" s="31">
        <v>0</v>
      </c>
      <c r="T212" s="32">
        <v>0</v>
      </c>
      <c r="U212" s="31">
        <v>0</v>
      </c>
      <c r="V212" s="32">
        <v>0</v>
      </c>
      <c r="W212" s="31">
        <v>1102</v>
      </c>
      <c r="X212" s="32">
        <v>0.28047849325528118</v>
      </c>
      <c r="Y212" s="31">
        <v>2405</v>
      </c>
      <c r="Z212" s="34">
        <v>0.61211504199541866</v>
      </c>
      <c r="AA212" s="31">
        <v>0</v>
      </c>
      <c r="AB212" s="32">
        <v>0</v>
      </c>
      <c r="AC212" s="31">
        <v>746</v>
      </c>
      <c r="AD212" s="32">
        <v>0.18987019597862051</v>
      </c>
      <c r="AE212" s="31">
        <v>118</v>
      </c>
      <c r="AF212" s="32">
        <v>0.1581769436997319</v>
      </c>
      <c r="AG212" s="31">
        <v>729</v>
      </c>
      <c r="AH212" s="32">
        <v>0.97721179624664878</v>
      </c>
      <c r="AI212" s="35">
        <v>785</v>
      </c>
      <c r="AJ212" s="32">
        <v>0.19979638584881651</v>
      </c>
      <c r="AK212" s="35">
        <v>40</v>
      </c>
      <c r="AL212" s="32">
        <v>0.82420382165605099</v>
      </c>
      <c r="AM212" s="35">
        <v>719</v>
      </c>
      <c r="AN212" s="35">
        <v>647</v>
      </c>
      <c r="AO212" s="32">
        <v>0.16467294476966149</v>
      </c>
      <c r="AP212" s="32">
        <v>0.86729222520107241</v>
      </c>
      <c r="AQ212" s="33">
        <v>0.96723868954758185</v>
      </c>
      <c r="AR212" s="33" t="s">
        <v>411</v>
      </c>
      <c r="AS212" s="33">
        <v>0</v>
      </c>
      <c r="AT212" s="35">
        <v>0</v>
      </c>
      <c r="AU212" s="35">
        <v>0</v>
      </c>
      <c r="AV212" s="35">
        <v>153</v>
      </c>
      <c r="AW212" s="35">
        <v>144</v>
      </c>
      <c r="AX212" s="35">
        <v>139</v>
      </c>
      <c r="AY212" s="35">
        <v>81</v>
      </c>
      <c r="AZ212" s="32">
        <v>3.6650547213031313E-2</v>
      </c>
      <c r="BA212" s="32">
        <v>3.5377958768134377E-2</v>
      </c>
      <c r="BB212" s="32">
        <v>2.0615932807330109E-2</v>
      </c>
      <c r="BC212" s="32">
        <v>0.21483771251931991</v>
      </c>
      <c r="BD212" s="35">
        <v>0</v>
      </c>
      <c r="BE212" s="35">
        <v>0</v>
      </c>
      <c r="BF212" s="33">
        <v>0.98666666666666669</v>
      </c>
      <c r="BG212" s="33">
        <v>1</v>
      </c>
      <c r="BH212" s="33" t="s">
        <v>412</v>
      </c>
    </row>
    <row r="213" spans="1:60" ht="19.5" customHeight="1">
      <c r="A213" s="36">
        <v>210</v>
      </c>
      <c r="B213" s="31" t="s">
        <v>410</v>
      </c>
      <c r="C213" s="37">
        <v>46208</v>
      </c>
      <c r="D213" s="31" t="s">
        <v>336</v>
      </c>
      <c r="E213" s="31">
        <v>2355</v>
      </c>
      <c r="F213" s="31">
        <v>2140</v>
      </c>
      <c r="G213" s="32">
        <v>0.90870488322717624</v>
      </c>
      <c r="H213" s="31">
        <v>1194</v>
      </c>
      <c r="I213" s="33">
        <v>0.50700636942675159</v>
      </c>
      <c r="J213" s="31">
        <v>2942</v>
      </c>
      <c r="K213" s="31">
        <v>2875</v>
      </c>
      <c r="L213" s="32">
        <v>0.97699999999999998</v>
      </c>
      <c r="M213" s="31">
        <v>18200</v>
      </c>
      <c r="N213" s="31">
        <v>18371</v>
      </c>
      <c r="O213" s="31">
        <v>17908</v>
      </c>
      <c r="P213" s="32">
        <v>0.98395604395604397</v>
      </c>
      <c r="Q213" s="31">
        <v>99</v>
      </c>
      <c r="R213" s="31">
        <v>0</v>
      </c>
      <c r="S213" s="31">
        <v>0</v>
      </c>
      <c r="T213" s="32">
        <v>0</v>
      </c>
      <c r="U213" s="31">
        <v>0</v>
      </c>
      <c r="V213" s="32">
        <v>0</v>
      </c>
      <c r="W213" s="31">
        <v>680</v>
      </c>
      <c r="X213" s="32">
        <v>0.28874734607218677</v>
      </c>
      <c r="Y213" s="31">
        <v>1407</v>
      </c>
      <c r="Z213" s="34">
        <v>0.59745222929936304</v>
      </c>
      <c r="AA213" s="31">
        <v>0</v>
      </c>
      <c r="AB213" s="32">
        <v>0</v>
      </c>
      <c r="AC213" s="31">
        <v>370</v>
      </c>
      <c r="AD213" s="32">
        <v>0.1571125265392781</v>
      </c>
      <c r="AE213" s="31">
        <v>47</v>
      </c>
      <c r="AF213" s="32">
        <v>0.12702702702702701</v>
      </c>
      <c r="AG213" s="31">
        <v>352</v>
      </c>
      <c r="AH213" s="32">
        <v>0.9513513513513514</v>
      </c>
      <c r="AI213" s="35">
        <v>353</v>
      </c>
      <c r="AJ213" s="32">
        <v>0.14989384288747351</v>
      </c>
      <c r="AK213" s="35">
        <v>15</v>
      </c>
      <c r="AL213" s="32">
        <v>0.86118980169971671</v>
      </c>
      <c r="AM213" s="35">
        <v>339</v>
      </c>
      <c r="AN213" s="35">
        <v>304</v>
      </c>
      <c r="AO213" s="32">
        <v>0.12908704883227179</v>
      </c>
      <c r="AP213" s="32">
        <v>0.82162162162162167</v>
      </c>
      <c r="AQ213" s="33">
        <v>0.97254901960784312</v>
      </c>
      <c r="AR213" s="33" t="s">
        <v>411</v>
      </c>
      <c r="AS213" s="33">
        <v>0</v>
      </c>
      <c r="AT213" s="35">
        <v>0</v>
      </c>
      <c r="AU213" s="35">
        <v>0</v>
      </c>
      <c r="AV213" s="35">
        <v>93</v>
      </c>
      <c r="AW213" s="35">
        <v>85</v>
      </c>
      <c r="AX213" s="35">
        <v>86</v>
      </c>
      <c r="AY213" s="35">
        <v>35</v>
      </c>
      <c r="AZ213" s="32">
        <v>3.6093418259023347E-2</v>
      </c>
      <c r="BA213" s="32">
        <v>3.6518046709129511E-2</v>
      </c>
      <c r="BB213" s="32">
        <v>1.4861995753715501E-2</v>
      </c>
      <c r="BC213" s="32">
        <v>0.28289473684210531</v>
      </c>
      <c r="BD213" s="35">
        <v>0</v>
      </c>
      <c r="BE213" s="35">
        <v>1</v>
      </c>
      <c r="BF213" s="33">
        <v>0.90909090909090906</v>
      </c>
      <c r="BG213" s="33">
        <v>1</v>
      </c>
      <c r="BH213" s="33" t="s">
        <v>412</v>
      </c>
    </row>
    <row r="214" spans="1:60" ht="19.5" customHeight="1">
      <c r="A214" s="36">
        <v>211</v>
      </c>
      <c r="B214" s="31" t="s">
        <v>410</v>
      </c>
      <c r="C214" s="37">
        <v>46209</v>
      </c>
      <c r="D214" s="31"/>
      <c r="E214" s="31">
        <v>26</v>
      </c>
      <c r="F214" s="31">
        <v>26</v>
      </c>
      <c r="G214" s="32">
        <v>1</v>
      </c>
      <c r="H214" s="31">
        <v>26</v>
      </c>
      <c r="I214" s="33">
        <v>1</v>
      </c>
      <c r="J214" s="31">
        <v>1</v>
      </c>
      <c r="K214" s="31">
        <v>0</v>
      </c>
      <c r="L214" s="32">
        <v>0</v>
      </c>
      <c r="M214" s="31">
        <v>3</v>
      </c>
      <c r="N214" s="31">
        <v>0</v>
      </c>
      <c r="O214" s="31">
        <v>0</v>
      </c>
      <c r="P214" s="32">
        <v>0</v>
      </c>
      <c r="Q214" s="31">
        <v>3</v>
      </c>
      <c r="R214" s="31">
        <v>0</v>
      </c>
      <c r="S214" s="31">
        <v>0</v>
      </c>
      <c r="T214" s="32">
        <v>0</v>
      </c>
      <c r="U214" s="31">
        <v>0</v>
      </c>
      <c r="V214" s="32">
        <v>0</v>
      </c>
      <c r="W214" s="31">
        <v>17</v>
      </c>
      <c r="X214" s="32">
        <v>0.65384615384615385</v>
      </c>
      <c r="Y214" s="31">
        <v>12</v>
      </c>
      <c r="Z214" s="34">
        <v>0.46153846153846162</v>
      </c>
      <c r="AA214" s="31">
        <v>0</v>
      </c>
      <c r="AB214" s="32">
        <v>0</v>
      </c>
      <c r="AC214" s="31">
        <v>0</v>
      </c>
      <c r="AD214" s="32">
        <v>0</v>
      </c>
      <c r="AE214" s="31">
        <v>0</v>
      </c>
      <c r="AF214" s="32">
        <v>0</v>
      </c>
      <c r="AG214" s="31">
        <v>0</v>
      </c>
      <c r="AH214" s="32">
        <v>0</v>
      </c>
      <c r="AI214" s="35">
        <v>0</v>
      </c>
      <c r="AJ214" s="32">
        <v>0</v>
      </c>
      <c r="AK214" s="35">
        <v>0</v>
      </c>
      <c r="AL214" s="32">
        <v>0</v>
      </c>
      <c r="AM214" s="35">
        <v>0</v>
      </c>
      <c r="AN214" s="35">
        <v>0</v>
      </c>
      <c r="AO214" s="32">
        <v>0</v>
      </c>
      <c r="AP214" s="32">
        <v>0</v>
      </c>
      <c r="AQ214" s="33">
        <v>0</v>
      </c>
      <c r="AR214" s="33" t="s">
        <v>411</v>
      </c>
      <c r="AS214" s="33">
        <v>0</v>
      </c>
      <c r="AT214" s="35">
        <v>0</v>
      </c>
      <c r="AU214" s="35">
        <v>0</v>
      </c>
      <c r="AV214" s="35">
        <v>0</v>
      </c>
      <c r="AW214" s="35">
        <v>0</v>
      </c>
      <c r="AX214" s="35">
        <v>0</v>
      </c>
      <c r="AY214" s="35">
        <v>0</v>
      </c>
      <c r="AZ214" s="32">
        <v>0</v>
      </c>
      <c r="BA214" s="32">
        <v>0</v>
      </c>
      <c r="BB214" s="32">
        <v>0</v>
      </c>
      <c r="BC214" s="32">
        <v>0</v>
      </c>
      <c r="BD214" s="35">
        <v>0</v>
      </c>
      <c r="BE214" s="35">
        <v>0</v>
      </c>
      <c r="BF214" s="33" t="s">
        <v>412</v>
      </c>
      <c r="BG214" s="33" t="s">
        <v>412</v>
      </c>
      <c r="BH214" s="33">
        <v>0.9910714285714286</v>
      </c>
    </row>
    <row r="215" spans="1:60" ht="19.5" customHeight="1">
      <c r="A215" s="36">
        <v>212</v>
      </c>
      <c r="B215" s="31" t="s">
        <v>410</v>
      </c>
      <c r="C215" s="37">
        <v>46209</v>
      </c>
      <c r="D215" s="31" t="s">
        <v>413</v>
      </c>
      <c r="E215" s="31">
        <v>0</v>
      </c>
      <c r="F215" s="31">
        <v>0</v>
      </c>
      <c r="G215" s="32">
        <v>0</v>
      </c>
      <c r="H215" s="31">
        <v>0</v>
      </c>
      <c r="I215" s="33">
        <v>0</v>
      </c>
      <c r="J215" s="31">
        <v>0</v>
      </c>
      <c r="K215" s="31">
        <v>0</v>
      </c>
      <c r="L215" s="32">
        <v>0</v>
      </c>
      <c r="M215" s="31">
        <v>5</v>
      </c>
      <c r="N215" s="31">
        <v>3</v>
      </c>
      <c r="O215" s="31">
        <v>5</v>
      </c>
      <c r="P215" s="32">
        <v>1</v>
      </c>
      <c r="Q215" s="31">
        <v>0</v>
      </c>
      <c r="R215" s="31">
        <v>0</v>
      </c>
      <c r="S215" s="31">
        <v>0</v>
      </c>
      <c r="T215" s="32">
        <v>0</v>
      </c>
      <c r="U215" s="31">
        <v>0</v>
      </c>
      <c r="V215" s="32">
        <v>0</v>
      </c>
      <c r="W215" s="31">
        <v>0</v>
      </c>
      <c r="X215" s="32">
        <v>0</v>
      </c>
      <c r="Y215" s="31">
        <v>0</v>
      </c>
      <c r="Z215" s="34">
        <v>0</v>
      </c>
      <c r="AA215" s="31">
        <v>0</v>
      </c>
      <c r="AB215" s="32">
        <v>0</v>
      </c>
      <c r="AC215" s="31">
        <v>0</v>
      </c>
      <c r="AD215" s="32">
        <v>0</v>
      </c>
      <c r="AE215" s="31">
        <v>0</v>
      </c>
      <c r="AF215" s="32">
        <v>0</v>
      </c>
      <c r="AG215" s="31">
        <v>0</v>
      </c>
      <c r="AH215" s="32">
        <v>0</v>
      </c>
      <c r="AI215" s="35">
        <v>0</v>
      </c>
      <c r="AJ215" s="32">
        <v>0</v>
      </c>
      <c r="AK215" s="35">
        <v>0</v>
      </c>
      <c r="AL215" s="32">
        <v>0</v>
      </c>
      <c r="AM215" s="35">
        <v>0</v>
      </c>
      <c r="AN215" s="35">
        <v>0</v>
      </c>
      <c r="AO215" s="32">
        <v>0</v>
      </c>
      <c r="AP215" s="32">
        <v>0</v>
      </c>
      <c r="AQ215" s="33">
        <v>1</v>
      </c>
      <c r="AR215" s="33" t="s">
        <v>411</v>
      </c>
      <c r="AS215" s="33">
        <v>0</v>
      </c>
      <c r="AT215" s="35">
        <v>0</v>
      </c>
      <c r="AU215" s="35">
        <v>0</v>
      </c>
      <c r="AV215" s="35">
        <v>0</v>
      </c>
      <c r="AW215" s="35">
        <v>0</v>
      </c>
      <c r="AX215" s="35">
        <v>0</v>
      </c>
      <c r="AY215" s="35">
        <v>0</v>
      </c>
      <c r="AZ215" s="32">
        <v>0</v>
      </c>
      <c r="BA215" s="32">
        <v>0</v>
      </c>
      <c r="BB215" s="32">
        <v>0</v>
      </c>
      <c r="BC215" s="32">
        <v>0</v>
      </c>
      <c r="BD215" s="35">
        <v>0</v>
      </c>
      <c r="BE215" s="35">
        <v>0</v>
      </c>
      <c r="BF215" s="33" t="s">
        <v>412</v>
      </c>
      <c r="BG215" s="33" t="s">
        <v>412</v>
      </c>
      <c r="BH215" s="33" t="s">
        <v>412</v>
      </c>
    </row>
    <row r="216" spans="1:60" ht="19.5" customHeight="1">
      <c r="A216" s="36">
        <v>213</v>
      </c>
      <c r="B216" s="31" t="s">
        <v>410</v>
      </c>
      <c r="C216" s="37">
        <v>46209</v>
      </c>
      <c r="D216" s="31" t="s">
        <v>335</v>
      </c>
      <c r="E216" s="31">
        <v>1479</v>
      </c>
      <c r="F216" s="31">
        <v>1288</v>
      </c>
      <c r="G216" s="32">
        <v>0.87085868830290736</v>
      </c>
      <c r="H216" s="31">
        <v>536</v>
      </c>
      <c r="I216" s="33">
        <v>0.36240703177822847</v>
      </c>
      <c r="J216" s="31">
        <v>1465</v>
      </c>
      <c r="K216" s="31">
        <v>1415</v>
      </c>
      <c r="L216" s="32">
        <v>0.96599999999999997</v>
      </c>
      <c r="M216" s="31">
        <v>10278</v>
      </c>
      <c r="N216" s="31">
        <v>9764</v>
      </c>
      <c r="O216" s="31">
        <v>10091</v>
      </c>
      <c r="P216" s="32">
        <v>0.98180579879353957</v>
      </c>
      <c r="Q216" s="31">
        <v>53</v>
      </c>
      <c r="R216" s="31">
        <v>0</v>
      </c>
      <c r="S216" s="31">
        <v>0</v>
      </c>
      <c r="T216" s="32">
        <v>0</v>
      </c>
      <c r="U216" s="31">
        <v>0</v>
      </c>
      <c r="V216" s="32">
        <v>0</v>
      </c>
      <c r="W216" s="31">
        <v>504</v>
      </c>
      <c r="X216" s="32">
        <v>0.34077079107505071</v>
      </c>
      <c r="Y216" s="31">
        <v>742</v>
      </c>
      <c r="Z216" s="34">
        <v>0.50169033130493579</v>
      </c>
      <c r="AA216" s="31">
        <v>0</v>
      </c>
      <c r="AB216" s="32">
        <v>0</v>
      </c>
      <c r="AC216" s="31">
        <v>85</v>
      </c>
      <c r="AD216" s="32">
        <v>5.7471264367816091E-2</v>
      </c>
      <c r="AE216" s="31">
        <v>4</v>
      </c>
      <c r="AF216" s="32">
        <v>4.7058823529411757E-2</v>
      </c>
      <c r="AG216" s="31">
        <v>78</v>
      </c>
      <c r="AH216" s="32">
        <v>0.91764705882352937</v>
      </c>
      <c r="AI216" s="35">
        <v>71</v>
      </c>
      <c r="AJ216" s="32">
        <v>4.8005409060175787E-2</v>
      </c>
      <c r="AK216" s="35">
        <v>0</v>
      </c>
      <c r="AL216" s="32">
        <v>0.88732394366197187</v>
      </c>
      <c r="AM216" s="35">
        <v>71</v>
      </c>
      <c r="AN216" s="35">
        <v>63</v>
      </c>
      <c r="AO216" s="32">
        <v>4.2596348884381338E-2</v>
      </c>
      <c r="AP216" s="32">
        <v>0.74117647058823533</v>
      </c>
      <c r="AQ216" s="33">
        <v>0.9779411764705882</v>
      </c>
      <c r="AR216" s="33" t="s">
        <v>411</v>
      </c>
      <c r="AS216" s="33">
        <v>0</v>
      </c>
      <c r="AT216" s="35">
        <v>0</v>
      </c>
      <c r="AU216" s="35">
        <v>0</v>
      </c>
      <c r="AV216" s="35">
        <v>42</v>
      </c>
      <c r="AW216" s="35">
        <v>37</v>
      </c>
      <c r="AX216" s="35">
        <v>36</v>
      </c>
      <c r="AY216" s="35">
        <v>43</v>
      </c>
      <c r="AZ216" s="32">
        <v>2.5016903313049361E-2</v>
      </c>
      <c r="BA216" s="32">
        <v>2.434077079107505E-2</v>
      </c>
      <c r="BB216" s="32">
        <v>2.9073698444895199E-2</v>
      </c>
      <c r="BC216" s="32">
        <v>0.5714285714285714</v>
      </c>
      <c r="BD216" s="35">
        <v>0</v>
      </c>
      <c r="BE216" s="35">
        <v>1</v>
      </c>
      <c r="BF216" s="33">
        <v>0.84615384615384615</v>
      </c>
      <c r="BG216" s="33">
        <v>1</v>
      </c>
      <c r="BH216" s="33" t="s">
        <v>412</v>
      </c>
    </row>
    <row r="217" spans="1:60" ht="19.5" customHeight="1">
      <c r="A217" s="36">
        <v>214</v>
      </c>
      <c r="B217" s="31" t="s">
        <v>410</v>
      </c>
      <c r="C217" s="37">
        <v>46209</v>
      </c>
      <c r="D217" s="31" t="s">
        <v>334</v>
      </c>
      <c r="E217" s="31">
        <v>1411</v>
      </c>
      <c r="F217" s="31">
        <v>1243</v>
      </c>
      <c r="G217" s="32">
        <v>0.88093550673281362</v>
      </c>
      <c r="H217" s="31">
        <v>597</v>
      </c>
      <c r="I217" s="33">
        <v>0.42310418143160877</v>
      </c>
      <c r="J217" s="31">
        <v>1267</v>
      </c>
      <c r="K217" s="31">
        <v>1243</v>
      </c>
      <c r="L217" s="32">
        <v>0.98099999999999998</v>
      </c>
      <c r="M217" s="31">
        <v>9065</v>
      </c>
      <c r="N217" s="31">
        <v>8740</v>
      </c>
      <c r="O217" s="31">
        <v>8933</v>
      </c>
      <c r="P217" s="32">
        <v>0.98543849972421405</v>
      </c>
      <c r="Q217" s="31">
        <v>35</v>
      </c>
      <c r="R217" s="31">
        <v>0</v>
      </c>
      <c r="S217" s="31">
        <v>0</v>
      </c>
      <c r="T217" s="32">
        <v>0</v>
      </c>
      <c r="U217" s="31">
        <v>0</v>
      </c>
      <c r="V217" s="32">
        <v>0</v>
      </c>
      <c r="W217" s="31">
        <v>1421</v>
      </c>
      <c r="X217" s="32">
        <v>1.007087172218285</v>
      </c>
      <c r="Y217" s="31">
        <v>538</v>
      </c>
      <c r="Z217" s="34">
        <v>0.38128986534372777</v>
      </c>
      <c r="AA217" s="31">
        <v>0</v>
      </c>
      <c r="AB217" s="32">
        <v>0</v>
      </c>
      <c r="AC217" s="31">
        <v>96</v>
      </c>
      <c r="AD217" s="32">
        <v>6.8036853295535077E-2</v>
      </c>
      <c r="AE217" s="31">
        <v>24</v>
      </c>
      <c r="AF217" s="32">
        <v>0.25</v>
      </c>
      <c r="AG217" s="31">
        <v>93</v>
      </c>
      <c r="AH217" s="32">
        <v>0.96875</v>
      </c>
      <c r="AI217" s="35">
        <v>90</v>
      </c>
      <c r="AJ217" s="32">
        <v>6.3784549964564133E-2</v>
      </c>
      <c r="AK217" s="35">
        <v>7</v>
      </c>
      <c r="AL217" s="32">
        <v>0.85555555555555551</v>
      </c>
      <c r="AM217" s="35">
        <v>88</v>
      </c>
      <c r="AN217" s="35">
        <v>77</v>
      </c>
      <c r="AO217" s="32">
        <v>5.4571226080793761E-2</v>
      </c>
      <c r="AP217" s="32">
        <v>0.80208333333333337</v>
      </c>
      <c r="AQ217" s="33">
        <v>0.97175141242937857</v>
      </c>
      <c r="AR217" s="33" t="s">
        <v>411</v>
      </c>
      <c r="AS217" s="33">
        <v>0</v>
      </c>
      <c r="AT217" s="35">
        <v>0</v>
      </c>
      <c r="AU217" s="35">
        <v>0</v>
      </c>
      <c r="AV217" s="35">
        <v>40</v>
      </c>
      <c r="AW217" s="35">
        <v>33</v>
      </c>
      <c r="AX217" s="35">
        <v>33</v>
      </c>
      <c r="AY217" s="35">
        <v>42</v>
      </c>
      <c r="AZ217" s="32">
        <v>2.3387668320340189E-2</v>
      </c>
      <c r="BA217" s="32">
        <v>2.3387668320340189E-2</v>
      </c>
      <c r="BB217" s="32">
        <v>2.9766123316796601E-2</v>
      </c>
      <c r="BC217" s="32">
        <v>0.42857142857142849</v>
      </c>
      <c r="BD217" s="35">
        <v>0</v>
      </c>
      <c r="BE217" s="35">
        <v>0</v>
      </c>
      <c r="BF217" s="33">
        <v>1</v>
      </c>
      <c r="BG217" s="33">
        <v>1</v>
      </c>
      <c r="BH217" s="33" t="s">
        <v>412</v>
      </c>
    </row>
    <row r="218" spans="1:60" ht="25.7" customHeight="1">
      <c r="A218" s="36">
        <v>215</v>
      </c>
      <c r="B218" s="31" t="s">
        <v>410</v>
      </c>
      <c r="C218" s="37">
        <v>46209</v>
      </c>
      <c r="D218" s="31" t="s">
        <v>337</v>
      </c>
      <c r="E218" s="31">
        <v>3178</v>
      </c>
      <c r="F218" s="31">
        <v>2799</v>
      </c>
      <c r="G218" s="32">
        <v>0.88074260541220895</v>
      </c>
      <c r="H218" s="31">
        <v>967</v>
      </c>
      <c r="I218" s="33">
        <v>0.30427942101950911</v>
      </c>
      <c r="J218" s="31">
        <v>3465</v>
      </c>
      <c r="K218" s="31">
        <v>3370</v>
      </c>
      <c r="L218" s="32">
        <v>0.97299999999999998</v>
      </c>
      <c r="M218" s="31">
        <v>22860</v>
      </c>
      <c r="N218" s="31">
        <v>21356</v>
      </c>
      <c r="O218" s="31">
        <v>22431</v>
      </c>
      <c r="P218" s="32">
        <v>0.98123359580052494</v>
      </c>
      <c r="Q218" s="31">
        <v>111</v>
      </c>
      <c r="R218" s="31">
        <v>0</v>
      </c>
      <c r="S218" s="31">
        <v>0</v>
      </c>
      <c r="T218" s="32">
        <v>0</v>
      </c>
      <c r="U218" s="31">
        <v>0</v>
      </c>
      <c r="V218" s="32">
        <v>0</v>
      </c>
      <c r="W218" s="31">
        <v>1336</v>
      </c>
      <c r="X218" s="32">
        <v>0.42039018250471988</v>
      </c>
      <c r="Y218" s="31">
        <v>6240</v>
      </c>
      <c r="Z218" s="34">
        <v>1.9634990560100689</v>
      </c>
      <c r="AA218" s="31">
        <v>0</v>
      </c>
      <c r="AB218" s="32">
        <v>0</v>
      </c>
      <c r="AC218" s="31">
        <v>353</v>
      </c>
      <c r="AD218" s="32">
        <v>0.1110761485210824</v>
      </c>
      <c r="AE218" s="31">
        <v>69</v>
      </c>
      <c r="AF218" s="32">
        <v>0.19546742209631729</v>
      </c>
      <c r="AG218" s="31">
        <v>341</v>
      </c>
      <c r="AH218" s="32">
        <v>0.96600566572237956</v>
      </c>
      <c r="AI218" s="35">
        <v>336</v>
      </c>
      <c r="AJ218" s="32">
        <v>0.105726872246696</v>
      </c>
      <c r="AK218" s="35">
        <v>14</v>
      </c>
      <c r="AL218" s="32">
        <v>0.86309523809523814</v>
      </c>
      <c r="AM218" s="35">
        <v>333</v>
      </c>
      <c r="AN218" s="35">
        <v>290</v>
      </c>
      <c r="AO218" s="32">
        <v>9.1252359974826933E-2</v>
      </c>
      <c r="AP218" s="32">
        <v>0.82152974504249288</v>
      </c>
      <c r="AQ218" s="33">
        <v>0.9817415730337079</v>
      </c>
      <c r="AR218" s="33" t="s">
        <v>411</v>
      </c>
      <c r="AS218" s="33">
        <v>0</v>
      </c>
      <c r="AT218" s="35">
        <v>0</v>
      </c>
      <c r="AU218" s="35">
        <v>0</v>
      </c>
      <c r="AV218" s="35">
        <v>63</v>
      </c>
      <c r="AW218" s="35">
        <v>54</v>
      </c>
      <c r="AX218" s="35">
        <v>53</v>
      </c>
      <c r="AY218" s="35">
        <v>130</v>
      </c>
      <c r="AZ218" s="32">
        <v>1.699181875393329E-2</v>
      </c>
      <c r="BA218" s="32">
        <v>1.6677155443675269E-2</v>
      </c>
      <c r="BB218" s="32">
        <v>4.0906230333543112E-2</v>
      </c>
      <c r="BC218" s="32">
        <v>0.1827586206896552</v>
      </c>
      <c r="BD218" s="35">
        <v>0</v>
      </c>
      <c r="BE218" s="35">
        <v>0</v>
      </c>
      <c r="BF218" s="33">
        <v>0.96551724137931039</v>
      </c>
      <c r="BG218" s="33">
        <v>1</v>
      </c>
      <c r="BH218" s="33" t="s">
        <v>412</v>
      </c>
    </row>
    <row r="219" spans="1:60" ht="19.5" customHeight="1">
      <c r="A219" s="36">
        <v>216</v>
      </c>
      <c r="B219" s="31" t="s">
        <v>410</v>
      </c>
      <c r="C219" s="37">
        <v>46209</v>
      </c>
      <c r="D219" s="31" t="s">
        <v>336</v>
      </c>
      <c r="E219" s="31">
        <v>2815</v>
      </c>
      <c r="F219" s="31">
        <v>2505</v>
      </c>
      <c r="G219" s="32">
        <v>0.88987566607460034</v>
      </c>
      <c r="H219" s="31">
        <v>1669</v>
      </c>
      <c r="I219" s="33">
        <v>0.59289520426287745</v>
      </c>
      <c r="J219" s="31">
        <v>2968</v>
      </c>
      <c r="K219" s="31">
        <v>2891</v>
      </c>
      <c r="L219" s="32">
        <v>0.97399999999999998</v>
      </c>
      <c r="M219" s="31">
        <v>18331</v>
      </c>
      <c r="N219" s="31">
        <v>17434</v>
      </c>
      <c r="O219" s="31">
        <v>18004</v>
      </c>
      <c r="P219" s="32">
        <v>0.9821613659920353</v>
      </c>
      <c r="Q219" s="31">
        <v>98</v>
      </c>
      <c r="R219" s="31">
        <v>0</v>
      </c>
      <c r="S219" s="31">
        <v>0</v>
      </c>
      <c r="T219" s="32">
        <v>0</v>
      </c>
      <c r="U219" s="31">
        <v>0</v>
      </c>
      <c r="V219" s="32">
        <v>0</v>
      </c>
      <c r="W219" s="31">
        <v>567</v>
      </c>
      <c r="X219" s="32">
        <v>0.2014209591474245</v>
      </c>
      <c r="Y219" s="31">
        <v>799</v>
      </c>
      <c r="Z219" s="34">
        <v>0.2838365896980462</v>
      </c>
      <c r="AA219" s="31">
        <v>0</v>
      </c>
      <c r="AB219" s="32">
        <v>0</v>
      </c>
      <c r="AC219" s="31">
        <v>199</v>
      </c>
      <c r="AD219" s="32">
        <v>7.0692717584369444E-2</v>
      </c>
      <c r="AE219" s="31">
        <v>24</v>
      </c>
      <c r="AF219" s="32">
        <v>0.12060301507537689</v>
      </c>
      <c r="AG219" s="31">
        <v>192</v>
      </c>
      <c r="AH219" s="32">
        <v>0.96482412060301503</v>
      </c>
      <c r="AI219" s="35">
        <v>193</v>
      </c>
      <c r="AJ219" s="32">
        <v>6.8561278863232683E-2</v>
      </c>
      <c r="AK219" s="35">
        <v>11</v>
      </c>
      <c r="AL219" s="32">
        <v>0.94818652849740936</v>
      </c>
      <c r="AM219" s="35">
        <v>191</v>
      </c>
      <c r="AN219" s="35">
        <v>183</v>
      </c>
      <c r="AO219" s="32">
        <v>6.5008880994671406E-2</v>
      </c>
      <c r="AP219" s="32">
        <v>0.91959798994974873</v>
      </c>
      <c r="AQ219" s="33">
        <v>0.99076923076923074</v>
      </c>
      <c r="AR219" s="33" t="s">
        <v>411</v>
      </c>
      <c r="AS219" s="33">
        <v>0</v>
      </c>
      <c r="AT219" s="35">
        <v>0</v>
      </c>
      <c r="AU219" s="35">
        <v>0</v>
      </c>
      <c r="AV219" s="35">
        <v>54</v>
      </c>
      <c r="AW219" s="35">
        <v>54</v>
      </c>
      <c r="AX219" s="35">
        <v>55</v>
      </c>
      <c r="AY219" s="35">
        <v>76</v>
      </c>
      <c r="AZ219" s="32">
        <v>1.918294849023091E-2</v>
      </c>
      <c r="BA219" s="32">
        <v>1.9538188277087039E-2</v>
      </c>
      <c r="BB219" s="32">
        <v>2.6998223801065719E-2</v>
      </c>
      <c r="BC219" s="32">
        <v>0.30054644808743169</v>
      </c>
      <c r="BD219" s="35">
        <v>0</v>
      </c>
      <c r="BE219" s="35">
        <v>0</v>
      </c>
      <c r="BF219" s="33">
        <v>0.93333333333333335</v>
      </c>
      <c r="BG219" s="33">
        <v>1</v>
      </c>
      <c r="BH219" s="33" t="s">
        <v>412</v>
      </c>
    </row>
    <row r="220" spans="1:60" ht="25.7" customHeight="1">
      <c r="A220" s="36">
        <v>217</v>
      </c>
      <c r="B220" s="31" t="s">
        <v>410</v>
      </c>
      <c r="C220" s="37">
        <v>46210</v>
      </c>
      <c r="D220" s="31"/>
      <c r="E220" s="31">
        <v>18</v>
      </c>
      <c r="F220" s="31">
        <v>18</v>
      </c>
      <c r="G220" s="32">
        <v>1</v>
      </c>
      <c r="H220" s="31">
        <v>18</v>
      </c>
      <c r="I220" s="33">
        <v>1</v>
      </c>
      <c r="J220" s="31">
        <v>0</v>
      </c>
      <c r="K220" s="31">
        <v>0</v>
      </c>
      <c r="L220" s="32">
        <v>0</v>
      </c>
      <c r="M220" s="31">
        <v>1</v>
      </c>
      <c r="N220" s="31">
        <v>2</v>
      </c>
      <c r="O220" s="31">
        <v>0</v>
      </c>
      <c r="P220" s="32">
        <v>0</v>
      </c>
      <c r="Q220" s="31">
        <v>1</v>
      </c>
      <c r="R220" s="31">
        <v>0</v>
      </c>
      <c r="S220" s="31">
        <v>0</v>
      </c>
      <c r="T220" s="32">
        <v>0</v>
      </c>
      <c r="U220" s="31">
        <v>0</v>
      </c>
      <c r="V220" s="32">
        <v>0</v>
      </c>
      <c r="W220" s="31">
        <v>11</v>
      </c>
      <c r="X220" s="32">
        <v>0.61111111111111116</v>
      </c>
      <c r="Y220" s="31">
        <v>27</v>
      </c>
      <c r="Z220" s="34">
        <v>1.5</v>
      </c>
      <c r="AA220" s="31">
        <v>0</v>
      </c>
      <c r="AB220" s="32">
        <v>0</v>
      </c>
      <c r="AC220" s="31">
        <v>0</v>
      </c>
      <c r="AD220" s="32">
        <v>0</v>
      </c>
      <c r="AE220" s="31">
        <v>0</v>
      </c>
      <c r="AF220" s="32">
        <v>0</v>
      </c>
      <c r="AG220" s="31">
        <v>0</v>
      </c>
      <c r="AH220" s="32">
        <v>0</v>
      </c>
      <c r="AI220" s="35">
        <v>0</v>
      </c>
      <c r="AJ220" s="32">
        <v>0</v>
      </c>
      <c r="AK220" s="35">
        <v>0</v>
      </c>
      <c r="AL220" s="32">
        <v>0</v>
      </c>
      <c r="AM220" s="35">
        <v>0</v>
      </c>
      <c r="AN220" s="35">
        <v>0</v>
      </c>
      <c r="AO220" s="32">
        <v>0</v>
      </c>
      <c r="AP220" s="32">
        <v>0</v>
      </c>
      <c r="AQ220" s="33"/>
      <c r="AR220" s="33" t="s">
        <v>411</v>
      </c>
      <c r="AS220" s="33" t="s">
        <v>411</v>
      </c>
      <c r="AT220" s="35">
        <v>0</v>
      </c>
      <c r="AU220" s="35">
        <v>0</v>
      </c>
      <c r="AV220" s="35">
        <v>0</v>
      </c>
      <c r="AW220" s="35">
        <v>0</v>
      </c>
      <c r="AX220" s="35">
        <v>0</v>
      </c>
      <c r="AY220" s="35">
        <v>0</v>
      </c>
      <c r="AZ220" s="32">
        <v>0</v>
      </c>
      <c r="BA220" s="32">
        <v>0</v>
      </c>
      <c r="BB220" s="32">
        <v>0</v>
      </c>
      <c r="BC220" s="32">
        <v>0</v>
      </c>
      <c r="BD220" s="35">
        <v>0</v>
      </c>
      <c r="BE220" s="35">
        <v>0</v>
      </c>
      <c r="BF220" s="33" t="s">
        <v>412</v>
      </c>
      <c r="BG220" s="33" t="s">
        <v>412</v>
      </c>
      <c r="BH220" s="33">
        <v>1</v>
      </c>
    </row>
    <row r="221" spans="1:60" ht="19.5" customHeight="1">
      <c r="A221" s="36">
        <v>218</v>
      </c>
      <c r="B221" s="31" t="s">
        <v>410</v>
      </c>
      <c r="C221" s="37">
        <v>46210</v>
      </c>
      <c r="D221" s="31" t="s">
        <v>413</v>
      </c>
      <c r="E221" s="31">
        <v>0</v>
      </c>
      <c r="F221" s="31">
        <v>0</v>
      </c>
      <c r="G221" s="32">
        <v>0</v>
      </c>
      <c r="H221" s="31">
        <v>0</v>
      </c>
      <c r="I221" s="33">
        <v>0</v>
      </c>
      <c r="J221" s="31">
        <v>0</v>
      </c>
      <c r="K221" s="31">
        <v>0</v>
      </c>
      <c r="L221" s="32">
        <v>0</v>
      </c>
      <c r="M221" s="31">
        <v>3</v>
      </c>
      <c r="N221" s="31">
        <v>3</v>
      </c>
      <c r="O221" s="31">
        <v>3</v>
      </c>
      <c r="P221" s="32">
        <v>1</v>
      </c>
      <c r="Q221" s="31">
        <v>0</v>
      </c>
      <c r="R221" s="31">
        <v>0</v>
      </c>
      <c r="S221" s="31">
        <v>0</v>
      </c>
      <c r="T221" s="32">
        <v>0</v>
      </c>
      <c r="U221" s="31">
        <v>0</v>
      </c>
      <c r="V221" s="32">
        <v>0</v>
      </c>
      <c r="W221" s="31">
        <v>0</v>
      </c>
      <c r="X221" s="32">
        <v>0</v>
      </c>
      <c r="Y221" s="31">
        <v>0</v>
      </c>
      <c r="Z221" s="34">
        <v>0</v>
      </c>
      <c r="AA221" s="31">
        <v>0</v>
      </c>
      <c r="AB221" s="32">
        <v>0</v>
      </c>
      <c r="AC221" s="31">
        <v>1</v>
      </c>
      <c r="AD221" s="32">
        <v>0</v>
      </c>
      <c r="AE221" s="31">
        <v>0</v>
      </c>
      <c r="AF221" s="32">
        <v>0</v>
      </c>
      <c r="AG221" s="31">
        <v>1</v>
      </c>
      <c r="AH221" s="32">
        <v>1</v>
      </c>
      <c r="AI221" s="35">
        <v>0</v>
      </c>
      <c r="AJ221" s="32">
        <v>0</v>
      </c>
      <c r="AK221" s="35">
        <v>0</v>
      </c>
      <c r="AL221" s="32">
        <v>0</v>
      </c>
      <c r="AM221" s="35">
        <v>0</v>
      </c>
      <c r="AN221" s="35">
        <v>0</v>
      </c>
      <c r="AO221" s="32">
        <v>0</v>
      </c>
      <c r="AP221" s="32">
        <v>0</v>
      </c>
      <c r="AQ221" s="33"/>
      <c r="AR221" s="33" t="s">
        <v>411</v>
      </c>
      <c r="AS221" s="33" t="s">
        <v>411</v>
      </c>
      <c r="AT221" s="35">
        <v>0</v>
      </c>
      <c r="AU221" s="35">
        <v>0</v>
      </c>
      <c r="AV221" s="35">
        <v>0</v>
      </c>
      <c r="AW221" s="35">
        <v>0</v>
      </c>
      <c r="AX221" s="35">
        <v>0</v>
      </c>
      <c r="AY221" s="35">
        <v>0</v>
      </c>
      <c r="AZ221" s="32">
        <v>0</v>
      </c>
      <c r="BA221" s="32">
        <v>0</v>
      </c>
      <c r="BB221" s="32">
        <v>0</v>
      </c>
      <c r="BC221" s="32">
        <v>0</v>
      </c>
      <c r="BD221" s="35">
        <v>0</v>
      </c>
      <c r="BE221" s="35">
        <v>0</v>
      </c>
      <c r="BF221" s="33" t="s">
        <v>412</v>
      </c>
      <c r="BG221" s="33" t="s">
        <v>412</v>
      </c>
      <c r="BH221" s="33" t="s">
        <v>412</v>
      </c>
    </row>
    <row r="222" spans="1:60" ht="19.5" customHeight="1">
      <c r="A222" s="36">
        <v>219</v>
      </c>
      <c r="B222" s="31" t="s">
        <v>410</v>
      </c>
      <c r="C222" s="37">
        <v>46210</v>
      </c>
      <c r="D222" s="31" t="s">
        <v>335</v>
      </c>
      <c r="E222" s="31">
        <v>1628</v>
      </c>
      <c r="F222" s="31">
        <v>1448</v>
      </c>
      <c r="G222" s="32">
        <v>0.88943488943488946</v>
      </c>
      <c r="H222" s="31">
        <v>694</v>
      </c>
      <c r="I222" s="33">
        <v>0.42628992628992629</v>
      </c>
      <c r="J222" s="31">
        <v>1147</v>
      </c>
      <c r="K222" s="31">
        <v>1095</v>
      </c>
      <c r="L222" s="32">
        <v>0.95499999999999996</v>
      </c>
      <c r="M222" s="31">
        <v>9437</v>
      </c>
      <c r="N222" s="31">
        <v>9266</v>
      </c>
      <c r="O222" s="31">
        <v>9254</v>
      </c>
      <c r="P222" s="32">
        <v>0.98060824414538517</v>
      </c>
      <c r="Q222" s="31">
        <v>58</v>
      </c>
      <c r="R222" s="31">
        <v>0</v>
      </c>
      <c r="S222" s="31">
        <v>0</v>
      </c>
      <c r="T222" s="32">
        <v>0</v>
      </c>
      <c r="U222" s="31">
        <v>0</v>
      </c>
      <c r="V222" s="32">
        <v>0</v>
      </c>
      <c r="W222" s="31">
        <v>183</v>
      </c>
      <c r="X222" s="32">
        <v>0.11240786240786239</v>
      </c>
      <c r="Y222" s="31">
        <v>765</v>
      </c>
      <c r="Z222" s="34">
        <v>0.46990171990171992</v>
      </c>
      <c r="AA222" s="31">
        <v>0</v>
      </c>
      <c r="AB222" s="32">
        <v>0</v>
      </c>
      <c r="AC222" s="31">
        <v>95</v>
      </c>
      <c r="AD222" s="32">
        <v>5.8353808353808351E-2</v>
      </c>
      <c r="AE222" s="31">
        <v>12</v>
      </c>
      <c r="AF222" s="32">
        <v>0.12631578947368419</v>
      </c>
      <c r="AG222" s="31">
        <v>89</v>
      </c>
      <c r="AH222" s="32">
        <v>0.93684210526315792</v>
      </c>
      <c r="AI222" s="35">
        <v>84</v>
      </c>
      <c r="AJ222" s="32">
        <v>5.1597051597051587E-2</v>
      </c>
      <c r="AK222" s="35">
        <v>5</v>
      </c>
      <c r="AL222" s="32">
        <v>0.86904761904761907</v>
      </c>
      <c r="AM222" s="35">
        <v>84</v>
      </c>
      <c r="AN222" s="35">
        <v>73</v>
      </c>
      <c r="AO222" s="32">
        <v>4.4840294840294843E-2</v>
      </c>
      <c r="AP222" s="32">
        <v>0.76842105263157889</v>
      </c>
      <c r="AQ222" s="33">
        <v>0.93939393939393945</v>
      </c>
      <c r="AR222" s="33" t="s">
        <v>411</v>
      </c>
      <c r="AS222" s="33">
        <v>0</v>
      </c>
      <c r="AT222" s="35">
        <v>0</v>
      </c>
      <c r="AU222" s="35">
        <v>0</v>
      </c>
      <c r="AV222" s="35">
        <v>33</v>
      </c>
      <c r="AW222" s="35">
        <v>28</v>
      </c>
      <c r="AX222" s="35">
        <v>32</v>
      </c>
      <c r="AY222" s="35">
        <v>35</v>
      </c>
      <c r="AZ222" s="32">
        <v>1.7199017199017199E-2</v>
      </c>
      <c r="BA222" s="32">
        <v>1.9656019656019659E-2</v>
      </c>
      <c r="BB222" s="32">
        <v>2.14987714987715E-2</v>
      </c>
      <c r="BC222" s="32">
        <v>0.43835616438356162</v>
      </c>
      <c r="BD222" s="35">
        <v>0</v>
      </c>
      <c r="BE222" s="35">
        <v>0</v>
      </c>
      <c r="BF222" s="33">
        <v>1</v>
      </c>
      <c r="BG222" s="33">
        <v>1</v>
      </c>
      <c r="BH222" s="33" t="s">
        <v>412</v>
      </c>
    </row>
    <row r="223" spans="1:60" ht="19.5" customHeight="1">
      <c r="A223" s="36">
        <v>220</v>
      </c>
      <c r="B223" s="31" t="s">
        <v>410</v>
      </c>
      <c r="C223" s="37">
        <v>46210</v>
      </c>
      <c r="D223" s="31" t="s">
        <v>334</v>
      </c>
      <c r="E223" s="31">
        <v>1623</v>
      </c>
      <c r="F223" s="31">
        <v>1414</v>
      </c>
      <c r="G223" s="32">
        <v>0.87122612446087488</v>
      </c>
      <c r="H223" s="31">
        <v>786</v>
      </c>
      <c r="I223" s="33">
        <v>0.48428835489833638</v>
      </c>
      <c r="J223" s="31">
        <v>1524</v>
      </c>
      <c r="K223" s="31">
        <v>1469</v>
      </c>
      <c r="L223" s="32">
        <v>0.96399999999999997</v>
      </c>
      <c r="M223" s="31">
        <v>8682</v>
      </c>
      <c r="N223" s="31">
        <v>8459</v>
      </c>
      <c r="O223" s="31">
        <v>8524</v>
      </c>
      <c r="P223" s="32">
        <v>0.98180142824234051</v>
      </c>
      <c r="Q223" s="31">
        <v>59</v>
      </c>
      <c r="R223" s="31">
        <v>0</v>
      </c>
      <c r="S223" s="31">
        <v>0</v>
      </c>
      <c r="T223" s="32">
        <v>0</v>
      </c>
      <c r="U223" s="31">
        <v>0</v>
      </c>
      <c r="V223" s="32">
        <v>0</v>
      </c>
      <c r="W223" s="31">
        <v>157</v>
      </c>
      <c r="X223" s="32">
        <v>9.6734442390634626E-2</v>
      </c>
      <c r="Y223" s="31">
        <v>538</v>
      </c>
      <c r="Z223" s="34">
        <v>0.33148490449784351</v>
      </c>
      <c r="AA223" s="31">
        <v>0</v>
      </c>
      <c r="AB223" s="32">
        <v>0</v>
      </c>
      <c r="AC223" s="31">
        <v>90</v>
      </c>
      <c r="AD223" s="32">
        <v>5.545286506469501E-2</v>
      </c>
      <c r="AE223" s="31">
        <v>12</v>
      </c>
      <c r="AF223" s="32">
        <v>0.1333333333333333</v>
      </c>
      <c r="AG223" s="31">
        <v>87</v>
      </c>
      <c r="AH223" s="32">
        <v>0.96666666666666667</v>
      </c>
      <c r="AI223" s="35">
        <v>95</v>
      </c>
      <c r="AJ223" s="32">
        <v>5.8533579790511402E-2</v>
      </c>
      <c r="AK223" s="35">
        <v>6</v>
      </c>
      <c r="AL223" s="32">
        <v>0.82105263157894737</v>
      </c>
      <c r="AM223" s="35">
        <v>94</v>
      </c>
      <c r="AN223" s="35">
        <v>78</v>
      </c>
      <c r="AO223" s="32">
        <v>4.8059149722735672E-2</v>
      </c>
      <c r="AP223" s="32">
        <v>0.8666666666666667</v>
      </c>
      <c r="AQ223" s="33">
        <v>0.98795180722891562</v>
      </c>
      <c r="AR223" s="33" t="s">
        <v>411</v>
      </c>
      <c r="AS223" s="33">
        <v>0</v>
      </c>
      <c r="AT223" s="35">
        <v>0</v>
      </c>
      <c r="AU223" s="35">
        <v>0</v>
      </c>
      <c r="AV223" s="35">
        <v>35</v>
      </c>
      <c r="AW223" s="35">
        <v>27</v>
      </c>
      <c r="AX223" s="35">
        <v>29</v>
      </c>
      <c r="AY223" s="35">
        <v>25</v>
      </c>
      <c r="AZ223" s="32">
        <v>1.6635859519408502E-2</v>
      </c>
      <c r="BA223" s="32">
        <v>1.786814540973506E-2</v>
      </c>
      <c r="BB223" s="32">
        <v>1.540357362908195E-2</v>
      </c>
      <c r="BC223" s="32">
        <v>0.37179487179487181</v>
      </c>
      <c r="BD223" s="35">
        <v>0</v>
      </c>
      <c r="BE223" s="35">
        <v>0</v>
      </c>
      <c r="BF223" s="33">
        <v>1</v>
      </c>
      <c r="BG223" s="33">
        <v>1</v>
      </c>
      <c r="BH223" s="33" t="s">
        <v>412</v>
      </c>
    </row>
    <row r="224" spans="1:60" ht="19.5" customHeight="1">
      <c r="A224" s="36">
        <v>221</v>
      </c>
      <c r="B224" s="31" t="s">
        <v>410</v>
      </c>
      <c r="C224" s="37">
        <v>46210</v>
      </c>
      <c r="D224" s="31" t="s">
        <v>337</v>
      </c>
      <c r="E224" s="31">
        <v>3542</v>
      </c>
      <c r="F224" s="31">
        <v>3125</v>
      </c>
      <c r="G224" s="32">
        <v>0.88226990400903449</v>
      </c>
      <c r="H224" s="31">
        <v>1265</v>
      </c>
      <c r="I224" s="33">
        <v>0.35714285714285721</v>
      </c>
      <c r="J224" s="31">
        <v>3871</v>
      </c>
      <c r="K224" s="31">
        <v>3734</v>
      </c>
      <c r="L224" s="32">
        <v>0.96499999999999997</v>
      </c>
      <c r="M224" s="31">
        <v>22302</v>
      </c>
      <c r="N224" s="31">
        <v>21985</v>
      </c>
      <c r="O224" s="31">
        <v>21848</v>
      </c>
      <c r="P224" s="32">
        <v>0.9796430813379966</v>
      </c>
      <c r="Q224" s="31">
        <v>113</v>
      </c>
      <c r="R224" s="31">
        <v>0</v>
      </c>
      <c r="S224" s="31">
        <v>0</v>
      </c>
      <c r="T224" s="32">
        <v>0</v>
      </c>
      <c r="U224" s="31">
        <v>0</v>
      </c>
      <c r="V224" s="32">
        <v>0</v>
      </c>
      <c r="W224" s="31">
        <v>467</v>
      </c>
      <c r="X224" s="32">
        <v>0.13184641445511011</v>
      </c>
      <c r="Y224" s="31">
        <v>1584</v>
      </c>
      <c r="Z224" s="34">
        <v>0.44720496894409939</v>
      </c>
      <c r="AA224" s="31">
        <v>0</v>
      </c>
      <c r="AB224" s="32">
        <v>0</v>
      </c>
      <c r="AC224" s="31">
        <v>400</v>
      </c>
      <c r="AD224" s="32">
        <v>0.1129305477131564</v>
      </c>
      <c r="AE224" s="31">
        <v>74</v>
      </c>
      <c r="AF224" s="32">
        <v>0.185</v>
      </c>
      <c r="AG224" s="31">
        <v>389</v>
      </c>
      <c r="AH224" s="32">
        <v>0.97250000000000003</v>
      </c>
      <c r="AI224" s="35">
        <v>397</v>
      </c>
      <c r="AJ224" s="32">
        <v>0.1120835686053077</v>
      </c>
      <c r="AK224" s="35">
        <v>28</v>
      </c>
      <c r="AL224" s="32">
        <v>0.88916876574307302</v>
      </c>
      <c r="AM224" s="35">
        <v>391</v>
      </c>
      <c r="AN224" s="35">
        <v>353</v>
      </c>
      <c r="AO224" s="32">
        <v>9.9661208356860528E-2</v>
      </c>
      <c r="AP224" s="32">
        <v>0.88249999999999995</v>
      </c>
      <c r="AQ224" s="33">
        <v>0.96636085626911317</v>
      </c>
      <c r="AR224" s="33" t="s">
        <v>411</v>
      </c>
      <c r="AS224" s="33">
        <v>0</v>
      </c>
      <c r="AT224" s="35">
        <v>0</v>
      </c>
      <c r="AU224" s="35">
        <v>0</v>
      </c>
      <c r="AV224" s="35">
        <v>82</v>
      </c>
      <c r="AW224" s="35">
        <v>70</v>
      </c>
      <c r="AX224" s="35">
        <v>80</v>
      </c>
      <c r="AY224" s="35">
        <v>99</v>
      </c>
      <c r="AZ224" s="32">
        <v>1.9762845849802368E-2</v>
      </c>
      <c r="BA224" s="32">
        <v>2.258610954263128E-2</v>
      </c>
      <c r="BB224" s="32">
        <v>2.7950310559006208E-2</v>
      </c>
      <c r="BC224" s="32">
        <v>0.22662889518413601</v>
      </c>
      <c r="BD224" s="35">
        <v>0</v>
      </c>
      <c r="BE224" s="35">
        <v>0</v>
      </c>
      <c r="BF224" s="33">
        <v>1</v>
      </c>
      <c r="BG224" s="33">
        <v>1</v>
      </c>
      <c r="BH224" s="33" t="s">
        <v>412</v>
      </c>
    </row>
    <row r="225" spans="1:60" ht="19.5" customHeight="1">
      <c r="A225" s="36">
        <v>222</v>
      </c>
      <c r="B225" s="31" t="s">
        <v>410</v>
      </c>
      <c r="C225" s="37">
        <v>46210</v>
      </c>
      <c r="D225" s="31" t="s">
        <v>336</v>
      </c>
      <c r="E225" s="31">
        <v>2197</v>
      </c>
      <c r="F225" s="31">
        <v>1962</v>
      </c>
      <c r="G225" s="32">
        <v>0.89303595812471548</v>
      </c>
      <c r="H225" s="31">
        <v>1262</v>
      </c>
      <c r="I225" s="33">
        <v>0.57441966317705961</v>
      </c>
      <c r="J225" s="31">
        <v>3394</v>
      </c>
      <c r="K225" s="31">
        <v>3261</v>
      </c>
      <c r="L225" s="32">
        <v>0.96099999999999997</v>
      </c>
      <c r="M225" s="31">
        <v>18183</v>
      </c>
      <c r="N225" s="31">
        <v>17910</v>
      </c>
      <c r="O225" s="31">
        <v>17833</v>
      </c>
      <c r="P225" s="32">
        <v>0.98075125116867401</v>
      </c>
      <c r="Q225" s="31">
        <v>125</v>
      </c>
      <c r="R225" s="31">
        <v>0</v>
      </c>
      <c r="S225" s="31">
        <v>0</v>
      </c>
      <c r="T225" s="32">
        <v>0</v>
      </c>
      <c r="U225" s="31">
        <v>0</v>
      </c>
      <c r="V225" s="32">
        <v>0</v>
      </c>
      <c r="W225" s="31">
        <v>223</v>
      </c>
      <c r="X225" s="32">
        <v>0.1015020482476104</v>
      </c>
      <c r="Y225" s="31">
        <v>867</v>
      </c>
      <c r="Z225" s="34">
        <v>0.39462903959945378</v>
      </c>
      <c r="AA225" s="31">
        <v>0</v>
      </c>
      <c r="AB225" s="32">
        <v>0</v>
      </c>
      <c r="AC225" s="31">
        <v>174</v>
      </c>
      <c r="AD225" s="32">
        <v>7.919890760127446E-2</v>
      </c>
      <c r="AE225" s="31">
        <v>30</v>
      </c>
      <c r="AF225" s="32">
        <v>0.17241379310344829</v>
      </c>
      <c r="AG225" s="31">
        <v>161</v>
      </c>
      <c r="AH225" s="32">
        <v>0.92528735632183912</v>
      </c>
      <c r="AI225" s="35">
        <v>166</v>
      </c>
      <c r="AJ225" s="32">
        <v>7.5557578516158394E-2</v>
      </c>
      <c r="AK225" s="35">
        <v>9</v>
      </c>
      <c r="AL225" s="32">
        <v>0.90361445783132532</v>
      </c>
      <c r="AM225" s="35">
        <v>162</v>
      </c>
      <c r="AN225" s="35">
        <v>150</v>
      </c>
      <c r="AO225" s="32">
        <v>6.8274920345926263E-2</v>
      </c>
      <c r="AP225" s="32">
        <v>0.86206896551724133</v>
      </c>
      <c r="AQ225" s="33">
        <v>0.98295454545454541</v>
      </c>
      <c r="AR225" s="33" t="s">
        <v>411</v>
      </c>
      <c r="AS225" s="33">
        <v>0</v>
      </c>
      <c r="AT225" s="35">
        <v>0</v>
      </c>
      <c r="AU225" s="35">
        <v>0</v>
      </c>
      <c r="AV225" s="35">
        <v>46</v>
      </c>
      <c r="AW225" s="35">
        <v>44</v>
      </c>
      <c r="AX225" s="35">
        <v>41</v>
      </c>
      <c r="AY225" s="35">
        <v>71</v>
      </c>
      <c r="AZ225" s="32">
        <v>2.0027309968138372E-2</v>
      </c>
      <c r="BA225" s="32">
        <v>1.8661811561219849E-2</v>
      </c>
      <c r="BB225" s="32">
        <v>3.2316795630405099E-2</v>
      </c>
      <c r="BC225" s="32">
        <v>0.27333333333333332</v>
      </c>
      <c r="BD225" s="35">
        <v>0</v>
      </c>
      <c r="BE225" s="35">
        <v>0</v>
      </c>
      <c r="BF225" s="33">
        <v>0.93333333333333335</v>
      </c>
      <c r="BG225" s="33">
        <v>1</v>
      </c>
      <c r="BH225" s="33" t="s">
        <v>412</v>
      </c>
    </row>
    <row r="226" spans="1:60" ht="19.5" customHeight="1">
      <c r="A226" s="36">
        <v>223</v>
      </c>
      <c r="B226" s="31" t="s">
        <v>410</v>
      </c>
      <c r="C226" s="37">
        <v>46211</v>
      </c>
      <c r="D226" s="31"/>
      <c r="E226" s="31">
        <v>34</v>
      </c>
      <c r="F226" s="31">
        <v>34</v>
      </c>
      <c r="G226" s="32">
        <v>1</v>
      </c>
      <c r="H226" s="31">
        <v>34</v>
      </c>
      <c r="I226" s="33">
        <v>1</v>
      </c>
      <c r="J226" s="31">
        <v>0</v>
      </c>
      <c r="K226" s="31">
        <v>0</v>
      </c>
      <c r="L226" s="32">
        <v>0</v>
      </c>
      <c r="M226" s="31">
        <v>1</v>
      </c>
      <c r="N226" s="31">
        <v>0</v>
      </c>
      <c r="O226" s="31">
        <v>1</v>
      </c>
      <c r="P226" s="32">
        <v>1</v>
      </c>
      <c r="Q226" s="31">
        <v>0</v>
      </c>
      <c r="R226" s="31">
        <v>0</v>
      </c>
      <c r="S226" s="31">
        <v>0</v>
      </c>
      <c r="T226" s="32">
        <v>0</v>
      </c>
      <c r="U226" s="31">
        <v>0</v>
      </c>
      <c r="V226" s="32">
        <v>0</v>
      </c>
      <c r="W226" s="31">
        <v>23</v>
      </c>
      <c r="X226" s="32">
        <v>0.67647058823529416</v>
      </c>
      <c r="Y226" s="31">
        <v>16</v>
      </c>
      <c r="Z226" s="34">
        <v>0.47058823529411759</v>
      </c>
      <c r="AA226" s="31">
        <v>0</v>
      </c>
      <c r="AB226" s="32">
        <v>0</v>
      </c>
      <c r="AC226" s="31">
        <v>0</v>
      </c>
      <c r="AD226" s="32">
        <v>0</v>
      </c>
      <c r="AE226" s="31">
        <v>0</v>
      </c>
      <c r="AF226" s="32">
        <v>0</v>
      </c>
      <c r="AG226" s="31">
        <v>0</v>
      </c>
      <c r="AH226" s="32">
        <v>0</v>
      </c>
      <c r="AI226" s="35">
        <v>0</v>
      </c>
      <c r="AJ226" s="32">
        <v>0</v>
      </c>
      <c r="AK226" s="35">
        <v>0</v>
      </c>
      <c r="AL226" s="32">
        <v>0</v>
      </c>
      <c r="AM226" s="35">
        <v>0</v>
      </c>
      <c r="AN226" s="35">
        <v>0</v>
      </c>
      <c r="AO226" s="32">
        <v>0</v>
      </c>
      <c r="AP226" s="32">
        <v>0</v>
      </c>
      <c r="AQ226" s="33"/>
      <c r="AR226" s="33" t="s">
        <v>411</v>
      </c>
      <c r="AS226" s="33" t="s">
        <v>411</v>
      </c>
      <c r="AT226" s="35">
        <v>0</v>
      </c>
      <c r="AU226" s="35">
        <v>0</v>
      </c>
      <c r="AV226" s="35">
        <v>0</v>
      </c>
      <c r="AW226" s="35">
        <v>0</v>
      </c>
      <c r="AX226" s="35">
        <v>0</v>
      </c>
      <c r="AY226" s="35">
        <v>0</v>
      </c>
      <c r="AZ226" s="32">
        <v>0</v>
      </c>
      <c r="BA226" s="32">
        <v>0</v>
      </c>
      <c r="BB226" s="32">
        <v>0</v>
      </c>
      <c r="BC226" s="32">
        <v>0</v>
      </c>
      <c r="BD226" s="35">
        <v>0</v>
      </c>
      <c r="BE226" s="35">
        <v>0</v>
      </c>
      <c r="BF226" s="33" t="s">
        <v>412</v>
      </c>
      <c r="BG226" s="33" t="s">
        <v>412</v>
      </c>
      <c r="BH226" s="33">
        <v>1</v>
      </c>
    </row>
    <row r="227" spans="1:60" ht="19.5" customHeight="1">
      <c r="A227" s="36">
        <v>224</v>
      </c>
      <c r="B227" s="31" t="s">
        <v>410</v>
      </c>
      <c r="C227" s="37">
        <v>46211</v>
      </c>
      <c r="D227" s="31" t="s">
        <v>413</v>
      </c>
      <c r="E227" s="31">
        <v>1</v>
      </c>
      <c r="F227" s="31">
        <v>1</v>
      </c>
      <c r="G227" s="32">
        <v>1</v>
      </c>
      <c r="H227" s="31">
        <v>0</v>
      </c>
      <c r="I227" s="33">
        <v>0</v>
      </c>
      <c r="J227" s="31">
        <v>3</v>
      </c>
      <c r="K227" s="31">
        <v>3</v>
      </c>
      <c r="L227" s="32">
        <v>1</v>
      </c>
      <c r="M227" s="31">
        <v>7</v>
      </c>
      <c r="N227" s="31">
        <v>7</v>
      </c>
      <c r="O227" s="31">
        <v>7</v>
      </c>
      <c r="P227" s="32">
        <v>1</v>
      </c>
      <c r="Q227" s="31">
        <v>0</v>
      </c>
      <c r="R227" s="31">
        <v>0</v>
      </c>
      <c r="S227" s="31">
        <v>0</v>
      </c>
      <c r="T227" s="32">
        <v>0</v>
      </c>
      <c r="U227" s="31">
        <v>0</v>
      </c>
      <c r="V227" s="32">
        <v>0</v>
      </c>
      <c r="W227" s="31">
        <v>0</v>
      </c>
      <c r="X227" s="32">
        <v>0</v>
      </c>
      <c r="Y227" s="31">
        <v>0</v>
      </c>
      <c r="Z227" s="34">
        <v>0</v>
      </c>
      <c r="AA227" s="31">
        <v>0</v>
      </c>
      <c r="AB227" s="32">
        <v>0</v>
      </c>
      <c r="AC227" s="31">
        <v>0</v>
      </c>
      <c r="AD227" s="32">
        <v>0</v>
      </c>
      <c r="AE227" s="31">
        <v>0</v>
      </c>
      <c r="AF227" s="32">
        <v>0</v>
      </c>
      <c r="AG227" s="31">
        <v>0</v>
      </c>
      <c r="AH227" s="32">
        <v>0</v>
      </c>
      <c r="AI227" s="35">
        <v>0</v>
      </c>
      <c r="AJ227" s="32">
        <v>0</v>
      </c>
      <c r="AK227" s="35">
        <v>0</v>
      </c>
      <c r="AL227" s="32">
        <v>0</v>
      </c>
      <c r="AM227" s="35">
        <v>0</v>
      </c>
      <c r="AN227" s="35">
        <v>0</v>
      </c>
      <c r="AO227" s="32">
        <v>0</v>
      </c>
      <c r="AP227" s="32">
        <v>0</v>
      </c>
      <c r="AQ227" s="33"/>
      <c r="AR227" s="33" t="s">
        <v>411</v>
      </c>
      <c r="AS227" s="33" t="s">
        <v>411</v>
      </c>
      <c r="AT227" s="35">
        <v>0</v>
      </c>
      <c r="AU227" s="35">
        <v>0</v>
      </c>
      <c r="AV227" s="35">
        <v>0</v>
      </c>
      <c r="AW227" s="35">
        <v>0</v>
      </c>
      <c r="AX227" s="35">
        <v>0</v>
      </c>
      <c r="AY227" s="35">
        <v>0</v>
      </c>
      <c r="AZ227" s="32">
        <v>0</v>
      </c>
      <c r="BA227" s="32">
        <v>0</v>
      </c>
      <c r="BB227" s="32">
        <v>0</v>
      </c>
      <c r="BC227" s="32">
        <v>0</v>
      </c>
      <c r="BD227" s="35">
        <v>0</v>
      </c>
      <c r="BE227" s="35">
        <v>0</v>
      </c>
      <c r="BF227" s="33" t="s">
        <v>412</v>
      </c>
      <c r="BG227" s="33" t="s">
        <v>412</v>
      </c>
      <c r="BH227" s="33" t="s">
        <v>412</v>
      </c>
    </row>
    <row r="228" spans="1:60" ht="19.5" customHeight="1">
      <c r="A228" s="36">
        <v>225</v>
      </c>
      <c r="B228" s="31" t="s">
        <v>410</v>
      </c>
      <c r="C228" s="37">
        <v>46211</v>
      </c>
      <c r="D228" s="31" t="s">
        <v>335</v>
      </c>
      <c r="E228" s="31">
        <v>1658</v>
      </c>
      <c r="F228" s="31">
        <v>1444</v>
      </c>
      <c r="G228" s="32">
        <v>0.87092882991556086</v>
      </c>
      <c r="H228" s="31">
        <v>675</v>
      </c>
      <c r="I228" s="33">
        <v>0.4071170084439083</v>
      </c>
      <c r="J228" s="31">
        <v>2174</v>
      </c>
      <c r="K228" s="31">
        <v>2110</v>
      </c>
      <c r="L228" s="32">
        <v>0.97099999999999997</v>
      </c>
      <c r="M228" s="31">
        <v>10595</v>
      </c>
      <c r="N228" s="31">
        <v>10132</v>
      </c>
      <c r="O228" s="31">
        <v>10408</v>
      </c>
      <c r="P228" s="32">
        <v>0.98235016517225104</v>
      </c>
      <c r="Q228" s="31">
        <v>61</v>
      </c>
      <c r="R228" s="31">
        <v>0</v>
      </c>
      <c r="S228" s="31">
        <v>0</v>
      </c>
      <c r="T228" s="32">
        <v>0</v>
      </c>
      <c r="U228" s="31">
        <v>0</v>
      </c>
      <c r="V228" s="32">
        <v>0</v>
      </c>
      <c r="W228" s="31">
        <v>392</v>
      </c>
      <c r="X228" s="32">
        <v>0.2364294330518697</v>
      </c>
      <c r="Y228" s="31">
        <v>858</v>
      </c>
      <c r="Z228" s="34">
        <v>0.51749095295536796</v>
      </c>
      <c r="AA228" s="31">
        <v>0</v>
      </c>
      <c r="AB228" s="32">
        <v>0</v>
      </c>
      <c r="AC228" s="31">
        <v>83</v>
      </c>
      <c r="AD228" s="32">
        <v>5.0060313630880579E-2</v>
      </c>
      <c r="AE228" s="31">
        <v>7</v>
      </c>
      <c r="AF228" s="32">
        <v>8.4337349397590355E-2</v>
      </c>
      <c r="AG228" s="31">
        <v>75</v>
      </c>
      <c r="AH228" s="32">
        <v>0.90361445783132532</v>
      </c>
      <c r="AI228" s="35">
        <v>75</v>
      </c>
      <c r="AJ228" s="32">
        <v>4.5235223160434261E-2</v>
      </c>
      <c r="AK228" s="35">
        <v>5</v>
      </c>
      <c r="AL228" s="32">
        <v>0.88</v>
      </c>
      <c r="AM228" s="35">
        <v>75</v>
      </c>
      <c r="AN228" s="35">
        <v>66</v>
      </c>
      <c r="AO228" s="32">
        <v>3.9806996381182153E-2</v>
      </c>
      <c r="AP228" s="32">
        <v>0.79518072289156627</v>
      </c>
      <c r="AQ228" s="33">
        <v>0.93975903614457834</v>
      </c>
      <c r="AR228" s="33" t="s">
        <v>411</v>
      </c>
      <c r="AS228" s="33">
        <v>0</v>
      </c>
      <c r="AT228" s="35">
        <v>0</v>
      </c>
      <c r="AU228" s="35">
        <v>0</v>
      </c>
      <c r="AV228" s="35">
        <v>36</v>
      </c>
      <c r="AW228" s="35">
        <v>28</v>
      </c>
      <c r="AX228" s="35">
        <v>33</v>
      </c>
      <c r="AY228" s="35">
        <v>53</v>
      </c>
      <c r="AZ228" s="32">
        <v>1.688781664656212E-2</v>
      </c>
      <c r="BA228" s="32">
        <v>1.9903498190591069E-2</v>
      </c>
      <c r="BB228" s="32">
        <v>3.1966224366706868E-2</v>
      </c>
      <c r="BC228" s="32">
        <v>0.5</v>
      </c>
      <c r="BD228" s="35">
        <v>0</v>
      </c>
      <c r="BE228" s="35">
        <v>0</v>
      </c>
      <c r="BF228" s="33">
        <v>1</v>
      </c>
      <c r="BG228" s="33">
        <v>1</v>
      </c>
      <c r="BH228" s="33" t="s">
        <v>412</v>
      </c>
    </row>
    <row r="229" spans="1:60" ht="19.5" customHeight="1">
      <c r="A229" s="36">
        <v>226</v>
      </c>
      <c r="B229" s="31" t="s">
        <v>410</v>
      </c>
      <c r="C229" s="37">
        <v>46211</v>
      </c>
      <c r="D229" s="31" t="s">
        <v>334</v>
      </c>
      <c r="E229" s="31">
        <v>1570</v>
      </c>
      <c r="F229" s="31">
        <v>1397</v>
      </c>
      <c r="G229" s="32">
        <v>0.88980891719745225</v>
      </c>
      <c r="H229" s="31">
        <v>821</v>
      </c>
      <c r="I229" s="33">
        <v>0.52292993630573248</v>
      </c>
      <c r="J229" s="31">
        <v>1469</v>
      </c>
      <c r="K229" s="31">
        <v>1413</v>
      </c>
      <c r="L229" s="32">
        <v>0.96199999999999997</v>
      </c>
      <c r="M229" s="31">
        <v>8836</v>
      </c>
      <c r="N229" s="31">
        <v>8575</v>
      </c>
      <c r="O229" s="31">
        <v>8670</v>
      </c>
      <c r="P229" s="32">
        <v>0.98121321865097333</v>
      </c>
      <c r="Q229" s="31">
        <v>57</v>
      </c>
      <c r="R229" s="31">
        <v>0</v>
      </c>
      <c r="S229" s="31">
        <v>0</v>
      </c>
      <c r="T229" s="32">
        <v>0</v>
      </c>
      <c r="U229" s="31">
        <v>0</v>
      </c>
      <c r="V229" s="32">
        <v>0</v>
      </c>
      <c r="W229" s="31">
        <v>361</v>
      </c>
      <c r="X229" s="32">
        <v>0.22993630573248411</v>
      </c>
      <c r="Y229" s="31">
        <v>580</v>
      </c>
      <c r="Z229" s="34">
        <v>0.36942675159235672</v>
      </c>
      <c r="AA229" s="31">
        <v>0</v>
      </c>
      <c r="AB229" s="32">
        <v>0</v>
      </c>
      <c r="AC229" s="31">
        <v>84</v>
      </c>
      <c r="AD229" s="32">
        <v>5.3503184713375798E-2</v>
      </c>
      <c r="AE229" s="31">
        <v>21</v>
      </c>
      <c r="AF229" s="32">
        <v>0.25</v>
      </c>
      <c r="AG229" s="31">
        <v>80</v>
      </c>
      <c r="AH229" s="32">
        <v>0.95238095238095233</v>
      </c>
      <c r="AI229" s="35">
        <v>81</v>
      </c>
      <c r="AJ229" s="32">
        <v>5.1592356687898092E-2</v>
      </c>
      <c r="AK229" s="35">
        <v>8</v>
      </c>
      <c r="AL229" s="32">
        <v>0.81481481481481477</v>
      </c>
      <c r="AM229" s="35">
        <v>80</v>
      </c>
      <c r="AN229" s="35">
        <v>66</v>
      </c>
      <c r="AO229" s="32">
        <v>4.2038216560509552E-2</v>
      </c>
      <c r="AP229" s="32">
        <v>0.7857142857142857</v>
      </c>
      <c r="AQ229" s="33">
        <v>0.95121951219512191</v>
      </c>
      <c r="AR229" s="33" t="s">
        <v>411</v>
      </c>
      <c r="AS229" s="33">
        <v>0</v>
      </c>
      <c r="AT229" s="35">
        <v>0</v>
      </c>
      <c r="AU229" s="35">
        <v>0</v>
      </c>
      <c r="AV229" s="35">
        <v>30</v>
      </c>
      <c r="AW229" s="35">
        <v>24</v>
      </c>
      <c r="AX229" s="35">
        <v>23</v>
      </c>
      <c r="AY229" s="35">
        <v>55</v>
      </c>
      <c r="AZ229" s="32">
        <v>1.528662420382166E-2</v>
      </c>
      <c r="BA229" s="32">
        <v>1.4649681528662421E-2</v>
      </c>
      <c r="BB229" s="32">
        <v>3.5031847133757961E-2</v>
      </c>
      <c r="BC229" s="32">
        <v>0.34848484848484851</v>
      </c>
      <c r="BD229" s="35">
        <v>0</v>
      </c>
      <c r="BE229" s="35">
        <v>0</v>
      </c>
      <c r="BF229" s="33">
        <v>1</v>
      </c>
      <c r="BG229" s="33">
        <v>1</v>
      </c>
      <c r="BH229" s="33" t="s">
        <v>412</v>
      </c>
    </row>
    <row r="230" spans="1:60" ht="19.5" customHeight="1">
      <c r="A230" s="36">
        <v>227</v>
      </c>
      <c r="B230" s="31" t="s">
        <v>410</v>
      </c>
      <c r="C230" s="37">
        <v>46211</v>
      </c>
      <c r="D230" s="31" t="s">
        <v>337</v>
      </c>
      <c r="E230" s="31">
        <v>3921</v>
      </c>
      <c r="F230" s="31">
        <v>3488</v>
      </c>
      <c r="G230" s="32">
        <v>0.88956898750318791</v>
      </c>
      <c r="H230" s="31">
        <v>1400</v>
      </c>
      <c r="I230" s="33">
        <v>0.35705177250701348</v>
      </c>
      <c r="J230" s="31">
        <v>5182</v>
      </c>
      <c r="K230" s="31">
        <v>4991</v>
      </c>
      <c r="L230" s="32">
        <v>0.96299999999999997</v>
      </c>
      <c r="M230" s="31">
        <v>23509</v>
      </c>
      <c r="N230" s="31">
        <v>23078</v>
      </c>
      <c r="O230" s="31">
        <v>23022</v>
      </c>
      <c r="P230" s="32">
        <v>0.97928452932919308</v>
      </c>
      <c r="Q230" s="31">
        <v>126</v>
      </c>
      <c r="R230" s="31">
        <v>0</v>
      </c>
      <c r="S230" s="31">
        <v>0</v>
      </c>
      <c r="T230" s="32">
        <v>0</v>
      </c>
      <c r="U230" s="31">
        <v>0</v>
      </c>
      <c r="V230" s="32">
        <v>0</v>
      </c>
      <c r="W230" s="31">
        <v>900</v>
      </c>
      <c r="X230" s="32">
        <v>0.22953328232593731</v>
      </c>
      <c r="Y230" s="31">
        <v>1888</v>
      </c>
      <c r="Z230" s="34">
        <v>0.48150981892374389</v>
      </c>
      <c r="AA230" s="31">
        <v>0</v>
      </c>
      <c r="AB230" s="32">
        <v>0</v>
      </c>
      <c r="AC230" s="31">
        <v>366</v>
      </c>
      <c r="AD230" s="32">
        <v>9.3343534812547813E-2</v>
      </c>
      <c r="AE230" s="31">
        <v>72</v>
      </c>
      <c r="AF230" s="32">
        <v>0.1967213114754098</v>
      </c>
      <c r="AG230" s="31">
        <v>343</v>
      </c>
      <c r="AH230" s="32">
        <v>0.93715846994535523</v>
      </c>
      <c r="AI230" s="35">
        <v>340</v>
      </c>
      <c r="AJ230" s="32">
        <v>8.6712573323131856E-2</v>
      </c>
      <c r="AK230" s="35">
        <v>18</v>
      </c>
      <c r="AL230" s="32">
        <v>0.86176470588235299</v>
      </c>
      <c r="AM230" s="35">
        <v>330</v>
      </c>
      <c r="AN230" s="35">
        <v>293</v>
      </c>
      <c r="AO230" s="32">
        <v>7.4725835246110692E-2</v>
      </c>
      <c r="AP230" s="32">
        <v>0.80054644808743169</v>
      </c>
      <c r="AQ230" s="33">
        <v>0.97855227882037532</v>
      </c>
      <c r="AR230" s="33" t="s">
        <v>411</v>
      </c>
      <c r="AS230" s="33">
        <v>0</v>
      </c>
      <c r="AT230" s="35">
        <v>0</v>
      </c>
      <c r="AU230" s="35">
        <v>0</v>
      </c>
      <c r="AV230" s="35">
        <v>65</v>
      </c>
      <c r="AW230" s="35">
        <v>57</v>
      </c>
      <c r="AX230" s="35">
        <v>56</v>
      </c>
      <c r="AY230" s="35">
        <v>105</v>
      </c>
      <c r="AZ230" s="32">
        <v>1.4537107880642689E-2</v>
      </c>
      <c r="BA230" s="32">
        <v>1.428207090028054E-2</v>
      </c>
      <c r="BB230" s="32">
        <v>2.6778882938026011E-2</v>
      </c>
      <c r="BC230" s="32">
        <v>0.19112627986348121</v>
      </c>
      <c r="BD230" s="35">
        <v>0</v>
      </c>
      <c r="BE230" s="35">
        <v>0</v>
      </c>
      <c r="BF230" s="33">
        <v>1</v>
      </c>
      <c r="BG230" s="33">
        <v>1</v>
      </c>
      <c r="BH230" s="33" t="s">
        <v>412</v>
      </c>
    </row>
    <row r="231" spans="1:60" ht="19.5" customHeight="1">
      <c r="A231" s="36">
        <v>228</v>
      </c>
      <c r="B231" s="31" t="s">
        <v>410</v>
      </c>
      <c r="C231" s="37">
        <v>46211</v>
      </c>
      <c r="D231" s="31" t="s">
        <v>336</v>
      </c>
      <c r="E231" s="31">
        <v>2216</v>
      </c>
      <c r="F231" s="31">
        <v>2006</v>
      </c>
      <c r="G231" s="32">
        <v>0.90523465703971118</v>
      </c>
      <c r="H231" s="31">
        <v>1248</v>
      </c>
      <c r="I231" s="33">
        <v>0.56317689530685922</v>
      </c>
      <c r="J231" s="31">
        <v>3498</v>
      </c>
      <c r="K231" s="31">
        <v>3374</v>
      </c>
      <c r="L231" s="32">
        <v>0.96499999999999997</v>
      </c>
      <c r="M231" s="31">
        <v>17844</v>
      </c>
      <c r="N231" s="31">
        <v>17631</v>
      </c>
      <c r="O231" s="31">
        <v>17511</v>
      </c>
      <c r="P231" s="32">
        <v>0.9813382649630128</v>
      </c>
      <c r="Q231" s="31">
        <v>117</v>
      </c>
      <c r="R231" s="31">
        <v>0</v>
      </c>
      <c r="S231" s="31">
        <v>0</v>
      </c>
      <c r="T231" s="32">
        <v>0</v>
      </c>
      <c r="U231" s="31">
        <v>0</v>
      </c>
      <c r="V231" s="32">
        <v>0</v>
      </c>
      <c r="W231" s="31">
        <v>527</v>
      </c>
      <c r="X231" s="32">
        <v>0.23781588447653429</v>
      </c>
      <c r="Y231" s="31">
        <v>974</v>
      </c>
      <c r="Z231" s="34">
        <v>0.43953068592057759</v>
      </c>
      <c r="AA231" s="31">
        <v>0</v>
      </c>
      <c r="AB231" s="32">
        <v>0</v>
      </c>
      <c r="AC231" s="31">
        <v>199</v>
      </c>
      <c r="AD231" s="32">
        <v>8.9801444043321299E-2</v>
      </c>
      <c r="AE231" s="31">
        <v>39</v>
      </c>
      <c r="AF231" s="32">
        <v>0.1959798994974874</v>
      </c>
      <c r="AG231" s="31">
        <v>192</v>
      </c>
      <c r="AH231" s="32">
        <v>0.96482412060301503</v>
      </c>
      <c r="AI231" s="35">
        <v>209</v>
      </c>
      <c r="AJ231" s="32">
        <v>9.4314079422382666E-2</v>
      </c>
      <c r="AK231" s="35">
        <v>19</v>
      </c>
      <c r="AL231" s="32">
        <v>0.90909090909090906</v>
      </c>
      <c r="AM231" s="35">
        <v>207</v>
      </c>
      <c r="AN231" s="35">
        <v>190</v>
      </c>
      <c r="AO231" s="32">
        <v>8.5740072202166062E-2</v>
      </c>
      <c r="AP231" s="32">
        <v>0.95477386934673369</v>
      </c>
      <c r="AQ231" s="33">
        <v>0.98630136986301364</v>
      </c>
      <c r="AR231" s="33" t="s">
        <v>411</v>
      </c>
      <c r="AS231" s="33">
        <v>0</v>
      </c>
      <c r="AT231" s="35">
        <v>0</v>
      </c>
      <c r="AU231" s="35">
        <v>0</v>
      </c>
      <c r="AV231" s="35">
        <v>37</v>
      </c>
      <c r="AW231" s="35">
        <v>30</v>
      </c>
      <c r="AX231" s="35">
        <v>30</v>
      </c>
      <c r="AY231" s="35">
        <v>58</v>
      </c>
      <c r="AZ231" s="32">
        <v>1.3537906137184121E-2</v>
      </c>
      <c r="BA231" s="32">
        <v>1.3537906137184121E-2</v>
      </c>
      <c r="BB231" s="32">
        <v>2.6173285198555961E-2</v>
      </c>
      <c r="BC231" s="32">
        <v>0.15789473684210531</v>
      </c>
      <c r="BD231" s="35">
        <v>0</v>
      </c>
      <c r="BE231" s="35">
        <v>1</v>
      </c>
      <c r="BF231" s="33">
        <v>0.90909090909090906</v>
      </c>
      <c r="BG231" s="33">
        <v>1</v>
      </c>
      <c r="BH231" s="33" t="s">
        <v>412</v>
      </c>
    </row>
    <row r="232" spans="1:60" ht="19.5" customHeight="1">
      <c r="A232" s="36">
        <v>229</v>
      </c>
      <c r="B232" s="31" t="s">
        <v>410</v>
      </c>
      <c r="C232" s="37">
        <v>46212</v>
      </c>
      <c r="D232" s="31"/>
      <c r="E232" s="31">
        <v>40</v>
      </c>
      <c r="F232" s="31">
        <v>40</v>
      </c>
      <c r="G232" s="32">
        <v>1</v>
      </c>
      <c r="H232" s="31">
        <v>40</v>
      </c>
      <c r="I232" s="33">
        <v>1</v>
      </c>
      <c r="J232" s="31">
        <v>0</v>
      </c>
      <c r="K232" s="31">
        <v>0</v>
      </c>
      <c r="L232" s="32">
        <v>0</v>
      </c>
      <c r="M232" s="31">
        <v>1</v>
      </c>
      <c r="N232" s="31">
        <v>0</v>
      </c>
      <c r="O232" s="31">
        <v>0</v>
      </c>
      <c r="P232" s="32">
        <v>0</v>
      </c>
      <c r="Q232" s="31">
        <v>1</v>
      </c>
      <c r="R232" s="31">
        <v>0</v>
      </c>
      <c r="S232" s="31">
        <v>0</v>
      </c>
      <c r="T232" s="32">
        <v>0</v>
      </c>
      <c r="U232" s="31">
        <v>0</v>
      </c>
      <c r="V232" s="32">
        <v>0</v>
      </c>
      <c r="W232" s="31">
        <v>8</v>
      </c>
      <c r="X232" s="32">
        <v>0.2</v>
      </c>
      <c r="Y232" s="31">
        <v>11</v>
      </c>
      <c r="Z232" s="34">
        <v>0.27500000000000002</v>
      </c>
      <c r="AA232" s="31">
        <v>0</v>
      </c>
      <c r="AB232" s="32">
        <v>0</v>
      </c>
      <c r="AC232" s="31">
        <v>0</v>
      </c>
      <c r="AD232" s="32">
        <v>0</v>
      </c>
      <c r="AE232" s="31">
        <v>0</v>
      </c>
      <c r="AF232" s="32">
        <v>0</v>
      </c>
      <c r="AG232" s="31">
        <v>0</v>
      </c>
      <c r="AH232" s="32">
        <v>0</v>
      </c>
      <c r="AI232" s="35">
        <v>0</v>
      </c>
      <c r="AJ232" s="32">
        <v>0</v>
      </c>
      <c r="AK232" s="35">
        <v>0</v>
      </c>
      <c r="AL232" s="32">
        <v>0</v>
      </c>
      <c r="AM232" s="35">
        <v>0</v>
      </c>
      <c r="AN232" s="35">
        <v>0</v>
      </c>
      <c r="AO232" s="32">
        <v>0</v>
      </c>
      <c r="AP232" s="32">
        <v>0</v>
      </c>
      <c r="AQ232" s="33"/>
      <c r="AR232" s="33" t="s">
        <v>411</v>
      </c>
      <c r="AS232" s="33" t="s">
        <v>411</v>
      </c>
      <c r="AT232" s="35">
        <v>0</v>
      </c>
      <c r="AU232" s="35">
        <v>0</v>
      </c>
      <c r="AV232" s="35">
        <v>0</v>
      </c>
      <c r="AW232" s="35">
        <v>0</v>
      </c>
      <c r="AX232" s="35">
        <v>0</v>
      </c>
      <c r="AY232" s="35">
        <v>0</v>
      </c>
      <c r="AZ232" s="32">
        <v>0</v>
      </c>
      <c r="BA232" s="32">
        <v>0</v>
      </c>
      <c r="BB232" s="32">
        <v>0</v>
      </c>
      <c r="BC232" s="32">
        <v>0</v>
      </c>
      <c r="BD232" s="35">
        <v>0</v>
      </c>
      <c r="BE232" s="35">
        <v>0</v>
      </c>
      <c r="BF232" s="33" t="s">
        <v>412</v>
      </c>
      <c r="BG232" s="33" t="s">
        <v>412</v>
      </c>
      <c r="BH232" s="33">
        <v>1</v>
      </c>
    </row>
    <row r="233" spans="1:60" ht="19.5" customHeight="1">
      <c r="A233" s="36">
        <v>230</v>
      </c>
      <c r="B233" s="31" t="s">
        <v>410</v>
      </c>
      <c r="C233" s="37">
        <v>46212</v>
      </c>
      <c r="D233" s="31" t="s">
        <v>413</v>
      </c>
      <c r="E233" s="31">
        <v>1</v>
      </c>
      <c r="F233" s="31">
        <v>1</v>
      </c>
      <c r="G233" s="32">
        <v>1</v>
      </c>
      <c r="H233" s="31">
        <v>0</v>
      </c>
      <c r="I233" s="33">
        <v>0</v>
      </c>
      <c r="J233" s="31">
        <v>1</v>
      </c>
      <c r="K233" s="31">
        <v>1</v>
      </c>
      <c r="L233" s="32">
        <v>1</v>
      </c>
      <c r="M233" s="31">
        <v>6</v>
      </c>
      <c r="N233" s="31">
        <v>2</v>
      </c>
      <c r="O233" s="31">
        <v>4</v>
      </c>
      <c r="P233" s="32">
        <v>0.66666666666666663</v>
      </c>
      <c r="Q233" s="31">
        <v>0</v>
      </c>
      <c r="R233" s="31">
        <v>0</v>
      </c>
      <c r="S233" s="31">
        <v>0</v>
      </c>
      <c r="T233" s="32">
        <v>0</v>
      </c>
      <c r="U233" s="31">
        <v>0</v>
      </c>
      <c r="V233" s="32">
        <v>0</v>
      </c>
      <c r="W233" s="31">
        <v>0</v>
      </c>
      <c r="X233" s="32">
        <v>0</v>
      </c>
      <c r="Y233" s="31">
        <v>0</v>
      </c>
      <c r="Z233" s="34">
        <v>0</v>
      </c>
      <c r="AA233" s="31">
        <v>0</v>
      </c>
      <c r="AB233" s="32">
        <v>0</v>
      </c>
      <c r="AC233" s="31">
        <v>0</v>
      </c>
      <c r="AD233" s="32">
        <v>0</v>
      </c>
      <c r="AE233" s="31">
        <v>0</v>
      </c>
      <c r="AF233" s="32">
        <v>0</v>
      </c>
      <c r="AG233" s="31">
        <v>0</v>
      </c>
      <c r="AH233" s="32">
        <v>0</v>
      </c>
      <c r="AI233" s="35">
        <v>0</v>
      </c>
      <c r="AJ233" s="32">
        <v>0</v>
      </c>
      <c r="AK233" s="35">
        <v>0</v>
      </c>
      <c r="AL233" s="32">
        <v>0</v>
      </c>
      <c r="AM233" s="35">
        <v>0</v>
      </c>
      <c r="AN233" s="35">
        <v>0</v>
      </c>
      <c r="AO233" s="32">
        <v>0</v>
      </c>
      <c r="AP233" s="32">
        <v>0</v>
      </c>
      <c r="AQ233" s="33"/>
      <c r="AR233" s="33" t="s">
        <v>411</v>
      </c>
      <c r="AS233" s="33" t="s">
        <v>411</v>
      </c>
      <c r="AT233" s="35">
        <v>0</v>
      </c>
      <c r="AU233" s="35">
        <v>0</v>
      </c>
      <c r="AV233" s="35">
        <v>0</v>
      </c>
      <c r="AW233" s="35">
        <v>0</v>
      </c>
      <c r="AX233" s="35">
        <v>0</v>
      </c>
      <c r="AY233" s="35">
        <v>0</v>
      </c>
      <c r="AZ233" s="32">
        <v>0</v>
      </c>
      <c r="BA233" s="32">
        <v>0</v>
      </c>
      <c r="BB233" s="32">
        <v>0</v>
      </c>
      <c r="BC233" s="32">
        <v>0</v>
      </c>
      <c r="BD233" s="35">
        <v>0</v>
      </c>
      <c r="BE233" s="35">
        <v>0</v>
      </c>
      <c r="BF233" s="33" t="s">
        <v>412</v>
      </c>
      <c r="BG233" s="33" t="s">
        <v>412</v>
      </c>
      <c r="BH233" s="33" t="s">
        <v>412</v>
      </c>
    </row>
    <row r="234" spans="1:60" ht="19.5" customHeight="1">
      <c r="A234" s="36">
        <v>231</v>
      </c>
      <c r="B234" s="31" t="s">
        <v>410</v>
      </c>
      <c r="C234" s="37">
        <v>46212</v>
      </c>
      <c r="D234" s="31" t="s">
        <v>335</v>
      </c>
      <c r="E234" s="31">
        <v>1710</v>
      </c>
      <c r="F234" s="31">
        <v>1483</v>
      </c>
      <c r="G234" s="32">
        <v>0.86725146198830405</v>
      </c>
      <c r="H234" s="31">
        <v>651</v>
      </c>
      <c r="I234" s="33">
        <v>0.38070175438596487</v>
      </c>
      <c r="J234" s="31">
        <v>1582</v>
      </c>
      <c r="K234" s="31">
        <v>1523</v>
      </c>
      <c r="L234" s="32">
        <v>0.96299999999999997</v>
      </c>
      <c r="M234" s="31">
        <v>9423</v>
      </c>
      <c r="N234" s="31">
        <v>9382</v>
      </c>
      <c r="O234" s="31">
        <v>9231</v>
      </c>
      <c r="P234" s="32">
        <v>0.97962432346386497</v>
      </c>
      <c r="Q234" s="31">
        <v>66</v>
      </c>
      <c r="R234" s="31">
        <v>0</v>
      </c>
      <c r="S234" s="31">
        <v>0</v>
      </c>
      <c r="T234" s="32">
        <v>0</v>
      </c>
      <c r="U234" s="31">
        <v>0</v>
      </c>
      <c r="V234" s="32">
        <v>0</v>
      </c>
      <c r="W234" s="31">
        <v>248</v>
      </c>
      <c r="X234" s="32">
        <v>0.1450292397660819</v>
      </c>
      <c r="Y234" s="31">
        <v>766</v>
      </c>
      <c r="Z234" s="34">
        <v>0.44795321637426899</v>
      </c>
      <c r="AA234" s="31">
        <v>0</v>
      </c>
      <c r="AB234" s="32">
        <v>0</v>
      </c>
      <c r="AC234" s="31">
        <v>95</v>
      </c>
      <c r="AD234" s="32">
        <v>5.5555555555555552E-2</v>
      </c>
      <c r="AE234" s="31">
        <v>19</v>
      </c>
      <c r="AF234" s="32">
        <v>0.2</v>
      </c>
      <c r="AG234" s="31">
        <v>94</v>
      </c>
      <c r="AH234" s="32">
        <v>0.98947368421052628</v>
      </c>
      <c r="AI234" s="35">
        <v>90</v>
      </c>
      <c r="AJ234" s="32">
        <v>5.2631578947368418E-2</v>
      </c>
      <c r="AK234" s="35">
        <v>8</v>
      </c>
      <c r="AL234" s="32">
        <v>0.82222222222222219</v>
      </c>
      <c r="AM234" s="35">
        <v>89</v>
      </c>
      <c r="AN234" s="35">
        <v>74</v>
      </c>
      <c r="AO234" s="32">
        <v>4.3274853801169591E-2</v>
      </c>
      <c r="AP234" s="32">
        <v>0.77894736842105261</v>
      </c>
      <c r="AQ234" s="33">
        <v>0.96666666666666667</v>
      </c>
      <c r="AR234" s="33" t="s">
        <v>411</v>
      </c>
      <c r="AS234" s="33">
        <v>0</v>
      </c>
      <c r="AT234" s="35">
        <v>0</v>
      </c>
      <c r="AU234" s="35">
        <v>0</v>
      </c>
      <c r="AV234" s="35">
        <v>36</v>
      </c>
      <c r="AW234" s="35">
        <v>33</v>
      </c>
      <c r="AX234" s="35">
        <v>33</v>
      </c>
      <c r="AY234" s="35">
        <v>46</v>
      </c>
      <c r="AZ234" s="32">
        <v>1.9298245614035089E-2</v>
      </c>
      <c r="BA234" s="32">
        <v>1.9298245614035089E-2</v>
      </c>
      <c r="BB234" s="32">
        <v>2.690058479532164E-2</v>
      </c>
      <c r="BC234" s="32">
        <v>0.44594594594594589</v>
      </c>
      <c r="BD234" s="35">
        <v>0</v>
      </c>
      <c r="BE234" s="35">
        <v>0</v>
      </c>
      <c r="BF234" s="33">
        <v>1</v>
      </c>
      <c r="BG234" s="33">
        <v>1</v>
      </c>
      <c r="BH234" s="33" t="s">
        <v>412</v>
      </c>
    </row>
    <row r="235" spans="1:60" ht="19.5" customHeight="1">
      <c r="A235" s="36">
        <v>232</v>
      </c>
      <c r="B235" s="31" t="s">
        <v>410</v>
      </c>
      <c r="C235" s="37">
        <v>46212</v>
      </c>
      <c r="D235" s="31" t="s">
        <v>334</v>
      </c>
      <c r="E235" s="31">
        <v>1527</v>
      </c>
      <c r="F235" s="31">
        <v>1307</v>
      </c>
      <c r="G235" s="32">
        <v>0.8559266535690897</v>
      </c>
      <c r="H235" s="31">
        <v>735</v>
      </c>
      <c r="I235" s="33">
        <v>0.48133595284872299</v>
      </c>
      <c r="J235" s="31">
        <v>1947</v>
      </c>
      <c r="K235" s="31">
        <v>1898</v>
      </c>
      <c r="L235" s="32">
        <v>0.97499999999999998</v>
      </c>
      <c r="M235" s="31">
        <v>9246</v>
      </c>
      <c r="N235" s="31">
        <v>9132</v>
      </c>
      <c r="O235" s="31">
        <v>9090</v>
      </c>
      <c r="P235" s="32">
        <v>0.98312783906554191</v>
      </c>
      <c r="Q235" s="31">
        <v>40</v>
      </c>
      <c r="R235" s="31">
        <v>0</v>
      </c>
      <c r="S235" s="31">
        <v>0</v>
      </c>
      <c r="T235" s="32">
        <v>0</v>
      </c>
      <c r="U235" s="31">
        <v>0</v>
      </c>
      <c r="V235" s="32">
        <v>0</v>
      </c>
      <c r="W235" s="31">
        <v>224</v>
      </c>
      <c r="X235" s="32">
        <v>0.14669286182056321</v>
      </c>
      <c r="Y235" s="31">
        <v>536</v>
      </c>
      <c r="Z235" s="34">
        <v>0.35101506221349049</v>
      </c>
      <c r="AA235" s="31">
        <v>0</v>
      </c>
      <c r="AB235" s="32">
        <v>0</v>
      </c>
      <c r="AC235" s="31">
        <v>78</v>
      </c>
      <c r="AD235" s="32">
        <v>5.1080550098231828E-2</v>
      </c>
      <c r="AE235" s="31">
        <v>10</v>
      </c>
      <c r="AF235" s="32">
        <v>0.12820512820512819</v>
      </c>
      <c r="AG235" s="31">
        <v>77</v>
      </c>
      <c r="AH235" s="32">
        <v>0.98717948717948723</v>
      </c>
      <c r="AI235" s="35">
        <v>75</v>
      </c>
      <c r="AJ235" s="32">
        <v>4.9115913555992138E-2</v>
      </c>
      <c r="AK235" s="35">
        <v>3</v>
      </c>
      <c r="AL235" s="32">
        <v>0.82666666666666666</v>
      </c>
      <c r="AM235" s="35">
        <v>73</v>
      </c>
      <c r="AN235" s="35">
        <v>62</v>
      </c>
      <c r="AO235" s="32">
        <v>4.0602488539620167E-2</v>
      </c>
      <c r="AP235" s="32">
        <v>0.79487179487179482</v>
      </c>
      <c r="AQ235" s="33">
        <v>1</v>
      </c>
      <c r="AR235" s="33" t="s">
        <v>411</v>
      </c>
      <c r="AS235" s="33">
        <v>0</v>
      </c>
      <c r="AT235" s="35">
        <v>0</v>
      </c>
      <c r="AU235" s="35">
        <v>0</v>
      </c>
      <c r="AV235" s="35">
        <v>26</v>
      </c>
      <c r="AW235" s="35">
        <v>20</v>
      </c>
      <c r="AX235" s="35">
        <v>21</v>
      </c>
      <c r="AY235" s="35">
        <v>42</v>
      </c>
      <c r="AZ235" s="32">
        <v>1.3097576948264571E-2</v>
      </c>
      <c r="BA235" s="32">
        <v>1.37524557956778E-2</v>
      </c>
      <c r="BB235" s="32">
        <v>2.75049115913556E-2</v>
      </c>
      <c r="BC235" s="32">
        <v>0.33870967741935482</v>
      </c>
      <c r="BD235" s="35">
        <v>0</v>
      </c>
      <c r="BE235" s="35">
        <v>0</v>
      </c>
      <c r="BF235" s="33">
        <v>1</v>
      </c>
      <c r="BG235" s="33">
        <v>1</v>
      </c>
      <c r="BH235" s="33" t="s">
        <v>412</v>
      </c>
    </row>
    <row r="236" spans="1:60" ht="19.5" customHeight="1">
      <c r="A236" s="36">
        <v>233</v>
      </c>
      <c r="B236" s="31" t="s">
        <v>410</v>
      </c>
      <c r="C236" s="37">
        <v>46212</v>
      </c>
      <c r="D236" s="31" t="s">
        <v>337</v>
      </c>
      <c r="E236" s="31">
        <v>4042</v>
      </c>
      <c r="F236" s="31">
        <v>3542</v>
      </c>
      <c r="G236" s="32">
        <v>0.87629886194952988</v>
      </c>
      <c r="H236" s="31">
        <v>1606</v>
      </c>
      <c r="I236" s="33">
        <v>0.39732805541810978</v>
      </c>
      <c r="J236" s="31">
        <v>3917</v>
      </c>
      <c r="K236" s="31">
        <v>3805</v>
      </c>
      <c r="L236" s="32">
        <v>0.97099999999999997</v>
      </c>
      <c r="M236" s="31">
        <v>22378</v>
      </c>
      <c r="N236" s="31">
        <v>22270</v>
      </c>
      <c r="O236" s="31">
        <v>22025</v>
      </c>
      <c r="P236" s="32">
        <v>0.98422557869335958</v>
      </c>
      <c r="Q236" s="31">
        <v>97</v>
      </c>
      <c r="R236" s="31">
        <v>0</v>
      </c>
      <c r="S236" s="31">
        <v>0</v>
      </c>
      <c r="T236" s="32">
        <v>0</v>
      </c>
      <c r="U236" s="31">
        <v>0</v>
      </c>
      <c r="V236" s="32">
        <v>0</v>
      </c>
      <c r="W236" s="31">
        <v>608</v>
      </c>
      <c r="X236" s="32">
        <v>0.1504205838693716</v>
      </c>
      <c r="Y236" s="31">
        <v>1470</v>
      </c>
      <c r="Z236" s="34">
        <v>0.36368134586838202</v>
      </c>
      <c r="AA236" s="31">
        <v>0</v>
      </c>
      <c r="AB236" s="32">
        <v>0</v>
      </c>
      <c r="AC236" s="31">
        <v>389</v>
      </c>
      <c r="AD236" s="32">
        <v>9.6239485403265712E-2</v>
      </c>
      <c r="AE236" s="31">
        <v>76</v>
      </c>
      <c r="AF236" s="32">
        <v>0.19537275064267351</v>
      </c>
      <c r="AG236" s="31">
        <v>377</v>
      </c>
      <c r="AH236" s="32">
        <v>0.96915167095115684</v>
      </c>
      <c r="AI236" s="35">
        <v>384</v>
      </c>
      <c r="AJ236" s="32">
        <v>9.5002474022761005E-2</v>
      </c>
      <c r="AK236" s="35">
        <v>22</v>
      </c>
      <c r="AL236" s="32">
        <v>0.90104166666666663</v>
      </c>
      <c r="AM236" s="35">
        <v>379</v>
      </c>
      <c r="AN236" s="35">
        <v>346</v>
      </c>
      <c r="AO236" s="32">
        <v>8.5601187530925285E-2</v>
      </c>
      <c r="AP236" s="32">
        <v>0.88946015424164526</v>
      </c>
      <c r="AQ236" s="33">
        <v>0.98529411764705888</v>
      </c>
      <c r="AR236" s="33" t="s">
        <v>411</v>
      </c>
      <c r="AS236" s="33">
        <v>0</v>
      </c>
      <c r="AT236" s="35">
        <v>0</v>
      </c>
      <c r="AU236" s="35">
        <v>0</v>
      </c>
      <c r="AV236" s="35">
        <v>53</v>
      </c>
      <c r="AW236" s="35">
        <v>44</v>
      </c>
      <c r="AX236" s="35">
        <v>45</v>
      </c>
      <c r="AY236" s="35">
        <v>110</v>
      </c>
      <c r="AZ236" s="32">
        <v>1.088570014844136E-2</v>
      </c>
      <c r="BA236" s="32">
        <v>1.113310242454231E-2</v>
      </c>
      <c r="BB236" s="32">
        <v>2.7214250371103411E-2</v>
      </c>
      <c r="BC236" s="32">
        <v>0.13005780346820811</v>
      </c>
      <c r="BD236" s="35">
        <v>0</v>
      </c>
      <c r="BE236" s="35">
        <v>0</v>
      </c>
      <c r="BF236" s="33">
        <v>1</v>
      </c>
      <c r="BG236" s="33">
        <v>1</v>
      </c>
      <c r="BH236" s="33" t="s">
        <v>412</v>
      </c>
    </row>
    <row r="237" spans="1:60" ht="19.5" customHeight="1">
      <c r="A237" s="36">
        <v>234</v>
      </c>
      <c r="B237" s="31" t="s">
        <v>410</v>
      </c>
      <c r="C237" s="37">
        <v>46212</v>
      </c>
      <c r="D237" s="31" t="s">
        <v>336</v>
      </c>
      <c r="E237" s="31">
        <v>2374</v>
      </c>
      <c r="F237" s="31">
        <v>2131</v>
      </c>
      <c r="G237" s="32">
        <v>0.89764111204717778</v>
      </c>
      <c r="H237" s="31">
        <v>1409</v>
      </c>
      <c r="I237" s="33">
        <v>0.59351305812973887</v>
      </c>
      <c r="J237" s="31">
        <v>2564</v>
      </c>
      <c r="K237" s="31">
        <v>2473</v>
      </c>
      <c r="L237" s="32">
        <v>0.96499999999999997</v>
      </c>
      <c r="M237" s="31">
        <v>17187</v>
      </c>
      <c r="N237" s="31">
        <v>16893</v>
      </c>
      <c r="O237" s="31">
        <v>16894</v>
      </c>
      <c r="P237" s="32">
        <v>0.98295223133763887</v>
      </c>
      <c r="Q237" s="31">
        <v>88</v>
      </c>
      <c r="R237" s="31">
        <v>0</v>
      </c>
      <c r="S237" s="31">
        <v>0</v>
      </c>
      <c r="T237" s="32">
        <v>0</v>
      </c>
      <c r="U237" s="31">
        <v>0</v>
      </c>
      <c r="V237" s="32">
        <v>0</v>
      </c>
      <c r="W237" s="31">
        <v>429</v>
      </c>
      <c r="X237" s="32">
        <v>0.1807076663858467</v>
      </c>
      <c r="Y237" s="31">
        <v>855</v>
      </c>
      <c r="Z237" s="34">
        <v>0.36015164279696721</v>
      </c>
      <c r="AA237" s="31">
        <v>0</v>
      </c>
      <c r="AB237" s="32">
        <v>0</v>
      </c>
      <c r="AC237" s="31">
        <v>181</v>
      </c>
      <c r="AD237" s="32">
        <v>7.6242628475147428E-2</v>
      </c>
      <c r="AE237" s="31">
        <v>34</v>
      </c>
      <c r="AF237" s="32">
        <v>0.18784530386740331</v>
      </c>
      <c r="AG237" s="31">
        <v>172</v>
      </c>
      <c r="AH237" s="32">
        <v>0.95027624309392267</v>
      </c>
      <c r="AI237" s="35">
        <v>184</v>
      </c>
      <c r="AJ237" s="32">
        <v>7.7506318449873629E-2</v>
      </c>
      <c r="AK237" s="35">
        <v>13</v>
      </c>
      <c r="AL237" s="32">
        <v>0.90760869565217395</v>
      </c>
      <c r="AM237" s="35">
        <v>183</v>
      </c>
      <c r="AN237" s="35">
        <v>167</v>
      </c>
      <c r="AO237" s="32">
        <v>7.0345408593091824E-2</v>
      </c>
      <c r="AP237" s="32">
        <v>0.92265193370165743</v>
      </c>
      <c r="AQ237" s="33">
        <v>0.97461928934010156</v>
      </c>
      <c r="AR237" s="33" t="s">
        <v>411</v>
      </c>
      <c r="AS237" s="33">
        <v>0</v>
      </c>
      <c r="AT237" s="35">
        <v>0</v>
      </c>
      <c r="AU237" s="35">
        <v>0</v>
      </c>
      <c r="AV237" s="35">
        <v>38</v>
      </c>
      <c r="AW237" s="35">
        <v>30</v>
      </c>
      <c r="AX237" s="35">
        <v>29</v>
      </c>
      <c r="AY237" s="35">
        <v>71</v>
      </c>
      <c r="AZ237" s="32">
        <v>1.2636899747262009E-2</v>
      </c>
      <c r="BA237" s="32">
        <v>1.2215669755686611E-2</v>
      </c>
      <c r="BB237" s="32">
        <v>2.9907329401853412E-2</v>
      </c>
      <c r="BC237" s="32">
        <v>0.17365269461077851</v>
      </c>
      <c r="BD237" s="35">
        <v>0</v>
      </c>
      <c r="BE237" s="35">
        <v>0</v>
      </c>
      <c r="BF237" s="33">
        <v>1</v>
      </c>
      <c r="BG237" s="33">
        <v>1</v>
      </c>
      <c r="BH237" s="33" t="s">
        <v>412</v>
      </c>
    </row>
    <row r="238" spans="1:60" ht="19.5" customHeight="1">
      <c r="A238" s="36">
        <v>235</v>
      </c>
      <c r="B238" s="31" t="s">
        <v>410</v>
      </c>
      <c r="C238" s="37">
        <v>46213</v>
      </c>
      <c r="D238" s="31"/>
      <c r="E238" s="31">
        <v>39</v>
      </c>
      <c r="F238" s="31">
        <v>39</v>
      </c>
      <c r="G238" s="32">
        <v>1</v>
      </c>
      <c r="H238" s="31">
        <v>39</v>
      </c>
      <c r="I238" s="33">
        <v>1</v>
      </c>
      <c r="J238" s="31">
        <v>3</v>
      </c>
      <c r="K238" s="31">
        <v>0</v>
      </c>
      <c r="L238" s="32">
        <v>0</v>
      </c>
      <c r="M238" s="31">
        <v>7</v>
      </c>
      <c r="N238" s="31">
        <v>0</v>
      </c>
      <c r="O238" s="31">
        <v>0</v>
      </c>
      <c r="P238" s="32">
        <v>0</v>
      </c>
      <c r="Q238" s="31">
        <v>6</v>
      </c>
      <c r="R238" s="31">
        <v>0</v>
      </c>
      <c r="S238" s="31">
        <v>0</v>
      </c>
      <c r="T238" s="32">
        <v>0</v>
      </c>
      <c r="U238" s="31">
        <v>0</v>
      </c>
      <c r="V238" s="32">
        <v>0</v>
      </c>
      <c r="W238" s="31">
        <v>43</v>
      </c>
      <c r="X238" s="32">
        <v>1.1025641025641031</v>
      </c>
      <c r="Y238" s="31">
        <v>15</v>
      </c>
      <c r="Z238" s="34">
        <v>0.38461538461538458</v>
      </c>
      <c r="AA238" s="31">
        <v>0</v>
      </c>
      <c r="AB238" s="32">
        <v>0</v>
      </c>
      <c r="AC238" s="31">
        <v>0</v>
      </c>
      <c r="AD238" s="32">
        <v>0</v>
      </c>
      <c r="AE238" s="31">
        <v>0</v>
      </c>
      <c r="AF238" s="32">
        <v>0</v>
      </c>
      <c r="AG238" s="31">
        <v>0</v>
      </c>
      <c r="AH238" s="32">
        <v>0</v>
      </c>
      <c r="AI238" s="35">
        <v>0</v>
      </c>
      <c r="AJ238" s="32">
        <v>0</v>
      </c>
      <c r="AK238" s="35">
        <v>0</v>
      </c>
      <c r="AL238" s="32">
        <v>0</v>
      </c>
      <c r="AM238" s="35">
        <v>0</v>
      </c>
      <c r="AN238" s="35">
        <v>0</v>
      </c>
      <c r="AO238" s="32">
        <v>0</v>
      </c>
      <c r="AP238" s="32">
        <v>0</v>
      </c>
      <c r="AQ238" s="33">
        <v>0</v>
      </c>
      <c r="AR238" s="33" t="s">
        <v>411</v>
      </c>
      <c r="AS238" s="33">
        <v>0</v>
      </c>
      <c r="AT238" s="35">
        <v>0</v>
      </c>
      <c r="AU238" s="35">
        <v>0</v>
      </c>
      <c r="AV238" s="35">
        <v>0</v>
      </c>
      <c r="AW238" s="35">
        <v>0</v>
      </c>
      <c r="AX238" s="35">
        <v>0</v>
      </c>
      <c r="AY238" s="35">
        <v>0</v>
      </c>
      <c r="AZ238" s="32">
        <v>0</v>
      </c>
      <c r="BA238" s="32">
        <v>0</v>
      </c>
      <c r="BB238" s="32">
        <v>0</v>
      </c>
      <c r="BC238" s="32">
        <v>0</v>
      </c>
      <c r="BD238" s="35">
        <v>0</v>
      </c>
      <c r="BE238" s="35">
        <v>0</v>
      </c>
      <c r="BF238" s="33" t="s">
        <v>412</v>
      </c>
      <c r="BG238" s="33" t="s">
        <v>412</v>
      </c>
      <c r="BH238" s="33">
        <v>0.9882352941176471</v>
      </c>
    </row>
    <row r="239" spans="1:60" ht="19.5" customHeight="1">
      <c r="A239" s="36">
        <v>236</v>
      </c>
      <c r="B239" s="31" t="s">
        <v>410</v>
      </c>
      <c r="C239" s="37">
        <v>46213</v>
      </c>
      <c r="D239" s="31" t="s">
        <v>413</v>
      </c>
      <c r="E239" s="31">
        <v>2</v>
      </c>
      <c r="F239" s="31">
        <v>2</v>
      </c>
      <c r="G239" s="32">
        <v>1</v>
      </c>
      <c r="H239" s="31">
        <v>1</v>
      </c>
      <c r="I239" s="33">
        <v>0.5</v>
      </c>
      <c r="J239" s="31">
        <v>9</v>
      </c>
      <c r="K239" s="31">
        <v>8</v>
      </c>
      <c r="L239" s="32">
        <v>0.88900000000000001</v>
      </c>
      <c r="M239" s="31">
        <v>16</v>
      </c>
      <c r="N239" s="31">
        <v>25</v>
      </c>
      <c r="O239" s="31">
        <v>15</v>
      </c>
      <c r="P239" s="32">
        <v>0.9375</v>
      </c>
      <c r="Q239" s="31">
        <v>1</v>
      </c>
      <c r="R239" s="31">
        <v>0</v>
      </c>
      <c r="S239" s="31">
        <v>0</v>
      </c>
      <c r="T239" s="32">
        <v>0</v>
      </c>
      <c r="U239" s="31">
        <v>0</v>
      </c>
      <c r="V239" s="32">
        <v>0</v>
      </c>
      <c r="W239" s="31">
        <v>0</v>
      </c>
      <c r="X239" s="32">
        <v>0</v>
      </c>
      <c r="Y239" s="31">
        <v>0</v>
      </c>
      <c r="Z239" s="34">
        <v>0</v>
      </c>
      <c r="AA239" s="31">
        <v>0</v>
      </c>
      <c r="AB239" s="32">
        <v>0</v>
      </c>
      <c r="AC239" s="31">
        <v>0</v>
      </c>
      <c r="AD239" s="32">
        <v>0</v>
      </c>
      <c r="AE239" s="31">
        <v>0</v>
      </c>
      <c r="AF239" s="32">
        <v>0</v>
      </c>
      <c r="AG239" s="31">
        <v>0</v>
      </c>
      <c r="AH239" s="32">
        <v>0</v>
      </c>
      <c r="AI239" s="35">
        <v>0</v>
      </c>
      <c r="AJ239" s="32">
        <v>0</v>
      </c>
      <c r="AK239" s="35">
        <v>0</v>
      </c>
      <c r="AL239" s="32">
        <v>0</v>
      </c>
      <c r="AM239" s="35">
        <v>0</v>
      </c>
      <c r="AN239" s="35">
        <v>0</v>
      </c>
      <c r="AO239" s="32">
        <v>0</v>
      </c>
      <c r="AP239" s="32">
        <v>0</v>
      </c>
      <c r="AQ239" s="33"/>
      <c r="AR239" s="33" t="s">
        <v>411</v>
      </c>
      <c r="AS239" s="33" t="s">
        <v>411</v>
      </c>
      <c r="AT239" s="35">
        <v>0</v>
      </c>
      <c r="AU239" s="35">
        <v>0</v>
      </c>
      <c r="AV239" s="35">
        <v>0</v>
      </c>
      <c r="AW239" s="35">
        <v>0</v>
      </c>
      <c r="AX239" s="35">
        <v>0</v>
      </c>
      <c r="AY239" s="35">
        <v>0</v>
      </c>
      <c r="AZ239" s="32">
        <v>0</v>
      </c>
      <c r="BA239" s="32">
        <v>0</v>
      </c>
      <c r="BB239" s="32">
        <v>0</v>
      </c>
      <c r="BC239" s="32">
        <v>0</v>
      </c>
      <c r="BD239" s="35">
        <v>0</v>
      </c>
      <c r="BE239" s="35">
        <v>0</v>
      </c>
      <c r="BF239" s="33" t="s">
        <v>412</v>
      </c>
      <c r="BG239" s="33" t="s">
        <v>412</v>
      </c>
      <c r="BH239" s="33" t="s">
        <v>412</v>
      </c>
    </row>
    <row r="240" spans="1:60" ht="19.5" customHeight="1">
      <c r="A240" s="36">
        <v>237</v>
      </c>
      <c r="B240" s="31" t="s">
        <v>410</v>
      </c>
      <c r="C240" s="37">
        <v>46213</v>
      </c>
      <c r="D240" s="31" t="s">
        <v>335</v>
      </c>
      <c r="E240" s="31">
        <v>1911</v>
      </c>
      <c r="F240" s="31">
        <v>1695</v>
      </c>
      <c r="G240" s="32">
        <v>0.88697017268445844</v>
      </c>
      <c r="H240" s="31">
        <v>868</v>
      </c>
      <c r="I240" s="33">
        <v>0.45421245421245421</v>
      </c>
      <c r="J240" s="31">
        <v>1798</v>
      </c>
      <c r="K240" s="31">
        <v>1737</v>
      </c>
      <c r="L240" s="32">
        <v>0.96599999999999997</v>
      </c>
      <c r="M240" s="31">
        <v>9898</v>
      </c>
      <c r="N240" s="31">
        <v>10079</v>
      </c>
      <c r="O240" s="31">
        <v>9726</v>
      </c>
      <c r="P240" s="32">
        <v>0.98262275207112548</v>
      </c>
      <c r="Q240" s="31">
        <v>68</v>
      </c>
      <c r="R240" s="31">
        <v>0</v>
      </c>
      <c r="S240" s="31">
        <v>0</v>
      </c>
      <c r="T240" s="32">
        <v>0</v>
      </c>
      <c r="U240" s="31">
        <v>0</v>
      </c>
      <c r="V240" s="32">
        <v>0</v>
      </c>
      <c r="W240" s="31">
        <v>378</v>
      </c>
      <c r="X240" s="32">
        <v>0.19780219780219779</v>
      </c>
      <c r="Y240" s="31">
        <v>1044</v>
      </c>
      <c r="Z240" s="34">
        <v>0.54631083202511777</v>
      </c>
      <c r="AA240" s="31">
        <v>0</v>
      </c>
      <c r="AB240" s="32">
        <v>0</v>
      </c>
      <c r="AC240" s="31">
        <v>94</v>
      </c>
      <c r="AD240" s="32">
        <v>4.9188906331763482E-2</v>
      </c>
      <c r="AE240" s="31">
        <v>23</v>
      </c>
      <c r="AF240" s="32">
        <v>0.24468085106382981</v>
      </c>
      <c r="AG240" s="31">
        <v>86</v>
      </c>
      <c r="AH240" s="32">
        <v>0.91489361702127658</v>
      </c>
      <c r="AI240" s="35">
        <v>81</v>
      </c>
      <c r="AJ240" s="32">
        <v>4.2386185243328101E-2</v>
      </c>
      <c r="AK240" s="35">
        <v>7</v>
      </c>
      <c r="AL240" s="32">
        <v>0.86419753086419748</v>
      </c>
      <c r="AM240" s="35">
        <v>79</v>
      </c>
      <c r="AN240" s="35">
        <v>70</v>
      </c>
      <c r="AO240" s="32">
        <v>3.6630036630036632E-2</v>
      </c>
      <c r="AP240" s="32">
        <v>0.74468085106382975</v>
      </c>
      <c r="AQ240" s="33">
        <v>0.95833333333333337</v>
      </c>
      <c r="AR240" s="33" t="s">
        <v>411</v>
      </c>
      <c r="AS240" s="33">
        <v>0</v>
      </c>
      <c r="AT240" s="35">
        <v>0</v>
      </c>
      <c r="AU240" s="35">
        <v>0</v>
      </c>
      <c r="AV240" s="35">
        <v>28</v>
      </c>
      <c r="AW240" s="35">
        <v>24</v>
      </c>
      <c r="AX240" s="35">
        <v>24</v>
      </c>
      <c r="AY240" s="35">
        <v>44</v>
      </c>
      <c r="AZ240" s="32">
        <v>1.2558869701726851E-2</v>
      </c>
      <c r="BA240" s="32">
        <v>1.2558869701726851E-2</v>
      </c>
      <c r="BB240" s="32">
        <v>2.3024594453165879E-2</v>
      </c>
      <c r="BC240" s="32">
        <v>0.34285714285714292</v>
      </c>
      <c r="BD240" s="35">
        <v>0</v>
      </c>
      <c r="BE240" s="35">
        <v>0</v>
      </c>
      <c r="BF240" s="33">
        <v>1</v>
      </c>
      <c r="BG240" s="33">
        <v>1</v>
      </c>
      <c r="BH240" s="33" t="s">
        <v>412</v>
      </c>
    </row>
    <row r="241" spans="1:60" ht="19.5" customHeight="1">
      <c r="A241" s="36">
        <v>238</v>
      </c>
      <c r="B241" s="31" t="s">
        <v>410</v>
      </c>
      <c r="C241" s="37">
        <v>46213</v>
      </c>
      <c r="D241" s="31" t="s">
        <v>334</v>
      </c>
      <c r="E241" s="31">
        <v>1454</v>
      </c>
      <c r="F241" s="31">
        <v>1259</v>
      </c>
      <c r="G241" s="32">
        <v>0.86588720770288863</v>
      </c>
      <c r="H241" s="31">
        <v>408</v>
      </c>
      <c r="I241" s="33">
        <v>0.28060522696010998</v>
      </c>
      <c r="J241" s="31">
        <v>1186</v>
      </c>
      <c r="K241" s="31">
        <v>1142</v>
      </c>
      <c r="L241" s="32">
        <v>0.96299999999999997</v>
      </c>
      <c r="M241" s="31">
        <v>8450</v>
      </c>
      <c r="N241" s="31">
        <v>8587</v>
      </c>
      <c r="O241" s="31">
        <v>8308</v>
      </c>
      <c r="P241" s="32">
        <v>0.98319526627218934</v>
      </c>
      <c r="Q241" s="31">
        <v>53</v>
      </c>
      <c r="R241" s="31">
        <v>0</v>
      </c>
      <c r="S241" s="31">
        <v>0</v>
      </c>
      <c r="T241" s="32">
        <v>0</v>
      </c>
      <c r="U241" s="31">
        <v>0</v>
      </c>
      <c r="V241" s="32">
        <v>0</v>
      </c>
      <c r="W241" s="31">
        <v>319</v>
      </c>
      <c r="X241" s="32">
        <v>0.21939477303989</v>
      </c>
      <c r="Y241" s="31">
        <v>848</v>
      </c>
      <c r="Z241" s="34">
        <v>0.58321870701513068</v>
      </c>
      <c r="AA241" s="31">
        <v>0</v>
      </c>
      <c r="AB241" s="32">
        <v>0</v>
      </c>
      <c r="AC241" s="31">
        <v>89</v>
      </c>
      <c r="AD241" s="32">
        <v>6.1210453920220093E-2</v>
      </c>
      <c r="AE241" s="31">
        <v>15</v>
      </c>
      <c r="AF241" s="32">
        <v>0.1685393258426966</v>
      </c>
      <c r="AG241" s="31">
        <v>85</v>
      </c>
      <c r="AH241" s="32">
        <v>0.9550561797752809</v>
      </c>
      <c r="AI241" s="35">
        <v>85</v>
      </c>
      <c r="AJ241" s="32">
        <v>5.8459422283356259E-2</v>
      </c>
      <c r="AK241" s="35">
        <v>4</v>
      </c>
      <c r="AL241" s="32">
        <v>0.72941176470588232</v>
      </c>
      <c r="AM241" s="35">
        <v>82</v>
      </c>
      <c r="AN241" s="35">
        <v>62</v>
      </c>
      <c r="AO241" s="32">
        <v>4.264099037138927E-2</v>
      </c>
      <c r="AP241" s="32">
        <v>0.6966292134831461</v>
      </c>
      <c r="AQ241" s="33">
        <v>0.98684210526315785</v>
      </c>
      <c r="AR241" s="33" t="s">
        <v>411</v>
      </c>
      <c r="AS241" s="33">
        <v>0</v>
      </c>
      <c r="AT241" s="35">
        <v>0</v>
      </c>
      <c r="AU241" s="35">
        <v>0</v>
      </c>
      <c r="AV241" s="35">
        <v>22</v>
      </c>
      <c r="AW241" s="35">
        <v>15</v>
      </c>
      <c r="AX241" s="35">
        <v>16</v>
      </c>
      <c r="AY241" s="35">
        <v>43</v>
      </c>
      <c r="AZ241" s="32">
        <v>1.0316368638239339E-2</v>
      </c>
      <c r="BA241" s="32">
        <v>1.1004126547455299E-2</v>
      </c>
      <c r="BB241" s="32">
        <v>2.9573590096286111E-2</v>
      </c>
      <c r="BC241" s="32">
        <v>0.25806451612903231</v>
      </c>
      <c r="BD241" s="35">
        <v>0</v>
      </c>
      <c r="BE241" s="35">
        <v>0</v>
      </c>
      <c r="BF241" s="33">
        <v>1</v>
      </c>
      <c r="BG241" s="33">
        <v>1</v>
      </c>
      <c r="BH241" s="33" t="s">
        <v>412</v>
      </c>
    </row>
    <row r="242" spans="1:60" ht="19.5" customHeight="1">
      <c r="A242" s="36">
        <v>239</v>
      </c>
      <c r="B242" s="31" t="s">
        <v>410</v>
      </c>
      <c r="C242" s="37">
        <v>46213</v>
      </c>
      <c r="D242" s="31" t="s">
        <v>337</v>
      </c>
      <c r="E242" s="31">
        <v>4170</v>
      </c>
      <c r="F242" s="31">
        <v>3733</v>
      </c>
      <c r="G242" s="32">
        <v>0.89520383693045569</v>
      </c>
      <c r="H242" s="31">
        <v>1703</v>
      </c>
      <c r="I242" s="33">
        <v>0.40839328537170272</v>
      </c>
      <c r="J242" s="31">
        <v>3568</v>
      </c>
      <c r="K242" s="31">
        <v>3413</v>
      </c>
      <c r="L242" s="32">
        <v>0.95699999999999996</v>
      </c>
      <c r="M242" s="31">
        <v>22394</v>
      </c>
      <c r="N242" s="31">
        <v>22735</v>
      </c>
      <c r="O242" s="31">
        <v>21954</v>
      </c>
      <c r="P242" s="32">
        <v>0.98035187996784856</v>
      </c>
      <c r="Q242" s="31">
        <v>162</v>
      </c>
      <c r="R242" s="31">
        <v>0</v>
      </c>
      <c r="S242" s="31">
        <v>0</v>
      </c>
      <c r="T242" s="32">
        <v>0</v>
      </c>
      <c r="U242" s="31">
        <v>0</v>
      </c>
      <c r="V242" s="32">
        <v>0</v>
      </c>
      <c r="W242" s="31">
        <v>941</v>
      </c>
      <c r="X242" s="32">
        <v>0.22565947242206241</v>
      </c>
      <c r="Y242" s="31">
        <v>2336</v>
      </c>
      <c r="Z242" s="34">
        <v>0.56019184652278176</v>
      </c>
      <c r="AA242" s="31">
        <v>0</v>
      </c>
      <c r="AB242" s="32">
        <v>0</v>
      </c>
      <c r="AC242" s="31">
        <v>426</v>
      </c>
      <c r="AD242" s="32">
        <v>0.102158273381295</v>
      </c>
      <c r="AE242" s="31">
        <v>111</v>
      </c>
      <c r="AF242" s="32">
        <v>0.26056338028169013</v>
      </c>
      <c r="AG242" s="31">
        <v>390</v>
      </c>
      <c r="AH242" s="32">
        <v>0.91549295774647887</v>
      </c>
      <c r="AI242" s="35">
        <v>413</v>
      </c>
      <c r="AJ242" s="32">
        <v>9.9040767386091133E-2</v>
      </c>
      <c r="AK242" s="35">
        <v>35</v>
      </c>
      <c r="AL242" s="32">
        <v>0.87409200968523004</v>
      </c>
      <c r="AM242" s="35">
        <v>409</v>
      </c>
      <c r="AN242" s="35">
        <v>361</v>
      </c>
      <c r="AO242" s="32">
        <v>8.6570743405275777E-2</v>
      </c>
      <c r="AP242" s="32">
        <v>0.84741784037558687</v>
      </c>
      <c r="AQ242" s="33">
        <v>0.96791443850267378</v>
      </c>
      <c r="AR242" s="33" t="s">
        <v>411</v>
      </c>
      <c r="AS242" s="33">
        <v>0</v>
      </c>
      <c r="AT242" s="35">
        <v>0</v>
      </c>
      <c r="AU242" s="35">
        <v>0</v>
      </c>
      <c r="AV242" s="35">
        <v>54</v>
      </c>
      <c r="AW242" s="35">
        <v>36</v>
      </c>
      <c r="AX242" s="35">
        <v>40</v>
      </c>
      <c r="AY242" s="35">
        <v>86</v>
      </c>
      <c r="AZ242" s="32">
        <v>8.6330935251798559E-3</v>
      </c>
      <c r="BA242" s="32">
        <v>9.5923261390887284E-3</v>
      </c>
      <c r="BB242" s="32">
        <v>2.0623501199040769E-2</v>
      </c>
      <c r="BC242" s="32">
        <v>0.110803324099723</v>
      </c>
      <c r="BD242" s="35">
        <v>0</v>
      </c>
      <c r="BE242" s="35">
        <v>0</v>
      </c>
      <c r="BF242" s="33">
        <v>1</v>
      </c>
      <c r="BG242" s="33">
        <v>1</v>
      </c>
      <c r="BH242" s="33" t="s">
        <v>412</v>
      </c>
    </row>
    <row r="243" spans="1:60" ht="19.5" customHeight="1">
      <c r="A243" s="36">
        <v>240</v>
      </c>
      <c r="B243" s="31" t="s">
        <v>410</v>
      </c>
      <c r="C243" s="37">
        <v>46213</v>
      </c>
      <c r="D243" s="31" t="s">
        <v>336</v>
      </c>
      <c r="E243" s="31">
        <v>2599</v>
      </c>
      <c r="F243" s="31">
        <v>2274</v>
      </c>
      <c r="G243" s="32">
        <v>0.8749519045786841</v>
      </c>
      <c r="H243" s="31">
        <v>1758</v>
      </c>
      <c r="I243" s="33">
        <v>0.67641400538668717</v>
      </c>
      <c r="J243" s="31">
        <v>4061</v>
      </c>
      <c r="K243" s="31">
        <v>3940</v>
      </c>
      <c r="L243" s="32">
        <v>0.97</v>
      </c>
      <c r="M243" s="31">
        <v>19406</v>
      </c>
      <c r="N243" s="31">
        <v>19729</v>
      </c>
      <c r="O243" s="31">
        <v>19071</v>
      </c>
      <c r="P243" s="32">
        <v>0.98273729774296614</v>
      </c>
      <c r="Q243" s="31">
        <v>124</v>
      </c>
      <c r="R243" s="31">
        <v>0</v>
      </c>
      <c r="S243" s="31">
        <v>0</v>
      </c>
      <c r="T243" s="32">
        <v>0</v>
      </c>
      <c r="U243" s="31">
        <v>0</v>
      </c>
      <c r="V243" s="32">
        <v>0</v>
      </c>
      <c r="W243" s="31">
        <v>553</v>
      </c>
      <c r="X243" s="32">
        <v>0.2127741439015006</v>
      </c>
      <c r="Y243" s="31">
        <v>1107</v>
      </c>
      <c r="Z243" s="34">
        <v>0.42593305117352831</v>
      </c>
      <c r="AA243" s="31">
        <v>0</v>
      </c>
      <c r="AB243" s="32">
        <v>0</v>
      </c>
      <c r="AC243" s="31">
        <v>195</v>
      </c>
      <c r="AD243" s="32">
        <v>7.502885725278953E-2</v>
      </c>
      <c r="AE243" s="31">
        <v>32</v>
      </c>
      <c r="AF243" s="32">
        <v>0.1641025641025641</v>
      </c>
      <c r="AG243" s="31">
        <v>183</v>
      </c>
      <c r="AH243" s="32">
        <v>0.93846153846153846</v>
      </c>
      <c r="AI243" s="35">
        <v>190</v>
      </c>
      <c r="AJ243" s="32">
        <v>7.3105040400153906E-2</v>
      </c>
      <c r="AK243" s="35">
        <v>28</v>
      </c>
      <c r="AL243" s="32">
        <v>0.87894736842105259</v>
      </c>
      <c r="AM243" s="35">
        <v>187</v>
      </c>
      <c r="AN243" s="35">
        <v>167</v>
      </c>
      <c r="AO243" s="32">
        <v>6.4255482878030012E-2</v>
      </c>
      <c r="AP243" s="32">
        <v>0.85641025641025637</v>
      </c>
      <c r="AQ243" s="33">
        <v>0.97740112994350281</v>
      </c>
      <c r="AR243" s="33" t="s">
        <v>411</v>
      </c>
      <c r="AS243" s="33">
        <v>0</v>
      </c>
      <c r="AT243" s="35">
        <v>0</v>
      </c>
      <c r="AU243" s="35">
        <v>0</v>
      </c>
      <c r="AV243" s="35">
        <v>32</v>
      </c>
      <c r="AW243" s="35">
        <v>30</v>
      </c>
      <c r="AX243" s="35">
        <v>33</v>
      </c>
      <c r="AY243" s="35">
        <v>58</v>
      </c>
      <c r="AZ243" s="32">
        <v>1.154290111581377E-2</v>
      </c>
      <c r="BA243" s="32">
        <v>1.269719122739515E-2</v>
      </c>
      <c r="BB243" s="32">
        <v>2.2316275490573301E-2</v>
      </c>
      <c r="BC243" s="32">
        <v>0.19760479041916171</v>
      </c>
      <c r="BD243" s="35">
        <v>0</v>
      </c>
      <c r="BE243" s="35">
        <v>0</v>
      </c>
      <c r="BF243" s="33">
        <v>1</v>
      </c>
      <c r="BG243" s="33">
        <v>1</v>
      </c>
      <c r="BH243" s="33" t="s">
        <v>412</v>
      </c>
    </row>
    <row r="244" spans="1:60" ht="19.5" customHeight="1">
      <c r="A244" s="36">
        <v>241</v>
      </c>
      <c r="B244" s="31" t="s">
        <v>410</v>
      </c>
      <c r="C244" s="37">
        <v>46214</v>
      </c>
      <c r="D244" s="31"/>
      <c r="E244" s="31">
        <v>64</v>
      </c>
      <c r="F244" s="31">
        <v>64</v>
      </c>
      <c r="G244" s="32">
        <v>1</v>
      </c>
      <c r="H244" s="31">
        <v>64</v>
      </c>
      <c r="I244" s="33">
        <v>1</v>
      </c>
      <c r="J244" s="31">
        <v>3</v>
      </c>
      <c r="K244" s="31">
        <v>3</v>
      </c>
      <c r="L244" s="32">
        <v>1</v>
      </c>
      <c r="M244" s="31">
        <v>7</v>
      </c>
      <c r="N244" s="31">
        <v>5</v>
      </c>
      <c r="O244" s="31">
        <v>5</v>
      </c>
      <c r="P244" s="32">
        <v>0.7142857142857143</v>
      </c>
      <c r="Q244" s="31">
        <v>2</v>
      </c>
      <c r="R244" s="31">
        <v>0</v>
      </c>
      <c r="S244" s="31">
        <v>0</v>
      </c>
      <c r="T244" s="32">
        <v>0</v>
      </c>
      <c r="U244" s="31">
        <v>0</v>
      </c>
      <c r="V244" s="32">
        <v>0</v>
      </c>
      <c r="W244" s="31">
        <v>41</v>
      </c>
      <c r="X244" s="32">
        <v>0.640625</v>
      </c>
      <c r="Y244" s="31">
        <v>24</v>
      </c>
      <c r="Z244" s="34">
        <v>0.375</v>
      </c>
      <c r="AA244" s="31">
        <v>0</v>
      </c>
      <c r="AB244" s="32">
        <v>0</v>
      </c>
      <c r="AC244" s="31">
        <v>0</v>
      </c>
      <c r="AD244" s="32">
        <v>0</v>
      </c>
      <c r="AE244" s="31">
        <v>0</v>
      </c>
      <c r="AF244" s="32">
        <v>0</v>
      </c>
      <c r="AG244" s="31">
        <v>0</v>
      </c>
      <c r="AH244" s="32">
        <v>0</v>
      </c>
      <c r="AI244" s="35">
        <v>0</v>
      </c>
      <c r="AJ244" s="32">
        <v>0</v>
      </c>
      <c r="AK244" s="35">
        <v>0</v>
      </c>
      <c r="AL244" s="32">
        <v>0</v>
      </c>
      <c r="AM244" s="35">
        <v>0</v>
      </c>
      <c r="AN244" s="35">
        <v>0</v>
      </c>
      <c r="AO244" s="32">
        <v>0</v>
      </c>
      <c r="AP244" s="32">
        <v>0</v>
      </c>
      <c r="AQ244" s="33">
        <v>0</v>
      </c>
      <c r="AR244" s="33" t="s">
        <v>411</v>
      </c>
      <c r="AS244" s="33">
        <v>0</v>
      </c>
      <c r="AT244" s="35">
        <v>0</v>
      </c>
      <c r="AU244" s="35">
        <v>0</v>
      </c>
      <c r="AV244" s="35">
        <v>0</v>
      </c>
      <c r="AW244" s="35">
        <v>0</v>
      </c>
      <c r="AX244" s="35">
        <v>0</v>
      </c>
      <c r="AY244" s="35">
        <v>0</v>
      </c>
      <c r="AZ244" s="32">
        <v>0</v>
      </c>
      <c r="BA244" s="32">
        <v>0</v>
      </c>
      <c r="BB244" s="32">
        <v>0</v>
      </c>
      <c r="BC244" s="32">
        <v>0</v>
      </c>
      <c r="BD244" s="35">
        <v>0</v>
      </c>
      <c r="BE244" s="35">
        <v>0</v>
      </c>
      <c r="BF244" s="33" t="s">
        <v>412</v>
      </c>
      <c r="BG244" s="33" t="s">
        <v>412</v>
      </c>
      <c r="BH244" s="33">
        <v>1</v>
      </c>
    </row>
    <row r="245" spans="1:60" ht="19.5" customHeight="1">
      <c r="A245" s="36">
        <v>242</v>
      </c>
      <c r="B245" s="31" t="s">
        <v>410</v>
      </c>
      <c r="C245" s="37">
        <v>46214</v>
      </c>
      <c r="D245" s="31" t="s">
        <v>413</v>
      </c>
      <c r="E245" s="31">
        <v>0</v>
      </c>
      <c r="F245" s="31">
        <v>0</v>
      </c>
      <c r="G245" s="32">
        <v>0</v>
      </c>
      <c r="H245" s="31">
        <v>0</v>
      </c>
      <c r="I245" s="33">
        <v>0</v>
      </c>
      <c r="J245" s="31">
        <v>4</v>
      </c>
      <c r="K245" s="31">
        <v>4</v>
      </c>
      <c r="L245" s="32">
        <v>1</v>
      </c>
      <c r="M245" s="31">
        <v>17</v>
      </c>
      <c r="N245" s="31">
        <v>11</v>
      </c>
      <c r="O245" s="31">
        <v>17</v>
      </c>
      <c r="P245" s="32">
        <v>1</v>
      </c>
      <c r="Q245" s="31">
        <v>0</v>
      </c>
      <c r="R245" s="31">
        <v>0</v>
      </c>
      <c r="S245" s="31">
        <v>0</v>
      </c>
      <c r="T245" s="32">
        <v>0</v>
      </c>
      <c r="U245" s="31">
        <v>0</v>
      </c>
      <c r="V245" s="32">
        <v>0</v>
      </c>
      <c r="W245" s="31">
        <v>0</v>
      </c>
      <c r="X245" s="32">
        <v>0</v>
      </c>
      <c r="Y245" s="31">
        <v>0</v>
      </c>
      <c r="Z245" s="34">
        <v>0</v>
      </c>
      <c r="AA245" s="31">
        <v>0</v>
      </c>
      <c r="AB245" s="32">
        <v>0</v>
      </c>
      <c r="AC245" s="31">
        <v>0</v>
      </c>
      <c r="AD245" s="32">
        <v>0</v>
      </c>
      <c r="AE245" s="31">
        <v>0</v>
      </c>
      <c r="AF245" s="32">
        <v>0</v>
      </c>
      <c r="AG245" s="31">
        <v>0</v>
      </c>
      <c r="AH245" s="32">
        <v>0</v>
      </c>
      <c r="AI245" s="35">
        <v>0</v>
      </c>
      <c r="AJ245" s="32">
        <v>0</v>
      </c>
      <c r="AK245" s="35">
        <v>0</v>
      </c>
      <c r="AL245" s="32">
        <v>0</v>
      </c>
      <c r="AM245" s="35">
        <v>0</v>
      </c>
      <c r="AN245" s="35">
        <v>0</v>
      </c>
      <c r="AO245" s="32">
        <v>0</v>
      </c>
      <c r="AP245" s="32">
        <v>0</v>
      </c>
      <c r="AQ245" s="33">
        <v>1</v>
      </c>
      <c r="AR245" s="33" t="s">
        <v>411</v>
      </c>
      <c r="AS245" s="33">
        <v>0</v>
      </c>
      <c r="AT245" s="35">
        <v>0</v>
      </c>
      <c r="AU245" s="35">
        <v>0</v>
      </c>
      <c r="AV245" s="35">
        <v>0</v>
      </c>
      <c r="AW245" s="35">
        <v>0</v>
      </c>
      <c r="AX245" s="35">
        <v>0</v>
      </c>
      <c r="AY245" s="35">
        <v>0</v>
      </c>
      <c r="AZ245" s="32">
        <v>0</v>
      </c>
      <c r="BA245" s="32">
        <v>0</v>
      </c>
      <c r="BB245" s="32">
        <v>0</v>
      </c>
      <c r="BC245" s="32">
        <v>0</v>
      </c>
      <c r="BD245" s="35">
        <v>0</v>
      </c>
      <c r="BE245" s="35">
        <v>0</v>
      </c>
      <c r="BF245" s="33" t="s">
        <v>412</v>
      </c>
      <c r="BG245" s="33" t="s">
        <v>412</v>
      </c>
      <c r="BH245" s="33" t="s">
        <v>412</v>
      </c>
    </row>
    <row r="246" spans="1:60" ht="19.5" customHeight="1">
      <c r="A246" s="36">
        <v>243</v>
      </c>
      <c r="B246" s="31" t="s">
        <v>410</v>
      </c>
      <c r="C246" s="37">
        <v>46214</v>
      </c>
      <c r="D246" s="31" t="s">
        <v>335</v>
      </c>
      <c r="E246" s="31">
        <v>2243</v>
      </c>
      <c r="F246" s="31">
        <v>1971</v>
      </c>
      <c r="G246" s="32">
        <v>0.87873383860900578</v>
      </c>
      <c r="H246" s="31">
        <v>1011</v>
      </c>
      <c r="I246" s="33">
        <v>0.45073562193490863</v>
      </c>
      <c r="J246" s="31">
        <v>1929</v>
      </c>
      <c r="K246" s="31">
        <v>1877</v>
      </c>
      <c r="L246" s="32">
        <v>0.97299999999999998</v>
      </c>
      <c r="M246" s="31">
        <v>10583</v>
      </c>
      <c r="N246" s="31">
        <v>10613</v>
      </c>
      <c r="O246" s="31">
        <v>10416</v>
      </c>
      <c r="P246" s="32">
        <v>0.98421997543229711</v>
      </c>
      <c r="Q246" s="31">
        <v>60</v>
      </c>
      <c r="R246" s="31">
        <v>0</v>
      </c>
      <c r="S246" s="31">
        <v>0</v>
      </c>
      <c r="T246" s="32">
        <v>0</v>
      </c>
      <c r="U246" s="31">
        <v>0</v>
      </c>
      <c r="V246" s="32">
        <v>0</v>
      </c>
      <c r="W246" s="31">
        <v>1342</v>
      </c>
      <c r="X246" s="32">
        <v>0.5983058403923317</v>
      </c>
      <c r="Y246" s="31">
        <v>1081</v>
      </c>
      <c r="Z246" s="34">
        <v>0.48194382523406148</v>
      </c>
      <c r="AA246" s="31">
        <v>0</v>
      </c>
      <c r="AB246" s="32">
        <v>0</v>
      </c>
      <c r="AC246" s="31">
        <v>169</v>
      </c>
      <c r="AD246" s="32">
        <v>7.5345519393669194E-2</v>
      </c>
      <c r="AE246" s="31">
        <v>24</v>
      </c>
      <c r="AF246" s="32">
        <v>0.1420118343195266</v>
      </c>
      <c r="AG246" s="31">
        <v>156</v>
      </c>
      <c r="AH246" s="32">
        <v>0.92307692307692313</v>
      </c>
      <c r="AI246" s="35">
        <v>175</v>
      </c>
      <c r="AJ246" s="32">
        <v>7.80205082478823E-2</v>
      </c>
      <c r="AK246" s="35">
        <v>5</v>
      </c>
      <c r="AL246" s="32">
        <v>0.8342857142857143</v>
      </c>
      <c r="AM246" s="35">
        <v>167</v>
      </c>
      <c r="AN246" s="35">
        <v>146</v>
      </c>
      <c r="AO246" s="32">
        <v>6.5091395452518949E-2</v>
      </c>
      <c r="AP246" s="32">
        <v>0.86390532544378695</v>
      </c>
      <c r="AQ246" s="33">
        <v>0.95774647887323938</v>
      </c>
      <c r="AR246" s="33" t="s">
        <v>411</v>
      </c>
      <c r="AS246" s="33">
        <v>0</v>
      </c>
      <c r="AT246" s="35">
        <v>0</v>
      </c>
      <c r="AU246" s="35">
        <v>0</v>
      </c>
      <c r="AV246" s="35">
        <v>68</v>
      </c>
      <c r="AW246" s="35">
        <v>62</v>
      </c>
      <c r="AX246" s="35">
        <v>62</v>
      </c>
      <c r="AY246" s="35">
        <v>23</v>
      </c>
      <c r="AZ246" s="32">
        <v>2.7641551493535439E-2</v>
      </c>
      <c r="BA246" s="32">
        <v>2.7641551493535439E-2</v>
      </c>
      <c r="BB246" s="32">
        <v>1.025412394115024E-2</v>
      </c>
      <c r="BC246" s="32">
        <v>0.42465753424657532</v>
      </c>
      <c r="BD246" s="35">
        <v>0</v>
      </c>
      <c r="BE246" s="35">
        <v>0</v>
      </c>
      <c r="BF246" s="33">
        <v>1</v>
      </c>
      <c r="BG246" s="33">
        <v>1</v>
      </c>
      <c r="BH246" s="33" t="s">
        <v>412</v>
      </c>
    </row>
    <row r="247" spans="1:60" ht="19.5" customHeight="1">
      <c r="A247" s="36">
        <v>244</v>
      </c>
      <c r="B247" s="31" t="s">
        <v>410</v>
      </c>
      <c r="C247" s="37">
        <v>46214</v>
      </c>
      <c r="D247" s="31" t="s">
        <v>334</v>
      </c>
      <c r="E247" s="31">
        <v>2234</v>
      </c>
      <c r="F247" s="31">
        <v>1973</v>
      </c>
      <c r="G247" s="32">
        <v>0.88316920322291859</v>
      </c>
      <c r="H247" s="31">
        <v>1368</v>
      </c>
      <c r="I247" s="33">
        <v>0.61235452103849597</v>
      </c>
      <c r="J247" s="31">
        <v>2294</v>
      </c>
      <c r="K247" s="31">
        <v>2236</v>
      </c>
      <c r="L247" s="32">
        <v>0.97499999999999998</v>
      </c>
      <c r="M247" s="31">
        <v>9778</v>
      </c>
      <c r="N247" s="31">
        <v>9889</v>
      </c>
      <c r="O247" s="31">
        <v>9600</v>
      </c>
      <c r="P247" s="32">
        <v>0.98179586827572096</v>
      </c>
      <c r="Q247" s="31">
        <v>68</v>
      </c>
      <c r="R247" s="31">
        <v>0</v>
      </c>
      <c r="S247" s="31">
        <v>0</v>
      </c>
      <c r="T247" s="32">
        <v>0</v>
      </c>
      <c r="U247" s="31">
        <v>0</v>
      </c>
      <c r="V247" s="32">
        <v>0</v>
      </c>
      <c r="W247" s="31">
        <v>1374</v>
      </c>
      <c r="X247" s="32">
        <v>0.61504028648164732</v>
      </c>
      <c r="Y247" s="31">
        <v>757</v>
      </c>
      <c r="Z247" s="34">
        <v>0.33885407341092211</v>
      </c>
      <c r="AA247" s="31">
        <v>1</v>
      </c>
      <c r="AB247" s="32">
        <v>4.4762757385854968E-4</v>
      </c>
      <c r="AC247" s="31">
        <v>182</v>
      </c>
      <c r="AD247" s="32">
        <v>8.1468218442256046E-2</v>
      </c>
      <c r="AE247" s="31">
        <v>38</v>
      </c>
      <c r="AF247" s="32">
        <v>0.2087912087912088</v>
      </c>
      <c r="AG247" s="31">
        <v>176</v>
      </c>
      <c r="AH247" s="32">
        <v>0.96703296703296704</v>
      </c>
      <c r="AI247" s="35">
        <v>186</v>
      </c>
      <c r="AJ247" s="32">
        <v>8.3258728737690246E-2</v>
      </c>
      <c r="AK247" s="35">
        <v>9</v>
      </c>
      <c r="AL247" s="32">
        <v>0.81720430107526887</v>
      </c>
      <c r="AM247" s="35">
        <v>179</v>
      </c>
      <c r="AN247" s="35">
        <v>152</v>
      </c>
      <c r="AO247" s="32">
        <v>6.8039391226499546E-2</v>
      </c>
      <c r="AP247" s="32">
        <v>0.8351648351648352</v>
      </c>
      <c r="AQ247" s="33">
        <v>0.98717948717948723</v>
      </c>
      <c r="AR247" s="33" t="s">
        <v>411</v>
      </c>
      <c r="AS247" s="33">
        <v>0</v>
      </c>
      <c r="AT247" s="35">
        <v>0</v>
      </c>
      <c r="AU247" s="35">
        <v>0</v>
      </c>
      <c r="AV247" s="35">
        <v>33</v>
      </c>
      <c r="AW247" s="35">
        <v>31</v>
      </c>
      <c r="AX247" s="35">
        <v>28</v>
      </c>
      <c r="AY247" s="35">
        <v>28</v>
      </c>
      <c r="AZ247" s="32">
        <v>1.387645478961504E-2</v>
      </c>
      <c r="BA247" s="32">
        <v>1.253357206803939E-2</v>
      </c>
      <c r="BB247" s="32">
        <v>1.253357206803939E-2</v>
      </c>
      <c r="BC247" s="32">
        <v>0.18421052631578949</v>
      </c>
      <c r="BD247" s="35">
        <v>0</v>
      </c>
      <c r="BE247" s="35">
        <v>0</v>
      </c>
      <c r="BF247" s="33">
        <v>1</v>
      </c>
      <c r="BG247" s="33">
        <v>1</v>
      </c>
      <c r="BH247" s="33" t="s">
        <v>412</v>
      </c>
    </row>
    <row r="248" spans="1:60" ht="19.5" customHeight="1">
      <c r="A248" s="36">
        <v>245</v>
      </c>
      <c r="B248" s="31" t="s">
        <v>410</v>
      </c>
      <c r="C248" s="37">
        <v>46214</v>
      </c>
      <c r="D248" s="31" t="s">
        <v>337</v>
      </c>
      <c r="E248" s="31">
        <v>3976</v>
      </c>
      <c r="F248" s="31">
        <v>3534</v>
      </c>
      <c r="G248" s="32">
        <v>0.88883299798792759</v>
      </c>
      <c r="H248" s="31">
        <v>1425</v>
      </c>
      <c r="I248" s="33">
        <v>0.3584004024144869</v>
      </c>
      <c r="J248" s="31">
        <v>4125</v>
      </c>
      <c r="K248" s="31">
        <v>4021</v>
      </c>
      <c r="L248" s="32">
        <v>0.97499999999999998</v>
      </c>
      <c r="M248" s="31">
        <v>23944</v>
      </c>
      <c r="N248" s="31">
        <v>24587</v>
      </c>
      <c r="O248" s="31">
        <v>23553</v>
      </c>
      <c r="P248" s="32">
        <v>0.9836702305379218</v>
      </c>
      <c r="Q248" s="31">
        <v>126</v>
      </c>
      <c r="R248" s="31">
        <v>0</v>
      </c>
      <c r="S248" s="31">
        <v>0</v>
      </c>
      <c r="T248" s="32">
        <v>0</v>
      </c>
      <c r="U248" s="31">
        <v>0</v>
      </c>
      <c r="V248" s="32">
        <v>0</v>
      </c>
      <c r="W248" s="31">
        <v>2280</v>
      </c>
      <c r="X248" s="32">
        <v>0.57344064386317906</v>
      </c>
      <c r="Y248" s="31">
        <v>2127</v>
      </c>
      <c r="Z248" s="34">
        <v>0.53495975855130784</v>
      </c>
      <c r="AA248" s="31">
        <v>0</v>
      </c>
      <c r="AB248" s="32">
        <v>0</v>
      </c>
      <c r="AC248" s="31">
        <v>829</v>
      </c>
      <c r="AD248" s="32">
        <v>0.2085010060362173</v>
      </c>
      <c r="AE248" s="31">
        <v>162</v>
      </c>
      <c r="AF248" s="32">
        <v>0.19541616405307599</v>
      </c>
      <c r="AG248" s="31">
        <v>800</v>
      </c>
      <c r="AH248" s="32">
        <v>0.9650180940892642</v>
      </c>
      <c r="AI248" s="35">
        <v>839</v>
      </c>
      <c r="AJ248" s="32">
        <v>0.2110160965794769</v>
      </c>
      <c r="AK248" s="35">
        <v>46</v>
      </c>
      <c r="AL248" s="32">
        <v>0.86174016686531585</v>
      </c>
      <c r="AM248" s="35">
        <v>793</v>
      </c>
      <c r="AN248" s="35">
        <v>723</v>
      </c>
      <c r="AO248" s="32">
        <v>0.18184104627766601</v>
      </c>
      <c r="AP248" s="32">
        <v>0.8721351025331725</v>
      </c>
      <c r="AQ248" s="33">
        <v>0.96666666666666667</v>
      </c>
      <c r="AR248" s="33" t="s">
        <v>411</v>
      </c>
      <c r="AS248" s="33">
        <v>0</v>
      </c>
      <c r="AT248" s="35">
        <v>0</v>
      </c>
      <c r="AU248" s="35">
        <v>0</v>
      </c>
      <c r="AV248" s="35">
        <v>163</v>
      </c>
      <c r="AW248" s="35">
        <v>158</v>
      </c>
      <c r="AX248" s="35">
        <v>148</v>
      </c>
      <c r="AY248" s="35">
        <v>68</v>
      </c>
      <c r="AZ248" s="32">
        <v>3.9738430583501003E-2</v>
      </c>
      <c r="BA248" s="32">
        <v>3.722334004024145E-2</v>
      </c>
      <c r="BB248" s="32">
        <v>1.7102615694164991E-2</v>
      </c>
      <c r="BC248" s="32">
        <v>0.20470262793914251</v>
      </c>
      <c r="BD248" s="35">
        <v>0</v>
      </c>
      <c r="BE248" s="35">
        <v>0</v>
      </c>
      <c r="BF248" s="33">
        <v>1</v>
      </c>
      <c r="BG248" s="33">
        <v>1</v>
      </c>
      <c r="BH248" s="33" t="s">
        <v>412</v>
      </c>
    </row>
    <row r="249" spans="1:60" ht="19.5" customHeight="1">
      <c r="A249" s="36">
        <v>246</v>
      </c>
      <c r="B249" s="31" t="s">
        <v>410</v>
      </c>
      <c r="C249" s="37">
        <v>46214</v>
      </c>
      <c r="D249" s="31" t="s">
        <v>336</v>
      </c>
      <c r="E249" s="31">
        <v>2584</v>
      </c>
      <c r="F249" s="31">
        <v>2330</v>
      </c>
      <c r="G249" s="32">
        <v>0.90170278637770895</v>
      </c>
      <c r="H249" s="31">
        <v>1651</v>
      </c>
      <c r="I249" s="33">
        <v>0.63893188854489169</v>
      </c>
      <c r="J249" s="31">
        <v>2683</v>
      </c>
      <c r="K249" s="31">
        <v>2605</v>
      </c>
      <c r="L249" s="32">
        <v>0.97099999999999997</v>
      </c>
      <c r="M249" s="31">
        <v>18012</v>
      </c>
      <c r="N249" s="31">
        <v>18299</v>
      </c>
      <c r="O249" s="31">
        <v>17732</v>
      </c>
      <c r="P249" s="32">
        <v>0.9844548079058405</v>
      </c>
      <c r="Q249" s="31">
        <v>113</v>
      </c>
      <c r="R249" s="31">
        <v>0</v>
      </c>
      <c r="S249" s="31">
        <v>0</v>
      </c>
      <c r="T249" s="32">
        <v>0</v>
      </c>
      <c r="U249" s="31">
        <v>0</v>
      </c>
      <c r="V249" s="32">
        <v>0</v>
      </c>
      <c r="W249" s="31">
        <v>1684</v>
      </c>
      <c r="X249" s="32">
        <v>0.65170278637770895</v>
      </c>
      <c r="Y249" s="31">
        <v>1166</v>
      </c>
      <c r="Z249" s="34">
        <v>0.45123839009287919</v>
      </c>
      <c r="AA249" s="31">
        <v>0</v>
      </c>
      <c r="AB249" s="32">
        <v>0</v>
      </c>
      <c r="AC249" s="31">
        <v>328</v>
      </c>
      <c r="AD249" s="32">
        <v>0.12693498452012381</v>
      </c>
      <c r="AE249" s="31">
        <v>44</v>
      </c>
      <c r="AF249" s="32">
        <v>0.13414634146341459</v>
      </c>
      <c r="AG249" s="31">
        <v>313</v>
      </c>
      <c r="AH249" s="32">
        <v>0.95426829268292679</v>
      </c>
      <c r="AI249" s="35">
        <v>332</v>
      </c>
      <c r="AJ249" s="32">
        <v>0.12848297213622289</v>
      </c>
      <c r="AK249" s="35">
        <v>19</v>
      </c>
      <c r="AL249" s="32">
        <v>0.90963855421686746</v>
      </c>
      <c r="AM249" s="35">
        <v>319</v>
      </c>
      <c r="AN249" s="35">
        <v>302</v>
      </c>
      <c r="AO249" s="32">
        <v>0.11687306501547989</v>
      </c>
      <c r="AP249" s="32">
        <v>0.92073170731707321</v>
      </c>
      <c r="AQ249" s="33">
        <v>0.96571428571428575</v>
      </c>
      <c r="AR249" s="33" t="s">
        <v>411</v>
      </c>
      <c r="AS249" s="33">
        <v>0</v>
      </c>
      <c r="AT249" s="35">
        <v>0</v>
      </c>
      <c r="AU249" s="35">
        <v>0</v>
      </c>
      <c r="AV249" s="35">
        <v>97</v>
      </c>
      <c r="AW249" s="35">
        <v>95</v>
      </c>
      <c r="AX249" s="35">
        <v>95</v>
      </c>
      <c r="AY249" s="35">
        <v>39</v>
      </c>
      <c r="AZ249" s="32">
        <v>3.6764705882352942E-2</v>
      </c>
      <c r="BA249" s="32">
        <v>3.6764705882352942E-2</v>
      </c>
      <c r="BB249" s="32">
        <v>1.509287925696595E-2</v>
      </c>
      <c r="BC249" s="32">
        <v>0.31456953642384111</v>
      </c>
      <c r="BD249" s="35">
        <v>0</v>
      </c>
      <c r="BE249" s="35">
        <v>0</v>
      </c>
      <c r="BF249" s="33">
        <v>1</v>
      </c>
      <c r="BG249" s="33">
        <v>1</v>
      </c>
      <c r="BH249" s="33" t="s">
        <v>412</v>
      </c>
    </row>
    <row r="250" spans="1:60" ht="19.5" customHeight="1">
      <c r="A250" s="36">
        <v>247</v>
      </c>
      <c r="B250" s="31" t="s">
        <v>410</v>
      </c>
      <c r="C250" s="37">
        <v>46215</v>
      </c>
      <c r="D250" s="31"/>
      <c r="E250" s="31">
        <v>55</v>
      </c>
      <c r="F250" s="31">
        <v>53</v>
      </c>
      <c r="G250" s="32">
        <v>0.96363636363636362</v>
      </c>
      <c r="H250" s="31">
        <v>55</v>
      </c>
      <c r="I250" s="33">
        <v>1</v>
      </c>
      <c r="J250" s="31">
        <v>2</v>
      </c>
      <c r="K250" s="31">
        <v>0</v>
      </c>
      <c r="L250" s="32">
        <v>0</v>
      </c>
      <c r="M250" s="31">
        <v>13</v>
      </c>
      <c r="N250" s="31">
        <v>5</v>
      </c>
      <c r="O250" s="31">
        <v>4</v>
      </c>
      <c r="P250" s="32">
        <v>0.30769230769230771</v>
      </c>
      <c r="Q250" s="31">
        <v>9</v>
      </c>
      <c r="R250" s="31">
        <v>0</v>
      </c>
      <c r="S250" s="31">
        <v>0</v>
      </c>
      <c r="T250" s="32">
        <v>0</v>
      </c>
      <c r="U250" s="31">
        <v>0</v>
      </c>
      <c r="V250" s="32">
        <v>0</v>
      </c>
      <c r="W250" s="31">
        <v>13</v>
      </c>
      <c r="X250" s="32">
        <v>0.23636363636363639</v>
      </c>
      <c r="Y250" s="31">
        <v>11</v>
      </c>
      <c r="Z250" s="34">
        <v>0.2</v>
      </c>
      <c r="AA250" s="31">
        <v>0</v>
      </c>
      <c r="AB250" s="32">
        <v>0</v>
      </c>
      <c r="AC250" s="31">
        <v>0</v>
      </c>
      <c r="AD250" s="32">
        <v>0</v>
      </c>
      <c r="AE250" s="31">
        <v>0</v>
      </c>
      <c r="AF250" s="32">
        <v>0</v>
      </c>
      <c r="AG250" s="31">
        <v>0</v>
      </c>
      <c r="AH250" s="32">
        <v>0</v>
      </c>
      <c r="AI250" s="35">
        <v>0</v>
      </c>
      <c r="AJ250" s="32">
        <v>0</v>
      </c>
      <c r="AK250" s="35">
        <v>0</v>
      </c>
      <c r="AL250" s="32">
        <v>0</v>
      </c>
      <c r="AM250" s="35">
        <v>0</v>
      </c>
      <c r="AN250" s="35">
        <v>0</v>
      </c>
      <c r="AO250" s="32">
        <v>0</v>
      </c>
      <c r="AP250" s="32">
        <v>0</v>
      </c>
      <c r="AQ250" s="33">
        <v>0</v>
      </c>
      <c r="AR250" s="33" t="s">
        <v>411</v>
      </c>
      <c r="AS250" s="33">
        <v>0</v>
      </c>
      <c r="AT250" s="35">
        <v>0</v>
      </c>
      <c r="AU250" s="35">
        <v>0</v>
      </c>
      <c r="AV250" s="35">
        <v>0</v>
      </c>
      <c r="AW250" s="35">
        <v>0</v>
      </c>
      <c r="AX250" s="35">
        <v>0</v>
      </c>
      <c r="AY250" s="35">
        <v>0</v>
      </c>
      <c r="AZ250" s="32">
        <v>0</v>
      </c>
      <c r="BA250" s="32">
        <v>0</v>
      </c>
      <c r="BB250" s="32">
        <v>0</v>
      </c>
      <c r="BC250" s="32">
        <v>0</v>
      </c>
      <c r="BD250" s="35">
        <v>0</v>
      </c>
      <c r="BE250" s="35">
        <v>0</v>
      </c>
      <c r="BF250" s="33" t="s">
        <v>412</v>
      </c>
      <c r="BG250" s="33" t="s">
        <v>412</v>
      </c>
      <c r="BH250" s="33">
        <v>1</v>
      </c>
    </row>
    <row r="251" spans="1:60" ht="19.5" customHeight="1">
      <c r="A251" s="36">
        <v>248</v>
      </c>
      <c r="B251" s="31" t="s">
        <v>410</v>
      </c>
      <c r="C251" s="37">
        <v>46215</v>
      </c>
      <c r="D251" s="31" t="s">
        <v>413</v>
      </c>
      <c r="E251" s="31">
        <v>4</v>
      </c>
      <c r="F251" s="31">
        <v>4</v>
      </c>
      <c r="G251" s="32">
        <v>1</v>
      </c>
      <c r="H251" s="31">
        <v>1</v>
      </c>
      <c r="I251" s="33">
        <v>0.25</v>
      </c>
      <c r="J251" s="31">
        <v>4</v>
      </c>
      <c r="K251" s="31">
        <v>4</v>
      </c>
      <c r="L251" s="32">
        <v>1</v>
      </c>
      <c r="M251" s="31">
        <v>8</v>
      </c>
      <c r="N251" s="31">
        <v>14</v>
      </c>
      <c r="O251" s="31">
        <v>8</v>
      </c>
      <c r="P251" s="32">
        <v>1</v>
      </c>
      <c r="Q251" s="31">
        <v>0</v>
      </c>
      <c r="R251" s="31">
        <v>0</v>
      </c>
      <c r="S251" s="31">
        <v>0</v>
      </c>
      <c r="T251" s="32">
        <v>0</v>
      </c>
      <c r="U251" s="31">
        <v>0</v>
      </c>
      <c r="V251" s="32">
        <v>0</v>
      </c>
      <c r="W251" s="31">
        <v>0</v>
      </c>
      <c r="X251" s="32">
        <v>0</v>
      </c>
      <c r="Y251" s="31">
        <v>0</v>
      </c>
      <c r="Z251" s="34">
        <v>0</v>
      </c>
      <c r="AA251" s="31">
        <v>0</v>
      </c>
      <c r="AB251" s="32">
        <v>0</v>
      </c>
      <c r="AC251" s="31">
        <v>0</v>
      </c>
      <c r="AD251" s="32">
        <v>0</v>
      </c>
      <c r="AE251" s="31">
        <v>0</v>
      </c>
      <c r="AF251" s="32">
        <v>0</v>
      </c>
      <c r="AG251" s="31">
        <v>0</v>
      </c>
      <c r="AH251" s="32">
        <v>0</v>
      </c>
      <c r="AI251" s="35">
        <v>0</v>
      </c>
      <c r="AJ251" s="32">
        <v>0</v>
      </c>
      <c r="AK251" s="35">
        <v>0</v>
      </c>
      <c r="AL251" s="32">
        <v>0</v>
      </c>
      <c r="AM251" s="35">
        <v>0</v>
      </c>
      <c r="AN251" s="35">
        <v>0</v>
      </c>
      <c r="AO251" s="32">
        <v>0</v>
      </c>
      <c r="AP251" s="32">
        <v>0</v>
      </c>
      <c r="AQ251" s="33"/>
      <c r="AR251" s="33" t="s">
        <v>411</v>
      </c>
      <c r="AS251" s="33" t="s">
        <v>411</v>
      </c>
      <c r="AT251" s="35">
        <v>0</v>
      </c>
      <c r="AU251" s="35">
        <v>0</v>
      </c>
      <c r="AV251" s="35">
        <v>0</v>
      </c>
      <c r="AW251" s="35">
        <v>0</v>
      </c>
      <c r="AX251" s="35">
        <v>0</v>
      </c>
      <c r="AY251" s="35">
        <v>0</v>
      </c>
      <c r="AZ251" s="32">
        <v>0</v>
      </c>
      <c r="BA251" s="32">
        <v>0</v>
      </c>
      <c r="BB251" s="32">
        <v>0</v>
      </c>
      <c r="BC251" s="32">
        <v>0</v>
      </c>
      <c r="BD251" s="35">
        <v>0</v>
      </c>
      <c r="BE251" s="35">
        <v>0</v>
      </c>
      <c r="BF251" s="33" t="s">
        <v>412</v>
      </c>
      <c r="BG251" s="33" t="s">
        <v>412</v>
      </c>
      <c r="BH251" s="33" t="s">
        <v>412</v>
      </c>
    </row>
    <row r="252" spans="1:60" ht="19.5" customHeight="1">
      <c r="A252" s="36">
        <v>249</v>
      </c>
      <c r="B252" s="31" t="s">
        <v>410</v>
      </c>
      <c r="C252" s="37">
        <v>46215</v>
      </c>
      <c r="D252" s="31" t="s">
        <v>335</v>
      </c>
      <c r="E252" s="31">
        <v>2530</v>
      </c>
      <c r="F252" s="31">
        <v>2225</v>
      </c>
      <c r="G252" s="32">
        <v>0.87944664031620556</v>
      </c>
      <c r="H252" s="31">
        <v>1371</v>
      </c>
      <c r="I252" s="33">
        <v>0.54189723320158101</v>
      </c>
      <c r="J252" s="31">
        <v>2500</v>
      </c>
      <c r="K252" s="31">
        <v>2407</v>
      </c>
      <c r="L252" s="32">
        <v>0.96299999999999997</v>
      </c>
      <c r="M252" s="31">
        <v>11075</v>
      </c>
      <c r="N252" s="31">
        <v>10970</v>
      </c>
      <c r="O252" s="31">
        <v>10872</v>
      </c>
      <c r="P252" s="32">
        <v>0.98167042889390521</v>
      </c>
      <c r="Q252" s="31">
        <v>68</v>
      </c>
      <c r="R252" s="31">
        <v>0</v>
      </c>
      <c r="S252" s="31">
        <v>0</v>
      </c>
      <c r="T252" s="32">
        <v>0</v>
      </c>
      <c r="U252" s="31">
        <v>0</v>
      </c>
      <c r="V252" s="32">
        <v>0</v>
      </c>
      <c r="W252" s="31">
        <v>353</v>
      </c>
      <c r="X252" s="32">
        <v>0.13952569169960469</v>
      </c>
      <c r="Y252" s="31">
        <v>816</v>
      </c>
      <c r="Z252" s="34">
        <v>0.32252964426877467</v>
      </c>
      <c r="AA252" s="31">
        <v>0</v>
      </c>
      <c r="AB252" s="32">
        <v>0</v>
      </c>
      <c r="AC252" s="31">
        <v>174</v>
      </c>
      <c r="AD252" s="32">
        <v>6.8774703557312258E-2</v>
      </c>
      <c r="AE252" s="31">
        <v>17</v>
      </c>
      <c r="AF252" s="32">
        <v>9.7701149425287362E-2</v>
      </c>
      <c r="AG252" s="31">
        <v>166</v>
      </c>
      <c r="AH252" s="32">
        <v>0.95402298850574707</v>
      </c>
      <c r="AI252" s="35">
        <v>175</v>
      </c>
      <c r="AJ252" s="32">
        <v>6.9169960474308304E-2</v>
      </c>
      <c r="AK252" s="35">
        <v>6</v>
      </c>
      <c r="AL252" s="32">
        <v>0.78857142857142859</v>
      </c>
      <c r="AM252" s="35">
        <v>164</v>
      </c>
      <c r="AN252" s="35">
        <v>138</v>
      </c>
      <c r="AO252" s="32">
        <v>5.4545454545454543E-2</v>
      </c>
      <c r="AP252" s="32">
        <v>0.7931034482758621</v>
      </c>
      <c r="AQ252" s="33">
        <v>0.92763157894736847</v>
      </c>
      <c r="AR252" s="33" t="s">
        <v>411</v>
      </c>
      <c r="AS252" s="33">
        <v>0</v>
      </c>
      <c r="AT252" s="35">
        <v>0</v>
      </c>
      <c r="AU252" s="35">
        <v>0</v>
      </c>
      <c r="AV252" s="35">
        <v>63</v>
      </c>
      <c r="AW252" s="35">
        <v>60</v>
      </c>
      <c r="AX252" s="35">
        <v>59</v>
      </c>
      <c r="AY252" s="35">
        <v>29</v>
      </c>
      <c r="AZ252" s="32">
        <v>2.3715415019762841E-2</v>
      </c>
      <c r="BA252" s="32">
        <v>2.3320158102766799E-2</v>
      </c>
      <c r="BB252" s="32">
        <v>1.146245059288538E-2</v>
      </c>
      <c r="BC252" s="32">
        <v>0.42753623188405798</v>
      </c>
      <c r="BD252" s="35">
        <v>0</v>
      </c>
      <c r="BE252" s="35">
        <v>0</v>
      </c>
      <c r="BF252" s="33">
        <v>0.92307692307692313</v>
      </c>
      <c r="BG252" s="33">
        <v>1</v>
      </c>
      <c r="BH252" s="33" t="s">
        <v>412</v>
      </c>
    </row>
    <row r="253" spans="1:60" ht="19.5" customHeight="1">
      <c r="A253" s="36">
        <v>250</v>
      </c>
      <c r="B253" s="31" t="s">
        <v>410</v>
      </c>
      <c r="C253" s="37">
        <v>46215</v>
      </c>
      <c r="D253" s="31" t="s">
        <v>334</v>
      </c>
      <c r="E253" s="31">
        <v>2421</v>
      </c>
      <c r="F253" s="31">
        <v>2110</v>
      </c>
      <c r="G253" s="32">
        <v>0.87154068566707976</v>
      </c>
      <c r="H253" s="31">
        <v>1443</v>
      </c>
      <c r="I253" s="33">
        <v>0.59603469640644358</v>
      </c>
      <c r="J253" s="31">
        <v>1978</v>
      </c>
      <c r="K253" s="31">
        <v>1910</v>
      </c>
      <c r="L253" s="32">
        <v>0.96599999999999997</v>
      </c>
      <c r="M253" s="31">
        <v>9807</v>
      </c>
      <c r="N253" s="31">
        <v>9753</v>
      </c>
      <c r="O253" s="31">
        <v>9638</v>
      </c>
      <c r="P253" s="32">
        <v>0.98276741103293563</v>
      </c>
      <c r="Q253" s="31">
        <v>66</v>
      </c>
      <c r="R253" s="31">
        <v>0</v>
      </c>
      <c r="S253" s="31">
        <v>0</v>
      </c>
      <c r="T253" s="32">
        <v>0</v>
      </c>
      <c r="U253" s="31">
        <v>0</v>
      </c>
      <c r="V253" s="32">
        <v>0</v>
      </c>
      <c r="W253" s="31">
        <v>376</v>
      </c>
      <c r="X253" s="32">
        <v>0.1553077240809583</v>
      </c>
      <c r="Y253" s="31">
        <v>557</v>
      </c>
      <c r="Z253" s="34">
        <v>0.23007021891780249</v>
      </c>
      <c r="AA253" s="31">
        <v>0</v>
      </c>
      <c r="AB253" s="32">
        <v>0</v>
      </c>
      <c r="AC253" s="31">
        <v>206</v>
      </c>
      <c r="AD253" s="32">
        <v>8.508880627839735E-2</v>
      </c>
      <c r="AE253" s="31">
        <v>26</v>
      </c>
      <c r="AF253" s="32">
        <v>0.12621359223300971</v>
      </c>
      <c r="AG253" s="31">
        <v>192</v>
      </c>
      <c r="AH253" s="32">
        <v>0.93203883495145634</v>
      </c>
      <c r="AI253" s="35">
        <v>197</v>
      </c>
      <c r="AJ253" s="32">
        <v>8.1371334159438244E-2</v>
      </c>
      <c r="AK253" s="35">
        <v>6</v>
      </c>
      <c r="AL253" s="32">
        <v>0.81218274111675126</v>
      </c>
      <c r="AM253" s="35">
        <v>189</v>
      </c>
      <c r="AN253" s="35">
        <v>160</v>
      </c>
      <c r="AO253" s="32">
        <v>6.6088393225939693E-2</v>
      </c>
      <c r="AP253" s="32">
        <v>0.77669902912621358</v>
      </c>
      <c r="AQ253" s="33">
        <v>0.93452380952380953</v>
      </c>
      <c r="AR253" s="33" t="s">
        <v>411</v>
      </c>
      <c r="AS253" s="33">
        <v>0</v>
      </c>
      <c r="AT253" s="35">
        <v>0</v>
      </c>
      <c r="AU253" s="35">
        <v>0</v>
      </c>
      <c r="AV253" s="35">
        <v>56</v>
      </c>
      <c r="AW253" s="35">
        <v>53</v>
      </c>
      <c r="AX253" s="35">
        <v>49</v>
      </c>
      <c r="AY253" s="35">
        <v>21</v>
      </c>
      <c r="AZ253" s="32">
        <v>2.1891780256092529E-2</v>
      </c>
      <c r="BA253" s="32">
        <v>2.0239570425444029E-2</v>
      </c>
      <c r="BB253" s="32">
        <v>8.6741016109045856E-3</v>
      </c>
      <c r="BC253" s="32">
        <v>0.30625000000000002</v>
      </c>
      <c r="BD253" s="35">
        <v>0</v>
      </c>
      <c r="BE253" s="35">
        <v>0</v>
      </c>
      <c r="BF253" s="33">
        <v>1</v>
      </c>
      <c r="BG253" s="33">
        <v>1</v>
      </c>
      <c r="BH253" s="33" t="s">
        <v>412</v>
      </c>
    </row>
    <row r="254" spans="1:60" ht="19.5" customHeight="1">
      <c r="A254" s="36">
        <v>251</v>
      </c>
      <c r="B254" s="31" t="s">
        <v>410</v>
      </c>
      <c r="C254" s="37">
        <v>46215</v>
      </c>
      <c r="D254" s="31" t="s">
        <v>337</v>
      </c>
      <c r="E254" s="31">
        <v>3596</v>
      </c>
      <c r="F254" s="31">
        <v>3213</v>
      </c>
      <c r="G254" s="32">
        <v>0.89349276974416014</v>
      </c>
      <c r="H254" s="31">
        <v>1017</v>
      </c>
      <c r="I254" s="33">
        <v>0.28281423804226918</v>
      </c>
      <c r="J254" s="31">
        <v>3196</v>
      </c>
      <c r="K254" s="31">
        <v>3073</v>
      </c>
      <c r="L254" s="32">
        <v>0.96199999999999997</v>
      </c>
      <c r="M254" s="31">
        <v>22608</v>
      </c>
      <c r="N254" s="31">
        <v>21957</v>
      </c>
      <c r="O254" s="31">
        <v>22155</v>
      </c>
      <c r="P254" s="32">
        <v>0.9799628450106157</v>
      </c>
      <c r="Q254" s="31">
        <v>135</v>
      </c>
      <c r="R254" s="31">
        <v>0</v>
      </c>
      <c r="S254" s="31">
        <v>0</v>
      </c>
      <c r="T254" s="32">
        <v>0</v>
      </c>
      <c r="U254" s="31">
        <v>0</v>
      </c>
      <c r="V254" s="32">
        <v>0</v>
      </c>
      <c r="W254" s="31">
        <v>734</v>
      </c>
      <c r="X254" s="32">
        <v>0.20411568409343711</v>
      </c>
      <c r="Y254" s="31">
        <v>1888</v>
      </c>
      <c r="Z254" s="34">
        <v>0.52502780867630705</v>
      </c>
      <c r="AA254" s="31">
        <v>0</v>
      </c>
      <c r="AB254" s="32">
        <v>0</v>
      </c>
      <c r="AC254" s="31">
        <v>768</v>
      </c>
      <c r="AD254" s="32">
        <v>0.21357063403781981</v>
      </c>
      <c r="AE254" s="31">
        <v>134</v>
      </c>
      <c r="AF254" s="32">
        <v>0.17447916666666671</v>
      </c>
      <c r="AG254" s="31">
        <v>739</v>
      </c>
      <c r="AH254" s="32">
        <v>0.96223958333333337</v>
      </c>
      <c r="AI254" s="35">
        <v>818</v>
      </c>
      <c r="AJ254" s="32">
        <v>0.2274749721913237</v>
      </c>
      <c r="AK254" s="35">
        <v>28</v>
      </c>
      <c r="AL254" s="32">
        <v>0.83985330073349629</v>
      </c>
      <c r="AM254" s="35">
        <v>770</v>
      </c>
      <c r="AN254" s="35">
        <v>687</v>
      </c>
      <c r="AO254" s="32">
        <v>0.19104560622914349</v>
      </c>
      <c r="AP254" s="32">
        <v>0.89453125</v>
      </c>
      <c r="AQ254" s="33">
        <v>0.93680297397769519</v>
      </c>
      <c r="AR254" s="33" t="s">
        <v>411</v>
      </c>
      <c r="AS254" s="33">
        <v>0</v>
      </c>
      <c r="AT254" s="35">
        <v>0</v>
      </c>
      <c r="AU254" s="35">
        <v>0</v>
      </c>
      <c r="AV254" s="35">
        <v>159</v>
      </c>
      <c r="AW254" s="35">
        <v>156</v>
      </c>
      <c r="AX254" s="35">
        <v>144</v>
      </c>
      <c r="AY254" s="35">
        <v>57</v>
      </c>
      <c r="AZ254" s="32">
        <v>4.3381535038932148E-2</v>
      </c>
      <c r="BA254" s="32">
        <v>4.0044493882091213E-2</v>
      </c>
      <c r="BB254" s="32">
        <v>1.5850945494994439E-2</v>
      </c>
      <c r="BC254" s="32">
        <v>0.20960698689956331</v>
      </c>
      <c r="BD254" s="35">
        <v>0</v>
      </c>
      <c r="BE254" s="35">
        <v>0</v>
      </c>
      <c r="BF254" s="33">
        <v>0.98979591836734693</v>
      </c>
      <c r="BG254" s="33">
        <v>1</v>
      </c>
      <c r="BH254" s="33" t="s">
        <v>412</v>
      </c>
    </row>
    <row r="255" spans="1:60" ht="19.5" customHeight="1">
      <c r="A255" s="36">
        <v>252</v>
      </c>
      <c r="B255" s="31" t="s">
        <v>410</v>
      </c>
      <c r="C255" s="37">
        <v>46215</v>
      </c>
      <c r="D255" s="31" t="s">
        <v>336</v>
      </c>
      <c r="E255" s="31">
        <v>2695</v>
      </c>
      <c r="F255" s="31">
        <v>2396</v>
      </c>
      <c r="G255" s="32">
        <v>0.88905380333951767</v>
      </c>
      <c r="H255" s="31">
        <v>1477</v>
      </c>
      <c r="I255" s="33">
        <v>0.54805194805194801</v>
      </c>
      <c r="J255" s="31">
        <v>3847</v>
      </c>
      <c r="K255" s="31">
        <v>3760</v>
      </c>
      <c r="L255" s="32">
        <v>0.97699999999999998</v>
      </c>
      <c r="M255" s="31">
        <v>18811</v>
      </c>
      <c r="N255" s="31">
        <v>18678</v>
      </c>
      <c r="O255" s="31">
        <v>18478</v>
      </c>
      <c r="P255" s="32">
        <v>0.98229759183456489</v>
      </c>
      <c r="Q255" s="31">
        <v>100</v>
      </c>
      <c r="R255" s="31">
        <v>0</v>
      </c>
      <c r="S255" s="31">
        <v>0</v>
      </c>
      <c r="T255" s="32">
        <v>0</v>
      </c>
      <c r="U255" s="31">
        <v>0</v>
      </c>
      <c r="V255" s="32">
        <v>0</v>
      </c>
      <c r="W255" s="31">
        <v>465</v>
      </c>
      <c r="X255" s="32">
        <v>0.17254174397031541</v>
      </c>
      <c r="Y255" s="31">
        <v>773</v>
      </c>
      <c r="Z255" s="34">
        <v>0.28682745825602968</v>
      </c>
      <c r="AA255" s="31">
        <v>0</v>
      </c>
      <c r="AB255" s="32">
        <v>0</v>
      </c>
      <c r="AC255" s="31">
        <v>311</v>
      </c>
      <c r="AD255" s="32">
        <v>0.1153988868274583</v>
      </c>
      <c r="AE255" s="31">
        <v>45</v>
      </c>
      <c r="AF255" s="32">
        <v>0.1446945337620579</v>
      </c>
      <c r="AG255" s="31">
        <v>300</v>
      </c>
      <c r="AH255" s="32">
        <v>0.96463022508038587</v>
      </c>
      <c r="AI255" s="35">
        <v>287</v>
      </c>
      <c r="AJ255" s="32">
        <v>0.1064935064935065</v>
      </c>
      <c r="AK255" s="35">
        <v>16</v>
      </c>
      <c r="AL255" s="32">
        <v>0.90592334494773519</v>
      </c>
      <c r="AM255" s="35">
        <v>275</v>
      </c>
      <c r="AN255" s="35">
        <v>260</v>
      </c>
      <c r="AO255" s="32">
        <v>9.6474953617810763E-2</v>
      </c>
      <c r="AP255" s="32">
        <v>0.83601286173633438</v>
      </c>
      <c r="AQ255" s="33">
        <v>0.9563758389261745</v>
      </c>
      <c r="AR255" s="33" t="s">
        <v>411</v>
      </c>
      <c r="AS255" s="33">
        <v>0</v>
      </c>
      <c r="AT255" s="35">
        <v>0</v>
      </c>
      <c r="AU255" s="35">
        <v>0</v>
      </c>
      <c r="AV255" s="35">
        <v>88</v>
      </c>
      <c r="AW255" s="35">
        <v>85</v>
      </c>
      <c r="AX255" s="35">
        <v>83</v>
      </c>
      <c r="AY255" s="35">
        <v>33</v>
      </c>
      <c r="AZ255" s="32">
        <v>3.1539888682745827E-2</v>
      </c>
      <c r="BA255" s="32">
        <v>3.079777365491651E-2</v>
      </c>
      <c r="BB255" s="32">
        <v>1.2244897959183669E-2</v>
      </c>
      <c r="BC255" s="32">
        <v>0.31923076923076921</v>
      </c>
      <c r="BD255" s="35">
        <v>0</v>
      </c>
      <c r="BE255" s="35">
        <v>0</v>
      </c>
      <c r="BF255" s="33">
        <v>1</v>
      </c>
      <c r="BG255" s="33">
        <v>1</v>
      </c>
      <c r="BH255" s="33" t="s">
        <v>412</v>
      </c>
    </row>
    <row r="256" spans="1:60" ht="19.5" customHeight="1">
      <c r="A256" s="36">
        <v>253</v>
      </c>
      <c r="B256" s="31" t="s">
        <v>410</v>
      </c>
      <c r="C256" s="37">
        <v>46216</v>
      </c>
      <c r="D256" s="31"/>
      <c r="E256" s="31">
        <v>22</v>
      </c>
      <c r="F256" s="31">
        <v>22</v>
      </c>
      <c r="G256" s="32">
        <v>1</v>
      </c>
      <c r="H256" s="31">
        <v>22</v>
      </c>
      <c r="I256" s="33">
        <v>1</v>
      </c>
      <c r="J256" s="31">
        <v>1</v>
      </c>
      <c r="K256" s="31">
        <v>0</v>
      </c>
      <c r="L256" s="32">
        <v>0</v>
      </c>
      <c r="M256" s="31">
        <v>11</v>
      </c>
      <c r="N256" s="31">
        <v>3</v>
      </c>
      <c r="O256" s="31">
        <v>4</v>
      </c>
      <c r="P256" s="32">
        <v>0.36363636363636359</v>
      </c>
      <c r="Q256" s="31">
        <v>6</v>
      </c>
      <c r="R256" s="31">
        <v>0</v>
      </c>
      <c r="S256" s="31">
        <v>0</v>
      </c>
      <c r="T256" s="32">
        <v>0</v>
      </c>
      <c r="U256" s="31">
        <v>0</v>
      </c>
      <c r="V256" s="32">
        <v>0</v>
      </c>
      <c r="W256" s="31">
        <v>14</v>
      </c>
      <c r="X256" s="32">
        <v>0.63636363636363635</v>
      </c>
      <c r="Y256" s="31">
        <v>6</v>
      </c>
      <c r="Z256" s="34">
        <v>0.27272727272727271</v>
      </c>
      <c r="AA256" s="31">
        <v>0</v>
      </c>
      <c r="AB256" s="32">
        <v>0</v>
      </c>
      <c r="AC256" s="31">
        <v>0</v>
      </c>
      <c r="AD256" s="32">
        <v>0</v>
      </c>
      <c r="AE256" s="31">
        <v>0</v>
      </c>
      <c r="AF256" s="32">
        <v>0</v>
      </c>
      <c r="AG256" s="31">
        <v>0</v>
      </c>
      <c r="AH256" s="32">
        <v>0</v>
      </c>
      <c r="AI256" s="35">
        <v>0</v>
      </c>
      <c r="AJ256" s="32">
        <v>0</v>
      </c>
      <c r="AK256" s="35">
        <v>0</v>
      </c>
      <c r="AL256" s="32">
        <v>0</v>
      </c>
      <c r="AM256" s="35">
        <v>0</v>
      </c>
      <c r="AN256" s="35">
        <v>0</v>
      </c>
      <c r="AO256" s="32">
        <v>0</v>
      </c>
      <c r="AP256" s="32">
        <v>0</v>
      </c>
      <c r="AQ256" s="33">
        <v>0</v>
      </c>
      <c r="AR256" s="33" t="s">
        <v>411</v>
      </c>
      <c r="AS256" s="33">
        <v>0</v>
      </c>
      <c r="AT256" s="35">
        <v>0</v>
      </c>
      <c r="AU256" s="35">
        <v>0</v>
      </c>
      <c r="AV256" s="35">
        <v>0</v>
      </c>
      <c r="AW256" s="35">
        <v>0</v>
      </c>
      <c r="AX256" s="35">
        <v>0</v>
      </c>
      <c r="AY256" s="35">
        <v>0</v>
      </c>
      <c r="AZ256" s="32">
        <v>0</v>
      </c>
      <c r="BA256" s="32">
        <v>0</v>
      </c>
      <c r="BB256" s="32">
        <v>0</v>
      </c>
      <c r="BC256" s="32">
        <v>0</v>
      </c>
      <c r="BD256" s="35">
        <v>0</v>
      </c>
      <c r="BE256" s="35">
        <v>2</v>
      </c>
      <c r="BF256" s="33" t="s">
        <v>412</v>
      </c>
      <c r="BG256" s="33" t="s">
        <v>412</v>
      </c>
      <c r="BH256" s="33">
        <v>0.95789473684210524</v>
      </c>
    </row>
    <row r="257" spans="1:60" ht="19.5" customHeight="1">
      <c r="A257" s="36">
        <v>254</v>
      </c>
      <c r="B257" s="31" t="s">
        <v>410</v>
      </c>
      <c r="C257" s="37">
        <v>46216</v>
      </c>
      <c r="D257" s="31" t="s">
        <v>413</v>
      </c>
      <c r="E257" s="31">
        <v>0</v>
      </c>
      <c r="F257" s="31">
        <v>0</v>
      </c>
      <c r="G257" s="32">
        <v>0</v>
      </c>
      <c r="H257" s="31">
        <v>0</v>
      </c>
      <c r="I257" s="33">
        <v>0</v>
      </c>
      <c r="J257" s="31">
        <v>6</v>
      </c>
      <c r="K257" s="31">
        <v>5</v>
      </c>
      <c r="L257" s="32">
        <v>0.83299999999999996</v>
      </c>
      <c r="M257" s="31">
        <v>12</v>
      </c>
      <c r="N257" s="31">
        <v>17</v>
      </c>
      <c r="O257" s="31">
        <v>11</v>
      </c>
      <c r="P257" s="32">
        <v>0.91666666666666663</v>
      </c>
      <c r="Q257" s="31">
        <v>0</v>
      </c>
      <c r="R257" s="31">
        <v>0</v>
      </c>
      <c r="S257" s="31">
        <v>0</v>
      </c>
      <c r="T257" s="32">
        <v>0</v>
      </c>
      <c r="U257" s="31">
        <v>0</v>
      </c>
      <c r="V257" s="32">
        <v>0</v>
      </c>
      <c r="W257" s="31">
        <v>0</v>
      </c>
      <c r="X257" s="32">
        <v>0</v>
      </c>
      <c r="Y257" s="31">
        <v>0</v>
      </c>
      <c r="Z257" s="34">
        <v>0</v>
      </c>
      <c r="AA257" s="31">
        <v>0</v>
      </c>
      <c r="AB257" s="32">
        <v>0</v>
      </c>
      <c r="AC257" s="31">
        <v>0</v>
      </c>
      <c r="AD257" s="32">
        <v>0</v>
      </c>
      <c r="AE257" s="31">
        <v>0</v>
      </c>
      <c r="AF257" s="32">
        <v>0</v>
      </c>
      <c r="AG257" s="31">
        <v>0</v>
      </c>
      <c r="AH257" s="32">
        <v>0</v>
      </c>
      <c r="AI257" s="35">
        <v>0</v>
      </c>
      <c r="AJ257" s="32">
        <v>0</v>
      </c>
      <c r="AK257" s="35">
        <v>0</v>
      </c>
      <c r="AL257" s="32">
        <v>0</v>
      </c>
      <c r="AM257" s="35">
        <v>0</v>
      </c>
      <c r="AN257" s="35">
        <v>0</v>
      </c>
      <c r="AO257" s="32">
        <v>0</v>
      </c>
      <c r="AP257" s="32">
        <v>0</v>
      </c>
      <c r="AQ257" s="33"/>
      <c r="AR257" s="33" t="s">
        <v>411</v>
      </c>
      <c r="AS257" s="33" t="s">
        <v>411</v>
      </c>
      <c r="AT257" s="35">
        <v>0</v>
      </c>
      <c r="AU257" s="35">
        <v>0</v>
      </c>
      <c r="AV257" s="35">
        <v>0</v>
      </c>
      <c r="AW257" s="35">
        <v>0</v>
      </c>
      <c r="AX257" s="35">
        <v>0</v>
      </c>
      <c r="AY257" s="35">
        <v>0</v>
      </c>
      <c r="AZ257" s="32">
        <v>0</v>
      </c>
      <c r="BA257" s="32">
        <v>0</v>
      </c>
      <c r="BB257" s="32">
        <v>0</v>
      </c>
      <c r="BC257" s="32">
        <v>0</v>
      </c>
      <c r="BD257" s="35">
        <v>0</v>
      </c>
      <c r="BE257" s="35">
        <v>0</v>
      </c>
      <c r="BF257" s="33" t="s">
        <v>412</v>
      </c>
      <c r="BG257" s="33" t="s">
        <v>412</v>
      </c>
      <c r="BH257" s="33" t="s">
        <v>412</v>
      </c>
    </row>
    <row r="258" spans="1:60" ht="19.5" customHeight="1">
      <c r="A258" s="36">
        <v>255</v>
      </c>
      <c r="B258" s="31" t="s">
        <v>410</v>
      </c>
      <c r="C258" s="37">
        <v>46216</v>
      </c>
      <c r="D258" s="31" t="s">
        <v>335</v>
      </c>
      <c r="E258" s="31">
        <v>1687</v>
      </c>
      <c r="F258" s="31">
        <v>1499</v>
      </c>
      <c r="G258" s="32">
        <v>0.88855957320687606</v>
      </c>
      <c r="H258" s="31">
        <v>788</v>
      </c>
      <c r="I258" s="33">
        <v>0.46710136336692348</v>
      </c>
      <c r="J258" s="31">
        <v>1486</v>
      </c>
      <c r="K258" s="31">
        <v>1438</v>
      </c>
      <c r="L258" s="32">
        <v>0.96799999999999997</v>
      </c>
      <c r="M258" s="31">
        <v>9612</v>
      </c>
      <c r="N258" s="31">
        <v>9176</v>
      </c>
      <c r="O258" s="31">
        <v>9444</v>
      </c>
      <c r="P258" s="32">
        <v>0.98252184769038697</v>
      </c>
      <c r="Q258" s="31">
        <v>53</v>
      </c>
      <c r="R258" s="31">
        <v>0</v>
      </c>
      <c r="S258" s="31">
        <v>0</v>
      </c>
      <c r="T258" s="32">
        <v>0</v>
      </c>
      <c r="U258" s="31">
        <v>0</v>
      </c>
      <c r="V258" s="32">
        <v>0</v>
      </c>
      <c r="W258" s="31">
        <v>315</v>
      </c>
      <c r="X258" s="32">
        <v>0.18672199170124479</v>
      </c>
      <c r="Y258" s="31">
        <v>952</v>
      </c>
      <c r="Z258" s="34">
        <v>0.56431535269709543</v>
      </c>
      <c r="AA258" s="31">
        <v>23</v>
      </c>
      <c r="AB258" s="32">
        <v>1.363366923532899E-2</v>
      </c>
      <c r="AC258" s="31">
        <v>93</v>
      </c>
      <c r="AD258" s="32">
        <v>5.5127445168938943E-2</v>
      </c>
      <c r="AE258" s="31">
        <v>20</v>
      </c>
      <c r="AF258" s="32">
        <v>0.21505376344086019</v>
      </c>
      <c r="AG258" s="31">
        <v>89</v>
      </c>
      <c r="AH258" s="32">
        <v>0.956989247311828</v>
      </c>
      <c r="AI258" s="35">
        <v>94</v>
      </c>
      <c r="AJ258" s="32">
        <v>5.5720213396561948E-2</v>
      </c>
      <c r="AK258" s="35">
        <v>9</v>
      </c>
      <c r="AL258" s="32">
        <v>0.86170212765957444</v>
      </c>
      <c r="AM258" s="35">
        <v>94</v>
      </c>
      <c r="AN258" s="35">
        <v>81</v>
      </c>
      <c r="AO258" s="32">
        <v>4.8014226437462948E-2</v>
      </c>
      <c r="AP258" s="32">
        <v>0.87096774193548387</v>
      </c>
      <c r="AQ258" s="33">
        <v>0.94736842105263153</v>
      </c>
      <c r="AR258" s="33" t="s">
        <v>411</v>
      </c>
      <c r="AS258" s="33">
        <v>0</v>
      </c>
      <c r="AT258" s="35">
        <v>0</v>
      </c>
      <c r="AU258" s="35">
        <v>0</v>
      </c>
      <c r="AV258" s="35">
        <v>33</v>
      </c>
      <c r="AW258" s="35">
        <v>25</v>
      </c>
      <c r="AX258" s="35">
        <v>26</v>
      </c>
      <c r="AY258" s="35">
        <v>41</v>
      </c>
      <c r="AZ258" s="32">
        <v>1.4819205690574979E-2</v>
      </c>
      <c r="BA258" s="32">
        <v>1.5411973918197991E-2</v>
      </c>
      <c r="BB258" s="32">
        <v>2.430349733254298E-2</v>
      </c>
      <c r="BC258" s="32">
        <v>0.32098765432098758</v>
      </c>
      <c r="BD258" s="35">
        <v>0</v>
      </c>
      <c r="BE258" s="35">
        <v>0</v>
      </c>
      <c r="BF258" s="33">
        <v>1</v>
      </c>
      <c r="BG258" s="33">
        <v>1</v>
      </c>
      <c r="BH258" s="33" t="s">
        <v>412</v>
      </c>
    </row>
    <row r="259" spans="1:60" ht="19.5" customHeight="1">
      <c r="A259" s="36">
        <v>256</v>
      </c>
      <c r="B259" s="31" t="s">
        <v>410</v>
      </c>
      <c r="C259" s="37">
        <v>46216</v>
      </c>
      <c r="D259" s="31" t="s">
        <v>334</v>
      </c>
      <c r="E259" s="31">
        <v>1730</v>
      </c>
      <c r="F259" s="31">
        <v>1484</v>
      </c>
      <c r="G259" s="32">
        <v>0.8578034682080925</v>
      </c>
      <c r="H259" s="31">
        <v>640</v>
      </c>
      <c r="I259" s="33">
        <v>0.36994219653179189</v>
      </c>
      <c r="J259" s="31">
        <v>1938</v>
      </c>
      <c r="K259" s="31">
        <v>1882</v>
      </c>
      <c r="L259" s="32">
        <v>0.97099999999999997</v>
      </c>
      <c r="M259" s="31">
        <v>9075</v>
      </c>
      <c r="N259" s="31">
        <v>8990</v>
      </c>
      <c r="O259" s="31">
        <v>8916</v>
      </c>
      <c r="P259" s="32">
        <v>0.98247933884297522</v>
      </c>
      <c r="Q259" s="31">
        <v>42</v>
      </c>
      <c r="R259" s="31">
        <v>0</v>
      </c>
      <c r="S259" s="31">
        <v>0</v>
      </c>
      <c r="T259" s="32">
        <v>0</v>
      </c>
      <c r="U259" s="31">
        <v>0</v>
      </c>
      <c r="V259" s="32">
        <v>0</v>
      </c>
      <c r="W259" s="31">
        <v>260</v>
      </c>
      <c r="X259" s="32">
        <v>0.1502890173410405</v>
      </c>
      <c r="Y259" s="31">
        <v>738</v>
      </c>
      <c r="Z259" s="34">
        <v>0.42658959537572261</v>
      </c>
      <c r="AA259" s="31">
        <v>31</v>
      </c>
      <c r="AB259" s="32">
        <v>1.7919075144508669E-2</v>
      </c>
      <c r="AC259" s="31">
        <v>106</v>
      </c>
      <c r="AD259" s="32">
        <v>6.1271676300578032E-2</v>
      </c>
      <c r="AE259" s="31">
        <v>22</v>
      </c>
      <c r="AF259" s="32">
        <v>0.20754716981132079</v>
      </c>
      <c r="AG259" s="31">
        <v>105</v>
      </c>
      <c r="AH259" s="32">
        <v>0.99056603773584906</v>
      </c>
      <c r="AI259" s="35">
        <v>104</v>
      </c>
      <c r="AJ259" s="32">
        <v>6.0115606936416183E-2</v>
      </c>
      <c r="AK259" s="35">
        <v>6</v>
      </c>
      <c r="AL259" s="32">
        <v>0.83653846153846156</v>
      </c>
      <c r="AM259" s="35">
        <v>101</v>
      </c>
      <c r="AN259" s="35">
        <v>87</v>
      </c>
      <c r="AO259" s="32">
        <v>5.0289017341040472E-2</v>
      </c>
      <c r="AP259" s="32">
        <v>0.82075471698113212</v>
      </c>
      <c r="AQ259" s="33">
        <v>0.9623655913978495</v>
      </c>
      <c r="AR259" s="33" t="s">
        <v>411</v>
      </c>
      <c r="AS259" s="33">
        <v>0</v>
      </c>
      <c r="AT259" s="35">
        <v>0</v>
      </c>
      <c r="AU259" s="35">
        <v>0</v>
      </c>
      <c r="AV259" s="35">
        <v>30</v>
      </c>
      <c r="AW259" s="35">
        <v>23</v>
      </c>
      <c r="AX259" s="35">
        <v>27</v>
      </c>
      <c r="AY259" s="35">
        <v>32</v>
      </c>
      <c r="AZ259" s="32">
        <v>1.329479768786127E-2</v>
      </c>
      <c r="BA259" s="32">
        <v>1.560693641618497E-2</v>
      </c>
      <c r="BB259" s="32">
        <v>1.84971098265896E-2</v>
      </c>
      <c r="BC259" s="32">
        <v>0.31034482758620691</v>
      </c>
      <c r="BD259" s="35">
        <v>0</v>
      </c>
      <c r="BE259" s="35">
        <v>0</v>
      </c>
      <c r="BF259" s="33">
        <v>1</v>
      </c>
      <c r="BG259" s="33">
        <v>1</v>
      </c>
      <c r="BH259" s="33" t="s">
        <v>412</v>
      </c>
    </row>
    <row r="260" spans="1:60" ht="19.5" customHeight="1">
      <c r="A260" s="36">
        <v>257</v>
      </c>
      <c r="B260" s="31" t="s">
        <v>410</v>
      </c>
      <c r="C260" s="37">
        <v>46216</v>
      </c>
      <c r="D260" s="31" t="s">
        <v>337</v>
      </c>
      <c r="E260" s="31">
        <v>4624</v>
      </c>
      <c r="F260" s="31">
        <v>4012</v>
      </c>
      <c r="G260" s="32">
        <v>0.86764705882352944</v>
      </c>
      <c r="H260" s="31">
        <v>2003</v>
      </c>
      <c r="I260" s="33">
        <v>0.43317474048442911</v>
      </c>
      <c r="J260" s="31">
        <v>4658</v>
      </c>
      <c r="K260" s="31">
        <v>4485</v>
      </c>
      <c r="L260" s="32">
        <v>0.96299999999999997</v>
      </c>
      <c r="M260" s="31">
        <v>23627</v>
      </c>
      <c r="N260" s="31">
        <v>22672</v>
      </c>
      <c r="O260" s="31">
        <v>23127</v>
      </c>
      <c r="P260" s="32">
        <v>0.97883777034748376</v>
      </c>
      <c r="Q260" s="31">
        <v>133</v>
      </c>
      <c r="R260" s="31">
        <v>0</v>
      </c>
      <c r="S260" s="31">
        <v>0</v>
      </c>
      <c r="T260" s="32">
        <v>0</v>
      </c>
      <c r="U260" s="31">
        <v>0</v>
      </c>
      <c r="V260" s="32">
        <v>0</v>
      </c>
      <c r="W260" s="31">
        <v>752</v>
      </c>
      <c r="X260" s="32">
        <v>0.16262975778546709</v>
      </c>
      <c r="Y260" s="31">
        <v>2109</v>
      </c>
      <c r="Z260" s="34">
        <v>0.456098615916955</v>
      </c>
      <c r="AA260" s="31">
        <v>37</v>
      </c>
      <c r="AB260" s="32">
        <v>8.0017301038062278E-3</v>
      </c>
      <c r="AC260" s="31">
        <v>468</v>
      </c>
      <c r="AD260" s="32">
        <v>0.1012110726643599</v>
      </c>
      <c r="AE260" s="31">
        <v>95</v>
      </c>
      <c r="AF260" s="32">
        <v>0.20299145299145299</v>
      </c>
      <c r="AG260" s="31">
        <v>450</v>
      </c>
      <c r="AH260" s="32">
        <v>0.96153846153846156</v>
      </c>
      <c r="AI260" s="35">
        <v>456</v>
      </c>
      <c r="AJ260" s="32">
        <v>9.8615916955017299E-2</v>
      </c>
      <c r="AK260" s="35">
        <v>24</v>
      </c>
      <c r="AL260" s="32">
        <v>0.89912280701754388</v>
      </c>
      <c r="AM260" s="35">
        <v>450</v>
      </c>
      <c r="AN260" s="35">
        <v>410</v>
      </c>
      <c r="AO260" s="32">
        <v>8.8667820069204151E-2</v>
      </c>
      <c r="AP260" s="32">
        <v>0.87606837606837606</v>
      </c>
      <c r="AQ260" s="33">
        <v>0.95528455284552849</v>
      </c>
      <c r="AR260" s="33" t="s">
        <v>411</v>
      </c>
      <c r="AS260" s="33">
        <v>0</v>
      </c>
      <c r="AT260" s="35">
        <v>0</v>
      </c>
      <c r="AU260" s="35">
        <v>0</v>
      </c>
      <c r="AV260" s="35">
        <v>70</v>
      </c>
      <c r="AW260" s="35">
        <v>55</v>
      </c>
      <c r="AX260" s="35">
        <v>61</v>
      </c>
      <c r="AY260" s="35">
        <v>83</v>
      </c>
      <c r="AZ260" s="32">
        <v>1.1894463667820069E-2</v>
      </c>
      <c r="BA260" s="32">
        <v>1.319204152249135E-2</v>
      </c>
      <c r="BB260" s="32">
        <v>1.7949826989619382E-2</v>
      </c>
      <c r="BC260" s="32">
        <v>0.14878048780487799</v>
      </c>
      <c r="BD260" s="35">
        <v>0</v>
      </c>
      <c r="BE260" s="35">
        <v>0</v>
      </c>
      <c r="BF260" s="33">
        <v>0.9859154929577465</v>
      </c>
      <c r="BG260" s="33">
        <v>1</v>
      </c>
      <c r="BH260" s="33" t="s">
        <v>412</v>
      </c>
    </row>
    <row r="261" spans="1:60" ht="19.5" customHeight="1">
      <c r="A261" s="36">
        <v>258</v>
      </c>
      <c r="B261" s="31" t="s">
        <v>410</v>
      </c>
      <c r="C261" s="37">
        <v>46216</v>
      </c>
      <c r="D261" s="31" t="s">
        <v>336</v>
      </c>
      <c r="E261" s="31">
        <v>2107</v>
      </c>
      <c r="F261" s="31">
        <v>1886</v>
      </c>
      <c r="G261" s="32">
        <v>0.89511153298528712</v>
      </c>
      <c r="H261" s="31">
        <v>1567</v>
      </c>
      <c r="I261" s="33">
        <v>0.74371143806359752</v>
      </c>
      <c r="J261" s="31">
        <v>3523</v>
      </c>
      <c r="K261" s="31">
        <v>3426</v>
      </c>
      <c r="L261" s="32">
        <v>0.97199999999999998</v>
      </c>
      <c r="M261" s="31">
        <v>19209</v>
      </c>
      <c r="N261" s="31">
        <v>18438</v>
      </c>
      <c r="O261" s="31">
        <v>18899</v>
      </c>
      <c r="P261" s="32">
        <v>0.98386173148003542</v>
      </c>
      <c r="Q261" s="31">
        <v>83</v>
      </c>
      <c r="R261" s="31">
        <v>0</v>
      </c>
      <c r="S261" s="31">
        <v>0</v>
      </c>
      <c r="T261" s="32">
        <v>0</v>
      </c>
      <c r="U261" s="31">
        <v>0</v>
      </c>
      <c r="V261" s="32">
        <v>0</v>
      </c>
      <c r="W261" s="31">
        <v>356</v>
      </c>
      <c r="X261" s="32">
        <v>0.1689606074988135</v>
      </c>
      <c r="Y261" s="31">
        <v>936</v>
      </c>
      <c r="Z261" s="34">
        <v>0.44423350735643102</v>
      </c>
      <c r="AA261" s="31">
        <v>25</v>
      </c>
      <c r="AB261" s="32">
        <v>1.186521120075937E-2</v>
      </c>
      <c r="AC261" s="31">
        <v>196</v>
      </c>
      <c r="AD261" s="32">
        <v>9.3023255813953487E-2</v>
      </c>
      <c r="AE261" s="31">
        <v>42</v>
      </c>
      <c r="AF261" s="32">
        <v>0.2142857142857143</v>
      </c>
      <c r="AG261" s="31">
        <v>185</v>
      </c>
      <c r="AH261" s="32">
        <v>0.94387755102040816</v>
      </c>
      <c r="AI261" s="35">
        <v>187</v>
      </c>
      <c r="AJ261" s="32">
        <v>8.8751779781680112E-2</v>
      </c>
      <c r="AK261" s="35">
        <v>13</v>
      </c>
      <c r="AL261" s="32">
        <v>0.91443850267379678</v>
      </c>
      <c r="AM261" s="35">
        <v>185</v>
      </c>
      <c r="AN261" s="35">
        <v>171</v>
      </c>
      <c r="AO261" s="32">
        <v>8.1158044613194119E-2</v>
      </c>
      <c r="AP261" s="32">
        <v>0.87244897959183676</v>
      </c>
      <c r="AQ261" s="33">
        <v>0.97785977859778594</v>
      </c>
      <c r="AR261" s="33" t="s">
        <v>411</v>
      </c>
      <c r="AS261" s="33">
        <v>0</v>
      </c>
      <c r="AT261" s="35">
        <v>0</v>
      </c>
      <c r="AU261" s="35">
        <v>0</v>
      </c>
      <c r="AV261" s="35">
        <v>52</v>
      </c>
      <c r="AW261" s="35">
        <v>44</v>
      </c>
      <c r="AX261" s="35">
        <v>43</v>
      </c>
      <c r="AY261" s="35">
        <v>74</v>
      </c>
      <c r="AZ261" s="32">
        <v>2.0882771713336499E-2</v>
      </c>
      <c r="BA261" s="32">
        <v>2.0408163265306121E-2</v>
      </c>
      <c r="BB261" s="32">
        <v>3.5121025154247747E-2</v>
      </c>
      <c r="BC261" s="32">
        <v>0.25146198830409361</v>
      </c>
      <c r="BD261" s="35">
        <v>0</v>
      </c>
      <c r="BE261" s="35">
        <v>0</v>
      </c>
      <c r="BF261" s="33">
        <v>1</v>
      </c>
      <c r="BG261" s="33">
        <v>1</v>
      </c>
      <c r="BH261" s="33" t="s">
        <v>412</v>
      </c>
    </row>
    <row r="262" spans="1:60" ht="19.5" customHeight="1">
      <c r="A262" s="36">
        <v>259</v>
      </c>
      <c r="B262" s="31" t="s">
        <v>410</v>
      </c>
      <c r="C262" s="37">
        <v>46217</v>
      </c>
      <c r="D262" s="31"/>
      <c r="E262" s="31">
        <v>35</v>
      </c>
      <c r="F262" s="31">
        <v>35</v>
      </c>
      <c r="G262" s="32">
        <v>1</v>
      </c>
      <c r="H262" s="31">
        <v>35</v>
      </c>
      <c r="I262" s="33">
        <v>1</v>
      </c>
      <c r="J262" s="31">
        <v>0</v>
      </c>
      <c r="K262" s="31">
        <v>0</v>
      </c>
      <c r="L262" s="32">
        <v>0</v>
      </c>
      <c r="M262" s="31">
        <v>8</v>
      </c>
      <c r="N262" s="31">
        <v>2</v>
      </c>
      <c r="O262" s="31">
        <v>2</v>
      </c>
      <c r="P262" s="32">
        <v>0.25</v>
      </c>
      <c r="Q262" s="31">
        <v>6</v>
      </c>
      <c r="R262" s="31">
        <v>0</v>
      </c>
      <c r="S262" s="31">
        <v>0</v>
      </c>
      <c r="T262" s="32">
        <v>0</v>
      </c>
      <c r="U262" s="31">
        <v>0</v>
      </c>
      <c r="V262" s="32">
        <v>0</v>
      </c>
      <c r="W262" s="31">
        <v>11</v>
      </c>
      <c r="X262" s="32">
        <v>0.31428571428571428</v>
      </c>
      <c r="Y262" s="31">
        <v>17</v>
      </c>
      <c r="Z262" s="34">
        <v>0.48571428571428571</v>
      </c>
      <c r="AA262" s="31">
        <v>0</v>
      </c>
      <c r="AB262" s="32">
        <v>0</v>
      </c>
      <c r="AC262" s="31">
        <v>0</v>
      </c>
      <c r="AD262" s="32">
        <v>0</v>
      </c>
      <c r="AE262" s="31">
        <v>0</v>
      </c>
      <c r="AF262" s="32">
        <v>0</v>
      </c>
      <c r="AG262" s="31">
        <v>0</v>
      </c>
      <c r="AH262" s="32">
        <v>0</v>
      </c>
      <c r="AI262" s="35">
        <v>0</v>
      </c>
      <c r="AJ262" s="32">
        <v>0</v>
      </c>
      <c r="AK262" s="35">
        <v>0</v>
      </c>
      <c r="AL262" s="32">
        <v>0</v>
      </c>
      <c r="AM262" s="35">
        <v>0</v>
      </c>
      <c r="AN262" s="35">
        <v>0</v>
      </c>
      <c r="AO262" s="32">
        <v>0</v>
      </c>
      <c r="AP262" s="32">
        <v>0</v>
      </c>
      <c r="AQ262" s="33">
        <v>0</v>
      </c>
      <c r="AR262" s="33" t="s">
        <v>411</v>
      </c>
      <c r="AS262" s="33">
        <v>0</v>
      </c>
      <c r="AT262" s="35">
        <v>0</v>
      </c>
      <c r="AU262" s="35">
        <v>0</v>
      </c>
      <c r="AV262" s="35">
        <v>0</v>
      </c>
      <c r="AW262" s="35">
        <v>0</v>
      </c>
      <c r="AX262" s="35">
        <v>0</v>
      </c>
      <c r="AY262" s="35">
        <v>0</v>
      </c>
      <c r="AZ262" s="32">
        <v>0</v>
      </c>
      <c r="BA262" s="32">
        <v>0</v>
      </c>
      <c r="BB262" s="32">
        <v>0</v>
      </c>
      <c r="BC262" s="32">
        <v>0</v>
      </c>
      <c r="BD262" s="35">
        <v>0</v>
      </c>
      <c r="BE262" s="35">
        <v>0</v>
      </c>
      <c r="BF262" s="33" t="s">
        <v>412</v>
      </c>
      <c r="BG262" s="33" t="s">
        <v>412</v>
      </c>
      <c r="BH262" s="33">
        <v>1</v>
      </c>
    </row>
    <row r="263" spans="1:60" ht="19.5" customHeight="1">
      <c r="A263" s="36">
        <v>260</v>
      </c>
      <c r="B263" s="31" t="s">
        <v>410</v>
      </c>
      <c r="C263" s="37">
        <v>46217</v>
      </c>
      <c r="D263" s="31" t="s">
        <v>413</v>
      </c>
      <c r="E263" s="31">
        <v>2</v>
      </c>
      <c r="F263" s="31">
        <v>2</v>
      </c>
      <c r="G263" s="32">
        <v>1</v>
      </c>
      <c r="H263" s="31">
        <v>1</v>
      </c>
      <c r="I263" s="33">
        <v>0.5</v>
      </c>
      <c r="J263" s="31">
        <v>8</v>
      </c>
      <c r="K263" s="31">
        <v>8</v>
      </c>
      <c r="L263" s="32">
        <v>1</v>
      </c>
      <c r="M263" s="31">
        <v>24</v>
      </c>
      <c r="N263" s="31">
        <v>25</v>
      </c>
      <c r="O263" s="31">
        <v>23</v>
      </c>
      <c r="P263" s="32">
        <v>0.95833333333333337</v>
      </c>
      <c r="Q263" s="31">
        <v>0</v>
      </c>
      <c r="R263" s="31">
        <v>0</v>
      </c>
      <c r="S263" s="31">
        <v>0</v>
      </c>
      <c r="T263" s="32">
        <v>0</v>
      </c>
      <c r="U263" s="31">
        <v>0</v>
      </c>
      <c r="V263" s="32">
        <v>0</v>
      </c>
      <c r="W263" s="31">
        <v>0</v>
      </c>
      <c r="X263" s="32">
        <v>0</v>
      </c>
      <c r="Y263" s="31">
        <v>0</v>
      </c>
      <c r="Z263" s="34">
        <v>0</v>
      </c>
      <c r="AA263" s="31">
        <v>0</v>
      </c>
      <c r="AB263" s="32">
        <v>0</v>
      </c>
      <c r="AC263" s="31">
        <v>1</v>
      </c>
      <c r="AD263" s="32">
        <v>0.5</v>
      </c>
      <c r="AE263" s="31">
        <v>0</v>
      </c>
      <c r="AF263" s="32">
        <v>0</v>
      </c>
      <c r="AG263" s="31">
        <v>0</v>
      </c>
      <c r="AH263" s="32">
        <v>0</v>
      </c>
      <c r="AI263" s="35">
        <v>0</v>
      </c>
      <c r="AJ263" s="32">
        <v>0</v>
      </c>
      <c r="AK263" s="35">
        <v>0</v>
      </c>
      <c r="AL263" s="32">
        <v>0</v>
      </c>
      <c r="AM263" s="35">
        <v>0</v>
      </c>
      <c r="AN263" s="35">
        <v>0</v>
      </c>
      <c r="AO263" s="32">
        <v>0</v>
      </c>
      <c r="AP263" s="32">
        <v>0</v>
      </c>
      <c r="AQ263" s="33"/>
      <c r="AR263" s="33" t="s">
        <v>411</v>
      </c>
      <c r="AS263" s="33" t="s">
        <v>411</v>
      </c>
      <c r="AT263" s="35">
        <v>0</v>
      </c>
      <c r="AU263" s="35">
        <v>0</v>
      </c>
      <c r="AV263" s="35">
        <v>0</v>
      </c>
      <c r="AW263" s="35">
        <v>0</v>
      </c>
      <c r="AX263" s="35">
        <v>0</v>
      </c>
      <c r="AY263" s="35">
        <v>0</v>
      </c>
      <c r="AZ263" s="32">
        <v>0</v>
      </c>
      <c r="BA263" s="32">
        <v>0</v>
      </c>
      <c r="BB263" s="32">
        <v>0</v>
      </c>
      <c r="BC263" s="32">
        <v>0</v>
      </c>
      <c r="BD263" s="35">
        <v>0</v>
      </c>
      <c r="BE263" s="35">
        <v>0</v>
      </c>
      <c r="BF263" s="33" t="s">
        <v>412</v>
      </c>
      <c r="BG263" s="33" t="s">
        <v>412</v>
      </c>
      <c r="BH263" s="33" t="s">
        <v>412</v>
      </c>
    </row>
    <row r="264" spans="1:60" ht="19.5" customHeight="1">
      <c r="A264" s="36">
        <v>261</v>
      </c>
      <c r="B264" s="31" t="s">
        <v>410</v>
      </c>
      <c r="C264" s="37">
        <v>46217</v>
      </c>
      <c r="D264" s="31" t="s">
        <v>335</v>
      </c>
      <c r="E264" s="31">
        <v>1700</v>
      </c>
      <c r="F264" s="31">
        <v>1492</v>
      </c>
      <c r="G264" s="32">
        <v>0.87764705882352945</v>
      </c>
      <c r="H264" s="31">
        <v>765</v>
      </c>
      <c r="I264" s="33">
        <v>0.45</v>
      </c>
      <c r="J264" s="31">
        <v>2188</v>
      </c>
      <c r="K264" s="31">
        <v>2123</v>
      </c>
      <c r="L264" s="32">
        <v>0.97</v>
      </c>
      <c r="M264" s="31">
        <v>10364</v>
      </c>
      <c r="N264" s="31">
        <v>10158</v>
      </c>
      <c r="O264" s="31">
        <v>10189</v>
      </c>
      <c r="P264" s="32">
        <v>0.9831146275569278</v>
      </c>
      <c r="Q264" s="31">
        <v>66</v>
      </c>
      <c r="R264" s="31">
        <v>0</v>
      </c>
      <c r="S264" s="31">
        <v>0</v>
      </c>
      <c r="T264" s="32">
        <v>0</v>
      </c>
      <c r="U264" s="31">
        <v>0</v>
      </c>
      <c r="V264" s="32">
        <v>0</v>
      </c>
      <c r="W264" s="31">
        <v>325</v>
      </c>
      <c r="X264" s="32">
        <v>0.19117647058823531</v>
      </c>
      <c r="Y264" s="31">
        <v>922</v>
      </c>
      <c r="Z264" s="34">
        <v>0.54235294117647059</v>
      </c>
      <c r="AA264" s="31">
        <v>0</v>
      </c>
      <c r="AB264" s="32">
        <v>0</v>
      </c>
      <c r="AC264" s="31">
        <v>95</v>
      </c>
      <c r="AD264" s="32">
        <v>5.5882352941176473E-2</v>
      </c>
      <c r="AE264" s="31">
        <v>6</v>
      </c>
      <c r="AF264" s="32">
        <v>6.3157894736842107E-2</v>
      </c>
      <c r="AG264" s="31">
        <v>86</v>
      </c>
      <c r="AH264" s="32">
        <v>0.90526315789473688</v>
      </c>
      <c r="AI264" s="35">
        <v>81</v>
      </c>
      <c r="AJ264" s="32">
        <v>4.764705882352941E-2</v>
      </c>
      <c r="AK264" s="35">
        <v>7</v>
      </c>
      <c r="AL264" s="32">
        <v>0.95061728395061729</v>
      </c>
      <c r="AM264" s="35">
        <v>81</v>
      </c>
      <c r="AN264" s="35">
        <v>77</v>
      </c>
      <c r="AO264" s="32">
        <v>4.5294117647058818E-2</v>
      </c>
      <c r="AP264" s="32">
        <v>0.81052631578947365</v>
      </c>
      <c r="AQ264" s="33">
        <v>0.97435897435897434</v>
      </c>
      <c r="AR264" s="33" t="s">
        <v>411</v>
      </c>
      <c r="AS264" s="33">
        <v>0</v>
      </c>
      <c r="AT264" s="35">
        <v>0</v>
      </c>
      <c r="AU264" s="35">
        <v>0</v>
      </c>
      <c r="AV264" s="35">
        <v>32</v>
      </c>
      <c r="AW264" s="35">
        <v>26</v>
      </c>
      <c r="AX264" s="35">
        <v>26</v>
      </c>
      <c r="AY264" s="35">
        <v>42</v>
      </c>
      <c r="AZ264" s="32">
        <v>1.5294117647058819E-2</v>
      </c>
      <c r="BA264" s="32">
        <v>1.5294117647058819E-2</v>
      </c>
      <c r="BB264" s="32">
        <v>2.4705882352941171E-2</v>
      </c>
      <c r="BC264" s="32">
        <v>0.33766233766233772</v>
      </c>
      <c r="BD264" s="35">
        <v>0</v>
      </c>
      <c r="BE264" s="35">
        <v>0</v>
      </c>
      <c r="BF264" s="33">
        <v>1</v>
      </c>
      <c r="BG264" s="33">
        <v>1</v>
      </c>
      <c r="BH264" s="33" t="s">
        <v>412</v>
      </c>
    </row>
    <row r="265" spans="1:60" ht="19.5" customHeight="1">
      <c r="A265" s="36">
        <v>262</v>
      </c>
      <c r="B265" s="31" t="s">
        <v>410</v>
      </c>
      <c r="C265" s="37">
        <v>46217</v>
      </c>
      <c r="D265" s="31" t="s">
        <v>334</v>
      </c>
      <c r="E265" s="31">
        <v>1497</v>
      </c>
      <c r="F265" s="31">
        <v>1345</v>
      </c>
      <c r="G265" s="32">
        <v>0.89846359385437546</v>
      </c>
      <c r="H265" s="31">
        <v>442</v>
      </c>
      <c r="I265" s="33">
        <v>0.29525718102872411</v>
      </c>
      <c r="J265" s="31">
        <v>1758</v>
      </c>
      <c r="K265" s="31">
        <v>1689</v>
      </c>
      <c r="L265" s="32">
        <v>0.96099999999999997</v>
      </c>
      <c r="M265" s="31">
        <v>9406</v>
      </c>
      <c r="N265" s="31">
        <v>8972</v>
      </c>
      <c r="O265" s="31">
        <v>9238</v>
      </c>
      <c r="P265" s="32">
        <v>0.98213906017435681</v>
      </c>
      <c r="Q265" s="31">
        <v>59</v>
      </c>
      <c r="R265" s="31">
        <v>0</v>
      </c>
      <c r="S265" s="31">
        <v>0</v>
      </c>
      <c r="T265" s="32">
        <v>0</v>
      </c>
      <c r="U265" s="31">
        <v>0</v>
      </c>
      <c r="V265" s="32">
        <v>0</v>
      </c>
      <c r="W265" s="31">
        <v>266</v>
      </c>
      <c r="X265" s="32">
        <v>0.17768871075484299</v>
      </c>
      <c r="Y265" s="31">
        <v>594</v>
      </c>
      <c r="Z265" s="34">
        <v>0.39679358717434871</v>
      </c>
      <c r="AA265" s="31">
        <v>0</v>
      </c>
      <c r="AB265" s="32">
        <v>0</v>
      </c>
      <c r="AC265" s="31">
        <v>96</v>
      </c>
      <c r="AD265" s="32">
        <v>6.4128256513026047E-2</v>
      </c>
      <c r="AE265" s="31">
        <v>10</v>
      </c>
      <c r="AF265" s="32">
        <v>0.1041666666666667</v>
      </c>
      <c r="AG265" s="31">
        <v>92</v>
      </c>
      <c r="AH265" s="32">
        <v>0.95833333333333337</v>
      </c>
      <c r="AI265" s="35">
        <v>92</v>
      </c>
      <c r="AJ265" s="32">
        <v>6.1456245824983297E-2</v>
      </c>
      <c r="AK265" s="35">
        <v>4</v>
      </c>
      <c r="AL265" s="32">
        <v>0.85869565217391308</v>
      </c>
      <c r="AM265" s="35">
        <v>91</v>
      </c>
      <c r="AN265" s="35">
        <v>79</v>
      </c>
      <c r="AO265" s="32">
        <v>5.2772211088844348E-2</v>
      </c>
      <c r="AP265" s="32">
        <v>0.82291666666666663</v>
      </c>
      <c r="AQ265" s="33">
        <v>0.98936170212765961</v>
      </c>
      <c r="AR265" s="33" t="s">
        <v>411</v>
      </c>
      <c r="AS265" s="33">
        <v>0</v>
      </c>
      <c r="AT265" s="35">
        <v>0</v>
      </c>
      <c r="AU265" s="35">
        <v>0</v>
      </c>
      <c r="AV265" s="35">
        <v>19</v>
      </c>
      <c r="AW265" s="35">
        <v>16</v>
      </c>
      <c r="AX265" s="35">
        <v>18</v>
      </c>
      <c r="AY265" s="35">
        <v>52</v>
      </c>
      <c r="AZ265" s="32">
        <v>1.068804275217101E-2</v>
      </c>
      <c r="BA265" s="32">
        <v>1.2024048096192379E-2</v>
      </c>
      <c r="BB265" s="32">
        <v>3.4736138944555781E-2</v>
      </c>
      <c r="BC265" s="32">
        <v>0.22784810126582281</v>
      </c>
      <c r="BD265" s="35">
        <v>0</v>
      </c>
      <c r="BE265" s="35">
        <v>0</v>
      </c>
      <c r="BF265" s="33">
        <v>1</v>
      </c>
      <c r="BG265" s="33">
        <v>1</v>
      </c>
      <c r="BH265" s="33" t="s">
        <v>412</v>
      </c>
    </row>
    <row r="266" spans="1:60" ht="25.7" customHeight="1">
      <c r="A266" s="36">
        <v>263</v>
      </c>
      <c r="B266" s="31" t="s">
        <v>410</v>
      </c>
      <c r="C266" s="37">
        <v>46217</v>
      </c>
      <c r="D266" s="31" t="s">
        <v>337</v>
      </c>
      <c r="E266" s="31">
        <v>4867</v>
      </c>
      <c r="F266" s="31">
        <v>4202</v>
      </c>
      <c r="G266" s="32">
        <v>0.86336552290938973</v>
      </c>
      <c r="H266" s="31">
        <v>1992</v>
      </c>
      <c r="I266" s="33">
        <v>0.40928703513457981</v>
      </c>
      <c r="J266" s="31">
        <v>5128</v>
      </c>
      <c r="K266" s="31">
        <v>4913</v>
      </c>
      <c r="L266" s="32">
        <v>0.95799999999999996</v>
      </c>
      <c r="M266" s="31">
        <v>24032</v>
      </c>
      <c r="N266" s="31">
        <v>23396</v>
      </c>
      <c r="O266" s="31">
        <v>23542</v>
      </c>
      <c r="P266" s="32">
        <v>0.97961051930758991</v>
      </c>
      <c r="Q266" s="31">
        <v>139</v>
      </c>
      <c r="R266" s="31">
        <v>0</v>
      </c>
      <c r="S266" s="31">
        <v>0</v>
      </c>
      <c r="T266" s="32">
        <v>0</v>
      </c>
      <c r="U266" s="31">
        <v>0</v>
      </c>
      <c r="V266" s="32">
        <v>0</v>
      </c>
      <c r="W266" s="31">
        <v>647</v>
      </c>
      <c r="X266" s="32">
        <v>0.13293610026710501</v>
      </c>
      <c r="Y266" s="31">
        <v>4915</v>
      </c>
      <c r="Z266" s="34">
        <v>1.0098623381960139</v>
      </c>
      <c r="AA266" s="31">
        <v>0</v>
      </c>
      <c r="AB266" s="32">
        <v>0</v>
      </c>
      <c r="AC266" s="31">
        <v>513</v>
      </c>
      <c r="AD266" s="32">
        <v>0.1054037394698993</v>
      </c>
      <c r="AE266" s="31">
        <v>97</v>
      </c>
      <c r="AF266" s="32">
        <v>0.18908382066276799</v>
      </c>
      <c r="AG266" s="31">
        <v>482</v>
      </c>
      <c r="AH266" s="32">
        <v>0.93957115009746583</v>
      </c>
      <c r="AI266" s="35">
        <v>500</v>
      </c>
      <c r="AJ266" s="32">
        <v>0.10273268954181219</v>
      </c>
      <c r="AK266" s="35">
        <v>42</v>
      </c>
      <c r="AL266" s="32">
        <v>0.876</v>
      </c>
      <c r="AM266" s="35">
        <v>485</v>
      </c>
      <c r="AN266" s="35">
        <v>438</v>
      </c>
      <c r="AO266" s="32">
        <v>8.9993836038627498E-2</v>
      </c>
      <c r="AP266" s="32">
        <v>0.85380116959064323</v>
      </c>
      <c r="AQ266" s="33">
        <v>0.97241379310344822</v>
      </c>
      <c r="AR266" s="33" t="s">
        <v>411</v>
      </c>
      <c r="AS266" s="33">
        <v>0</v>
      </c>
      <c r="AT266" s="35">
        <v>0</v>
      </c>
      <c r="AU266" s="35">
        <v>0</v>
      </c>
      <c r="AV266" s="35">
        <v>88</v>
      </c>
      <c r="AW266" s="35">
        <v>70</v>
      </c>
      <c r="AX266" s="35">
        <v>78</v>
      </c>
      <c r="AY266" s="35">
        <v>78</v>
      </c>
      <c r="AZ266" s="32">
        <v>1.438257653585371E-2</v>
      </c>
      <c r="BA266" s="32">
        <v>1.6026299568522709E-2</v>
      </c>
      <c r="BB266" s="32">
        <v>1.6026299568522709E-2</v>
      </c>
      <c r="BC266" s="32">
        <v>0.17808219178082191</v>
      </c>
      <c r="BD266" s="35">
        <v>0</v>
      </c>
      <c r="BE266" s="35">
        <v>1</v>
      </c>
      <c r="BF266" s="33">
        <v>0.953125</v>
      </c>
      <c r="BG266" s="33">
        <v>0.97435897435897434</v>
      </c>
      <c r="BH266" s="33" t="s">
        <v>412</v>
      </c>
    </row>
    <row r="267" spans="1:60" ht="19.5" customHeight="1">
      <c r="A267" s="36">
        <v>264</v>
      </c>
      <c r="B267" s="31" t="s">
        <v>410</v>
      </c>
      <c r="C267" s="37">
        <v>46217</v>
      </c>
      <c r="D267" s="31" t="s">
        <v>336</v>
      </c>
      <c r="E267" s="31">
        <v>2765</v>
      </c>
      <c r="F267" s="31">
        <v>2461</v>
      </c>
      <c r="G267" s="32">
        <v>0.89005424954792045</v>
      </c>
      <c r="H267" s="31">
        <v>1712</v>
      </c>
      <c r="I267" s="33">
        <v>0.61916817359855336</v>
      </c>
      <c r="J267" s="31">
        <v>3079</v>
      </c>
      <c r="K267" s="31">
        <v>2977</v>
      </c>
      <c r="L267" s="32">
        <v>0.96699999999999997</v>
      </c>
      <c r="M267" s="31">
        <v>17206</v>
      </c>
      <c r="N267" s="31">
        <v>16783</v>
      </c>
      <c r="O267" s="31">
        <v>16932</v>
      </c>
      <c r="P267" s="32">
        <v>0.984075322561897</v>
      </c>
      <c r="Q267" s="31">
        <v>94</v>
      </c>
      <c r="R267" s="31">
        <v>0</v>
      </c>
      <c r="S267" s="31">
        <v>0</v>
      </c>
      <c r="T267" s="32">
        <v>0</v>
      </c>
      <c r="U267" s="31">
        <v>0</v>
      </c>
      <c r="V267" s="32">
        <v>0</v>
      </c>
      <c r="W267" s="31">
        <v>378</v>
      </c>
      <c r="X267" s="32">
        <v>0.13670886075949371</v>
      </c>
      <c r="Y267" s="31">
        <v>853</v>
      </c>
      <c r="Z267" s="34">
        <v>0.30849909584086799</v>
      </c>
      <c r="AA267" s="31">
        <v>0</v>
      </c>
      <c r="AB267" s="32">
        <v>0</v>
      </c>
      <c r="AC267" s="31">
        <v>169</v>
      </c>
      <c r="AD267" s="32">
        <v>6.1121157323688967E-2</v>
      </c>
      <c r="AE267" s="31">
        <v>25</v>
      </c>
      <c r="AF267" s="32">
        <v>0.14792899408284019</v>
      </c>
      <c r="AG267" s="31">
        <v>163</v>
      </c>
      <c r="AH267" s="32">
        <v>0.96449704142011838</v>
      </c>
      <c r="AI267" s="35">
        <v>161</v>
      </c>
      <c r="AJ267" s="32">
        <v>5.8227848101265821E-2</v>
      </c>
      <c r="AK267" s="35">
        <v>13</v>
      </c>
      <c r="AL267" s="32">
        <v>0.91925465838509313</v>
      </c>
      <c r="AM267" s="35">
        <v>159</v>
      </c>
      <c r="AN267" s="35">
        <v>148</v>
      </c>
      <c r="AO267" s="32">
        <v>5.3526220614828209E-2</v>
      </c>
      <c r="AP267" s="32">
        <v>0.87573964497041423</v>
      </c>
      <c r="AQ267" s="33">
        <v>0.94011976047904189</v>
      </c>
      <c r="AR267" s="33" t="s">
        <v>411</v>
      </c>
      <c r="AS267" s="33">
        <v>0</v>
      </c>
      <c r="AT267" s="35">
        <v>0</v>
      </c>
      <c r="AU267" s="35">
        <v>0</v>
      </c>
      <c r="AV267" s="35">
        <v>48</v>
      </c>
      <c r="AW267" s="35">
        <v>44</v>
      </c>
      <c r="AX267" s="35">
        <v>43</v>
      </c>
      <c r="AY267" s="35">
        <v>65</v>
      </c>
      <c r="AZ267" s="32">
        <v>1.591320072332731E-2</v>
      </c>
      <c r="BA267" s="32">
        <v>1.555153707052441E-2</v>
      </c>
      <c r="BB267" s="32">
        <v>2.3508137432188062E-2</v>
      </c>
      <c r="BC267" s="32">
        <v>0.29054054054054052</v>
      </c>
      <c r="BD267" s="35">
        <v>0</v>
      </c>
      <c r="BE267" s="35">
        <v>0</v>
      </c>
      <c r="BF267" s="33">
        <v>1</v>
      </c>
      <c r="BG267" s="33">
        <v>1</v>
      </c>
      <c r="BH267" s="33" t="s">
        <v>412</v>
      </c>
    </row>
    <row r="268" spans="1:60" ht="19.5" customHeight="1">
      <c r="A268" s="36">
        <v>265</v>
      </c>
      <c r="B268" s="31" t="s">
        <v>410</v>
      </c>
      <c r="C268" s="37">
        <v>46217</v>
      </c>
      <c r="D268" s="31" t="s">
        <v>414</v>
      </c>
      <c r="E268" s="31">
        <v>0</v>
      </c>
      <c r="F268" s="31">
        <v>0</v>
      </c>
      <c r="G268" s="32">
        <v>0</v>
      </c>
      <c r="H268" s="31">
        <v>0</v>
      </c>
      <c r="I268" s="33">
        <v>0</v>
      </c>
      <c r="J268" s="31">
        <v>0</v>
      </c>
      <c r="K268" s="31">
        <v>0</v>
      </c>
      <c r="L268" s="32">
        <v>0</v>
      </c>
      <c r="M268" s="31">
        <v>0</v>
      </c>
      <c r="N268" s="31">
        <v>0</v>
      </c>
      <c r="O268" s="31">
        <v>0</v>
      </c>
      <c r="P268" s="32">
        <v>0</v>
      </c>
      <c r="Q268" s="31">
        <v>0</v>
      </c>
      <c r="R268" s="31">
        <v>0</v>
      </c>
      <c r="S268" s="31">
        <v>0</v>
      </c>
      <c r="T268" s="32">
        <v>0</v>
      </c>
      <c r="U268" s="31">
        <v>0</v>
      </c>
      <c r="V268" s="32">
        <v>0</v>
      </c>
      <c r="W268" s="31">
        <v>0</v>
      </c>
      <c r="X268" s="32">
        <v>0</v>
      </c>
      <c r="Y268" s="31">
        <v>0</v>
      </c>
      <c r="Z268" s="34">
        <v>0</v>
      </c>
      <c r="AA268" s="31">
        <v>0</v>
      </c>
      <c r="AB268" s="32">
        <v>0</v>
      </c>
      <c r="AC268" s="31">
        <v>0</v>
      </c>
      <c r="AD268" s="32">
        <v>0</v>
      </c>
      <c r="AE268" s="31">
        <v>0</v>
      </c>
      <c r="AF268" s="32">
        <v>0</v>
      </c>
      <c r="AG268" s="31">
        <v>0</v>
      </c>
      <c r="AH268" s="32">
        <v>0</v>
      </c>
      <c r="AI268" s="35">
        <v>1</v>
      </c>
      <c r="AJ268" s="32">
        <v>0</v>
      </c>
      <c r="AK268" s="35">
        <v>0</v>
      </c>
      <c r="AL268" s="32">
        <v>0</v>
      </c>
      <c r="AM268" s="35">
        <v>1</v>
      </c>
      <c r="AN268" s="35">
        <v>0</v>
      </c>
      <c r="AO268" s="32">
        <v>0</v>
      </c>
      <c r="AP268" s="32">
        <v>0</v>
      </c>
      <c r="AQ268" s="33"/>
      <c r="AR268" s="33" t="s">
        <v>411</v>
      </c>
      <c r="AS268" s="33" t="s">
        <v>411</v>
      </c>
      <c r="AT268" s="35">
        <v>0</v>
      </c>
      <c r="AU268" s="35">
        <v>0</v>
      </c>
      <c r="AV268" s="35">
        <v>0</v>
      </c>
      <c r="AW268" s="35">
        <v>0</v>
      </c>
      <c r="AX268" s="35">
        <v>0</v>
      </c>
      <c r="AY268" s="35">
        <v>0</v>
      </c>
      <c r="AZ268" s="32">
        <v>0</v>
      </c>
      <c r="BA268" s="32">
        <v>0</v>
      </c>
      <c r="BB268" s="32">
        <v>0</v>
      </c>
      <c r="BC268" s="32">
        <v>0</v>
      </c>
      <c r="BD268" s="35">
        <v>0</v>
      </c>
      <c r="BE268" s="35">
        <v>0</v>
      </c>
      <c r="BF268" s="33" t="s">
        <v>412</v>
      </c>
      <c r="BG268" s="33" t="s">
        <v>412</v>
      </c>
      <c r="BH268" s="33" t="s">
        <v>412</v>
      </c>
    </row>
    <row r="269" spans="1:60" ht="19.5" customHeight="1">
      <c r="A269" s="36">
        <v>266</v>
      </c>
      <c r="B269" s="31" t="s">
        <v>410</v>
      </c>
      <c r="C269" s="37">
        <v>46218</v>
      </c>
      <c r="D269" s="31"/>
      <c r="E269" s="31">
        <v>36</v>
      </c>
      <c r="F269" s="31">
        <v>36</v>
      </c>
      <c r="G269" s="32">
        <v>1</v>
      </c>
      <c r="H269" s="31">
        <v>36</v>
      </c>
      <c r="I269" s="33">
        <v>1</v>
      </c>
      <c r="J269" s="31">
        <v>2</v>
      </c>
      <c r="K269" s="31">
        <v>0</v>
      </c>
      <c r="L269" s="32">
        <v>0</v>
      </c>
      <c r="M269" s="31">
        <v>6</v>
      </c>
      <c r="N269" s="31">
        <v>0</v>
      </c>
      <c r="O269" s="31">
        <v>1</v>
      </c>
      <c r="P269" s="32">
        <v>0.16666666666666671</v>
      </c>
      <c r="Q269" s="31">
        <v>5</v>
      </c>
      <c r="R269" s="31">
        <v>0</v>
      </c>
      <c r="S269" s="31">
        <v>0</v>
      </c>
      <c r="T269" s="32">
        <v>0</v>
      </c>
      <c r="U269" s="31">
        <v>0</v>
      </c>
      <c r="V269" s="32">
        <v>0</v>
      </c>
      <c r="W269" s="31">
        <v>17</v>
      </c>
      <c r="X269" s="32">
        <v>0.47222222222222221</v>
      </c>
      <c r="Y269" s="31">
        <v>12</v>
      </c>
      <c r="Z269" s="34">
        <v>0.33333333333333331</v>
      </c>
      <c r="AA269" s="31">
        <v>0</v>
      </c>
      <c r="AB269" s="32">
        <v>0</v>
      </c>
      <c r="AC269" s="31">
        <v>0</v>
      </c>
      <c r="AD269" s="32">
        <v>0</v>
      </c>
      <c r="AE269" s="31">
        <v>0</v>
      </c>
      <c r="AF269" s="32">
        <v>0</v>
      </c>
      <c r="AG269" s="31">
        <v>0</v>
      </c>
      <c r="AH269" s="32">
        <v>0</v>
      </c>
      <c r="AI269" s="35">
        <v>0</v>
      </c>
      <c r="AJ269" s="32">
        <v>0</v>
      </c>
      <c r="AK269" s="35">
        <v>0</v>
      </c>
      <c r="AL269" s="32">
        <v>0</v>
      </c>
      <c r="AM269" s="35">
        <v>0</v>
      </c>
      <c r="AN269" s="35">
        <v>0</v>
      </c>
      <c r="AO269" s="32">
        <v>0</v>
      </c>
      <c r="AP269" s="32">
        <v>0</v>
      </c>
      <c r="AQ269" s="33">
        <v>0</v>
      </c>
      <c r="AR269" s="33" t="s">
        <v>411</v>
      </c>
      <c r="AS269" s="33">
        <v>0</v>
      </c>
      <c r="AT269" s="35">
        <v>0</v>
      </c>
      <c r="AU269" s="35">
        <v>0</v>
      </c>
      <c r="AV269" s="35">
        <v>0</v>
      </c>
      <c r="AW269" s="35">
        <v>0</v>
      </c>
      <c r="AX269" s="35">
        <v>0</v>
      </c>
      <c r="AY269" s="35">
        <v>0</v>
      </c>
      <c r="AZ269" s="32">
        <v>0</v>
      </c>
      <c r="BA269" s="32">
        <v>0</v>
      </c>
      <c r="BB269" s="32">
        <v>0</v>
      </c>
      <c r="BC269" s="32">
        <v>0</v>
      </c>
      <c r="BD269" s="35">
        <v>0</v>
      </c>
      <c r="BE269" s="35">
        <v>0</v>
      </c>
      <c r="BF269" s="33" t="s">
        <v>412</v>
      </c>
      <c r="BG269" s="33" t="s">
        <v>412</v>
      </c>
      <c r="BH269" s="33">
        <v>0.9882352941176471</v>
      </c>
    </row>
    <row r="270" spans="1:60" ht="19.5" customHeight="1">
      <c r="A270" s="36">
        <v>267</v>
      </c>
      <c r="B270" s="31" t="s">
        <v>410</v>
      </c>
      <c r="C270" s="37">
        <v>46218</v>
      </c>
      <c r="D270" s="31" t="s">
        <v>413</v>
      </c>
      <c r="E270" s="31">
        <v>3</v>
      </c>
      <c r="F270" s="31">
        <v>3</v>
      </c>
      <c r="G270" s="32">
        <v>1</v>
      </c>
      <c r="H270" s="31">
        <v>1</v>
      </c>
      <c r="I270" s="33">
        <v>0.33333333333333331</v>
      </c>
      <c r="J270" s="31">
        <v>8</v>
      </c>
      <c r="K270" s="31">
        <v>8</v>
      </c>
      <c r="L270" s="32">
        <v>1</v>
      </c>
      <c r="M270" s="31">
        <v>23</v>
      </c>
      <c r="N270" s="31">
        <v>19</v>
      </c>
      <c r="O270" s="31">
        <v>22</v>
      </c>
      <c r="P270" s="32">
        <v>0.95652173913043481</v>
      </c>
      <c r="Q270" s="31">
        <v>0</v>
      </c>
      <c r="R270" s="31">
        <v>0</v>
      </c>
      <c r="S270" s="31">
        <v>0</v>
      </c>
      <c r="T270" s="32">
        <v>0</v>
      </c>
      <c r="U270" s="31">
        <v>0</v>
      </c>
      <c r="V270" s="32">
        <v>0</v>
      </c>
      <c r="W270" s="31">
        <v>0</v>
      </c>
      <c r="X270" s="32">
        <v>0</v>
      </c>
      <c r="Y270" s="31">
        <v>0</v>
      </c>
      <c r="Z270" s="34">
        <v>0</v>
      </c>
      <c r="AA270" s="31">
        <v>0</v>
      </c>
      <c r="AB270" s="32">
        <v>0</v>
      </c>
      <c r="AC270" s="31">
        <v>0</v>
      </c>
      <c r="AD270" s="32">
        <v>0</v>
      </c>
      <c r="AE270" s="31">
        <v>0</v>
      </c>
      <c r="AF270" s="32">
        <v>0</v>
      </c>
      <c r="AG270" s="31">
        <v>0</v>
      </c>
      <c r="AH270" s="32">
        <v>0</v>
      </c>
      <c r="AI270" s="35">
        <v>0</v>
      </c>
      <c r="AJ270" s="32">
        <v>0</v>
      </c>
      <c r="AK270" s="35">
        <v>0</v>
      </c>
      <c r="AL270" s="32">
        <v>0</v>
      </c>
      <c r="AM270" s="35">
        <v>0</v>
      </c>
      <c r="AN270" s="35">
        <v>0</v>
      </c>
      <c r="AO270" s="32">
        <v>0</v>
      </c>
      <c r="AP270" s="32">
        <v>0</v>
      </c>
      <c r="AQ270" s="33">
        <v>0</v>
      </c>
      <c r="AR270" s="33" t="s">
        <v>411</v>
      </c>
      <c r="AS270" s="33">
        <v>0</v>
      </c>
      <c r="AT270" s="35">
        <v>0</v>
      </c>
      <c r="AU270" s="35">
        <v>0</v>
      </c>
      <c r="AV270" s="35">
        <v>0</v>
      </c>
      <c r="AW270" s="35">
        <v>0</v>
      </c>
      <c r="AX270" s="35">
        <v>0</v>
      </c>
      <c r="AY270" s="35">
        <v>0</v>
      </c>
      <c r="AZ270" s="32">
        <v>0</v>
      </c>
      <c r="BA270" s="32">
        <v>0</v>
      </c>
      <c r="BB270" s="32">
        <v>0</v>
      </c>
      <c r="BC270" s="32">
        <v>0</v>
      </c>
      <c r="BD270" s="35">
        <v>0</v>
      </c>
      <c r="BE270" s="35">
        <v>0</v>
      </c>
      <c r="BF270" s="33" t="s">
        <v>412</v>
      </c>
      <c r="BG270" s="33" t="s">
        <v>412</v>
      </c>
      <c r="BH270" s="33" t="s">
        <v>412</v>
      </c>
    </row>
    <row r="271" spans="1:60" ht="19.5" customHeight="1">
      <c r="A271" s="36">
        <v>268</v>
      </c>
      <c r="B271" s="31" t="s">
        <v>410</v>
      </c>
      <c r="C271" s="37">
        <v>46218</v>
      </c>
      <c r="D271" s="31" t="s">
        <v>335</v>
      </c>
      <c r="E271" s="31">
        <v>2484</v>
      </c>
      <c r="F271" s="31">
        <v>2206</v>
      </c>
      <c r="G271" s="32">
        <v>0.88808373590982281</v>
      </c>
      <c r="H271" s="31">
        <v>1199</v>
      </c>
      <c r="I271" s="33">
        <v>0.48268921095008049</v>
      </c>
      <c r="J271" s="31">
        <v>1731</v>
      </c>
      <c r="K271" s="31">
        <v>1671</v>
      </c>
      <c r="L271" s="32">
        <v>0.96499999999999997</v>
      </c>
      <c r="M271" s="31">
        <v>9760</v>
      </c>
      <c r="N271" s="31">
        <v>9672</v>
      </c>
      <c r="O271" s="31">
        <v>9592</v>
      </c>
      <c r="P271" s="32">
        <v>0.98278688524590163</v>
      </c>
      <c r="Q271" s="31">
        <v>48</v>
      </c>
      <c r="R271" s="31">
        <v>0</v>
      </c>
      <c r="S271" s="31">
        <v>0</v>
      </c>
      <c r="T271" s="32">
        <v>0</v>
      </c>
      <c r="U271" s="31">
        <v>0</v>
      </c>
      <c r="V271" s="32">
        <v>0</v>
      </c>
      <c r="W271" s="31">
        <v>293</v>
      </c>
      <c r="X271" s="32">
        <v>0.1179549114331723</v>
      </c>
      <c r="Y271" s="31">
        <v>756</v>
      </c>
      <c r="Z271" s="34">
        <v>0.30434782608695649</v>
      </c>
      <c r="AA271" s="31">
        <v>0</v>
      </c>
      <c r="AB271" s="32">
        <v>0</v>
      </c>
      <c r="AC271" s="31">
        <v>113</v>
      </c>
      <c r="AD271" s="32">
        <v>4.5491143317230268E-2</v>
      </c>
      <c r="AE271" s="31">
        <v>31</v>
      </c>
      <c r="AF271" s="32">
        <v>0.27433628318584069</v>
      </c>
      <c r="AG271" s="31">
        <v>86</v>
      </c>
      <c r="AH271" s="32">
        <v>0.76106194690265483</v>
      </c>
      <c r="AI271" s="35">
        <v>88</v>
      </c>
      <c r="AJ271" s="32">
        <v>3.542673107890499E-2</v>
      </c>
      <c r="AK271" s="35">
        <v>9</v>
      </c>
      <c r="AL271" s="32">
        <v>0.88636363636363635</v>
      </c>
      <c r="AM271" s="35">
        <v>87</v>
      </c>
      <c r="AN271" s="35">
        <v>78</v>
      </c>
      <c r="AO271" s="32">
        <v>3.140096618357488E-2</v>
      </c>
      <c r="AP271" s="32">
        <v>0.69026548672566368</v>
      </c>
      <c r="AQ271" s="33">
        <v>0.97297297297297303</v>
      </c>
      <c r="AR271" s="33" t="s">
        <v>411</v>
      </c>
      <c r="AS271" s="33">
        <v>0</v>
      </c>
      <c r="AT271" s="35">
        <v>0</v>
      </c>
      <c r="AU271" s="35">
        <v>0</v>
      </c>
      <c r="AV271" s="35">
        <v>35</v>
      </c>
      <c r="AW271" s="35">
        <v>30</v>
      </c>
      <c r="AX271" s="35">
        <v>30</v>
      </c>
      <c r="AY271" s="35">
        <v>49</v>
      </c>
      <c r="AZ271" s="32">
        <v>1.207729468599034E-2</v>
      </c>
      <c r="BA271" s="32">
        <v>1.207729468599034E-2</v>
      </c>
      <c r="BB271" s="32">
        <v>1.972624798711755E-2</v>
      </c>
      <c r="BC271" s="32">
        <v>0.38461538461538458</v>
      </c>
      <c r="BD271" s="35">
        <v>0</v>
      </c>
      <c r="BE271" s="35">
        <v>0</v>
      </c>
      <c r="BF271" s="33">
        <v>1</v>
      </c>
      <c r="BG271" s="33">
        <v>1</v>
      </c>
      <c r="BH271" s="33" t="s">
        <v>412</v>
      </c>
    </row>
    <row r="272" spans="1:60" ht="19.5" customHeight="1">
      <c r="A272" s="36">
        <v>269</v>
      </c>
      <c r="B272" s="31" t="s">
        <v>410</v>
      </c>
      <c r="C272" s="37">
        <v>46218</v>
      </c>
      <c r="D272" s="31" t="s">
        <v>334</v>
      </c>
      <c r="E272" s="31">
        <v>1635</v>
      </c>
      <c r="F272" s="31">
        <v>1419</v>
      </c>
      <c r="G272" s="32">
        <v>0.86788990825688073</v>
      </c>
      <c r="H272" s="31">
        <v>677</v>
      </c>
      <c r="I272" s="33">
        <v>0.41406727828746182</v>
      </c>
      <c r="J272" s="31">
        <v>1707</v>
      </c>
      <c r="K272" s="31">
        <v>1618</v>
      </c>
      <c r="L272" s="32">
        <v>0.94799999999999995</v>
      </c>
      <c r="M272" s="31">
        <v>9062</v>
      </c>
      <c r="N272" s="31">
        <v>8899</v>
      </c>
      <c r="O272" s="31">
        <v>8869</v>
      </c>
      <c r="P272" s="32">
        <v>0.97870227322886783</v>
      </c>
      <c r="Q272" s="31">
        <v>78</v>
      </c>
      <c r="R272" s="31">
        <v>0</v>
      </c>
      <c r="S272" s="31">
        <v>0</v>
      </c>
      <c r="T272" s="32">
        <v>0</v>
      </c>
      <c r="U272" s="31">
        <v>0</v>
      </c>
      <c r="V272" s="32">
        <v>0</v>
      </c>
      <c r="W272" s="31">
        <v>313</v>
      </c>
      <c r="X272" s="32">
        <v>0.19143730886850149</v>
      </c>
      <c r="Y272" s="31">
        <v>536</v>
      </c>
      <c r="Z272" s="34">
        <v>0.32782874617737001</v>
      </c>
      <c r="AA272" s="31">
        <v>0</v>
      </c>
      <c r="AB272" s="32">
        <v>0</v>
      </c>
      <c r="AC272" s="31">
        <v>110</v>
      </c>
      <c r="AD272" s="32">
        <v>6.7278287461773695E-2</v>
      </c>
      <c r="AE272" s="31">
        <v>22</v>
      </c>
      <c r="AF272" s="32">
        <v>0.2</v>
      </c>
      <c r="AG272" s="31">
        <v>95</v>
      </c>
      <c r="AH272" s="32">
        <v>0.86363636363636365</v>
      </c>
      <c r="AI272" s="35">
        <v>92</v>
      </c>
      <c r="AJ272" s="32">
        <v>5.6269113149847103E-2</v>
      </c>
      <c r="AK272" s="35">
        <v>5</v>
      </c>
      <c r="AL272" s="32">
        <v>0.83695652173913049</v>
      </c>
      <c r="AM272" s="35">
        <v>90</v>
      </c>
      <c r="AN272" s="35">
        <v>77</v>
      </c>
      <c r="AO272" s="32">
        <v>4.7094801223241591E-2</v>
      </c>
      <c r="AP272" s="32">
        <v>0.7</v>
      </c>
      <c r="AQ272" s="33">
        <v>0.93258426966292129</v>
      </c>
      <c r="AR272" s="33" t="s">
        <v>411</v>
      </c>
      <c r="AS272" s="33">
        <v>0</v>
      </c>
      <c r="AT272" s="35">
        <v>0</v>
      </c>
      <c r="AU272" s="35">
        <v>0</v>
      </c>
      <c r="AV272" s="35">
        <v>45</v>
      </c>
      <c r="AW272" s="35">
        <v>42</v>
      </c>
      <c r="AX272" s="35">
        <v>42</v>
      </c>
      <c r="AY272" s="35">
        <v>40</v>
      </c>
      <c r="AZ272" s="32">
        <v>2.5688073394495411E-2</v>
      </c>
      <c r="BA272" s="32">
        <v>2.5688073394495411E-2</v>
      </c>
      <c r="BB272" s="32">
        <v>2.4464831804281349E-2</v>
      </c>
      <c r="BC272" s="32">
        <v>0.54545454545454541</v>
      </c>
      <c r="BD272" s="35">
        <v>0</v>
      </c>
      <c r="BE272" s="35">
        <v>0</v>
      </c>
      <c r="BF272" s="33">
        <v>1</v>
      </c>
      <c r="BG272" s="33">
        <v>1</v>
      </c>
      <c r="BH272" s="33" t="s">
        <v>412</v>
      </c>
    </row>
    <row r="273" spans="1:60" ht="19.5" customHeight="1">
      <c r="A273" s="36">
        <v>270</v>
      </c>
      <c r="B273" s="31" t="s">
        <v>410</v>
      </c>
      <c r="C273" s="37">
        <v>46218</v>
      </c>
      <c r="D273" s="31" t="s">
        <v>337</v>
      </c>
      <c r="E273" s="31">
        <v>4508</v>
      </c>
      <c r="F273" s="31">
        <v>3975</v>
      </c>
      <c r="G273" s="32">
        <v>0.88176574977817213</v>
      </c>
      <c r="H273" s="31">
        <v>1955</v>
      </c>
      <c r="I273" s="33">
        <v>0.43367346938775508</v>
      </c>
      <c r="J273" s="31">
        <v>5442</v>
      </c>
      <c r="K273" s="31">
        <v>5222</v>
      </c>
      <c r="L273" s="32">
        <v>0.96</v>
      </c>
      <c r="M273" s="31">
        <v>23495</v>
      </c>
      <c r="N273" s="31">
        <v>23736</v>
      </c>
      <c r="O273" s="31">
        <v>22994</v>
      </c>
      <c r="P273" s="32">
        <v>0.97867631410938494</v>
      </c>
      <c r="Q273" s="31">
        <v>171</v>
      </c>
      <c r="R273" s="31">
        <v>0</v>
      </c>
      <c r="S273" s="31">
        <v>0</v>
      </c>
      <c r="T273" s="32">
        <v>0</v>
      </c>
      <c r="U273" s="31">
        <v>0</v>
      </c>
      <c r="V273" s="32">
        <v>0</v>
      </c>
      <c r="W273" s="31">
        <v>597</v>
      </c>
      <c r="X273" s="32">
        <v>0.13243123336291041</v>
      </c>
      <c r="Y273" s="31">
        <v>1699</v>
      </c>
      <c r="Z273" s="34">
        <v>0.37688553682342502</v>
      </c>
      <c r="AA273" s="31">
        <v>0</v>
      </c>
      <c r="AB273" s="32">
        <v>0</v>
      </c>
      <c r="AC273" s="31">
        <v>564</v>
      </c>
      <c r="AD273" s="32">
        <v>0.12511091393078971</v>
      </c>
      <c r="AE273" s="31">
        <v>91</v>
      </c>
      <c r="AF273" s="32">
        <v>0.16134751773049649</v>
      </c>
      <c r="AG273" s="31">
        <v>490</v>
      </c>
      <c r="AH273" s="32">
        <v>0.86879432624113473</v>
      </c>
      <c r="AI273" s="35">
        <v>512</v>
      </c>
      <c r="AJ273" s="32">
        <v>0.11357586512866021</v>
      </c>
      <c r="AK273" s="35">
        <v>40</v>
      </c>
      <c r="AL273" s="32">
        <v>0.88671875</v>
      </c>
      <c r="AM273" s="35">
        <v>498</v>
      </c>
      <c r="AN273" s="35">
        <v>454</v>
      </c>
      <c r="AO273" s="32">
        <v>0.1007098491570541</v>
      </c>
      <c r="AP273" s="32">
        <v>0.80496453900709219</v>
      </c>
      <c r="AQ273" s="33">
        <v>0.96624472573839659</v>
      </c>
      <c r="AR273" s="33" t="s">
        <v>411</v>
      </c>
      <c r="AS273" s="33">
        <v>0</v>
      </c>
      <c r="AT273" s="35">
        <v>0</v>
      </c>
      <c r="AU273" s="35">
        <v>0</v>
      </c>
      <c r="AV273" s="35">
        <v>104</v>
      </c>
      <c r="AW273" s="35">
        <v>93</v>
      </c>
      <c r="AX273" s="35">
        <v>93</v>
      </c>
      <c r="AY273" s="35">
        <v>101</v>
      </c>
      <c r="AZ273" s="32">
        <v>2.0629991126885541E-2</v>
      </c>
      <c r="BA273" s="32">
        <v>2.0629991126885541E-2</v>
      </c>
      <c r="BB273" s="32">
        <v>2.240461401952085E-2</v>
      </c>
      <c r="BC273" s="32">
        <v>0.20484581497797361</v>
      </c>
      <c r="BD273" s="35">
        <v>0</v>
      </c>
      <c r="BE273" s="35">
        <v>0</v>
      </c>
      <c r="BF273" s="33">
        <v>1</v>
      </c>
      <c r="BG273" s="33">
        <v>1</v>
      </c>
      <c r="BH273" s="33" t="s">
        <v>412</v>
      </c>
    </row>
    <row r="274" spans="1:60" ht="19.5" customHeight="1">
      <c r="A274" s="36">
        <v>271</v>
      </c>
      <c r="B274" s="31" t="s">
        <v>410</v>
      </c>
      <c r="C274" s="37">
        <v>46218</v>
      </c>
      <c r="D274" s="31" t="s">
        <v>336</v>
      </c>
      <c r="E274" s="31">
        <v>2683</v>
      </c>
      <c r="F274" s="31">
        <v>2408</v>
      </c>
      <c r="G274" s="32">
        <v>0.8975027953783079</v>
      </c>
      <c r="H274" s="31">
        <v>1502</v>
      </c>
      <c r="I274" s="33">
        <v>0.55982109578829664</v>
      </c>
      <c r="J274" s="31">
        <v>4129</v>
      </c>
      <c r="K274" s="31">
        <v>4003</v>
      </c>
      <c r="L274" s="32">
        <v>0.96899999999999997</v>
      </c>
      <c r="M274" s="31">
        <v>18388</v>
      </c>
      <c r="N274" s="31">
        <v>18477</v>
      </c>
      <c r="O274" s="31">
        <v>18060</v>
      </c>
      <c r="P274" s="32">
        <v>0.98216227974766157</v>
      </c>
      <c r="Q274" s="31">
        <v>107</v>
      </c>
      <c r="R274" s="31">
        <v>0</v>
      </c>
      <c r="S274" s="31">
        <v>0</v>
      </c>
      <c r="T274" s="32">
        <v>0</v>
      </c>
      <c r="U274" s="31">
        <v>0</v>
      </c>
      <c r="V274" s="32">
        <v>0</v>
      </c>
      <c r="W274" s="31">
        <v>403</v>
      </c>
      <c r="X274" s="32">
        <v>0.1502049944092434</v>
      </c>
      <c r="Y274" s="31">
        <v>724</v>
      </c>
      <c r="Z274" s="34">
        <v>0.26984718598583668</v>
      </c>
      <c r="AA274" s="31">
        <v>0</v>
      </c>
      <c r="AB274" s="32">
        <v>0</v>
      </c>
      <c r="AC274" s="31">
        <v>190</v>
      </c>
      <c r="AD274" s="32">
        <v>7.0816250465896388E-2</v>
      </c>
      <c r="AE274" s="31">
        <v>44</v>
      </c>
      <c r="AF274" s="32">
        <v>0.23157894736842111</v>
      </c>
      <c r="AG274" s="31">
        <v>176</v>
      </c>
      <c r="AH274" s="32">
        <v>0.9263157894736842</v>
      </c>
      <c r="AI274" s="35">
        <v>175</v>
      </c>
      <c r="AJ274" s="32">
        <v>6.5225493850167723E-2</v>
      </c>
      <c r="AK274" s="35">
        <v>14</v>
      </c>
      <c r="AL274" s="32">
        <v>0.90857142857142859</v>
      </c>
      <c r="AM274" s="35">
        <v>173</v>
      </c>
      <c r="AN274" s="35">
        <v>159</v>
      </c>
      <c r="AO274" s="32">
        <v>5.9262020126723818E-2</v>
      </c>
      <c r="AP274" s="32">
        <v>0.83684210526315794</v>
      </c>
      <c r="AQ274" s="33">
        <v>0.98571428571428577</v>
      </c>
      <c r="AR274" s="33" t="s">
        <v>411</v>
      </c>
      <c r="AS274" s="33">
        <v>0</v>
      </c>
      <c r="AT274" s="35">
        <v>0</v>
      </c>
      <c r="AU274" s="35">
        <v>0</v>
      </c>
      <c r="AV274" s="35">
        <v>54</v>
      </c>
      <c r="AW274" s="35">
        <v>52</v>
      </c>
      <c r="AX274" s="35">
        <v>54</v>
      </c>
      <c r="AY274" s="35">
        <v>67</v>
      </c>
      <c r="AZ274" s="32">
        <v>1.9381289601192699E-2</v>
      </c>
      <c r="BA274" s="32">
        <v>2.0126723816623181E-2</v>
      </c>
      <c r="BB274" s="32">
        <v>2.4972046216921361E-2</v>
      </c>
      <c r="BC274" s="32">
        <v>0.33962264150943389</v>
      </c>
      <c r="BD274" s="35">
        <v>0</v>
      </c>
      <c r="BE274" s="35">
        <v>0</v>
      </c>
      <c r="BF274" s="33">
        <v>1</v>
      </c>
      <c r="BG274" s="33">
        <v>1</v>
      </c>
      <c r="BH274" s="33" t="s">
        <v>412</v>
      </c>
    </row>
    <row r="275" spans="1:60" ht="19.5" customHeight="1">
      <c r="A275" s="36">
        <v>272</v>
      </c>
      <c r="B275" s="31" t="s">
        <v>410</v>
      </c>
      <c r="C275" s="37">
        <v>46219</v>
      </c>
      <c r="D275" s="31"/>
      <c r="E275" s="31">
        <v>36</v>
      </c>
      <c r="F275" s="31">
        <v>36</v>
      </c>
      <c r="G275" s="32">
        <v>1</v>
      </c>
      <c r="H275" s="31">
        <v>36</v>
      </c>
      <c r="I275" s="33">
        <v>1</v>
      </c>
      <c r="J275" s="31">
        <v>0</v>
      </c>
      <c r="K275" s="31">
        <v>0</v>
      </c>
      <c r="L275" s="32">
        <v>0</v>
      </c>
      <c r="M275" s="31">
        <v>8</v>
      </c>
      <c r="N275" s="31">
        <v>3</v>
      </c>
      <c r="O275" s="31">
        <v>3</v>
      </c>
      <c r="P275" s="32">
        <v>0.375</v>
      </c>
      <c r="Q275" s="31">
        <v>5</v>
      </c>
      <c r="R275" s="31">
        <v>0</v>
      </c>
      <c r="S275" s="31">
        <v>0</v>
      </c>
      <c r="T275" s="32">
        <v>0</v>
      </c>
      <c r="U275" s="31">
        <v>0</v>
      </c>
      <c r="V275" s="32">
        <v>0</v>
      </c>
      <c r="W275" s="31">
        <v>19</v>
      </c>
      <c r="X275" s="32">
        <v>0.52777777777777779</v>
      </c>
      <c r="Y275" s="31">
        <v>10</v>
      </c>
      <c r="Z275" s="34">
        <v>0.27777777777777779</v>
      </c>
      <c r="AA275" s="31">
        <v>0</v>
      </c>
      <c r="AB275" s="32">
        <v>0</v>
      </c>
      <c r="AC275" s="31">
        <v>0</v>
      </c>
      <c r="AD275" s="32">
        <v>0</v>
      </c>
      <c r="AE275" s="31">
        <v>0</v>
      </c>
      <c r="AF275" s="32">
        <v>0</v>
      </c>
      <c r="AG275" s="31">
        <v>0</v>
      </c>
      <c r="AH275" s="32">
        <v>0</v>
      </c>
      <c r="AI275" s="35">
        <v>0</v>
      </c>
      <c r="AJ275" s="32">
        <v>0</v>
      </c>
      <c r="AK275" s="35">
        <v>0</v>
      </c>
      <c r="AL275" s="32">
        <v>0</v>
      </c>
      <c r="AM275" s="35">
        <v>0</v>
      </c>
      <c r="AN275" s="35">
        <v>0</v>
      </c>
      <c r="AO275" s="32">
        <v>0</v>
      </c>
      <c r="AP275" s="32">
        <v>0</v>
      </c>
      <c r="AQ275" s="33">
        <v>0</v>
      </c>
      <c r="AR275" s="33" t="s">
        <v>411</v>
      </c>
      <c r="AS275" s="33">
        <v>0</v>
      </c>
      <c r="AT275" s="35">
        <v>0</v>
      </c>
      <c r="AU275" s="35">
        <v>0</v>
      </c>
      <c r="AV275" s="35">
        <v>0</v>
      </c>
      <c r="AW275" s="35">
        <v>0</v>
      </c>
      <c r="AX275" s="35">
        <v>0</v>
      </c>
      <c r="AY275" s="35">
        <v>0</v>
      </c>
      <c r="AZ275" s="32">
        <v>0</v>
      </c>
      <c r="BA275" s="32">
        <v>0</v>
      </c>
      <c r="BB275" s="32">
        <v>0</v>
      </c>
      <c r="BC275" s="32">
        <v>0</v>
      </c>
      <c r="BD275" s="35">
        <v>0</v>
      </c>
      <c r="BE275" s="35">
        <v>1</v>
      </c>
      <c r="BF275" s="33" t="s">
        <v>412</v>
      </c>
      <c r="BG275" s="33" t="s">
        <v>412</v>
      </c>
      <c r="BH275" s="33">
        <v>0.96969696969696972</v>
      </c>
    </row>
    <row r="276" spans="1:60" ht="19.5" customHeight="1">
      <c r="A276" s="36">
        <v>273</v>
      </c>
      <c r="B276" s="31" t="s">
        <v>410</v>
      </c>
      <c r="C276" s="37">
        <v>46219</v>
      </c>
      <c r="D276" s="31" t="s">
        <v>413</v>
      </c>
      <c r="E276" s="31">
        <v>15</v>
      </c>
      <c r="F276" s="31">
        <v>14</v>
      </c>
      <c r="G276" s="32">
        <v>0.93333333333333335</v>
      </c>
      <c r="H276" s="31">
        <v>11</v>
      </c>
      <c r="I276" s="33">
        <v>0.73333333333333328</v>
      </c>
      <c r="J276" s="31">
        <v>22</v>
      </c>
      <c r="K276" s="31">
        <v>12</v>
      </c>
      <c r="L276" s="32">
        <v>0.54500000000000004</v>
      </c>
      <c r="M276" s="31">
        <v>41</v>
      </c>
      <c r="N276" s="31">
        <v>32</v>
      </c>
      <c r="O276" s="31">
        <v>29</v>
      </c>
      <c r="P276" s="32">
        <v>0.70731707317073167</v>
      </c>
      <c r="Q276" s="31">
        <v>7</v>
      </c>
      <c r="R276" s="31">
        <v>0</v>
      </c>
      <c r="S276" s="31">
        <v>0</v>
      </c>
      <c r="T276" s="32">
        <v>0</v>
      </c>
      <c r="U276" s="31">
        <v>0</v>
      </c>
      <c r="V276" s="32">
        <v>0</v>
      </c>
      <c r="W276" s="31">
        <v>0</v>
      </c>
      <c r="X276" s="32">
        <v>0</v>
      </c>
      <c r="Y276" s="31">
        <v>0</v>
      </c>
      <c r="Z276" s="34">
        <v>0</v>
      </c>
      <c r="AA276" s="31">
        <v>0</v>
      </c>
      <c r="AB276" s="32">
        <v>0</v>
      </c>
      <c r="AC276" s="31">
        <v>0</v>
      </c>
      <c r="AD276" s="32">
        <v>0</v>
      </c>
      <c r="AE276" s="31">
        <v>0</v>
      </c>
      <c r="AF276" s="32">
        <v>0</v>
      </c>
      <c r="AG276" s="31">
        <v>0</v>
      </c>
      <c r="AH276" s="32">
        <v>0</v>
      </c>
      <c r="AI276" s="35">
        <v>0</v>
      </c>
      <c r="AJ276" s="32">
        <v>0</v>
      </c>
      <c r="AK276" s="35">
        <v>0</v>
      </c>
      <c r="AL276" s="32">
        <v>0</v>
      </c>
      <c r="AM276" s="35">
        <v>0</v>
      </c>
      <c r="AN276" s="35">
        <v>0</v>
      </c>
      <c r="AO276" s="32">
        <v>0</v>
      </c>
      <c r="AP276" s="32">
        <v>0</v>
      </c>
      <c r="AQ276" s="33"/>
      <c r="AR276" s="33" t="s">
        <v>411</v>
      </c>
      <c r="AS276" s="33" t="s">
        <v>411</v>
      </c>
      <c r="AT276" s="35">
        <v>0</v>
      </c>
      <c r="AU276" s="35">
        <v>0</v>
      </c>
      <c r="AV276" s="35">
        <v>2</v>
      </c>
      <c r="AW276" s="35">
        <v>0</v>
      </c>
      <c r="AX276" s="35">
        <v>0</v>
      </c>
      <c r="AY276" s="35">
        <v>0</v>
      </c>
      <c r="AZ276" s="32">
        <v>0</v>
      </c>
      <c r="BA276" s="32">
        <v>0</v>
      </c>
      <c r="BB276" s="32">
        <v>0</v>
      </c>
      <c r="BC276" s="32">
        <v>0</v>
      </c>
      <c r="BD276" s="35">
        <v>0</v>
      </c>
      <c r="BE276" s="35">
        <v>0</v>
      </c>
      <c r="BF276" s="33" t="s">
        <v>412</v>
      </c>
      <c r="BG276" s="33" t="s">
        <v>412</v>
      </c>
      <c r="BH276" s="33" t="s">
        <v>412</v>
      </c>
    </row>
    <row r="277" spans="1:60" ht="19.5" customHeight="1">
      <c r="A277" s="36">
        <v>274</v>
      </c>
      <c r="B277" s="31" t="s">
        <v>410</v>
      </c>
      <c r="C277" s="37">
        <v>46219</v>
      </c>
      <c r="D277" s="31" t="s">
        <v>335</v>
      </c>
      <c r="E277" s="31">
        <v>2050</v>
      </c>
      <c r="F277" s="31">
        <v>1820</v>
      </c>
      <c r="G277" s="32">
        <v>0.8878048780487805</v>
      </c>
      <c r="H277" s="31">
        <v>934</v>
      </c>
      <c r="I277" s="33">
        <v>0.45560975609756099</v>
      </c>
      <c r="J277" s="31">
        <v>2897</v>
      </c>
      <c r="K277" s="31">
        <v>2816</v>
      </c>
      <c r="L277" s="32">
        <v>0.97199999999999998</v>
      </c>
      <c r="M277" s="31">
        <v>10437</v>
      </c>
      <c r="N277" s="31">
        <v>10459</v>
      </c>
      <c r="O277" s="31">
        <v>10218</v>
      </c>
      <c r="P277" s="32">
        <v>0.97901695889623452</v>
      </c>
      <c r="Q277" s="31">
        <v>63</v>
      </c>
      <c r="R277" s="31">
        <v>0</v>
      </c>
      <c r="S277" s="31">
        <v>0</v>
      </c>
      <c r="T277" s="32">
        <v>0</v>
      </c>
      <c r="U277" s="31">
        <v>0</v>
      </c>
      <c r="V277" s="32">
        <v>0</v>
      </c>
      <c r="W277" s="31">
        <v>265</v>
      </c>
      <c r="X277" s="32">
        <v>0.12926829268292681</v>
      </c>
      <c r="Y277" s="31">
        <v>753</v>
      </c>
      <c r="Z277" s="34">
        <v>0.3673170731707317</v>
      </c>
      <c r="AA277" s="31">
        <v>0</v>
      </c>
      <c r="AB277" s="32">
        <v>0</v>
      </c>
      <c r="AC277" s="31">
        <v>100</v>
      </c>
      <c r="AD277" s="32">
        <v>4.878048780487805E-2</v>
      </c>
      <c r="AE277" s="31">
        <v>19</v>
      </c>
      <c r="AF277" s="32">
        <v>0.19</v>
      </c>
      <c r="AG277" s="31">
        <v>93</v>
      </c>
      <c r="AH277" s="32">
        <v>0.93</v>
      </c>
      <c r="AI277" s="35">
        <v>97</v>
      </c>
      <c r="AJ277" s="32">
        <v>4.7317073170731708E-2</v>
      </c>
      <c r="AK277" s="35">
        <v>11</v>
      </c>
      <c r="AL277" s="32">
        <v>0.865979381443299</v>
      </c>
      <c r="AM277" s="35">
        <v>94</v>
      </c>
      <c r="AN277" s="35">
        <v>84</v>
      </c>
      <c r="AO277" s="32">
        <v>4.0975609756097563E-2</v>
      </c>
      <c r="AP277" s="32">
        <v>0.84</v>
      </c>
      <c r="AQ277" s="33">
        <v>0.98750000000000004</v>
      </c>
      <c r="AR277" s="33" t="s">
        <v>411</v>
      </c>
      <c r="AS277" s="33">
        <v>0</v>
      </c>
      <c r="AT277" s="35">
        <v>0</v>
      </c>
      <c r="AU277" s="35">
        <v>0</v>
      </c>
      <c r="AV277" s="35">
        <v>18</v>
      </c>
      <c r="AW277" s="35">
        <v>13</v>
      </c>
      <c r="AX277" s="35">
        <v>13</v>
      </c>
      <c r="AY277" s="35">
        <v>44</v>
      </c>
      <c r="AZ277" s="32">
        <v>6.3414634146341468E-3</v>
      </c>
      <c r="BA277" s="32">
        <v>6.3414634146341468E-3</v>
      </c>
      <c r="BB277" s="32">
        <v>2.146341463414634E-2</v>
      </c>
      <c r="BC277" s="32">
        <v>0.15476190476190479</v>
      </c>
      <c r="BD277" s="35">
        <v>0</v>
      </c>
      <c r="BE277" s="35">
        <v>0</v>
      </c>
      <c r="BF277" s="33">
        <v>1</v>
      </c>
      <c r="BG277" s="33">
        <v>1</v>
      </c>
      <c r="BH277" s="33" t="s">
        <v>412</v>
      </c>
    </row>
    <row r="278" spans="1:60" ht="19.5" customHeight="1">
      <c r="A278" s="36">
        <v>275</v>
      </c>
      <c r="B278" s="31" t="s">
        <v>410</v>
      </c>
      <c r="C278" s="37">
        <v>46219</v>
      </c>
      <c r="D278" s="31" t="s">
        <v>334</v>
      </c>
      <c r="E278" s="31">
        <v>1482</v>
      </c>
      <c r="F278" s="31">
        <v>1279</v>
      </c>
      <c r="G278" s="32">
        <v>0.86302294197031038</v>
      </c>
      <c r="H278" s="31">
        <v>764</v>
      </c>
      <c r="I278" s="33">
        <v>0.51551956815114708</v>
      </c>
      <c r="J278" s="31">
        <v>1143</v>
      </c>
      <c r="K278" s="31">
        <v>1092</v>
      </c>
      <c r="L278" s="32">
        <v>0.95499999999999996</v>
      </c>
      <c r="M278" s="31">
        <v>7935</v>
      </c>
      <c r="N278" s="31">
        <v>7780</v>
      </c>
      <c r="O278" s="31">
        <v>7801</v>
      </c>
      <c r="P278" s="32">
        <v>0.98311279143037178</v>
      </c>
      <c r="Q278" s="31">
        <v>50</v>
      </c>
      <c r="R278" s="31">
        <v>0</v>
      </c>
      <c r="S278" s="31">
        <v>0</v>
      </c>
      <c r="T278" s="32">
        <v>0</v>
      </c>
      <c r="U278" s="31">
        <v>0</v>
      </c>
      <c r="V278" s="32">
        <v>0</v>
      </c>
      <c r="W278" s="31">
        <v>220</v>
      </c>
      <c r="X278" s="32">
        <v>0.1484480431848853</v>
      </c>
      <c r="Y278" s="31">
        <v>548</v>
      </c>
      <c r="Z278" s="34">
        <v>0.36977058029689608</v>
      </c>
      <c r="AA278" s="31">
        <v>0</v>
      </c>
      <c r="AB278" s="32">
        <v>0</v>
      </c>
      <c r="AC278" s="31">
        <v>102</v>
      </c>
      <c r="AD278" s="32">
        <v>6.8825910931174086E-2</v>
      </c>
      <c r="AE278" s="31">
        <v>17</v>
      </c>
      <c r="AF278" s="32">
        <v>0.16666666666666671</v>
      </c>
      <c r="AG278" s="31">
        <v>98</v>
      </c>
      <c r="AH278" s="32">
        <v>0.96078431372549022</v>
      </c>
      <c r="AI278" s="35">
        <v>104</v>
      </c>
      <c r="AJ278" s="32">
        <v>7.0175438596491224E-2</v>
      </c>
      <c r="AK278" s="35">
        <v>10</v>
      </c>
      <c r="AL278" s="32">
        <v>0.93269230769230771</v>
      </c>
      <c r="AM278" s="35">
        <v>103</v>
      </c>
      <c r="AN278" s="35">
        <v>97</v>
      </c>
      <c r="AO278" s="32">
        <v>6.5452091767881235E-2</v>
      </c>
      <c r="AP278" s="32">
        <v>0.9509803921568627</v>
      </c>
      <c r="AQ278" s="33">
        <v>0.98611111111111116</v>
      </c>
      <c r="AR278" s="33" t="s">
        <v>411</v>
      </c>
      <c r="AS278" s="33">
        <v>0</v>
      </c>
      <c r="AT278" s="35">
        <v>0</v>
      </c>
      <c r="AU278" s="35">
        <v>0</v>
      </c>
      <c r="AV278" s="35">
        <v>14</v>
      </c>
      <c r="AW278" s="35">
        <v>14</v>
      </c>
      <c r="AX278" s="35">
        <v>15</v>
      </c>
      <c r="AY278" s="35">
        <v>60</v>
      </c>
      <c r="AZ278" s="32">
        <v>9.4466936572199737E-3</v>
      </c>
      <c r="BA278" s="32">
        <v>1.0121457489878539E-2</v>
      </c>
      <c r="BB278" s="32">
        <v>4.048582995951417E-2</v>
      </c>
      <c r="BC278" s="32">
        <v>0.15463917525773199</v>
      </c>
      <c r="BD278" s="35">
        <v>0</v>
      </c>
      <c r="BE278" s="35">
        <v>0</v>
      </c>
      <c r="BF278" s="33">
        <v>1</v>
      </c>
      <c r="BG278" s="33">
        <v>1</v>
      </c>
      <c r="BH278" s="33" t="s">
        <v>412</v>
      </c>
    </row>
    <row r="279" spans="1:60" ht="19.5" customHeight="1">
      <c r="A279" s="36">
        <v>276</v>
      </c>
      <c r="B279" s="31" t="s">
        <v>410</v>
      </c>
      <c r="C279" s="37">
        <v>46219</v>
      </c>
      <c r="D279" s="31" t="s">
        <v>337</v>
      </c>
      <c r="E279" s="31">
        <v>5074</v>
      </c>
      <c r="F279" s="31">
        <v>4424</v>
      </c>
      <c r="G279" s="32">
        <v>0.87189594008671656</v>
      </c>
      <c r="H279" s="31">
        <v>2174</v>
      </c>
      <c r="I279" s="33">
        <v>0.42845880961765859</v>
      </c>
      <c r="J279" s="31">
        <v>4828</v>
      </c>
      <c r="K279" s="31">
        <v>4630</v>
      </c>
      <c r="L279" s="32">
        <v>0.95899999999999996</v>
      </c>
      <c r="M279" s="31">
        <v>23210</v>
      </c>
      <c r="N279" s="31">
        <v>22945</v>
      </c>
      <c r="O279" s="31">
        <v>22740</v>
      </c>
      <c r="P279" s="32">
        <v>0.97975010771219306</v>
      </c>
      <c r="Q279" s="31">
        <v>145</v>
      </c>
      <c r="R279" s="31">
        <v>0</v>
      </c>
      <c r="S279" s="31">
        <v>0</v>
      </c>
      <c r="T279" s="32">
        <v>0</v>
      </c>
      <c r="U279" s="31">
        <v>0</v>
      </c>
      <c r="V279" s="32">
        <v>0</v>
      </c>
      <c r="W279" s="31">
        <v>597</v>
      </c>
      <c r="X279" s="32">
        <v>0.11765865195112341</v>
      </c>
      <c r="Y279" s="31">
        <v>2496</v>
      </c>
      <c r="Z279" s="34">
        <v>0.49191959006700819</v>
      </c>
      <c r="AA279" s="31">
        <v>0</v>
      </c>
      <c r="AB279" s="32">
        <v>0</v>
      </c>
      <c r="AC279" s="31">
        <v>506</v>
      </c>
      <c r="AD279" s="32">
        <v>9.9724083563263691E-2</v>
      </c>
      <c r="AE279" s="31">
        <v>102</v>
      </c>
      <c r="AF279" s="32">
        <v>0.20158102766798419</v>
      </c>
      <c r="AG279" s="31">
        <v>481</v>
      </c>
      <c r="AH279" s="32">
        <v>0.95059288537549402</v>
      </c>
      <c r="AI279" s="35">
        <v>507</v>
      </c>
      <c r="AJ279" s="32">
        <v>9.9921166732361053E-2</v>
      </c>
      <c r="AK279" s="35">
        <v>37</v>
      </c>
      <c r="AL279" s="32">
        <v>0.89940828402366868</v>
      </c>
      <c r="AM279" s="35">
        <v>504</v>
      </c>
      <c r="AN279" s="35">
        <v>456</v>
      </c>
      <c r="AO279" s="32">
        <v>8.986992510839574E-2</v>
      </c>
      <c r="AP279" s="32">
        <v>0.90118577075098816</v>
      </c>
      <c r="AQ279" s="33">
        <v>0.96008403361344541</v>
      </c>
      <c r="AR279" s="33" t="s">
        <v>411</v>
      </c>
      <c r="AS279" s="33">
        <v>0</v>
      </c>
      <c r="AT279" s="35">
        <v>0</v>
      </c>
      <c r="AU279" s="35">
        <v>0</v>
      </c>
      <c r="AV279" s="35">
        <v>47</v>
      </c>
      <c r="AW279" s="35">
        <v>38</v>
      </c>
      <c r="AX279" s="35">
        <v>37</v>
      </c>
      <c r="AY279" s="35">
        <v>122</v>
      </c>
      <c r="AZ279" s="32">
        <v>7.4891604256996456E-3</v>
      </c>
      <c r="BA279" s="32">
        <v>7.2920772566022864E-3</v>
      </c>
      <c r="BB279" s="32">
        <v>2.4044146629877809E-2</v>
      </c>
      <c r="BC279" s="32">
        <v>8.1140350877192985E-2</v>
      </c>
      <c r="BD279" s="35">
        <v>0</v>
      </c>
      <c r="BE279" s="35">
        <v>0</v>
      </c>
      <c r="BF279" s="33">
        <v>0.96721311475409832</v>
      </c>
      <c r="BG279" s="33">
        <v>1</v>
      </c>
      <c r="BH279" s="33" t="s">
        <v>412</v>
      </c>
    </row>
    <row r="280" spans="1:60" ht="19.5" customHeight="1">
      <c r="A280" s="36">
        <v>277</v>
      </c>
      <c r="B280" s="31" t="s">
        <v>410</v>
      </c>
      <c r="C280" s="37">
        <v>46219</v>
      </c>
      <c r="D280" s="31" t="s">
        <v>336</v>
      </c>
      <c r="E280" s="31">
        <v>2615</v>
      </c>
      <c r="F280" s="31">
        <v>2369</v>
      </c>
      <c r="G280" s="32">
        <v>0.90592734225621419</v>
      </c>
      <c r="H280" s="31">
        <v>1436</v>
      </c>
      <c r="I280" s="33">
        <v>0.54913957934990443</v>
      </c>
      <c r="J280" s="31">
        <v>3314</v>
      </c>
      <c r="K280" s="31">
        <v>3197</v>
      </c>
      <c r="L280" s="32">
        <v>0.96499999999999997</v>
      </c>
      <c r="M280" s="31">
        <v>18143</v>
      </c>
      <c r="N280" s="31">
        <v>17826</v>
      </c>
      <c r="O280" s="31">
        <v>17796</v>
      </c>
      <c r="P280" s="32">
        <v>0.9808741663451469</v>
      </c>
      <c r="Q280" s="31">
        <v>107</v>
      </c>
      <c r="R280" s="31">
        <v>0</v>
      </c>
      <c r="S280" s="31">
        <v>0</v>
      </c>
      <c r="T280" s="32">
        <v>0</v>
      </c>
      <c r="U280" s="31">
        <v>0</v>
      </c>
      <c r="V280" s="32">
        <v>0</v>
      </c>
      <c r="W280" s="31">
        <v>331</v>
      </c>
      <c r="X280" s="32">
        <v>0.12657743785850861</v>
      </c>
      <c r="Y280" s="31">
        <v>784</v>
      </c>
      <c r="Z280" s="34">
        <v>0.29980879541108979</v>
      </c>
      <c r="AA280" s="31">
        <v>0</v>
      </c>
      <c r="AB280" s="32">
        <v>0</v>
      </c>
      <c r="AC280" s="31">
        <v>167</v>
      </c>
      <c r="AD280" s="32">
        <v>6.3862332695984708E-2</v>
      </c>
      <c r="AE280" s="31">
        <v>30</v>
      </c>
      <c r="AF280" s="32">
        <v>0.17964071856287431</v>
      </c>
      <c r="AG280" s="31">
        <v>154</v>
      </c>
      <c r="AH280" s="32">
        <v>0.92215568862275454</v>
      </c>
      <c r="AI280" s="35">
        <v>161</v>
      </c>
      <c r="AJ280" s="32">
        <v>6.15678776290631E-2</v>
      </c>
      <c r="AK280" s="35">
        <v>17</v>
      </c>
      <c r="AL280" s="32">
        <v>0.93788819875776397</v>
      </c>
      <c r="AM280" s="35">
        <v>159</v>
      </c>
      <c r="AN280" s="35">
        <v>151</v>
      </c>
      <c r="AO280" s="32">
        <v>5.7743785850860423E-2</v>
      </c>
      <c r="AP280" s="32">
        <v>0.90419161676646709</v>
      </c>
      <c r="AQ280" s="33">
        <v>0.94736842105263153</v>
      </c>
      <c r="AR280" s="33" t="s">
        <v>411</v>
      </c>
      <c r="AS280" s="33">
        <v>0</v>
      </c>
      <c r="AT280" s="35">
        <v>0</v>
      </c>
      <c r="AU280" s="35">
        <v>0</v>
      </c>
      <c r="AV280" s="35">
        <v>30</v>
      </c>
      <c r="AW280" s="35">
        <v>25</v>
      </c>
      <c r="AX280" s="35">
        <v>24</v>
      </c>
      <c r="AY280" s="35">
        <v>90</v>
      </c>
      <c r="AZ280" s="32">
        <v>9.5602294455066923E-3</v>
      </c>
      <c r="BA280" s="32">
        <v>9.1778202676864248E-3</v>
      </c>
      <c r="BB280" s="32">
        <v>3.4416826003824091E-2</v>
      </c>
      <c r="BC280" s="32">
        <v>0.15894039735099341</v>
      </c>
      <c r="BD280" s="35">
        <v>0</v>
      </c>
      <c r="BE280" s="35">
        <v>0</v>
      </c>
      <c r="BF280" s="33">
        <v>1</v>
      </c>
      <c r="BG280" s="33">
        <v>1</v>
      </c>
      <c r="BH280" s="33" t="s">
        <v>412</v>
      </c>
    </row>
    <row r="281" spans="1:60" ht="19.5" customHeight="1">
      <c r="A281" s="36">
        <v>278</v>
      </c>
      <c r="B281" s="31" t="s">
        <v>410</v>
      </c>
      <c r="C281" s="37">
        <v>46220</v>
      </c>
      <c r="D281" s="31"/>
      <c r="E281" s="31">
        <v>40</v>
      </c>
      <c r="F281" s="31">
        <v>40</v>
      </c>
      <c r="G281" s="32">
        <v>1</v>
      </c>
      <c r="H281" s="31">
        <v>40</v>
      </c>
      <c r="I281" s="33">
        <v>1</v>
      </c>
      <c r="J281" s="31">
        <v>0</v>
      </c>
      <c r="K281" s="31">
        <v>0</v>
      </c>
      <c r="L281" s="32">
        <v>0</v>
      </c>
      <c r="M281" s="31">
        <v>8</v>
      </c>
      <c r="N281" s="31">
        <v>0</v>
      </c>
      <c r="O281" s="31">
        <v>0</v>
      </c>
      <c r="P281" s="32">
        <v>0</v>
      </c>
      <c r="Q281" s="31">
        <v>8</v>
      </c>
      <c r="R281" s="31">
        <v>0</v>
      </c>
      <c r="S281" s="31">
        <v>0</v>
      </c>
      <c r="T281" s="32">
        <v>0</v>
      </c>
      <c r="U281" s="31">
        <v>0</v>
      </c>
      <c r="V281" s="32">
        <v>0</v>
      </c>
      <c r="W281" s="31">
        <v>28</v>
      </c>
      <c r="X281" s="32">
        <v>0.7</v>
      </c>
      <c r="Y281" s="31">
        <v>6</v>
      </c>
      <c r="Z281" s="34">
        <v>0.15</v>
      </c>
      <c r="AA281" s="31">
        <v>0</v>
      </c>
      <c r="AB281" s="32">
        <v>0</v>
      </c>
      <c r="AC281" s="31">
        <v>0</v>
      </c>
      <c r="AD281" s="32">
        <v>0</v>
      </c>
      <c r="AE281" s="31">
        <v>0</v>
      </c>
      <c r="AF281" s="32">
        <v>0</v>
      </c>
      <c r="AG281" s="31">
        <v>0</v>
      </c>
      <c r="AH281" s="32">
        <v>0</v>
      </c>
      <c r="AI281" s="35">
        <v>0</v>
      </c>
      <c r="AJ281" s="32">
        <v>0</v>
      </c>
      <c r="AK281" s="35">
        <v>0</v>
      </c>
      <c r="AL281" s="32">
        <v>0</v>
      </c>
      <c r="AM281" s="35">
        <v>0</v>
      </c>
      <c r="AN281" s="35">
        <v>0</v>
      </c>
      <c r="AO281" s="32">
        <v>0</v>
      </c>
      <c r="AP281" s="32">
        <v>0</v>
      </c>
      <c r="AQ281" s="33">
        <v>0</v>
      </c>
      <c r="AR281" s="33" t="s">
        <v>411</v>
      </c>
      <c r="AS281" s="33">
        <v>0</v>
      </c>
      <c r="AT281" s="35">
        <v>0</v>
      </c>
      <c r="AU281" s="35">
        <v>0</v>
      </c>
      <c r="AV281" s="35">
        <v>0</v>
      </c>
      <c r="AW281" s="35">
        <v>0</v>
      </c>
      <c r="AX281" s="35">
        <v>0</v>
      </c>
      <c r="AY281" s="35">
        <v>0</v>
      </c>
      <c r="AZ281" s="32">
        <v>0</v>
      </c>
      <c r="BA281" s="32">
        <v>0</v>
      </c>
      <c r="BB281" s="32">
        <v>0</v>
      </c>
      <c r="BC281" s="32">
        <v>0</v>
      </c>
      <c r="BD281" s="35">
        <v>0</v>
      </c>
      <c r="BE281" s="35">
        <v>0</v>
      </c>
      <c r="BF281" s="33" t="s">
        <v>412</v>
      </c>
      <c r="BG281" s="33" t="s">
        <v>412</v>
      </c>
      <c r="BH281" s="33">
        <v>0.97777777777777775</v>
      </c>
    </row>
    <row r="282" spans="1:60" ht="19.5" customHeight="1">
      <c r="A282" s="36">
        <v>279</v>
      </c>
      <c r="B282" s="31" t="s">
        <v>410</v>
      </c>
      <c r="C282" s="37">
        <v>46220</v>
      </c>
      <c r="D282" s="31" t="s">
        <v>413</v>
      </c>
      <c r="E282" s="31">
        <v>176</v>
      </c>
      <c r="F282" s="31">
        <v>167</v>
      </c>
      <c r="G282" s="32">
        <v>0.94886363636363635</v>
      </c>
      <c r="H282" s="31">
        <v>84</v>
      </c>
      <c r="I282" s="33">
        <v>0.47727272727272729</v>
      </c>
      <c r="J282" s="31">
        <v>155</v>
      </c>
      <c r="K282" s="31">
        <v>83</v>
      </c>
      <c r="L282" s="32">
        <v>0.53500000000000003</v>
      </c>
      <c r="M282" s="31">
        <v>213</v>
      </c>
      <c r="N282" s="31">
        <v>175</v>
      </c>
      <c r="O282" s="31">
        <v>121</v>
      </c>
      <c r="P282" s="32">
        <v>0.568075117370892</v>
      </c>
      <c r="Q282" s="31">
        <v>42</v>
      </c>
      <c r="R282" s="31">
        <v>0</v>
      </c>
      <c r="S282" s="31">
        <v>0</v>
      </c>
      <c r="T282" s="32">
        <v>0</v>
      </c>
      <c r="U282" s="31">
        <v>0</v>
      </c>
      <c r="V282" s="32">
        <v>0</v>
      </c>
      <c r="W282" s="31">
        <v>2</v>
      </c>
      <c r="X282" s="32">
        <v>1.136363636363636E-2</v>
      </c>
      <c r="Y282" s="31">
        <v>3</v>
      </c>
      <c r="Z282" s="34">
        <v>1.7045454545454541E-2</v>
      </c>
      <c r="AA282" s="31">
        <v>0</v>
      </c>
      <c r="AB282" s="32">
        <v>0</v>
      </c>
      <c r="AC282" s="31">
        <v>1</v>
      </c>
      <c r="AD282" s="32">
        <v>5.681818181818182E-3</v>
      </c>
      <c r="AE282" s="31">
        <v>0</v>
      </c>
      <c r="AF282" s="32">
        <v>0</v>
      </c>
      <c r="AG282" s="31">
        <v>0</v>
      </c>
      <c r="AH282" s="32">
        <v>0</v>
      </c>
      <c r="AI282" s="35">
        <v>0</v>
      </c>
      <c r="AJ282" s="32">
        <v>0</v>
      </c>
      <c r="AK282" s="35">
        <v>0</v>
      </c>
      <c r="AL282" s="32">
        <v>0</v>
      </c>
      <c r="AM282" s="35">
        <v>0</v>
      </c>
      <c r="AN282" s="35">
        <v>0</v>
      </c>
      <c r="AO282" s="32">
        <v>0</v>
      </c>
      <c r="AP282" s="32">
        <v>0</v>
      </c>
      <c r="AQ282" s="33"/>
      <c r="AR282" s="33" t="s">
        <v>411</v>
      </c>
      <c r="AS282" s="33" t="s">
        <v>411</v>
      </c>
      <c r="AT282" s="35">
        <v>0</v>
      </c>
      <c r="AU282" s="35">
        <v>0</v>
      </c>
      <c r="AV282" s="35">
        <v>3</v>
      </c>
      <c r="AW282" s="35">
        <v>3</v>
      </c>
      <c r="AX282" s="35">
        <v>3</v>
      </c>
      <c r="AY282" s="35">
        <v>0</v>
      </c>
      <c r="AZ282" s="32">
        <v>1.7045454545454541E-2</v>
      </c>
      <c r="BA282" s="32">
        <v>1.7045454545454541E-2</v>
      </c>
      <c r="BB282" s="32">
        <v>0</v>
      </c>
      <c r="BC282" s="32">
        <v>0</v>
      </c>
      <c r="BD282" s="35">
        <v>0</v>
      </c>
      <c r="BE282" s="35">
        <v>0</v>
      </c>
      <c r="BF282" s="33" t="s">
        <v>412</v>
      </c>
      <c r="BG282" s="33" t="s">
        <v>412</v>
      </c>
      <c r="BH282" s="33" t="s">
        <v>412</v>
      </c>
    </row>
    <row r="283" spans="1:60" ht="19.5" customHeight="1">
      <c r="A283" s="36">
        <v>280</v>
      </c>
      <c r="B283" s="31" t="s">
        <v>410</v>
      </c>
      <c r="C283" s="37">
        <v>46220</v>
      </c>
      <c r="D283" s="31" t="s">
        <v>335</v>
      </c>
      <c r="E283" s="31">
        <v>2352</v>
      </c>
      <c r="F283" s="31">
        <v>2129</v>
      </c>
      <c r="G283" s="32">
        <v>0.90518707482993199</v>
      </c>
      <c r="H283" s="31">
        <v>1071</v>
      </c>
      <c r="I283" s="33">
        <v>0.45535714285714279</v>
      </c>
      <c r="J283" s="31">
        <v>2184</v>
      </c>
      <c r="K283" s="31">
        <v>2133</v>
      </c>
      <c r="L283" s="32">
        <v>0.97699999999999998</v>
      </c>
      <c r="M283" s="31">
        <v>10738</v>
      </c>
      <c r="N283" s="31">
        <v>10747</v>
      </c>
      <c r="O283" s="31">
        <v>10569</v>
      </c>
      <c r="P283" s="32">
        <v>0.9842615012106537</v>
      </c>
      <c r="Q283" s="31">
        <v>54</v>
      </c>
      <c r="R283" s="31">
        <v>0</v>
      </c>
      <c r="S283" s="31">
        <v>0</v>
      </c>
      <c r="T283" s="32">
        <v>0</v>
      </c>
      <c r="U283" s="31">
        <v>0</v>
      </c>
      <c r="V283" s="32">
        <v>0</v>
      </c>
      <c r="W283" s="31">
        <v>461</v>
      </c>
      <c r="X283" s="32">
        <v>0.1960034013605442</v>
      </c>
      <c r="Y283" s="31">
        <v>959</v>
      </c>
      <c r="Z283" s="34">
        <v>0.40773809523809518</v>
      </c>
      <c r="AA283" s="31">
        <v>0</v>
      </c>
      <c r="AB283" s="32">
        <v>0</v>
      </c>
      <c r="AC283" s="31">
        <v>136</v>
      </c>
      <c r="AD283" s="32">
        <v>5.7823129251700682E-2</v>
      </c>
      <c r="AE283" s="31">
        <v>20</v>
      </c>
      <c r="AF283" s="32">
        <v>0.1470588235294118</v>
      </c>
      <c r="AG283" s="31">
        <v>113</v>
      </c>
      <c r="AH283" s="32">
        <v>0.83088235294117652</v>
      </c>
      <c r="AI283" s="35">
        <v>106</v>
      </c>
      <c r="AJ283" s="32">
        <v>4.5068027210884362E-2</v>
      </c>
      <c r="AK283" s="35">
        <v>9</v>
      </c>
      <c r="AL283" s="32">
        <v>0.87735849056603776</v>
      </c>
      <c r="AM283" s="35">
        <v>105</v>
      </c>
      <c r="AN283" s="35">
        <v>93</v>
      </c>
      <c r="AO283" s="32">
        <v>3.9540816326530608E-2</v>
      </c>
      <c r="AP283" s="32">
        <v>0.68382352941176472</v>
      </c>
      <c r="AQ283" s="33">
        <v>0.97499999999999998</v>
      </c>
      <c r="AR283" s="33" t="s">
        <v>411</v>
      </c>
      <c r="AS283" s="33">
        <v>0</v>
      </c>
      <c r="AT283" s="35">
        <v>0</v>
      </c>
      <c r="AU283" s="35">
        <v>0</v>
      </c>
      <c r="AV283" s="35">
        <v>70</v>
      </c>
      <c r="AW283" s="35">
        <v>67</v>
      </c>
      <c r="AX283" s="35">
        <v>66</v>
      </c>
      <c r="AY283" s="35">
        <v>47</v>
      </c>
      <c r="AZ283" s="32">
        <v>2.848639455782313E-2</v>
      </c>
      <c r="BA283" s="32">
        <v>2.8061224489795918E-2</v>
      </c>
      <c r="BB283" s="32">
        <v>1.9982993197278909E-2</v>
      </c>
      <c r="BC283" s="32">
        <v>0.70967741935483875</v>
      </c>
      <c r="BD283" s="35">
        <v>0</v>
      </c>
      <c r="BE283" s="35">
        <v>0</v>
      </c>
      <c r="BF283" s="33">
        <v>1</v>
      </c>
      <c r="BG283" s="33">
        <v>1</v>
      </c>
      <c r="BH283" s="33" t="s">
        <v>412</v>
      </c>
    </row>
    <row r="284" spans="1:60" ht="19.5" customHeight="1">
      <c r="A284" s="36">
        <v>281</v>
      </c>
      <c r="B284" s="31" t="s">
        <v>410</v>
      </c>
      <c r="C284" s="37">
        <v>46220</v>
      </c>
      <c r="D284" s="31" t="s">
        <v>334</v>
      </c>
      <c r="E284" s="31">
        <v>1377</v>
      </c>
      <c r="F284" s="31">
        <v>1205</v>
      </c>
      <c r="G284" s="32">
        <v>0.87509077705156135</v>
      </c>
      <c r="H284" s="31">
        <v>686</v>
      </c>
      <c r="I284" s="33">
        <v>0.49818445896877273</v>
      </c>
      <c r="J284" s="31">
        <v>1787</v>
      </c>
      <c r="K284" s="31">
        <v>1740</v>
      </c>
      <c r="L284" s="32">
        <v>0.97399999999999998</v>
      </c>
      <c r="M284" s="31">
        <v>9353</v>
      </c>
      <c r="N284" s="31">
        <v>9433</v>
      </c>
      <c r="O284" s="31">
        <v>9178</v>
      </c>
      <c r="P284" s="32">
        <v>0.98128942585266754</v>
      </c>
      <c r="Q284" s="31">
        <v>85</v>
      </c>
      <c r="R284" s="31">
        <v>0</v>
      </c>
      <c r="S284" s="31">
        <v>0</v>
      </c>
      <c r="T284" s="32">
        <v>0</v>
      </c>
      <c r="U284" s="31">
        <v>0</v>
      </c>
      <c r="V284" s="32">
        <v>0</v>
      </c>
      <c r="W284" s="31">
        <v>420</v>
      </c>
      <c r="X284" s="32">
        <v>0.30501089324618741</v>
      </c>
      <c r="Y284" s="31">
        <v>541</v>
      </c>
      <c r="Z284" s="34">
        <v>0.39288307915758902</v>
      </c>
      <c r="AA284" s="31">
        <v>0</v>
      </c>
      <c r="AB284" s="32">
        <v>0</v>
      </c>
      <c r="AC284" s="31">
        <v>118</v>
      </c>
      <c r="AD284" s="32">
        <v>8.569353667392883E-2</v>
      </c>
      <c r="AE284" s="31">
        <v>11</v>
      </c>
      <c r="AF284" s="32">
        <v>9.3220338983050849E-2</v>
      </c>
      <c r="AG284" s="31">
        <v>113</v>
      </c>
      <c r="AH284" s="32">
        <v>0.9576271186440678</v>
      </c>
      <c r="AI284" s="35">
        <v>113</v>
      </c>
      <c r="AJ284" s="32">
        <v>8.2062454611474225E-2</v>
      </c>
      <c r="AK284" s="35">
        <v>6</v>
      </c>
      <c r="AL284" s="32">
        <v>0.86725663716814161</v>
      </c>
      <c r="AM284" s="35">
        <v>112</v>
      </c>
      <c r="AN284" s="35">
        <v>98</v>
      </c>
      <c r="AO284" s="32">
        <v>7.1169208424110383E-2</v>
      </c>
      <c r="AP284" s="32">
        <v>0.83050847457627119</v>
      </c>
      <c r="AQ284" s="33">
        <v>0.97802197802197799</v>
      </c>
      <c r="AR284" s="33" t="s">
        <v>411</v>
      </c>
      <c r="AS284" s="33">
        <v>0</v>
      </c>
      <c r="AT284" s="35">
        <v>0</v>
      </c>
      <c r="AU284" s="35">
        <v>0</v>
      </c>
      <c r="AV284" s="35">
        <v>46</v>
      </c>
      <c r="AW284" s="35">
        <v>45</v>
      </c>
      <c r="AX284" s="35">
        <v>46</v>
      </c>
      <c r="AY284" s="35">
        <v>46</v>
      </c>
      <c r="AZ284" s="32">
        <v>3.2679738562091512E-2</v>
      </c>
      <c r="BA284" s="32">
        <v>3.3405954974582423E-2</v>
      </c>
      <c r="BB284" s="32">
        <v>3.3405954974582423E-2</v>
      </c>
      <c r="BC284" s="32">
        <v>0.46938775510204078</v>
      </c>
      <c r="BD284" s="35">
        <v>0</v>
      </c>
      <c r="BE284" s="35">
        <v>0</v>
      </c>
      <c r="BF284" s="33">
        <v>1</v>
      </c>
      <c r="BG284" s="33">
        <v>1</v>
      </c>
      <c r="BH284" s="33" t="s">
        <v>412</v>
      </c>
    </row>
    <row r="285" spans="1:60" ht="19.5" customHeight="1">
      <c r="A285" s="36">
        <v>282</v>
      </c>
      <c r="B285" s="31" t="s">
        <v>410</v>
      </c>
      <c r="C285" s="37">
        <v>46220</v>
      </c>
      <c r="D285" s="31" t="s">
        <v>337</v>
      </c>
      <c r="E285" s="31">
        <v>5321</v>
      </c>
      <c r="F285" s="31">
        <v>4685</v>
      </c>
      <c r="G285" s="32">
        <v>0.88047359518887425</v>
      </c>
      <c r="H285" s="31">
        <v>2250</v>
      </c>
      <c r="I285" s="33">
        <v>0.42285284720917121</v>
      </c>
      <c r="J285" s="31">
        <v>3490</v>
      </c>
      <c r="K285" s="31">
        <v>3393</v>
      </c>
      <c r="L285" s="32">
        <v>0.97199999999999998</v>
      </c>
      <c r="M285" s="31">
        <v>23279</v>
      </c>
      <c r="N285" s="31">
        <v>23768</v>
      </c>
      <c r="O285" s="31">
        <v>22862</v>
      </c>
      <c r="P285" s="32">
        <v>0.98208685940117701</v>
      </c>
      <c r="Q285" s="31">
        <v>157</v>
      </c>
      <c r="R285" s="31">
        <v>0</v>
      </c>
      <c r="S285" s="31">
        <v>0</v>
      </c>
      <c r="T285" s="32">
        <v>0</v>
      </c>
      <c r="U285" s="31">
        <v>0</v>
      </c>
      <c r="V285" s="32">
        <v>0</v>
      </c>
      <c r="W285" s="31">
        <v>1076</v>
      </c>
      <c r="X285" s="32">
        <v>0.20221762826536371</v>
      </c>
      <c r="Y285" s="31">
        <v>2188</v>
      </c>
      <c r="Z285" s="34">
        <v>0.41120090208607413</v>
      </c>
      <c r="AA285" s="31">
        <v>0</v>
      </c>
      <c r="AB285" s="32">
        <v>0</v>
      </c>
      <c r="AC285" s="31">
        <v>648</v>
      </c>
      <c r="AD285" s="32">
        <v>0.12178161999624131</v>
      </c>
      <c r="AE285" s="31">
        <v>114</v>
      </c>
      <c r="AF285" s="32">
        <v>0.1759259259259259</v>
      </c>
      <c r="AG285" s="31">
        <v>594</v>
      </c>
      <c r="AH285" s="32">
        <v>0.91666666666666663</v>
      </c>
      <c r="AI285" s="35">
        <v>632</v>
      </c>
      <c r="AJ285" s="32">
        <v>0.11877466641608719</v>
      </c>
      <c r="AK285" s="35">
        <v>46</v>
      </c>
      <c r="AL285" s="32">
        <v>0.89873417721518989</v>
      </c>
      <c r="AM285" s="35">
        <v>628</v>
      </c>
      <c r="AN285" s="35">
        <v>568</v>
      </c>
      <c r="AO285" s="32">
        <v>0.1067468520954708</v>
      </c>
      <c r="AP285" s="32">
        <v>0.87654320987654322</v>
      </c>
      <c r="AQ285" s="33">
        <v>0.95799999999999996</v>
      </c>
      <c r="AR285" s="33" t="s">
        <v>411</v>
      </c>
      <c r="AS285" s="33">
        <v>0</v>
      </c>
      <c r="AT285" s="35">
        <v>0</v>
      </c>
      <c r="AU285" s="35">
        <v>0</v>
      </c>
      <c r="AV285" s="35">
        <v>124</v>
      </c>
      <c r="AW285" s="35">
        <v>106</v>
      </c>
      <c r="AX285" s="35">
        <v>107</v>
      </c>
      <c r="AY285" s="35">
        <v>103</v>
      </c>
      <c r="AZ285" s="32">
        <v>1.9921067468520959E-2</v>
      </c>
      <c r="BA285" s="32">
        <v>2.0109002067280581E-2</v>
      </c>
      <c r="BB285" s="32">
        <v>1.935726367224206E-2</v>
      </c>
      <c r="BC285" s="32">
        <v>0.18838028169014079</v>
      </c>
      <c r="BD285" s="35">
        <v>0</v>
      </c>
      <c r="BE285" s="35">
        <v>0</v>
      </c>
      <c r="BF285" s="33">
        <v>0.95890410958904104</v>
      </c>
      <c r="BG285" s="33">
        <v>1</v>
      </c>
      <c r="BH285" s="33" t="s">
        <v>412</v>
      </c>
    </row>
    <row r="286" spans="1:60" ht="19.5" customHeight="1">
      <c r="A286" s="36">
        <v>283</v>
      </c>
      <c r="B286" s="31" t="s">
        <v>410</v>
      </c>
      <c r="C286" s="37">
        <v>46220</v>
      </c>
      <c r="D286" s="31" t="s">
        <v>336</v>
      </c>
      <c r="E286" s="31">
        <v>2774</v>
      </c>
      <c r="F286" s="31">
        <v>2480</v>
      </c>
      <c r="G286" s="32">
        <v>0.89401586157173751</v>
      </c>
      <c r="H286" s="31">
        <v>1860</v>
      </c>
      <c r="I286" s="33">
        <v>0.67051189617880314</v>
      </c>
      <c r="J286" s="31">
        <v>3882</v>
      </c>
      <c r="K286" s="31">
        <v>3811</v>
      </c>
      <c r="L286" s="32">
        <v>0.98199999999999998</v>
      </c>
      <c r="M286" s="31">
        <v>19267</v>
      </c>
      <c r="N286" s="31">
        <v>19591</v>
      </c>
      <c r="O286" s="31">
        <v>18997</v>
      </c>
      <c r="P286" s="32">
        <v>0.98598640161934914</v>
      </c>
      <c r="Q286" s="31">
        <v>110</v>
      </c>
      <c r="R286" s="31">
        <v>0</v>
      </c>
      <c r="S286" s="31">
        <v>0</v>
      </c>
      <c r="T286" s="32">
        <v>0</v>
      </c>
      <c r="U286" s="31">
        <v>0</v>
      </c>
      <c r="V286" s="32">
        <v>0</v>
      </c>
      <c r="W286" s="31">
        <v>581</v>
      </c>
      <c r="X286" s="32">
        <v>0.20944484498918531</v>
      </c>
      <c r="Y286" s="31">
        <v>740</v>
      </c>
      <c r="Z286" s="34">
        <v>0.26676279740447012</v>
      </c>
      <c r="AA286" s="31">
        <v>0</v>
      </c>
      <c r="AB286" s="32">
        <v>0</v>
      </c>
      <c r="AC286" s="31">
        <v>215</v>
      </c>
      <c r="AD286" s="32">
        <v>7.7505407354001438E-2</v>
      </c>
      <c r="AE286" s="31">
        <v>56</v>
      </c>
      <c r="AF286" s="32">
        <v>0.26046511627906982</v>
      </c>
      <c r="AG286" s="31">
        <v>206</v>
      </c>
      <c r="AH286" s="32">
        <v>0.95813953488372094</v>
      </c>
      <c r="AI286" s="35">
        <v>221</v>
      </c>
      <c r="AJ286" s="32">
        <v>7.9668348954578222E-2</v>
      </c>
      <c r="AK286" s="35">
        <v>22</v>
      </c>
      <c r="AL286" s="32">
        <v>0.93665158371040724</v>
      </c>
      <c r="AM286" s="35">
        <v>219</v>
      </c>
      <c r="AN286" s="35">
        <v>207</v>
      </c>
      <c r="AO286" s="32">
        <v>7.4621485219899059E-2</v>
      </c>
      <c r="AP286" s="32">
        <v>0.96279069767441861</v>
      </c>
      <c r="AQ286" s="33">
        <v>0.96815286624203822</v>
      </c>
      <c r="AR286" s="33" t="s">
        <v>411</v>
      </c>
      <c r="AS286" s="33">
        <v>0</v>
      </c>
      <c r="AT286" s="35">
        <v>0</v>
      </c>
      <c r="AU286" s="35">
        <v>0</v>
      </c>
      <c r="AV286" s="35">
        <v>122</v>
      </c>
      <c r="AW286" s="35">
        <v>114</v>
      </c>
      <c r="AX286" s="35">
        <v>113</v>
      </c>
      <c r="AY286" s="35">
        <v>96</v>
      </c>
      <c r="AZ286" s="32">
        <v>4.1095890410958902E-2</v>
      </c>
      <c r="BA286" s="32">
        <v>4.0735400144196098E-2</v>
      </c>
      <c r="BB286" s="32">
        <v>3.4607065609228549E-2</v>
      </c>
      <c r="BC286" s="32">
        <v>0.54589371980676327</v>
      </c>
      <c r="BD286" s="35">
        <v>0</v>
      </c>
      <c r="BE286" s="35">
        <v>0</v>
      </c>
      <c r="BF286" s="33">
        <v>0.95238095238095233</v>
      </c>
      <c r="BG286" s="33">
        <v>1</v>
      </c>
      <c r="BH286" s="33" t="s">
        <v>412</v>
      </c>
    </row>
    <row r="287" spans="1:60" ht="19.5" customHeight="1">
      <c r="A287" s="36">
        <v>284</v>
      </c>
      <c r="B287" s="31" t="s">
        <v>410</v>
      </c>
      <c r="C287" s="37">
        <v>46221</v>
      </c>
      <c r="D287" s="31"/>
      <c r="E287" s="31">
        <v>76</v>
      </c>
      <c r="F287" s="31">
        <v>76</v>
      </c>
      <c r="G287" s="32">
        <v>1</v>
      </c>
      <c r="H287" s="31">
        <v>76</v>
      </c>
      <c r="I287" s="33">
        <v>1</v>
      </c>
      <c r="J287" s="31">
        <v>0</v>
      </c>
      <c r="K287" s="31">
        <v>0</v>
      </c>
      <c r="L287" s="32">
        <v>0</v>
      </c>
      <c r="M287" s="31">
        <v>11</v>
      </c>
      <c r="N287" s="31">
        <v>3</v>
      </c>
      <c r="O287" s="31">
        <v>1</v>
      </c>
      <c r="P287" s="32">
        <v>9.0909090909090912E-2</v>
      </c>
      <c r="Q287" s="31">
        <v>10</v>
      </c>
      <c r="R287" s="31">
        <v>0</v>
      </c>
      <c r="S287" s="31">
        <v>0</v>
      </c>
      <c r="T287" s="32">
        <v>0</v>
      </c>
      <c r="U287" s="31">
        <v>0</v>
      </c>
      <c r="V287" s="32">
        <v>0</v>
      </c>
      <c r="W287" s="31">
        <v>10</v>
      </c>
      <c r="X287" s="32">
        <v>0.13157894736842099</v>
      </c>
      <c r="Y287" s="31">
        <v>22</v>
      </c>
      <c r="Z287" s="34">
        <v>0.28947368421052633</v>
      </c>
      <c r="AA287" s="31">
        <v>0</v>
      </c>
      <c r="AB287" s="32">
        <v>0</v>
      </c>
      <c r="AC287" s="31">
        <v>0</v>
      </c>
      <c r="AD287" s="32">
        <v>0</v>
      </c>
      <c r="AE287" s="31">
        <v>0</v>
      </c>
      <c r="AF287" s="32">
        <v>0</v>
      </c>
      <c r="AG287" s="31">
        <v>0</v>
      </c>
      <c r="AH287" s="32">
        <v>0</v>
      </c>
      <c r="AI287" s="35">
        <v>0</v>
      </c>
      <c r="AJ287" s="32">
        <v>0</v>
      </c>
      <c r="AK287" s="35">
        <v>0</v>
      </c>
      <c r="AL287" s="32">
        <v>0</v>
      </c>
      <c r="AM287" s="35">
        <v>0</v>
      </c>
      <c r="AN287" s="35">
        <v>0</v>
      </c>
      <c r="AO287" s="32">
        <v>0</v>
      </c>
      <c r="AP287" s="32">
        <v>0</v>
      </c>
      <c r="AQ287" s="33">
        <v>0</v>
      </c>
      <c r="AR287" s="33" t="s">
        <v>411</v>
      </c>
      <c r="AS287" s="33">
        <v>0</v>
      </c>
      <c r="AT287" s="35">
        <v>0</v>
      </c>
      <c r="AU287" s="35">
        <v>0</v>
      </c>
      <c r="AV287" s="35">
        <v>0</v>
      </c>
      <c r="AW287" s="35">
        <v>0</v>
      </c>
      <c r="AX287" s="35">
        <v>0</v>
      </c>
      <c r="AY287" s="35">
        <v>0</v>
      </c>
      <c r="AZ287" s="32">
        <v>0</v>
      </c>
      <c r="BA287" s="32">
        <v>0</v>
      </c>
      <c r="BB287" s="32">
        <v>0</v>
      </c>
      <c r="BC287" s="32">
        <v>0</v>
      </c>
      <c r="BD287" s="35">
        <v>0</v>
      </c>
      <c r="BE287" s="35">
        <v>0</v>
      </c>
      <c r="BF287" s="33" t="s">
        <v>412</v>
      </c>
      <c r="BG287" s="33" t="s">
        <v>412</v>
      </c>
      <c r="BH287" s="33">
        <v>1</v>
      </c>
    </row>
    <row r="288" spans="1:60" ht="19.5" customHeight="1">
      <c r="A288" s="36">
        <v>285</v>
      </c>
      <c r="B288" s="31" t="s">
        <v>410</v>
      </c>
      <c r="C288" s="37">
        <v>46221</v>
      </c>
      <c r="D288" s="31" t="s">
        <v>413</v>
      </c>
      <c r="E288" s="31">
        <v>301</v>
      </c>
      <c r="F288" s="31">
        <v>283</v>
      </c>
      <c r="G288" s="32">
        <v>0.94019933554817281</v>
      </c>
      <c r="H288" s="31">
        <v>98</v>
      </c>
      <c r="I288" s="33">
        <v>0.32558139534883718</v>
      </c>
      <c r="J288" s="31">
        <v>303</v>
      </c>
      <c r="K288" s="31">
        <v>149</v>
      </c>
      <c r="L288" s="32">
        <v>0.49199999999999999</v>
      </c>
      <c r="M288" s="31">
        <v>375</v>
      </c>
      <c r="N288" s="31">
        <v>297</v>
      </c>
      <c r="O288" s="31">
        <v>203</v>
      </c>
      <c r="P288" s="32">
        <v>0.54133333333333333</v>
      </c>
      <c r="Q288" s="31">
        <v>79</v>
      </c>
      <c r="R288" s="31">
        <v>0</v>
      </c>
      <c r="S288" s="31">
        <v>0</v>
      </c>
      <c r="T288" s="32">
        <v>0</v>
      </c>
      <c r="U288" s="31">
        <v>0</v>
      </c>
      <c r="V288" s="32">
        <v>0</v>
      </c>
      <c r="W288" s="31">
        <v>0</v>
      </c>
      <c r="X288" s="32">
        <v>0</v>
      </c>
      <c r="Y288" s="31">
        <v>11</v>
      </c>
      <c r="Z288" s="34">
        <v>3.6544850498338867E-2</v>
      </c>
      <c r="AA288" s="31">
        <v>0</v>
      </c>
      <c r="AB288" s="32">
        <v>0</v>
      </c>
      <c r="AC288" s="31">
        <v>0</v>
      </c>
      <c r="AD288" s="32">
        <v>0</v>
      </c>
      <c r="AE288" s="31">
        <v>0</v>
      </c>
      <c r="AF288" s="32">
        <v>0</v>
      </c>
      <c r="AG288" s="31">
        <v>0</v>
      </c>
      <c r="AH288" s="32">
        <v>0</v>
      </c>
      <c r="AI288" s="35">
        <v>0</v>
      </c>
      <c r="AJ288" s="32">
        <v>0</v>
      </c>
      <c r="AK288" s="35">
        <v>0</v>
      </c>
      <c r="AL288" s="32">
        <v>0</v>
      </c>
      <c r="AM288" s="35">
        <v>0</v>
      </c>
      <c r="AN288" s="35">
        <v>0</v>
      </c>
      <c r="AO288" s="32">
        <v>0</v>
      </c>
      <c r="AP288" s="32">
        <v>0</v>
      </c>
      <c r="AQ288" s="33">
        <v>1</v>
      </c>
      <c r="AR288" s="33" t="s">
        <v>411</v>
      </c>
      <c r="AS288" s="33">
        <v>0</v>
      </c>
      <c r="AT288" s="35">
        <v>0</v>
      </c>
      <c r="AU288" s="35">
        <v>0</v>
      </c>
      <c r="AV288" s="35">
        <v>3</v>
      </c>
      <c r="AW288" s="35">
        <v>3</v>
      </c>
      <c r="AX288" s="35">
        <v>3</v>
      </c>
      <c r="AY288" s="35">
        <v>0</v>
      </c>
      <c r="AZ288" s="32">
        <v>9.9667774086378731E-3</v>
      </c>
      <c r="BA288" s="32">
        <v>9.9667774086378731E-3</v>
      </c>
      <c r="BB288" s="32">
        <v>0</v>
      </c>
      <c r="BC288" s="32">
        <v>0</v>
      </c>
      <c r="BD288" s="35">
        <v>0</v>
      </c>
      <c r="BE288" s="35">
        <v>0</v>
      </c>
      <c r="BF288" s="33" t="s">
        <v>412</v>
      </c>
      <c r="BG288" s="33">
        <v>1</v>
      </c>
      <c r="BH288" s="33" t="s">
        <v>412</v>
      </c>
    </row>
    <row r="289" spans="1:60" ht="19.5" customHeight="1">
      <c r="A289" s="36">
        <v>286</v>
      </c>
      <c r="B289" s="31" t="s">
        <v>410</v>
      </c>
      <c r="C289" s="37">
        <v>46221</v>
      </c>
      <c r="D289" s="31" t="s">
        <v>335</v>
      </c>
      <c r="E289" s="31">
        <v>2205</v>
      </c>
      <c r="F289" s="31">
        <v>1975</v>
      </c>
      <c r="G289" s="32">
        <v>0.89569160997732422</v>
      </c>
      <c r="H289" s="31">
        <v>1013</v>
      </c>
      <c r="I289" s="33">
        <v>0.45941043083900229</v>
      </c>
      <c r="J289" s="31">
        <v>1909</v>
      </c>
      <c r="K289" s="31">
        <v>1863</v>
      </c>
      <c r="L289" s="32">
        <v>0.97599999999999998</v>
      </c>
      <c r="M289" s="31">
        <v>10330</v>
      </c>
      <c r="N289" s="31">
        <v>10305</v>
      </c>
      <c r="O289" s="31">
        <v>10180</v>
      </c>
      <c r="P289" s="32">
        <v>0.98547918683446278</v>
      </c>
      <c r="Q289" s="31">
        <v>54</v>
      </c>
      <c r="R289" s="31">
        <v>0</v>
      </c>
      <c r="S289" s="31">
        <v>0</v>
      </c>
      <c r="T289" s="32">
        <v>0</v>
      </c>
      <c r="U289" s="31">
        <v>0</v>
      </c>
      <c r="V289" s="32">
        <v>0</v>
      </c>
      <c r="W289" s="31">
        <v>239</v>
      </c>
      <c r="X289" s="32">
        <v>0.108390022675737</v>
      </c>
      <c r="Y289" s="31">
        <v>1118</v>
      </c>
      <c r="Z289" s="34">
        <v>0.50702947845804991</v>
      </c>
      <c r="AA289" s="31">
        <v>0</v>
      </c>
      <c r="AB289" s="32">
        <v>0</v>
      </c>
      <c r="AC289" s="31">
        <v>178</v>
      </c>
      <c r="AD289" s="32">
        <v>8.0725623582766443E-2</v>
      </c>
      <c r="AE289" s="31">
        <v>31</v>
      </c>
      <c r="AF289" s="32">
        <v>0.1741573033707865</v>
      </c>
      <c r="AG289" s="31">
        <v>170</v>
      </c>
      <c r="AH289" s="32">
        <v>0.9550561797752809</v>
      </c>
      <c r="AI289" s="35">
        <v>178</v>
      </c>
      <c r="AJ289" s="32">
        <v>8.0725623582766443E-2</v>
      </c>
      <c r="AK289" s="35">
        <v>6</v>
      </c>
      <c r="AL289" s="32">
        <v>0.8314606741573034</v>
      </c>
      <c r="AM289" s="35">
        <v>173</v>
      </c>
      <c r="AN289" s="35">
        <v>148</v>
      </c>
      <c r="AO289" s="32">
        <v>6.7120181405895693E-2</v>
      </c>
      <c r="AP289" s="32">
        <v>0.8314606741573034</v>
      </c>
      <c r="AQ289" s="33">
        <v>0.96808510638297873</v>
      </c>
      <c r="AR289" s="33" t="s">
        <v>411</v>
      </c>
      <c r="AS289" s="33">
        <v>0</v>
      </c>
      <c r="AT289" s="35">
        <v>0</v>
      </c>
      <c r="AU289" s="35">
        <v>0</v>
      </c>
      <c r="AV289" s="35">
        <v>75</v>
      </c>
      <c r="AW289" s="35">
        <v>70</v>
      </c>
      <c r="AX289" s="35">
        <v>65</v>
      </c>
      <c r="AY289" s="35">
        <v>35</v>
      </c>
      <c r="AZ289" s="32">
        <v>3.1746031746031737E-2</v>
      </c>
      <c r="BA289" s="32">
        <v>2.9478458049886622E-2</v>
      </c>
      <c r="BB289" s="32">
        <v>1.5873015873015869E-2</v>
      </c>
      <c r="BC289" s="32">
        <v>0.4391891891891892</v>
      </c>
      <c r="BD289" s="35">
        <v>0</v>
      </c>
      <c r="BE289" s="35">
        <v>0</v>
      </c>
      <c r="BF289" s="33">
        <v>0.91666666666666663</v>
      </c>
      <c r="BG289" s="33">
        <v>1</v>
      </c>
      <c r="BH289" s="33" t="s">
        <v>412</v>
      </c>
    </row>
    <row r="290" spans="1:60" ht="19.5" customHeight="1">
      <c r="A290" s="36">
        <v>287</v>
      </c>
      <c r="B290" s="31" t="s">
        <v>410</v>
      </c>
      <c r="C290" s="37">
        <v>46221</v>
      </c>
      <c r="D290" s="31" t="s">
        <v>334</v>
      </c>
      <c r="E290" s="31">
        <v>1533</v>
      </c>
      <c r="F290" s="31">
        <v>1367</v>
      </c>
      <c r="G290" s="32">
        <v>0.89171559034572734</v>
      </c>
      <c r="H290" s="31">
        <v>724</v>
      </c>
      <c r="I290" s="33">
        <v>0.47227658186562288</v>
      </c>
      <c r="J290" s="31">
        <v>1120</v>
      </c>
      <c r="K290" s="31">
        <v>1092</v>
      </c>
      <c r="L290" s="32">
        <v>0.97499999999999998</v>
      </c>
      <c r="M290" s="31">
        <v>8695</v>
      </c>
      <c r="N290" s="31">
        <v>8399</v>
      </c>
      <c r="O290" s="31">
        <v>8548</v>
      </c>
      <c r="P290" s="32">
        <v>0.98309373202990225</v>
      </c>
      <c r="Q290" s="31">
        <v>48</v>
      </c>
      <c r="R290" s="31">
        <v>0</v>
      </c>
      <c r="S290" s="31">
        <v>0</v>
      </c>
      <c r="T290" s="32">
        <v>0</v>
      </c>
      <c r="U290" s="31">
        <v>0</v>
      </c>
      <c r="V290" s="32">
        <v>0</v>
      </c>
      <c r="W290" s="31">
        <v>211</v>
      </c>
      <c r="X290" s="32">
        <v>0.13763861709067191</v>
      </c>
      <c r="Y290" s="31">
        <v>696</v>
      </c>
      <c r="Z290" s="34">
        <v>0.45401174168297448</v>
      </c>
      <c r="AA290" s="31">
        <v>0</v>
      </c>
      <c r="AB290" s="32">
        <v>0</v>
      </c>
      <c r="AC290" s="31">
        <v>198</v>
      </c>
      <c r="AD290" s="32">
        <v>0.12915851272015649</v>
      </c>
      <c r="AE290" s="31">
        <v>31</v>
      </c>
      <c r="AF290" s="32">
        <v>0.1565656565656566</v>
      </c>
      <c r="AG290" s="31">
        <v>182</v>
      </c>
      <c r="AH290" s="32">
        <v>0.91919191919191923</v>
      </c>
      <c r="AI290" s="35">
        <v>194</v>
      </c>
      <c r="AJ290" s="32">
        <v>0.12654924983692109</v>
      </c>
      <c r="AK290" s="35">
        <v>4</v>
      </c>
      <c r="AL290" s="32">
        <v>0.80412371134020622</v>
      </c>
      <c r="AM290" s="35">
        <v>187</v>
      </c>
      <c r="AN290" s="35">
        <v>156</v>
      </c>
      <c r="AO290" s="32">
        <v>0.10176125244618391</v>
      </c>
      <c r="AP290" s="32">
        <v>0.78787878787878785</v>
      </c>
      <c r="AQ290" s="33">
        <v>0.93805309734513276</v>
      </c>
      <c r="AR290" s="33" t="s">
        <v>411</v>
      </c>
      <c r="AS290" s="33">
        <v>0</v>
      </c>
      <c r="AT290" s="35">
        <v>0</v>
      </c>
      <c r="AU290" s="35">
        <v>0</v>
      </c>
      <c r="AV290" s="35">
        <v>47</v>
      </c>
      <c r="AW290" s="35">
        <v>46</v>
      </c>
      <c r="AX290" s="35">
        <v>44</v>
      </c>
      <c r="AY290" s="35">
        <v>39</v>
      </c>
      <c r="AZ290" s="32">
        <v>3.0006523157208091E-2</v>
      </c>
      <c r="BA290" s="32">
        <v>2.8701891715590341E-2</v>
      </c>
      <c r="BB290" s="32">
        <v>2.544031311154599E-2</v>
      </c>
      <c r="BC290" s="32">
        <v>0.28205128205128199</v>
      </c>
      <c r="BD290" s="35">
        <v>0</v>
      </c>
      <c r="BE290" s="35">
        <v>0</v>
      </c>
      <c r="BF290" s="33">
        <v>1</v>
      </c>
      <c r="BG290" s="33">
        <v>1</v>
      </c>
      <c r="BH290" s="33" t="s">
        <v>412</v>
      </c>
    </row>
    <row r="291" spans="1:60" ht="19.5" customHeight="1">
      <c r="A291" s="36">
        <v>288</v>
      </c>
      <c r="B291" s="31" t="s">
        <v>410</v>
      </c>
      <c r="C291" s="37">
        <v>46221</v>
      </c>
      <c r="D291" s="31" t="s">
        <v>337</v>
      </c>
      <c r="E291" s="31">
        <v>5889</v>
      </c>
      <c r="F291" s="31">
        <v>5220</v>
      </c>
      <c r="G291" s="32">
        <v>0.88639836984207843</v>
      </c>
      <c r="H291" s="31">
        <v>2550</v>
      </c>
      <c r="I291" s="33">
        <v>0.43301069791136021</v>
      </c>
      <c r="J291" s="31">
        <v>5004</v>
      </c>
      <c r="K291" s="31">
        <v>4885</v>
      </c>
      <c r="L291" s="32">
        <v>0.97599999999999998</v>
      </c>
      <c r="M291" s="31">
        <v>25730</v>
      </c>
      <c r="N291" s="31">
        <v>25416</v>
      </c>
      <c r="O291" s="31">
        <v>25290</v>
      </c>
      <c r="P291" s="32">
        <v>0.98289933929265449</v>
      </c>
      <c r="Q291" s="31">
        <v>145</v>
      </c>
      <c r="R291" s="31">
        <v>0</v>
      </c>
      <c r="S291" s="31">
        <v>0</v>
      </c>
      <c r="T291" s="32">
        <v>0</v>
      </c>
      <c r="U291" s="31">
        <v>0</v>
      </c>
      <c r="V291" s="32">
        <v>0</v>
      </c>
      <c r="W291" s="31">
        <v>551</v>
      </c>
      <c r="X291" s="32">
        <v>9.3564272372219398E-2</v>
      </c>
      <c r="Y291" s="31">
        <v>2403</v>
      </c>
      <c r="Z291" s="34">
        <v>0.40804890473764638</v>
      </c>
      <c r="AA291" s="31">
        <v>0</v>
      </c>
      <c r="AB291" s="32">
        <v>0</v>
      </c>
      <c r="AC291" s="31">
        <v>970</v>
      </c>
      <c r="AD291" s="32">
        <v>0.16471387332314491</v>
      </c>
      <c r="AE291" s="31">
        <v>225</v>
      </c>
      <c r="AF291" s="32">
        <v>0.23195876288659789</v>
      </c>
      <c r="AG291" s="31">
        <v>919</v>
      </c>
      <c r="AH291" s="32">
        <v>0.9474226804123711</v>
      </c>
      <c r="AI291" s="35">
        <v>1019</v>
      </c>
      <c r="AJ291" s="32">
        <v>0.1730344710477161</v>
      </c>
      <c r="AK291" s="35">
        <v>53</v>
      </c>
      <c r="AL291" s="32">
        <v>0.86947988223748773</v>
      </c>
      <c r="AM291" s="35">
        <v>970</v>
      </c>
      <c r="AN291" s="35">
        <v>886</v>
      </c>
      <c r="AO291" s="32">
        <v>0.15044999150959409</v>
      </c>
      <c r="AP291" s="32">
        <v>0.91340206185567008</v>
      </c>
      <c r="AQ291" s="33">
        <v>0.94490818030050083</v>
      </c>
      <c r="AR291" s="33" t="s">
        <v>411</v>
      </c>
      <c r="AS291" s="33">
        <v>0</v>
      </c>
      <c r="AT291" s="35">
        <v>0</v>
      </c>
      <c r="AU291" s="35">
        <v>0</v>
      </c>
      <c r="AV291" s="35">
        <v>180</v>
      </c>
      <c r="AW291" s="35">
        <v>173</v>
      </c>
      <c r="AX291" s="35">
        <v>169</v>
      </c>
      <c r="AY291" s="35">
        <v>84</v>
      </c>
      <c r="AZ291" s="32">
        <v>2.9376804211241302E-2</v>
      </c>
      <c r="BA291" s="32">
        <v>2.8697571743929361E-2</v>
      </c>
      <c r="BB291" s="32">
        <v>1.4263881813550689E-2</v>
      </c>
      <c r="BC291" s="32">
        <v>0.19074492099322801</v>
      </c>
      <c r="BD291" s="35">
        <v>0</v>
      </c>
      <c r="BE291" s="35">
        <v>0</v>
      </c>
      <c r="BF291" s="33">
        <v>0.96825396825396826</v>
      </c>
      <c r="BG291" s="33">
        <v>1</v>
      </c>
      <c r="BH291" s="33" t="s">
        <v>412</v>
      </c>
    </row>
    <row r="292" spans="1:60" ht="19.5" customHeight="1">
      <c r="A292" s="36">
        <v>289</v>
      </c>
      <c r="B292" s="31" t="s">
        <v>410</v>
      </c>
      <c r="C292" s="37">
        <v>46221</v>
      </c>
      <c r="D292" s="31" t="s">
        <v>336</v>
      </c>
      <c r="E292" s="31">
        <v>3062</v>
      </c>
      <c r="F292" s="31">
        <v>2756</v>
      </c>
      <c r="G292" s="32">
        <v>0.9000653167864141</v>
      </c>
      <c r="H292" s="31">
        <v>2075</v>
      </c>
      <c r="I292" s="33">
        <v>0.67766165904637488</v>
      </c>
      <c r="J292" s="31">
        <v>3869</v>
      </c>
      <c r="K292" s="31">
        <v>3778</v>
      </c>
      <c r="L292" s="32">
        <v>0.97599999999999998</v>
      </c>
      <c r="M292" s="31">
        <v>19639</v>
      </c>
      <c r="N292" s="31">
        <v>19433</v>
      </c>
      <c r="O292" s="31">
        <v>19321</v>
      </c>
      <c r="P292" s="32">
        <v>0.98380772951779627</v>
      </c>
      <c r="Q292" s="31">
        <v>122</v>
      </c>
      <c r="R292" s="31">
        <v>0</v>
      </c>
      <c r="S292" s="31">
        <v>0</v>
      </c>
      <c r="T292" s="32">
        <v>0</v>
      </c>
      <c r="U292" s="31">
        <v>0</v>
      </c>
      <c r="V292" s="32">
        <v>0</v>
      </c>
      <c r="W292" s="31">
        <v>331</v>
      </c>
      <c r="X292" s="32">
        <v>0.10809928151534939</v>
      </c>
      <c r="Y292" s="31">
        <v>917</v>
      </c>
      <c r="Z292" s="34">
        <v>0.29947746570868711</v>
      </c>
      <c r="AA292" s="31">
        <v>0</v>
      </c>
      <c r="AB292" s="32">
        <v>0</v>
      </c>
      <c r="AC292" s="31">
        <v>324</v>
      </c>
      <c r="AD292" s="32">
        <v>0.10581319399085561</v>
      </c>
      <c r="AE292" s="31">
        <v>52</v>
      </c>
      <c r="AF292" s="32">
        <v>0.16049382716049379</v>
      </c>
      <c r="AG292" s="31">
        <v>308</v>
      </c>
      <c r="AH292" s="32">
        <v>0.95061728395061729</v>
      </c>
      <c r="AI292" s="35">
        <v>320</v>
      </c>
      <c r="AJ292" s="32">
        <v>0.1045068582625735</v>
      </c>
      <c r="AK292" s="35">
        <v>21</v>
      </c>
      <c r="AL292" s="32">
        <v>0.89687499999999998</v>
      </c>
      <c r="AM292" s="35">
        <v>306</v>
      </c>
      <c r="AN292" s="35">
        <v>287</v>
      </c>
      <c r="AO292" s="32">
        <v>9.3729588504245592E-2</v>
      </c>
      <c r="AP292" s="32">
        <v>0.88580246913580252</v>
      </c>
      <c r="AQ292" s="33">
        <v>0.96923076923076923</v>
      </c>
      <c r="AR292" s="33" t="s">
        <v>411</v>
      </c>
      <c r="AS292" s="33">
        <v>0</v>
      </c>
      <c r="AT292" s="35">
        <v>0</v>
      </c>
      <c r="AU292" s="35">
        <v>0</v>
      </c>
      <c r="AV292" s="35">
        <v>91</v>
      </c>
      <c r="AW292" s="35">
        <v>85</v>
      </c>
      <c r="AX292" s="35">
        <v>82</v>
      </c>
      <c r="AY292" s="35">
        <v>46</v>
      </c>
      <c r="AZ292" s="32">
        <v>2.7759634225996081E-2</v>
      </c>
      <c r="BA292" s="32">
        <v>2.6779882429784459E-2</v>
      </c>
      <c r="BB292" s="32">
        <v>1.502286087524494E-2</v>
      </c>
      <c r="BC292" s="32">
        <v>0.2857142857142857</v>
      </c>
      <c r="BD292" s="35">
        <v>0</v>
      </c>
      <c r="BE292" s="35">
        <v>0</v>
      </c>
      <c r="BF292" s="33">
        <v>1</v>
      </c>
      <c r="BG292" s="33">
        <v>1</v>
      </c>
      <c r="BH292" s="33" t="s">
        <v>412</v>
      </c>
    </row>
    <row r="293" spans="1:60" ht="19.5" customHeight="1">
      <c r="A293" s="36">
        <v>290</v>
      </c>
      <c r="B293" s="31" t="s">
        <v>410</v>
      </c>
      <c r="C293" s="37">
        <v>46222</v>
      </c>
      <c r="D293" s="31"/>
      <c r="E293" s="31">
        <v>72</v>
      </c>
      <c r="F293" s="31">
        <v>71</v>
      </c>
      <c r="G293" s="32">
        <v>0.98611111111111116</v>
      </c>
      <c r="H293" s="31">
        <v>72</v>
      </c>
      <c r="I293" s="33">
        <v>1</v>
      </c>
      <c r="J293" s="31">
        <v>2</v>
      </c>
      <c r="K293" s="31">
        <v>0</v>
      </c>
      <c r="L293" s="32">
        <v>0</v>
      </c>
      <c r="M293" s="31">
        <v>13</v>
      </c>
      <c r="N293" s="31">
        <v>3</v>
      </c>
      <c r="O293" s="31">
        <v>2</v>
      </c>
      <c r="P293" s="32">
        <v>0.15384615384615391</v>
      </c>
      <c r="Q293" s="31">
        <v>11</v>
      </c>
      <c r="R293" s="31">
        <v>0</v>
      </c>
      <c r="S293" s="31">
        <v>0</v>
      </c>
      <c r="T293" s="32">
        <v>0</v>
      </c>
      <c r="U293" s="31">
        <v>0</v>
      </c>
      <c r="V293" s="32">
        <v>0</v>
      </c>
      <c r="W293" s="31">
        <v>11</v>
      </c>
      <c r="X293" s="32">
        <v>0.15277777777777779</v>
      </c>
      <c r="Y293" s="31">
        <v>29</v>
      </c>
      <c r="Z293" s="34">
        <v>0.40277777777777779</v>
      </c>
      <c r="AA293" s="31">
        <v>0</v>
      </c>
      <c r="AB293" s="32">
        <v>0</v>
      </c>
      <c r="AC293" s="31">
        <v>0</v>
      </c>
      <c r="AD293" s="32">
        <v>0</v>
      </c>
      <c r="AE293" s="31">
        <v>0</v>
      </c>
      <c r="AF293" s="32">
        <v>0</v>
      </c>
      <c r="AG293" s="31">
        <v>0</v>
      </c>
      <c r="AH293" s="32">
        <v>0</v>
      </c>
      <c r="AI293" s="35">
        <v>0</v>
      </c>
      <c r="AJ293" s="32">
        <v>0</v>
      </c>
      <c r="AK293" s="35">
        <v>0</v>
      </c>
      <c r="AL293" s="32">
        <v>0</v>
      </c>
      <c r="AM293" s="35">
        <v>0</v>
      </c>
      <c r="AN293" s="35">
        <v>0</v>
      </c>
      <c r="AO293" s="32">
        <v>0</v>
      </c>
      <c r="AP293" s="32">
        <v>0</v>
      </c>
      <c r="AQ293" s="33">
        <v>0</v>
      </c>
      <c r="AR293" s="33" t="s">
        <v>411</v>
      </c>
      <c r="AS293" s="33">
        <v>0</v>
      </c>
      <c r="AT293" s="35">
        <v>0</v>
      </c>
      <c r="AU293" s="35">
        <v>0</v>
      </c>
      <c r="AV293" s="35">
        <v>0</v>
      </c>
      <c r="AW293" s="35">
        <v>0</v>
      </c>
      <c r="AX293" s="35">
        <v>0</v>
      </c>
      <c r="AY293" s="35">
        <v>0</v>
      </c>
      <c r="AZ293" s="32">
        <v>0</v>
      </c>
      <c r="BA293" s="32">
        <v>0</v>
      </c>
      <c r="BB293" s="32">
        <v>0</v>
      </c>
      <c r="BC293" s="32">
        <v>0</v>
      </c>
      <c r="BD293" s="35">
        <v>0</v>
      </c>
      <c r="BE293" s="35">
        <v>1</v>
      </c>
      <c r="BF293" s="33" t="s">
        <v>412</v>
      </c>
      <c r="BG293" s="33" t="s">
        <v>412</v>
      </c>
      <c r="BH293" s="33">
        <v>0.97674418604651159</v>
      </c>
    </row>
    <row r="294" spans="1:60" ht="19.5" customHeight="1">
      <c r="A294" s="36">
        <v>291</v>
      </c>
      <c r="B294" s="31" t="s">
        <v>410</v>
      </c>
      <c r="C294" s="37">
        <v>46222</v>
      </c>
      <c r="D294" s="31" t="s">
        <v>413</v>
      </c>
      <c r="E294" s="31">
        <v>304</v>
      </c>
      <c r="F294" s="31">
        <v>277</v>
      </c>
      <c r="G294" s="32">
        <v>0.91118421052631582</v>
      </c>
      <c r="H294" s="31">
        <v>86</v>
      </c>
      <c r="I294" s="33">
        <v>0.28289473684210531</v>
      </c>
      <c r="J294" s="31">
        <v>280</v>
      </c>
      <c r="K294" s="31">
        <v>140</v>
      </c>
      <c r="L294" s="32">
        <v>0.5</v>
      </c>
      <c r="M294" s="31">
        <v>382</v>
      </c>
      <c r="N294" s="31">
        <v>280</v>
      </c>
      <c r="O294" s="31">
        <v>216</v>
      </c>
      <c r="P294" s="32">
        <v>0.56544502617801051</v>
      </c>
      <c r="Q294" s="31">
        <v>82</v>
      </c>
      <c r="R294" s="31">
        <v>0</v>
      </c>
      <c r="S294" s="31">
        <v>0</v>
      </c>
      <c r="T294" s="32">
        <v>0</v>
      </c>
      <c r="U294" s="31">
        <v>0</v>
      </c>
      <c r="V294" s="32">
        <v>0</v>
      </c>
      <c r="W294" s="31">
        <v>2</v>
      </c>
      <c r="X294" s="32">
        <v>6.5789473684210523E-3</v>
      </c>
      <c r="Y294" s="31">
        <v>32</v>
      </c>
      <c r="Z294" s="34">
        <v>0.10526315789473679</v>
      </c>
      <c r="AA294" s="31">
        <v>0</v>
      </c>
      <c r="AB294" s="32">
        <v>0</v>
      </c>
      <c r="AC294" s="31">
        <v>0</v>
      </c>
      <c r="AD294" s="32">
        <v>0</v>
      </c>
      <c r="AE294" s="31">
        <v>0</v>
      </c>
      <c r="AF294" s="32">
        <v>0</v>
      </c>
      <c r="AG294" s="31">
        <v>0</v>
      </c>
      <c r="AH294" s="32">
        <v>0</v>
      </c>
      <c r="AI294" s="35">
        <v>0</v>
      </c>
      <c r="AJ294" s="32">
        <v>0</v>
      </c>
      <c r="AK294" s="35">
        <v>0</v>
      </c>
      <c r="AL294" s="32">
        <v>0</v>
      </c>
      <c r="AM294" s="35">
        <v>0</v>
      </c>
      <c r="AN294" s="35">
        <v>0</v>
      </c>
      <c r="AO294" s="32">
        <v>0</v>
      </c>
      <c r="AP294" s="32">
        <v>0</v>
      </c>
      <c r="AQ294" s="33"/>
      <c r="AR294" s="33" t="s">
        <v>411</v>
      </c>
      <c r="AS294" s="33" t="s">
        <v>411</v>
      </c>
      <c r="AT294" s="35">
        <v>0</v>
      </c>
      <c r="AU294" s="35">
        <v>0</v>
      </c>
      <c r="AV294" s="35">
        <v>2</v>
      </c>
      <c r="AW294" s="35">
        <v>2</v>
      </c>
      <c r="AX294" s="35">
        <v>1</v>
      </c>
      <c r="AY294" s="35">
        <v>0</v>
      </c>
      <c r="AZ294" s="32">
        <v>6.5789473684210523E-3</v>
      </c>
      <c r="BA294" s="32">
        <v>3.2894736842105261E-3</v>
      </c>
      <c r="BB294" s="32">
        <v>0</v>
      </c>
      <c r="BC294" s="32">
        <v>0</v>
      </c>
      <c r="BD294" s="35">
        <v>0</v>
      </c>
      <c r="BE294" s="35">
        <v>0</v>
      </c>
      <c r="BF294" s="33" t="s">
        <v>412</v>
      </c>
      <c r="BG294" s="33">
        <v>1</v>
      </c>
      <c r="BH294" s="33" t="s">
        <v>412</v>
      </c>
    </row>
    <row r="295" spans="1:60" ht="19.5" customHeight="1">
      <c r="A295" s="36">
        <v>292</v>
      </c>
      <c r="B295" s="31" t="s">
        <v>410</v>
      </c>
      <c r="C295" s="37">
        <v>46222</v>
      </c>
      <c r="D295" s="31" t="s">
        <v>335</v>
      </c>
      <c r="E295" s="31">
        <v>2271</v>
      </c>
      <c r="F295" s="31">
        <v>1989</v>
      </c>
      <c r="G295" s="32">
        <v>0.87582562747688242</v>
      </c>
      <c r="H295" s="31">
        <v>1076</v>
      </c>
      <c r="I295" s="33">
        <v>0.47380008806693091</v>
      </c>
      <c r="J295" s="31">
        <v>2247</v>
      </c>
      <c r="K295" s="31">
        <v>2186</v>
      </c>
      <c r="L295" s="32">
        <v>0.97299999999999998</v>
      </c>
      <c r="M295" s="31">
        <v>10908</v>
      </c>
      <c r="N295" s="31">
        <v>10877</v>
      </c>
      <c r="O295" s="31">
        <v>10747</v>
      </c>
      <c r="P295" s="32">
        <v>0.98524019068573521</v>
      </c>
      <c r="Q295" s="31">
        <v>52</v>
      </c>
      <c r="R295" s="31">
        <v>0</v>
      </c>
      <c r="S295" s="31">
        <v>0</v>
      </c>
      <c r="T295" s="32">
        <v>0</v>
      </c>
      <c r="U295" s="31">
        <v>0</v>
      </c>
      <c r="V295" s="32">
        <v>0</v>
      </c>
      <c r="W295" s="31">
        <v>256</v>
      </c>
      <c r="X295" s="32">
        <v>0.1127256715103479</v>
      </c>
      <c r="Y295" s="31">
        <v>1018</v>
      </c>
      <c r="Z295" s="34">
        <v>0.44826067811536768</v>
      </c>
      <c r="AA295" s="31">
        <v>0</v>
      </c>
      <c r="AB295" s="32">
        <v>0</v>
      </c>
      <c r="AC295" s="31">
        <v>238</v>
      </c>
      <c r="AD295" s="32">
        <v>0.1047996477322765</v>
      </c>
      <c r="AE295" s="31">
        <v>25</v>
      </c>
      <c r="AF295" s="32">
        <v>0.1050420168067227</v>
      </c>
      <c r="AG295" s="31">
        <v>203</v>
      </c>
      <c r="AH295" s="32">
        <v>0.8529411764705882</v>
      </c>
      <c r="AI295" s="35">
        <v>172</v>
      </c>
      <c r="AJ295" s="32">
        <v>7.5737560546014965E-2</v>
      </c>
      <c r="AK295" s="35">
        <v>10</v>
      </c>
      <c r="AL295" s="32">
        <v>0.85465116279069764</v>
      </c>
      <c r="AM295" s="35">
        <v>167</v>
      </c>
      <c r="AN295" s="35">
        <v>147</v>
      </c>
      <c r="AO295" s="32">
        <v>6.4729194187582564E-2</v>
      </c>
      <c r="AP295" s="32">
        <v>0.61764705882352944</v>
      </c>
      <c r="AQ295" s="33">
        <v>0.98170731707317072</v>
      </c>
      <c r="AR295" s="33" t="s">
        <v>411</v>
      </c>
      <c r="AS295" s="33">
        <v>0</v>
      </c>
      <c r="AT295" s="35">
        <v>0</v>
      </c>
      <c r="AU295" s="35">
        <v>0</v>
      </c>
      <c r="AV295" s="35">
        <v>208</v>
      </c>
      <c r="AW295" s="35">
        <v>202</v>
      </c>
      <c r="AX295" s="35">
        <v>190</v>
      </c>
      <c r="AY295" s="35">
        <v>28</v>
      </c>
      <c r="AZ295" s="32">
        <v>8.8947600176133859E-2</v>
      </c>
      <c r="BA295" s="32">
        <v>8.3663584324086313E-2</v>
      </c>
      <c r="BB295" s="32">
        <v>1.2329370321444299E-2</v>
      </c>
      <c r="BC295" s="32">
        <v>1.292517006802721</v>
      </c>
      <c r="BD295" s="35">
        <v>0</v>
      </c>
      <c r="BE295" s="35">
        <v>0</v>
      </c>
      <c r="BF295" s="33">
        <v>1</v>
      </c>
      <c r="BG295" s="33">
        <v>1</v>
      </c>
      <c r="BH295" s="33" t="s">
        <v>412</v>
      </c>
    </row>
    <row r="296" spans="1:60" ht="19.5" customHeight="1">
      <c r="A296" s="36">
        <v>293</v>
      </c>
      <c r="B296" s="31" t="s">
        <v>410</v>
      </c>
      <c r="C296" s="37">
        <v>46222</v>
      </c>
      <c r="D296" s="31" t="s">
        <v>334</v>
      </c>
      <c r="E296" s="31">
        <v>1628</v>
      </c>
      <c r="F296" s="31">
        <v>1425</v>
      </c>
      <c r="G296" s="32">
        <v>0.87530712530712529</v>
      </c>
      <c r="H296" s="31">
        <v>788</v>
      </c>
      <c r="I296" s="33">
        <v>0.48402948402948398</v>
      </c>
      <c r="J296" s="31">
        <v>1851</v>
      </c>
      <c r="K296" s="31">
        <v>1789</v>
      </c>
      <c r="L296" s="32">
        <v>0.96699999999999997</v>
      </c>
      <c r="M296" s="31">
        <v>8928</v>
      </c>
      <c r="N296" s="31">
        <v>8718</v>
      </c>
      <c r="O296" s="31">
        <v>8752</v>
      </c>
      <c r="P296" s="32">
        <v>0.98028673835125446</v>
      </c>
      <c r="Q296" s="31">
        <v>60</v>
      </c>
      <c r="R296" s="31">
        <v>0</v>
      </c>
      <c r="S296" s="31">
        <v>0</v>
      </c>
      <c r="T296" s="32">
        <v>0</v>
      </c>
      <c r="U296" s="31">
        <v>0</v>
      </c>
      <c r="V296" s="32">
        <v>0</v>
      </c>
      <c r="W296" s="31">
        <v>232</v>
      </c>
      <c r="X296" s="32">
        <v>0.14250614250614249</v>
      </c>
      <c r="Y296" s="31">
        <v>545</v>
      </c>
      <c r="Z296" s="34">
        <v>0.33476658476658477</v>
      </c>
      <c r="AA296" s="31">
        <v>0</v>
      </c>
      <c r="AB296" s="32">
        <v>0</v>
      </c>
      <c r="AC296" s="31">
        <v>176</v>
      </c>
      <c r="AD296" s="32">
        <v>0.1081081081081081</v>
      </c>
      <c r="AE296" s="31">
        <v>22</v>
      </c>
      <c r="AF296" s="32">
        <v>0.125</v>
      </c>
      <c r="AG296" s="31">
        <v>164</v>
      </c>
      <c r="AH296" s="32">
        <v>0.93181818181818177</v>
      </c>
      <c r="AI296" s="35">
        <v>177</v>
      </c>
      <c r="AJ296" s="32">
        <v>0.10872235872235871</v>
      </c>
      <c r="AK296" s="35">
        <v>8</v>
      </c>
      <c r="AL296" s="32">
        <v>0.82485875706214684</v>
      </c>
      <c r="AM296" s="35">
        <v>166</v>
      </c>
      <c r="AN296" s="35">
        <v>146</v>
      </c>
      <c r="AO296" s="32">
        <v>8.9680589680589687E-2</v>
      </c>
      <c r="AP296" s="32">
        <v>0.82954545454545459</v>
      </c>
      <c r="AQ296" s="33">
        <v>0.94827586206896552</v>
      </c>
      <c r="AR296" s="33" t="s">
        <v>411</v>
      </c>
      <c r="AS296" s="33">
        <v>0</v>
      </c>
      <c r="AT296" s="35">
        <v>0</v>
      </c>
      <c r="AU296" s="35">
        <v>0</v>
      </c>
      <c r="AV296" s="35">
        <v>62</v>
      </c>
      <c r="AW296" s="35">
        <v>62</v>
      </c>
      <c r="AX296" s="35">
        <v>56</v>
      </c>
      <c r="AY296" s="35">
        <v>17</v>
      </c>
      <c r="AZ296" s="32">
        <v>3.8083538083538093E-2</v>
      </c>
      <c r="BA296" s="32">
        <v>3.4398034398034398E-2</v>
      </c>
      <c r="BB296" s="32">
        <v>1.044226044226044E-2</v>
      </c>
      <c r="BC296" s="32">
        <v>0.38356164383561642</v>
      </c>
      <c r="BD296" s="35">
        <v>0</v>
      </c>
      <c r="BE296" s="35">
        <v>0</v>
      </c>
      <c r="BF296" s="33">
        <v>1</v>
      </c>
      <c r="BG296" s="33">
        <v>1</v>
      </c>
      <c r="BH296" s="33" t="s">
        <v>412</v>
      </c>
    </row>
    <row r="297" spans="1:60" ht="19.5" customHeight="1">
      <c r="A297" s="36">
        <v>294</v>
      </c>
      <c r="B297" s="31" t="s">
        <v>410</v>
      </c>
      <c r="C297" s="37">
        <v>46222</v>
      </c>
      <c r="D297" s="31" t="s">
        <v>337</v>
      </c>
      <c r="E297" s="31">
        <v>5976</v>
      </c>
      <c r="F297" s="31">
        <v>5263</v>
      </c>
      <c r="G297" s="32">
        <v>0.88068942436412312</v>
      </c>
      <c r="H297" s="31">
        <v>2542</v>
      </c>
      <c r="I297" s="33">
        <v>0.42536813922356093</v>
      </c>
      <c r="J297" s="31">
        <v>5102</v>
      </c>
      <c r="K297" s="31">
        <v>4908</v>
      </c>
      <c r="L297" s="32">
        <v>0.96199999999999997</v>
      </c>
      <c r="M297" s="31">
        <v>25284</v>
      </c>
      <c r="N297" s="31">
        <v>25046</v>
      </c>
      <c r="O297" s="31">
        <v>24782</v>
      </c>
      <c r="P297" s="32">
        <v>0.98014554659072928</v>
      </c>
      <c r="Q297" s="31">
        <v>219</v>
      </c>
      <c r="R297" s="31">
        <v>0</v>
      </c>
      <c r="S297" s="31">
        <v>0</v>
      </c>
      <c r="T297" s="32">
        <v>0</v>
      </c>
      <c r="U297" s="31">
        <v>0</v>
      </c>
      <c r="V297" s="32">
        <v>0</v>
      </c>
      <c r="W297" s="31">
        <v>618</v>
      </c>
      <c r="X297" s="32">
        <v>0.1034136546184739</v>
      </c>
      <c r="Y297" s="31">
        <v>2213</v>
      </c>
      <c r="Z297" s="34">
        <v>0.37031459170013392</v>
      </c>
      <c r="AA297" s="31">
        <v>0</v>
      </c>
      <c r="AB297" s="32">
        <v>0</v>
      </c>
      <c r="AC297" s="31">
        <v>931</v>
      </c>
      <c r="AD297" s="32">
        <v>0.15578982597054891</v>
      </c>
      <c r="AE297" s="31">
        <v>170</v>
      </c>
      <c r="AF297" s="32">
        <v>0.18259935553168641</v>
      </c>
      <c r="AG297" s="31">
        <v>886</v>
      </c>
      <c r="AH297" s="32">
        <v>0.95166487647690656</v>
      </c>
      <c r="AI297" s="35">
        <v>992</v>
      </c>
      <c r="AJ297" s="32">
        <v>0.16599732262382871</v>
      </c>
      <c r="AK297" s="35">
        <v>54</v>
      </c>
      <c r="AL297" s="32">
        <v>0.83467741935483875</v>
      </c>
      <c r="AM297" s="35">
        <v>923</v>
      </c>
      <c r="AN297" s="35">
        <v>828</v>
      </c>
      <c r="AO297" s="32">
        <v>0.13855421686746991</v>
      </c>
      <c r="AP297" s="32">
        <v>0.88936627282491942</v>
      </c>
      <c r="AQ297" s="33">
        <v>0.97236438075742071</v>
      </c>
      <c r="AR297" s="33" t="s">
        <v>411</v>
      </c>
      <c r="AS297" s="33">
        <v>0</v>
      </c>
      <c r="AT297" s="35">
        <v>0</v>
      </c>
      <c r="AU297" s="35">
        <v>0</v>
      </c>
      <c r="AV297" s="35">
        <v>311</v>
      </c>
      <c r="AW297" s="35">
        <v>298</v>
      </c>
      <c r="AX297" s="35">
        <v>261</v>
      </c>
      <c r="AY297" s="35">
        <v>79</v>
      </c>
      <c r="AZ297" s="32">
        <v>4.9866131191432399E-2</v>
      </c>
      <c r="BA297" s="32">
        <v>4.3674698795180718E-2</v>
      </c>
      <c r="BB297" s="32">
        <v>1.321954484605087E-2</v>
      </c>
      <c r="BC297" s="32">
        <v>0.31521739130434778</v>
      </c>
      <c r="BD297" s="35">
        <v>0</v>
      </c>
      <c r="BE297" s="35">
        <v>0</v>
      </c>
      <c r="BF297" s="33">
        <v>0.98399999999999999</v>
      </c>
      <c r="BG297" s="33">
        <v>1</v>
      </c>
      <c r="BH297" s="33" t="s">
        <v>412</v>
      </c>
    </row>
    <row r="298" spans="1:60" ht="19.5" customHeight="1">
      <c r="A298" s="36">
        <v>295</v>
      </c>
      <c r="B298" s="31" t="s">
        <v>410</v>
      </c>
      <c r="C298" s="37">
        <v>46222</v>
      </c>
      <c r="D298" s="31" t="s">
        <v>336</v>
      </c>
      <c r="E298" s="31">
        <v>3205</v>
      </c>
      <c r="F298" s="31">
        <v>2902</v>
      </c>
      <c r="G298" s="32">
        <v>0.90546021840873636</v>
      </c>
      <c r="H298" s="31">
        <v>2120</v>
      </c>
      <c r="I298" s="33">
        <v>0.6614664586583463</v>
      </c>
      <c r="J298" s="31">
        <v>4096</v>
      </c>
      <c r="K298" s="31">
        <v>3962</v>
      </c>
      <c r="L298" s="32">
        <v>0.96699999999999997</v>
      </c>
      <c r="M298" s="31">
        <v>19462</v>
      </c>
      <c r="N298" s="31">
        <v>19716</v>
      </c>
      <c r="O298" s="31">
        <v>19144</v>
      </c>
      <c r="P298" s="32">
        <v>0.98366046655020034</v>
      </c>
      <c r="Q298" s="31">
        <v>131</v>
      </c>
      <c r="R298" s="31">
        <v>0</v>
      </c>
      <c r="S298" s="31">
        <v>0</v>
      </c>
      <c r="T298" s="32">
        <v>0</v>
      </c>
      <c r="U298" s="31">
        <v>0</v>
      </c>
      <c r="V298" s="32">
        <v>0</v>
      </c>
      <c r="W298" s="31">
        <v>349</v>
      </c>
      <c r="X298" s="32">
        <v>0.1088923556942278</v>
      </c>
      <c r="Y298" s="31">
        <v>700</v>
      </c>
      <c r="Z298" s="34">
        <v>0.21840873634945401</v>
      </c>
      <c r="AA298" s="31">
        <v>0</v>
      </c>
      <c r="AB298" s="32">
        <v>0</v>
      </c>
      <c r="AC298" s="31">
        <v>337</v>
      </c>
      <c r="AD298" s="32">
        <v>0.10514820592823711</v>
      </c>
      <c r="AE298" s="31">
        <v>47</v>
      </c>
      <c r="AF298" s="32">
        <v>0.1394658753709199</v>
      </c>
      <c r="AG298" s="31">
        <v>315</v>
      </c>
      <c r="AH298" s="32">
        <v>0.93471810089020768</v>
      </c>
      <c r="AI298" s="35">
        <v>317</v>
      </c>
      <c r="AJ298" s="32">
        <v>9.8907956318252735E-2</v>
      </c>
      <c r="AK298" s="35">
        <v>21</v>
      </c>
      <c r="AL298" s="32">
        <v>0.90851735015772872</v>
      </c>
      <c r="AM298" s="35">
        <v>307</v>
      </c>
      <c r="AN298" s="35">
        <v>288</v>
      </c>
      <c r="AO298" s="32">
        <v>8.9859594383775346E-2</v>
      </c>
      <c r="AP298" s="32">
        <v>0.85459940652818989</v>
      </c>
      <c r="AQ298" s="33">
        <v>0.95270270270270274</v>
      </c>
      <c r="AR298" s="33" t="s">
        <v>411</v>
      </c>
      <c r="AS298" s="33">
        <v>0</v>
      </c>
      <c r="AT298" s="35">
        <v>0</v>
      </c>
      <c r="AU298" s="35">
        <v>0</v>
      </c>
      <c r="AV298" s="35">
        <v>215</v>
      </c>
      <c r="AW298" s="35">
        <v>211</v>
      </c>
      <c r="AX298" s="35">
        <v>194</v>
      </c>
      <c r="AY298" s="35">
        <v>52</v>
      </c>
      <c r="AZ298" s="32">
        <v>6.583463338533542E-2</v>
      </c>
      <c r="BA298" s="32">
        <v>6.0530421216848672E-2</v>
      </c>
      <c r="BB298" s="32">
        <v>1.622464898595944E-2</v>
      </c>
      <c r="BC298" s="32">
        <v>0.67361111111111116</v>
      </c>
      <c r="BD298" s="35">
        <v>0</v>
      </c>
      <c r="BE298" s="35">
        <v>0</v>
      </c>
      <c r="BF298" s="33">
        <v>1</v>
      </c>
      <c r="BG298" s="33">
        <v>1</v>
      </c>
      <c r="BH298" s="33" t="s">
        <v>412</v>
      </c>
    </row>
    <row r="299" spans="1:60" ht="19.5" customHeight="1">
      <c r="A299" s="36">
        <v>296</v>
      </c>
      <c r="B299" s="31" t="s">
        <v>410</v>
      </c>
      <c r="C299" s="37">
        <v>46223</v>
      </c>
      <c r="D299" s="31"/>
      <c r="E299" s="31">
        <v>38</v>
      </c>
      <c r="F299" s="31">
        <v>38</v>
      </c>
      <c r="G299" s="32">
        <v>1</v>
      </c>
      <c r="H299" s="31">
        <v>38</v>
      </c>
      <c r="I299" s="33">
        <v>1</v>
      </c>
      <c r="J299" s="31">
        <v>4</v>
      </c>
      <c r="K299" s="31">
        <v>1</v>
      </c>
      <c r="L299" s="32">
        <v>0.25</v>
      </c>
      <c r="M299" s="31">
        <v>11</v>
      </c>
      <c r="N299" s="31">
        <v>0</v>
      </c>
      <c r="O299" s="31">
        <v>2</v>
      </c>
      <c r="P299" s="32">
        <v>0.1818181818181818</v>
      </c>
      <c r="Q299" s="31">
        <v>9</v>
      </c>
      <c r="R299" s="31">
        <v>0</v>
      </c>
      <c r="S299" s="31">
        <v>0</v>
      </c>
      <c r="T299" s="32">
        <v>0</v>
      </c>
      <c r="U299" s="31">
        <v>0</v>
      </c>
      <c r="V299" s="32">
        <v>0</v>
      </c>
      <c r="W299" s="31">
        <v>12</v>
      </c>
      <c r="X299" s="32">
        <v>0.31578947368421051</v>
      </c>
      <c r="Y299" s="31">
        <v>12</v>
      </c>
      <c r="Z299" s="34">
        <v>0.31578947368421051</v>
      </c>
      <c r="AA299" s="31">
        <v>0</v>
      </c>
      <c r="AB299" s="32">
        <v>0</v>
      </c>
      <c r="AC299" s="31">
        <v>0</v>
      </c>
      <c r="AD299" s="32">
        <v>0</v>
      </c>
      <c r="AE299" s="31">
        <v>0</v>
      </c>
      <c r="AF299" s="32">
        <v>0</v>
      </c>
      <c r="AG299" s="31">
        <v>0</v>
      </c>
      <c r="AH299" s="32">
        <v>0</v>
      </c>
      <c r="AI299" s="35">
        <v>0</v>
      </c>
      <c r="AJ299" s="32">
        <v>0</v>
      </c>
      <c r="AK299" s="35">
        <v>0</v>
      </c>
      <c r="AL299" s="32">
        <v>0</v>
      </c>
      <c r="AM299" s="35">
        <v>0</v>
      </c>
      <c r="AN299" s="35">
        <v>0</v>
      </c>
      <c r="AO299" s="32">
        <v>0</v>
      </c>
      <c r="AP299" s="32">
        <v>0</v>
      </c>
      <c r="AQ299" s="33">
        <v>0</v>
      </c>
      <c r="AR299" s="33" t="s">
        <v>411</v>
      </c>
      <c r="AS299" s="33">
        <v>0</v>
      </c>
      <c r="AT299" s="35">
        <v>0</v>
      </c>
      <c r="AU299" s="35">
        <v>0</v>
      </c>
      <c r="AV299" s="35">
        <v>0</v>
      </c>
      <c r="AW299" s="35">
        <v>0</v>
      </c>
      <c r="AX299" s="35">
        <v>0</v>
      </c>
      <c r="AY299" s="35">
        <v>0</v>
      </c>
      <c r="AZ299" s="32">
        <v>0</v>
      </c>
      <c r="BA299" s="32">
        <v>0</v>
      </c>
      <c r="BB299" s="32">
        <v>0</v>
      </c>
      <c r="BC299" s="32">
        <v>0</v>
      </c>
      <c r="BD299" s="35">
        <v>0</v>
      </c>
      <c r="BE299" s="35">
        <v>0</v>
      </c>
      <c r="BF299" s="33" t="s">
        <v>412</v>
      </c>
      <c r="BG299" s="33" t="s">
        <v>412</v>
      </c>
      <c r="BH299" s="33">
        <v>1</v>
      </c>
    </row>
    <row r="300" spans="1:60" ht="19.5" customHeight="1">
      <c r="A300" s="36">
        <v>297</v>
      </c>
      <c r="B300" s="31" t="s">
        <v>410</v>
      </c>
      <c r="C300" s="37">
        <v>46223</v>
      </c>
      <c r="D300" s="31" t="s">
        <v>413</v>
      </c>
      <c r="E300" s="31">
        <v>177</v>
      </c>
      <c r="F300" s="31">
        <v>163</v>
      </c>
      <c r="G300" s="32">
        <v>0.92090395480225984</v>
      </c>
      <c r="H300" s="31">
        <v>84</v>
      </c>
      <c r="I300" s="33">
        <v>0.47457627118644069</v>
      </c>
      <c r="J300" s="31">
        <v>246</v>
      </c>
      <c r="K300" s="31">
        <v>114</v>
      </c>
      <c r="L300" s="32">
        <v>0.46300000000000002</v>
      </c>
      <c r="M300" s="31">
        <v>396</v>
      </c>
      <c r="N300" s="31">
        <v>274</v>
      </c>
      <c r="O300" s="31">
        <v>218</v>
      </c>
      <c r="P300" s="32">
        <v>0.5505050505050505</v>
      </c>
      <c r="Q300" s="31">
        <v>89</v>
      </c>
      <c r="R300" s="31">
        <v>0</v>
      </c>
      <c r="S300" s="31">
        <v>0</v>
      </c>
      <c r="T300" s="32">
        <v>0</v>
      </c>
      <c r="U300" s="31">
        <v>0</v>
      </c>
      <c r="V300" s="32">
        <v>0</v>
      </c>
      <c r="W300" s="31">
        <v>1</v>
      </c>
      <c r="X300" s="32">
        <v>5.6497175141242938E-3</v>
      </c>
      <c r="Y300" s="31">
        <v>21</v>
      </c>
      <c r="Z300" s="34">
        <v>0.1186440677966102</v>
      </c>
      <c r="AA300" s="31">
        <v>0</v>
      </c>
      <c r="AB300" s="32">
        <v>0</v>
      </c>
      <c r="AC300" s="31">
        <v>0</v>
      </c>
      <c r="AD300" s="32">
        <v>0</v>
      </c>
      <c r="AE300" s="31">
        <v>0</v>
      </c>
      <c r="AF300" s="32">
        <v>0</v>
      </c>
      <c r="AG300" s="31">
        <v>0</v>
      </c>
      <c r="AH300" s="32">
        <v>0</v>
      </c>
      <c r="AI300" s="35">
        <v>0</v>
      </c>
      <c r="AJ300" s="32">
        <v>0</v>
      </c>
      <c r="AK300" s="35">
        <v>0</v>
      </c>
      <c r="AL300" s="32">
        <v>0</v>
      </c>
      <c r="AM300" s="35">
        <v>0</v>
      </c>
      <c r="AN300" s="35">
        <v>0</v>
      </c>
      <c r="AO300" s="32">
        <v>0</v>
      </c>
      <c r="AP300" s="32">
        <v>0</v>
      </c>
      <c r="AQ300" s="33">
        <v>1</v>
      </c>
      <c r="AR300" s="33" t="s">
        <v>411</v>
      </c>
      <c r="AS300" s="33">
        <v>0</v>
      </c>
      <c r="AT300" s="35">
        <v>0</v>
      </c>
      <c r="AU300" s="35">
        <v>0</v>
      </c>
      <c r="AV300" s="35">
        <v>2</v>
      </c>
      <c r="AW300" s="35">
        <v>2</v>
      </c>
      <c r="AX300" s="35">
        <v>3</v>
      </c>
      <c r="AY300" s="35">
        <v>0</v>
      </c>
      <c r="AZ300" s="32">
        <v>1.1299435028248589E-2</v>
      </c>
      <c r="BA300" s="32">
        <v>1.6949152542372881E-2</v>
      </c>
      <c r="BB300" s="32">
        <v>0</v>
      </c>
      <c r="BC300" s="32">
        <v>0</v>
      </c>
      <c r="BD300" s="35">
        <v>0</v>
      </c>
      <c r="BE300" s="35">
        <v>0</v>
      </c>
      <c r="BF300" s="33" t="s">
        <v>412</v>
      </c>
      <c r="BG300" s="33">
        <v>1</v>
      </c>
      <c r="BH300" s="33" t="s">
        <v>412</v>
      </c>
    </row>
    <row r="301" spans="1:60" ht="19.5" customHeight="1">
      <c r="A301" s="36">
        <v>298</v>
      </c>
      <c r="B301" s="31" t="s">
        <v>410</v>
      </c>
      <c r="C301" s="37">
        <v>46223</v>
      </c>
      <c r="D301" s="31" t="s">
        <v>335</v>
      </c>
      <c r="E301" s="31">
        <v>2183</v>
      </c>
      <c r="F301" s="31">
        <v>1919</v>
      </c>
      <c r="G301" s="32">
        <v>0.87906550618415025</v>
      </c>
      <c r="H301" s="31">
        <v>1016</v>
      </c>
      <c r="I301" s="33">
        <v>0.46541456710948242</v>
      </c>
      <c r="J301" s="31">
        <v>2129</v>
      </c>
      <c r="K301" s="31">
        <v>2057</v>
      </c>
      <c r="L301" s="32">
        <v>0.96599999999999997</v>
      </c>
      <c r="M301" s="31">
        <v>10703</v>
      </c>
      <c r="N301" s="31">
        <v>10251</v>
      </c>
      <c r="O301" s="31">
        <v>10485</v>
      </c>
      <c r="P301" s="32">
        <v>0.9796318789124544</v>
      </c>
      <c r="Q301" s="31">
        <v>69</v>
      </c>
      <c r="R301" s="31">
        <v>0</v>
      </c>
      <c r="S301" s="31">
        <v>0</v>
      </c>
      <c r="T301" s="32">
        <v>0</v>
      </c>
      <c r="U301" s="31">
        <v>0</v>
      </c>
      <c r="V301" s="32">
        <v>0</v>
      </c>
      <c r="W301" s="31">
        <v>298</v>
      </c>
      <c r="X301" s="32">
        <v>0.13650939074667889</v>
      </c>
      <c r="Y301" s="31">
        <v>978</v>
      </c>
      <c r="Z301" s="34">
        <v>0.44800732936326149</v>
      </c>
      <c r="AA301" s="31">
        <v>0</v>
      </c>
      <c r="AB301" s="32">
        <v>0</v>
      </c>
      <c r="AC301" s="31">
        <v>122</v>
      </c>
      <c r="AD301" s="32">
        <v>5.5886394869445723E-2</v>
      </c>
      <c r="AE301" s="31">
        <v>13</v>
      </c>
      <c r="AF301" s="32">
        <v>0.10655737704918029</v>
      </c>
      <c r="AG301" s="31">
        <v>108</v>
      </c>
      <c r="AH301" s="32">
        <v>0.88524590163934425</v>
      </c>
      <c r="AI301" s="35">
        <v>104</v>
      </c>
      <c r="AJ301" s="32">
        <v>4.7640861200183231E-2</v>
      </c>
      <c r="AK301" s="35">
        <v>9</v>
      </c>
      <c r="AL301" s="32">
        <v>0.81730769230769229</v>
      </c>
      <c r="AM301" s="35">
        <v>104</v>
      </c>
      <c r="AN301" s="35">
        <v>85</v>
      </c>
      <c r="AO301" s="32">
        <v>3.8937242327072838E-2</v>
      </c>
      <c r="AP301" s="32">
        <v>0.69672131147540983</v>
      </c>
      <c r="AQ301" s="33">
        <v>0.91666666666666663</v>
      </c>
      <c r="AR301" s="33" t="s">
        <v>411</v>
      </c>
      <c r="AS301" s="33">
        <v>0</v>
      </c>
      <c r="AT301" s="35">
        <v>0</v>
      </c>
      <c r="AU301" s="35">
        <v>0</v>
      </c>
      <c r="AV301" s="35">
        <v>31</v>
      </c>
      <c r="AW301" s="35">
        <v>19</v>
      </c>
      <c r="AX301" s="35">
        <v>27</v>
      </c>
      <c r="AY301" s="35">
        <v>45</v>
      </c>
      <c r="AZ301" s="32">
        <v>8.703618873110398E-3</v>
      </c>
      <c r="BA301" s="32">
        <v>1.2368300503893721E-2</v>
      </c>
      <c r="BB301" s="32">
        <v>2.0613834173156209E-2</v>
      </c>
      <c r="BC301" s="32">
        <v>0.31764705882352939</v>
      </c>
      <c r="BD301" s="35">
        <v>0</v>
      </c>
      <c r="BE301" s="35">
        <v>0</v>
      </c>
      <c r="BF301" s="33">
        <v>1</v>
      </c>
      <c r="BG301" s="33">
        <v>1</v>
      </c>
      <c r="BH301" s="33" t="s">
        <v>412</v>
      </c>
    </row>
    <row r="302" spans="1:60" ht="19.5" customHeight="1">
      <c r="A302" s="36">
        <v>299</v>
      </c>
      <c r="B302" s="31" t="s">
        <v>410</v>
      </c>
      <c r="C302" s="37">
        <v>46223</v>
      </c>
      <c r="D302" s="31" t="s">
        <v>334</v>
      </c>
      <c r="E302" s="31">
        <v>1471</v>
      </c>
      <c r="F302" s="31">
        <v>1311</v>
      </c>
      <c r="G302" s="32">
        <v>0.89123045547246771</v>
      </c>
      <c r="H302" s="31">
        <v>668</v>
      </c>
      <c r="I302" s="33">
        <v>0.45411284840244731</v>
      </c>
      <c r="J302" s="31">
        <v>1334</v>
      </c>
      <c r="K302" s="31">
        <v>1285</v>
      </c>
      <c r="L302" s="32">
        <v>0.96299999999999997</v>
      </c>
      <c r="M302" s="31">
        <v>8853</v>
      </c>
      <c r="N302" s="31">
        <v>8399</v>
      </c>
      <c r="O302" s="31">
        <v>8681</v>
      </c>
      <c r="P302" s="32">
        <v>0.98057155766406867</v>
      </c>
      <c r="Q302" s="31">
        <v>69</v>
      </c>
      <c r="R302" s="31">
        <v>0</v>
      </c>
      <c r="S302" s="31">
        <v>0</v>
      </c>
      <c r="T302" s="32">
        <v>0</v>
      </c>
      <c r="U302" s="31">
        <v>0</v>
      </c>
      <c r="V302" s="32">
        <v>0</v>
      </c>
      <c r="W302" s="31">
        <v>257</v>
      </c>
      <c r="X302" s="32">
        <v>0.17471108089734869</v>
      </c>
      <c r="Y302" s="31">
        <v>459</v>
      </c>
      <c r="Z302" s="34">
        <v>0.31203263086335831</v>
      </c>
      <c r="AA302" s="31">
        <v>0</v>
      </c>
      <c r="AB302" s="32">
        <v>0</v>
      </c>
      <c r="AC302" s="31">
        <v>104</v>
      </c>
      <c r="AD302" s="32">
        <v>7.0700203942895987E-2</v>
      </c>
      <c r="AE302" s="31">
        <v>29</v>
      </c>
      <c r="AF302" s="32">
        <v>0.27884615384615391</v>
      </c>
      <c r="AG302" s="31">
        <v>95</v>
      </c>
      <c r="AH302" s="32">
        <v>0.91346153846153844</v>
      </c>
      <c r="AI302" s="35">
        <v>96</v>
      </c>
      <c r="AJ302" s="32">
        <v>6.5261726716519378E-2</v>
      </c>
      <c r="AK302" s="35">
        <v>7</v>
      </c>
      <c r="AL302" s="32">
        <v>0.875</v>
      </c>
      <c r="AM302" s="35">
        <v>94</v>
      </c>
      <c r="AN302" s="35">
        <v>84</v>
      </c>
      <c r="AO302" s="32">
        <v>5.710401087695445E-2</v>
      </c>
      <c r="AP302" s="32">
        <v>0.80769230769230771</v>
      </c>
      <c r="AQ302" s="33">
        <v>0.95569620253164556</v>
      </c>
      <c r="AR302" s="33" t="s">
        <v>411</v>
      </c>
      <c r="AS302" s="33">
        <v>0</v>
      </c>
      <c r="AT302" s="35">
        <v>0</v>
      </c>
      <c r="AU302" s="35">
        <v>0</v>
      </c>
      <c r="AV302" s="35">
        <v>24</v>
      </c>
      <c r="AW302" s="35">
        <v>14</v>
      </c>
      <c r="AX302" s="35">
        <v>15</v>
      </c>
      <c r="AY302" s="35">
        <v>41</v>
      </c>
      <c r="AZ302" s="32">
        <v>9.5173351461590762E-3</v>
      </c>
      <c r="BA302" s="32">
        <v>1.0197144799456151E-2</v>
      </c>
      <c r="BB302" s="32">
        <v>2.7872195785180149E-2</v>
      </c>
      <c r="BC302" s="32">
        <v>0.1785714285714286</v>
      </c>
      <c r="BD302" s="35">
        <v>0</v>
      </c>
      <c r="BE302" s="35">
        <v>0</v>
      </c>
      <c r="BF302" s="33">
        <v>1</v>
      </c>
      <c r="BG302" s="33">
        <v>1</v>
      </c>
      <c r="BH302" s="33" t="s">
        <v>412</v>
      </c>
    </row>
    <row r="303" spans="1:60" ht="19.5" customHeight="1">
      <c r="A303" s="36">
        <v>300</v>
      </c>
      <c r="B303" s="31" t="s">
        <v>410</v>
      </c>
      <c r="C303" s="37">
        <v>46223</v>
      </c>
      <c r="D303" s="31" t="s">
        <v>337</v>
      </c>
      <c r="E303" s="31">
        <v>4814</v>
      </c>
      <c r="F303" s="31">
        <v>4269</v>
      </c>
      <c r="G303" s="32">
        <v>0.88678853344412134</v>
      </c>
      <c r="H303" s="31">
        <v>1868</v>
      </c>
      <c r="I303" s="33">
        <v>0.38803489821354381</v>
      </c>
      <c r="J303" s="31">
        <v>4190</v>
      </c>
      <c r="K303" s="31">
        <v>4050</v>
      </c>
      <c r="L303" s="32">
        <v>0.96699999999999997</v>
      </c>
      <c r="M303" s="31">
        <v>23994</v>
      </c>
      <c r="N303" s="31">
        <v>23020</v>
      </c>
      <c r="O303" s="31">
        <v>23496</v>
      </c>
      <c r="P303" s="32">
        <v>0.97924481120280071</v>
      </c>
      <c r="Q303" s="31">
        <v>194</v>
      </c>
      <c r="R303" s="31">
        <v>0</v>
      </c>
      <c r="S303" s="31">
        <v>0</v>
      </c>
      <c r="T303" s="32">
        <v>0</v>
      </c>
      <c r="U303" s="31">
        <v>0</v>
      </c>
      <c r="V303" s="32">
        <v>0</v>
      </c>
      <c r="W303" s="31">
        <v>699</v>
      </c>
      <c r="X303" s="32">
        <v>0.1452014956377233</v>
      </c>
      <c r="Y303" s="31">
        <v>2368</v>
      </c>
      <c r="Z303" s="34">
        <v>0.49189862899875358</v>
      </c>
      <c r="AA303" s="31">
        <v>0</v>
      </c>
      <c r="AB303" s="32">
        <v>0</v>
      </c>
      <c r="AC303" s="31">
        <v>496</v>
      </c>
      <c r="AD303" s="32">
        <v>0.1030328209389281</v>
      </c>
      <c r="AE303" s="31">
        <v>95</v>
      </c>
      <c r="AF303" s="32">
        <v>0.1915322580645161</v>
      </c>
      <c r="AG303" s="31">
        <v>459</v>
      </c>
      <c r="AH303" s="32">
        <v>0.92540322580645162</v>
      </c>
      <c r="AI303" s="35">
        <v>494</v>
      </c>
      <c r="AJ303" s="32">
        <v>0.1026173660157873</v>
      </c>
      <c r="AK303" s="35">
        <v>36</v>
      </c>
      <c r="AL303" s="32">
        <v>0.88663967611336036</v>
      </c>
      <c r="AM303" s="35">
        <v>484</v>
      </c>
      <c r="AN303" s="35">
        <v>438</v>
      </c>
      <c r="AO303" s="32">
        <v>9.0984628167843792E-2</v>
      </c>
      <c r="AP303" s="32">
        <v>0.88306451612903225</v>
      </c>
      <c r="AQ303" s="33">
        <v>0.969060773480663</v>
      </c>
      <c r="AR303" s="33" t="s">
        <v>411</v>
      </c>
      <c r="AS303" s="33">
        <v>0</v>
      </c>
      <c r="AT303" s="35">
        <v>0</v>
      </c>
      <c r="AU303" s="35">
        <v>0</v>
      </c>
      <c r="AV303" s="35">
        <v>50</v>
      </c>
      <c r="AW303" s="35">
        <v>23</v>
      </c>
      <c r="AX303" s="35">
        <v>41</v>
      </c>
      <c r="AY303" s="35">
        <v>143</v>
      </c>
      <c r="AZ303" s="32">
        <v>4.7777316161196513E-3</v>
      </c>
      <c r="BA303" s="32">
        <v>8.5168259243872044E-3</v>
      </c>
      <c r="BB303" s="32">
        <v>2.9705027004569999E-2</v>
      </c>
      <c r="BC303" s="32">
        <v>9.3607305936073054E-2</v>
      </c>
      <c r="BD303" s="35">
        <v>0</v>
      </c>
      <c r="BE303" s="35">
        <v>1</v>
      </c>
      <c r="BF303" s="33">
        <v>0.95081967213114749</v>
      </c>
      <c r="BG303" s="33">
        <v>1</v>
      </c>
      <c r="BH303" s="33" t="s">
        <v>412</v>
      </c>
    </row>
    <row r="304" spans="1:60" ht="19.5" customHeight="1">
      <c r="A304" s="36">
        <v>301</v>
      </c>
      <c r="B304" s="31" t="s">
        <v>410</v>
      </c>
      <c r="C304" s="37">
        <v>46223</v>
      </c>
      <c r="D304" s="31" t="s">
        <v>336</v>
      </c>
      <c r="E304" s="31">
        <v>2740</v>
      </c>
      <c r="F304" s="31">
        <v>2480</v>
      </c>
      <c r="G304" s="32">
        <v>0.9051094890510949</v>
      </c>
      <c r="H304" s="31">
        <v>1771</v>
      </c>
      <c r="I304" s="33">
        <v>0.64635036496350362</v>
      </c>
      <c r="J304" s="31">
        <v>3734</v>
      </c>
      <c r="K304" s="31">
        <v>3616</v>
      </c>
      <c r="L304" s="32">
        <v>0.96799999999999997</v>
      </c>
      <c r="M304" s="31">
        <v>19209</v>
      </c>
      <c r="N304" s="31">
        <v>18776</v>
      </c>
      <c r="O304" s="31">
        <v>18865</v>
      </c>
      <c r="P304" s="32">
        <v>0.98209172783591026</v>
      </c>
      <c r="Q304" s="31">
        <v>115</v>
      </c>
      <c r="R304" s="31">
        <v>0</v>
      </c>
      <c r="S304" s="31">
        <v>0</v>
      </c>
      <c r="T304" s="32">
        <v>0</v>
      </c>
      <c r="U304" s="31">
        <v>0</v>
      </c>
      <c r="V304" s="32">
        <v>0</v>
      </c>
      <c r="W304" s="31">
        <v>404</v>
      </c>
      <c r="X304" s="32">
        <v>0.14744525547445261</v>
      </c>
      <c r="Y304" s="31">
        <v>787</v>
      </c>
      <c r="Z304" s="34">
        <v>0.28722627737226281</v>
      </c>
      <c r="AA304" s="31">
        <v>0</v>
      </c>
      <c r="AB304" s="32">
        <v>0</v>
      </c>
      <c r="AC304" s="31">
        <v>168</v>
      </c>
      <c r="AD304" s="32">
        <v>6.1313868613138693E-2</v>
      </c>
      <c r="AE304" s="31">
        <v>31</v>
      </c>
      <c r="AF304" s="32">
        <v>0.18452380952380951</v>
      </c>
      <c r="AG304" s="31">
        <v>156</v>
      </c>
      <c r="AH304" s="32">
        <v>0.9285714285714286</v>
      </c>
      <c r="AI304" s="35">
        <v>157</v>
      </c>
      <c r="AJ304" s="32">
        <v>5.7299270072992702E-2</v>
      </c>
      <c r="AK304" s="35">
        <v>11</v>
      </c>
      <c r="AL304" s="32">
        <v>0.92993630573248409</v>
      </c>
      <c r="AM304" s="35">
        <v>158</v>
      </c>
      <c r="AN304" s="35">
        <v>146</v>
      </c>
      <c r="AO304" s="32">
        <v>5.3284671532846717E-2</v>
      </c>
      <c r="AP304" s="32">
        <v>0.86904761904761907</v>
      </c>
      <c r="AQ304" s="33">
        <v>0.95652173913043481</v>
      </c>
      <c r="AR304" s="33" t="s">
        <v>411</v>
      </c>
      <c r="AS304" s="33">
        <v>0</v>
      </c>
      <c r="AT304" s="35">
        <v>0</v>
      </c>
      <c r="AU304" s="35">
        <v>0</v>
      </c>
      <c r="AV304" s="35">
        <v>33</v>
      </c>
      <c r="AW304" s="35">
        <v>27</v>
      </c>
      <c r="AX304" s="35">
        <v>39</v>
      </c>
      <c r="AY304" s="35">
        <v>101</v>
      </c>
      <c r="AZ304" s="32">
        <v>9.8540145985401457E-3</v>
      </c>
      <c r="BA304" s="32">
        <v>1.4233576642335769E-2</v>
      </c>
      <c r="BB304" s="32">
        <v>3.6861313868613139E-2</v>
      </c>
      <c r="BC304" s="32">
        <v>0.26712328767123289</v>
      </c>
      <c r="BD304" s="35">
        <v>0</v>
      </c>
      <c r="BE304" s="35">
        <v>0</v>
      </c>
      <c r="BF304" s="33">
        <v>0.94736842105263153</v>
      </c>
      <c r="BG304" s="33">
        <v>1</v>
      </c>
      <c r="BH304" s="33" t="s">
        <v>412</v>
      </c>
    </row>
    <row r="305" spans="1:60" ht="19.5" customHeight="1">
      <c r="A305" s="36">
        <v>302</v>
      </c>
      <c r="B305" s="31" t="s">
        <v>410</v>
      </c>
      <c r="C305" s="37">
        <v>46224</v>
      </c>
      <c r="D305" s="31"/>
      <c r="E305" s="31">
        <v>38</v>
      </c>
      <c r="F305" s="31">
        <v>38</v>
      </c>
      <c r="G305" s="32">
        <v>1</v>
      </c>
      <c r="H305" s="31">
        <v>38</v>
      </c>
      <c r="I305" s="33">
        <v>1</v>
      </c>
      <c r="J305" s="31">
        <v>3</v>
      </c>
      <c r="K305" s="31">
        <v>0</v>
      </c>
      <c r="L305" s="32">
        <v>0</v>
      </c>
      <c r="M305" s="31">
        <v>8</v>
      </c>
      <c r="N305" s="31">
        <v>1</v>
      </c>
      <c r="O305" s="31">
        <v>1</v>
      </c>
      <c r="P305" s="32">
        <v>0.125</v>
      </c>
      <c r="Q305" s="31">
        <v>7</v>
      </c>
      <c r="R305" s="31">
        <v>0</v>
      </c>
      <c r="S305" s="31">
        <v>0</v>
      </c>
      <c r="T305" s="32">
        <v>0</v>
      </c>
      <c r="U305" s="31">
        <v>0</v>
      </c>
      <c r="V305" s="32">
        <v>0</v>
      </c>
      <c r="W305" s="31">
        <v>12</v>
      </c>
      <c r="X305" s="32">
        <v>0.31578947368421051</v>
      </c>
      <c r="Y305" s="31">
        <v>23</v>
      </c>
      <c r="Z305" s="34">
        <v>0.60526315789473684</v>
      </c>
      <c r="AA305" s="31">
        <v>0</v>
      </c>
      <c r="AB305" s="32">
        <v>0</v>
      </c>
      <c r="AC305" s="31">
        <v>0</v>
      </c>
      <c r="AD305" s="32">
        <v>0</v>
      </c>
      <c r="AE305" s="31">
        <v>0</v>
      </c>
      <c r="AF305" s="32">
        <v>0</v>
      </c>
      <c r="AG305" s="31">
        <v>0</v>
      </c>
      <c r="AH305" s="32">
        <v>0</v>
      </c>
      <c r="AI305" s="35">
        <v>0</v>
      </c>
      <c r="AJ305" s="32">
        <v>0</v>
      </c>
      <c r="AK305" s="35">
        <v>0</v>
      </c>
      <c r="AL305" s="32">
        <v>0</v>
      </c>
      <c r="AM305" s="35">
        <v>0</v>
      </c>
      <c r="AN305" s="35">
        <v>0</v>
      </c>
      <c r="AO305" s="32">
        <v>0</v>
      </c>
      <c r="AP305" s="32">
        <v>0</v>
      </c>
      <c r="AQ305" s="33">
        <v>0</v>
      </c>
      <c r="AR305" s="33" t="s">
        <v>411</v>
      </c>
      <c r="AS305" s="33">
        <v>0</v>
      </c>
      <c r="AT305" s="35">
        <v>0</v>
      </c>
      <c r="AU305" s="35">
        <v>0</v>
      </c>
      <c r="AV305" s="35">
        <v>0</v>
      </c>
      <c r="AW305" s="35">
        <v>0</v>
      </c>
      <c r="AX305" s="35">
        <v>0</v>
      </c>
      <c r="AY305" s="35">
        <v>0</v>
      </c>
      <c r="AZ305" s="32">
        <v>0</v>
      </c>
      <c r="BA305" s="32">
        <v>0</v>
      </c>
      <c r="BB305" s="32">
        <v>0</v>
      </c>
      <c r="BC305" s="32">
        <v>0</v>
      </c>
      <c r="BD305" s="35">
        <v>0</v>
      </c>
      <c r="BE305" s="35">
        <v>0</v>
      </c>
      <c r="BF305" s="33" t="s">
        <v>412</v>
      </c>
      <c r="BG305" s="33" t="s">
        <v>412</v>
      </c>
      <c r="BH305" s="33">
        <v>0.98461538461538467</v>
      </c>
    </row>
    <row r="306" spans="1:60" ht="19.5" customHeight="1">
      <c r="A306" s="36">
        <v>303</v>
      </c>
      <c r="B306" s="31" t="s">
        <v>410</v>
      </c>
      <c r="C306" s="37">
        <v>46224</v>
      </c>
      <c r="D306" s="31" t="s">
        <v>413</v>
      </c>
      <c r="E306" s="31">
        <v>254</v>
      </c>
      <c r="F306" s="31">
        <v>234</v>
      </c>
      <c r="G306" s="32">
        <v>0.92125984251968507</v>
      </c>
      <c r="H306" s="31">
        <v>91</v>
      </c>
      <c r="I306" s="33">
        <v>0.35826771653543299</v>
      </c>
      <c r="J306" s="31">
        <v>329</v>
      </c>
      <c r="K306" s="31">
        <v>172</v>
      </c>
      <c r="L306" s="32">
        <v>0.52300000000000002</v>
      </c>
      <c r="M306" s="31">
        <v>533</v>
      </c>
      <c r="N306" s="31">
        <v>444</v>
      </c>
      <c r="O306" s="31">
        <v>318</v>
      </c>
      <c r="P306" s="32">
        <v>0.59662288930581608</v>
      </c>
      <c r="Q306" s="31">
        <v>115</v>
      </c>
      <c r="R306" s="31">
        <v>0</v>
      </c>
      <c r="S306" s="31">
        <v>0</v>
      </c>
      <c r="T306" s="32">
        <v>0</v>
      </c>
      <c r="U306" s="31">
        <v>0</v>
      </c>
      <c r="V306" s="32">
        <v>0</v>
      </c>
      <c r="W306" s="31">
        <v>1</v>
      </c>
      <c r="X306" s="32">
        <v>3.937007874015748E-3</v>
      </c>
      <c r="Y306" s="31">
        <v>19</v>
      </c>
      <c r="Z306" s="34">
        <v>7.4803149606299218E-2</v>
      </c>
      <c r="AA306" s="31">
        <v>0</v>
      </c>
      <c r="AB306" s="32">
        <v>0</v>
      </c>
      <c r="AC306" s="31">
        <v>1</v>
      </c>
      <c r="AD306" s="32">
        <v>3.937007874015748E-3</v>
      </c>
      <c r="AE306" s="31">
        <v>0</v>
      </c>
      <c r="AF306" s="32">
        <v>0</v>
      </c>
      <c r="AG306" s="31">
        <v>0</v>
      </c>
      <c r="AH306" s="32">
        <v>0</v>
      </c>
      <c r="AI306" s="35">
        <v>0</v>
      </c>
      <c r="AJ306" s="32">
        <v>0</v>
      </c>
      <c r="AK306" s="35">
        <v>0</v>
      </c>
      <c r="AL306" s="32">
        <v>0</v>
      </c>
      <c r="AM306" s="35">
        <v>0</v>
      </c>
      <c r="AN306" s="35">
        <v>0</v>
      </c>
      <c r="AO306" s="32">
        <v>0</v>
      </c>
      <c r="AP306" s="32">
        <v>0</v>
      </c>
      <c r="AQ306" s="33"/>
      <c r="AR306" s="33" t="s">
        <v>411</v>
      </c>
      <c r="AS306" s="33" t="s">
        <v>411</v>
      </c>
      <c r="AT306" s="35">
        <v>0</v>
      </c>
      <c r="AU306" s="35">
        <v>0</v>
      </c>
      <c r="AV306" s="35">
        <v>3</v>
      </c>
      <c r="AW306" s="35">
        <v>3</v>
      </c>
      <c r="AX306" s="35">
        <v>3</v>
      </c>
      <c r="AY306" s="35">
        <v>0</v>
      </c>
      <c r="AZ306" s="32">
        <v>1.181102362204724E-2</v>
      </c>
      <c r="BA306" s="32">
        <v>1.181102362204724E-2</v>
      </c>
      <c r="BB306" s="32">
        <v>0</v>
      </c>
      <c r="BC306" s="32">
        <v>0</v>
      </c>
      <c r="BD306" s="35">
        <v>0</v>
      </c>
      <c r="BE306" s="35">
        <v>0</v>
      </c>
      <c r="BF306" s="33" t="s">
        <v>412</v>
      </c>
      <c r="BG306" s="33">
        <v>1</v>
      </c>
      <c r="BH306" s="33" t="s">
        <v>412</v>
      </c>
    </row>
    <row r="307" spans="1:60" ht="19.5" customHeight="1">
      <c r="A307" s="36">
        <v>304</v>
      </c>
      <c r="B307" s="31" t="s">
        <v>410</v>
      </c>
      <c r="C307" s="37">
        <v>46224</v>
      </c>
      <c r="D307" s="31" t="s">
        <v>335</v>
      </c>
      <c r="E307" s="31">
        <v>2036</v>
      </c>
      <c r="F307" s="31">
        <v>1790</v>
      </c>
      <c r="G307" s="32">
        <v>0.87917485265225936</v>
      </c>
      <c r="H307" s="31">
        <v>976</v>
      </c>
      <c r="I307" s="33">
        <v>0.47937131630648327</v>
      </c>
      <c r="J307" s="31">
        <v>2031</v>
      </c>
      <c r="K307" s="31">
        <v>1973</v>
      </c>
      <c r="L307" s="32">
        <v>0.97099999999999997</v>
      </c>
      <c r="M307" s="31">
        <v>9923</v>
      </c>
      <c r="N307" s="31">
        <v>9854</v>
      </c>
      <c r="O307" s="31">
        <v>9744</v>
      </c>
      <c r="P307" s="32">
        <v>0.98196110047364704</v>
      </c>
      <c r="Q307" s="31">
        <v>60</v>
      </c>
      <c r="R307" s="31">
        <v>0</v>
      </c>
      <c r="S307" s="31">
        <v>0</v>
      </c>
      <c r="T307" s="32">
        <v>0</v>
      </c>
      <c r="U307" s="31">
        <v>0</v>
      </c>
      <c r="V307" s="32">
        <v>0</v>
      </c>
      <c r="W307" s="31">
        <v>471</v>
      </c>
      <c r="X307" s="32">
        <v>0.23133595284872299</v>
      </c>
      <c r="Y307" s="31">
        <v>1488</v>
      </c>
      <c r="Z307" s="34">
        <v>0.73084479371316302</v>
      </c>
      <c r="AA307" s="31">
        <v>0</v>
      </c>
      <c r="AB307" s="32">
        <v>0</v>
      </c>
      <c r="AC307" s="31">
        <v>109</v>
      </c>
      <c r="AD307" s="32">
        <v>5.3536345776031433E-2</v>
      </c>
      <c r="AE307" s="31">
        <v>24</v>
      </c>
      <c r="AF307" s="32">
        <v>0.22018348623853209</v>
      </c>
      <c r="AG307" s="31">
        <v>95</v>
      </c>
      <c r="AH307" s="32">
        <v>0.87155963302752293</v>
      </c>
      <c r="AI307" s="35">
        <v>96</v>
      </c>
      <c r="AJ307" s="32">
        <v>4.7151277013752463E-2</v>
      </c>
      <c r="AK307" s="35">
        <v>10</v>
      </c>
      <c r="AL307" s="32">
        <v>0.79166666666666663</v>
      </c>
      <c r="AM307" s="35">
        <v>93</v>
      </c>
      <c r="AN307" s="35">
        <v>76</v>
      </c>
      <c r="AO307" s="32">
        <v>3.732809430255403E-2</v>
      </c>
      <c r="AP307" s="32">
        <v>0.69724770642201839</v>
      </c>
      <c r="AQ307" s="33">
        <v>0.94059405940594054</v>
      </c>
      <c r="AR307" s="33" t="s">
        <v>411</v>
      </c>
      <c r="AS307" s="33">
        <v>0</v>
      </c>
      <c r="AT307" s="35">
        <v>0</v>
      </c>
      <c r="AU307" s="35">
        <v>0</v>
      </c>
      <c r="AV307" s="35">
        <v>31</v>
      </c>
      <c r="AW307" s="35">
        <v>10</v>
      </c>
      <c r="AX307" s="35">
        <v>18</v>
      </c>
      <c r="AY307" s="35">
        <v>47</v>
      </c>
      <c r="AZ307" s="32">
        <v>4.911591355599214E-3</v>
      </c>
      <c r="BA307" s="32">
        <v>8.840864440078585E-3</v>
      </c>
      <c r="BB307" s="32">
        <v>2.3084479371316309E-2</v>
      </c>
      <c r="BC307" s="32">
        <v>0.23684210526315791</v>
      </c>
      <c r="BD307" s="35">
        <v>0</v>
      </c>
      <c r="BE307" s="35">
        <v>0</v>
      </c>
      <c r="BF307" s="33">
        <v>1</v>
      </c>
      <c r="BG307" s="33">
        <v>1</v>
      </c>
      <c r="BH307" s="33" t="s">
        <v>412</v>
      </c>
    </row>
    <row r="308" spans="1:60" ht="19.5" customHeight="1">
      <c r="A308" s="36">
        <v>305</v>
      </c>
      <c r="B308" s="31" t="s">
        <v>410</v>
      </c>
      <c r="C308" s="37">
        <v>46224</v>
      </c>
      <c r="D308" s="31" t="s">
        <v>334</v>
      </c>
      <c r="E308" s="31">
        <v>1528</v>
      </c>
      <c r="F308" s="31">
        <v>1343</v>
      </c>
      <c r="G308" s="32">
        <v>0.87892670157068065</v>
      </c>
      <c r="H308" s="31">
        <v>709</v>
      </c>
      <c r="I308" s="33">
        <v>0.46400523560209422</v>
      </c>
      <c r="J308" s="31">
        <v>1435</v>
      </c>
      <c r="K308" s="31">
        <v>1393</v>
      </c>
      <c r="L308" s="32">
        <v>0.97099999999999997</v>
      </c>
      <c r="M308" s="31">
        <v>8080</v>
      </c>
      <c r="N308" s="31">
        <v>8057</v>
      </c>
      <c r="O308" s="31">
        <v>7930</v>
      </c>
      <c r="P308" s="32">
        <v>0.98143564356435642</v>
      </c>
      <c r="Q308" s="31">
        <v>59</v>
      </c>
      <c r="R308" s="31">
        <v>0</v>
      </c>
      <c r="S308" s="31">
        <v>0</v>
      </c>
      <c r="T308" s="32">
        <v>0</v>
      </c>
      <c r="U308" s="31">
        <v>0</v>
      </c>
      <c r="V308" s="32">
        <v>0</v>
      </c>
      <c r="W308" s="31">
        <v>317</v>
      </c>
      <c r="X308" s="32">
        <v>0.20746073298429321</v>
      </c>
      <c r="Y308" s="31">
        <v>1091</v>
      </c>
      <c r="Z308" s="34">
        <v>0.71400523560209428</v>
      </c>
      <c r="AA308" s="31">
        <v>0</v>
      </c>
      <c r="AB308" s="32">
        <v>0</v>
      </c>
      <c r="AC308" s="31">
        <v>113</v>
      </c>
      <c r="AD308" s="32">
        <v>7.3952879581151834E-2</v>
      </c>
      <c r="AE308" s="31">
        <v>14</v>
      </c>
      <c r="AF308" s="32">
        <v>0.1238938053097345</v>
      </c>
      <c r="AG308" s="31">
        <v>103</v>
      </c>
      <c r="AH308" s="32">
        <v>0.91150442477876104</v>
      </c>
      <c r="AI308" s="35">
        <v>109</v>
      </c>
      <c r="AJ308" s="32">
        <v>7.1335078534031413E-2</v>
      </c>
      <c r="AK308" s="35">
        <v>4</v>
      </c>
      <c r="AL308" s="32">
        <v>0.82568807339449546</v>
      </c>
      <c r="AM308" s="35">
        <v>108</v>
      </c>
      <c r="AN308" s="35">
        <v>90</v>
      </c>
      <c r="AO308" s="32">
        <v>5.8900523560209417E-2</v>
      </c>
      <c r="AP308" s="32">
        <v>0.79646017699115046</v>
      </c>
      <c r="AQ308" s="33">
        <v>0.9555555555555556</v>
      </c>
      <c r="AR308" s="33" t="s">
        <v>411</v>
      </c>
      <c r="AS308" s="33">
        <v>0</v>
      </c>
      <c r="AT308" s="35">
        <v>0</v>
      </c>
      <c r="AU308" s="35">
        <v>0</v>
      </c>
      <c r="AV308" s="35">
        <v>24</v>
      </c>
      <c r="AW308" s="35">
        <v>19</v>
      </c>
      <c r="AX308" s="35">
        <v>23</v>
      </c>
      <c r="AY308" s="35">
        <v>58</v>
      </c>
      <c r="AZ308" s="32">
        <v>1.2434554973821991E-2</v>
      </c>
      <c r="BA308" s="32">
        <v>1.505235602094241E-2</v>
      </c>
      <c r="BB308" s="32">
        <v>3.7958115183246072E-2</v>
      </c>
      <c r="BC308" s="32">
        <v>0.25555555555555548</v>
      </c>
      <c r="BD308" s="35">
        <v>0</v>
      </c>
      <c r="BE308" s="35">
        <v>0</v>
      </c>
      <c r="BF308" s="33">
        <v>1</v>
      </c>
      <c r="BG308" s="33">
        <v>1</v>
      </c>
      <c r="BH308" s="33" t="s">
        <v>412</v>
      </c>
    </row>
    <row r="309" spans="1:60" ht="19.5" customHeight="1">
      <c r="A309" s="36">
        <v>306</v>
      </c>
      <c r="B309" s="31" t="s">
        <v>410</v>
      </c>
      <c r="C309" s="37">
        <v>46224</v>
      </c>
      <c r="D309" s="31" t="s">
        <v>337</v>
      </c>
      <c r="E309" s="31">
        <v>5733</v>
      </c>
      <c r="F309" s="31">
        <v>5062</v>
      </c>
      <c r="G309" s="32">
        <v>0.88295831152974014</v>
      </c>
      <c r="H309" s="31">
        <v>2215</v>
      </c>
      <c r="I309" s="33">
        <v>0.38635967207395783</v>
      </c>
      <c r="J309" s="31">
        <v>5752</v>
      </c>
      <c r="K309" s="31">
        <v>5530</v>
      </c>
      <c r="L309" s="32">
        <v>0.96099999999999997</v>
      </c>
      <c r="M309" s="31">
        <v>25008</v>
      </c>
      <c r="N309" s="31">
        <v>24924</v>
      </c>
      <c r="O309" s="31">
        <v>24482</v>
      </c>
      <c r="P309" s="32">
        <v>0.97896673064619322</v>
      </c>
      <c r="Q309" s="31">
        <v>164</v>
      </c>
      <c r="R309" s="31">
        <v>0</v>
      </c>
      <c r="S309" s="31">
        <v>0</v>
      </c>
      <c r="T309" s="32">
        <v>0</v>
      </c>
      <c r="U309" s="31">
        <v>0</v>
      </c>
      <c r="V309" s="32">
        <v>0</v>
      </c>
      <c r="W309" s="31">
        <v>860</v>
      </c>
      <c r="X309" s="32">
        <v>0.15000872143729291</v>
      </c>
      <c r="Y309" s="31">
        <v>2994</v>
      </c>
      <c r="Z309" s="34">
        <v>0.52223966509680797</v>
      </c>
      <c r="AA309" s="31">
        <v>0</v>
      </c>
      <c r="AB309" s="32">
        <v>0</v>
      </c>
      <c r="AC309" s="31">
        <v>515</v>
      </c>
      <c r="AD309" s="32">
        <v>8.9830804116518406E-2</v>
      </c>
      <c r="AE309" s="31">
        <v>107</v>
      </c>
      <c r="AF309" s="32">
        <v>0.20776699029126211</v>
      </c>
      <c r="AG309" s="31">
        <v>472</v>
      </c>
      <c r="AH309" s="32">
        <v>0.91650485436893203</v>
      </c>
      <c r="AI309" s="35">
        <v>502</v>
      </c>
      <c r="AJ309" s="32">
        <v>8.7563230420373284E-2</v>
      </c>
      <c r="AK309" s="35">
        <v>35</v>
      </c>
      <c r="AL309" s="32">
        <v>0.8605577689243028</v>
      </c>
      <c r="AM309" s="35">
        <v>489</v>
      </c>
      <c r="AN309" s="35">
        <v>432</v>
      </c>
      <c r="AO309" s="32">
        <v>7.5353218210361061E-2</v>
      </c>
      <c r="AP309" s="32">
        <v>0.83883495145631071</v>
      </c>
      <c r="AQ309" s="33">
        <v>0.96265560165975106</v>
      </c>
      <c r="AR309" s="33" t="s">
        <v>411</v>
      </c>
      <c r="AS309" s="33">
        <v>0</v>
      </c>
      <c r="AT309" s="35">
        <v>0</v>
      </c>
      <c r="AU309" s="35">
        <v>0</v>
      </c>
      <c r="AV309" s="35">
        <v>61</v>
      </c>
      <c r="AW309" s="35">
        <v>37</v>
      </c>
      <c r="AX309" s="35">
        <v>47</v>
      </c>
      <c r="AY309" s="35">
        <v>120</v>
      </c>
      <c r="AZ309" s="32">
        <v>6.4538635967207386E-3</v>
      </c>
      <c r="BA309" s="32">
        <v>8.1981510552939126E-3</v>
      </c>
      <c r="BB309" s="32">
        <v>2.093144950287807E-2</v>
      </c>
      <c r="BC309" s="32">
        <v>0.10879629629629629</v>
      </c>
      <c r="BD309" s="35">
        <v>0</v>
      </c>
      <c r="BE309" s="35">
        <v>0</v>
      </c>
      <c r="BF309" s="33">
        <v>0.98333333333333328</v>
      </c>
      <c r="BG309" s="33">
        <v>1</v>
      </c>
      <c r="BH309" s="33" t="s">
        <v>412</v>
      </c>
    </row>
    <row r="310" spans="1:60" ht="19.5" customHeight="1">
      <c r="A310" s="36">
        <v>307</v>
      </c>
      <c r="B310" s="31" t="s">
        <v>410</v>
      </c>
      <c r="C310" s="37">
        <v>46224</v>
      </c>
      <c r="D310" s="31" t="s">
        <v>336</v>
      </c>
      <c r="E310" s="31">
        <v>2916</v>
      </c>
      <c r="F310" s="31">
        <v>2615</v>
      </c>
      <c r="G310" s="32">
        <v>0.89677640603566533</v>
      </c>
      <c r="H310" s="31">
        <v>1905</v>
      </c>
      <c r="I310" s="33">
        <v>0.6532921810699589</v>
      </c>
      <c r="J310" s="31">
        <v>3825</v>
      </c>
      <c r="K310" s="31">
        <v>3724</v>
      </c>
      <c r="L310" s="32">
        <v>0.97399999999999998</v>
      </c>
      <c r="M310" s="31">
        <v>18435</v>
      </c>
      <c r="N310" s="31">
        <v>18409</v>
      </c>
      <c r="O310" s="31">
        <v>18125</v>
      </c>
      <c r="P310" s="32">
        <v>0.98318416056414426</v>
      </c>
      <c r="Q310" s="31">
        <v>118</v>
      </c>
      <c r="R310" s="31">
        <v>0</v>
      </c>
      <c r="S310" s="31">
        <v>0</v>
      </c>
      <c r="T310" s="32">
        <v>0</v>
      </c>
      <c r="U310" s="31">
        <v>0</v>
      </c>
      <c r="V310" s="32">
        <v>0</v>
      </c>
      <c r="W310" s="31">
        <v>483</v>
      </c>
      <c r="X310" s="32">
        <v>0.16563786008230449</v>
      </c>
      <c r="Y310" s="31">
        <v>1265</v>
      </c>
      <c r="Z310" s="34">
        <v>0.43381344307270231</v>
      </c>
      <c r="AA310" s="31">
        <v>0</v>
      </c>
      <c r="AB310" s="32">
        <v>0</v>
      </c>
      <c r="AC310" s="31">
        <v>171</v>
      </c>
      <c r="AD310" s="32">
        <v>5.8641975308641972E-2</v>
      </c>
      <c r="AE310" s="31">
        <v>18</v>
      </c>
      <c r="AF310" s="32">
        <v>0.10526315789473679</v>
      </c>
      <c r="AG310" s="31">
        <v>150</v>
      </c>
      <c r="AH310" s="32">
        <v>0.8771929824561403</v>
      </c>
      <c r="AI310" s="35">
        <v>162</v>
      </c>
      <c r="AJ310" s="32">
        <v>5.5555555555555552E-2</v>
      </c>
      <c r="AK310" s="35">
        <v>18</v>
      </c>
      <c r="AL310" s="32">
        <v>0.90740740740740744</v>
      </c>
      <c r="AM310" s="35">
        <v>158</v>
      </c>
      <c r="AN310" s="35">
        <v>147</v>
      </c>
      <c r="AO310" s="32">
        <v>5.0411522633744862E-2</v>
      </c>
      <c r="AP310" s="32">
        <v>0.85964912280701755</v>
      </c>
      <c r="AQ310" s="33">
        <v>0.96644295302013428</v>
      </c>
      <c r="AR310" s="33" t="s">
        <v>411</v>
      </c>
      <c r="AS310" s="33">
        <v>0</v>
      </c>
      <c r="AT310" s="35">
        <v>0</v>
      </c>
      <c r="AU310" s="35">
        <v>0</v>
      </c>
      <c r="AV310" s="35">
        <v>34</v>
      </c>
      <c r="AW310" s="35">
        <v>26</v>
      </c>
      <c r="AX310" s="35">
        <v>36</v>
      </c>
      <c r="AY310" s="35">
        <v>83</v>
      </c>
      <c r="AZ310" s="32">
        <v>8.9163237311385458E-3</v>
      </c>
      <c r="BA310" s="32">
        <v>1.234567901234568E-2</v>
      </c>
      <c r="BB310" s="32">
        <v>2.8463648834019209E-2</v>
      </c>
      <c r="BC310" s="32">
        <v>0.24489795918367349</v>
      </c>
      <c r="BD310" s="35">
        <v>0</v>
      </c>
      <c r="BE310" s="35">
        <v>1</v>
      </c>
      <c r="BF310" s="33">
        <v>0.75</v>
      </c>
      <c r="BG310" s="33">
        <v>1</v>
      </c>
      <c r="BH310" s="33" t="s">
        <v>412</v>
      </c>
    </row>
    <row r="311" spans="1:60" ht="19.5" customHeight="1">
      <c r="A311" s="36">
        <v>308</v>
      </c>
      <c r="B311" s="31" t="s">
        <v>410</v>
      </c>
      <c r="C311" s="37">
        <v>46225</v>
      </c>
      <c r="D311" s="31"/>
      <c r="E311" s="31">
        <v>37</v>
      </c>
      <c r="F311" s="31">
        <v>37</v>
      </c>
      <c r="G311" s="32">
        <v>1</v>
      </c>
      <c r="H311" s="31">
        <v>37</v>
      </c>
      <c r="I311" s="33">
        <v>1</v>
      </c>
      <c r="J311" s="31">
        <v>1</v>
      </c>
      <c r="K311" s="31">
        <v>0</v>
      </c>
      <c r="L311" s="32">
        <v>0</v>
      </c>
      <c r="M311" s="31">
        <v>5</v>
      </c>
      <c r="N311" s="31">
        <v>0</v>
      </c>
      <c r="O311" s="31">
        <v>0</v>
      </c>
      <c r="P311" s="32">
        <v>0</v>
      </c>
      <c r="Q311" s="31">
        <v>5</v>
      </c>
      <c r="R311" s="31">
        <v>0</v>
      </c>
      <c r="S311" s="31">
        <v>0</v>
      </c>
      <c r="T311" s="32">
        <v>0</v>
      </c>
      <c r="U311" s="31">
        <v>0</v>
      </c>
      <c r="V311" s="32">
        <v>0</v>
      </c>
      <c r="W311" s="31">
        <v>16</v>
      </c>
      <c r="X311" s="32">
        <v>0.43243243243243251</v>
      </c>
      <c r="Y311" s="31">
        <v>12</v>
      </c>
      <c r="Z311" s="34">
        <v>0.32432432432432429</v>
      </c>
      <c r="AA311" s="31">
        <v>0</v>
      </c>
      <c r="AB311" s="32">
        <v>0</v>
      </c>
      <c r="AC311" s="31">
        <v>0</v>
      </c>
      <c r="AD311" s="32">
        <v>0</v>
      </c>
      <c r="AE311" s="31">
        <v>0</v>
      </c>
      <c r="AF311" s="32">
        <v>0</v>
      </c>
      <c r="AG311" s="31">
        <v>0</v>
      </c>
      <c r="AH311" s="32">
        <v>0</v>
      </c>
      <c r="AI311" s="35">
        <v>0</v>
      </c>
      <c r="AJ311" s="32">
        <v>0</v>
      </c>
      <c r="AK311" s="35">
        <v>0</v>
      </c>
      <c r="AL311" s="32">
        <v>0</v>
      </c>
      <c r="AM311" s="35">
        <v>0</v>
      </c>
      <c r="AN311" s="35">
        <v>0</v>
      </c>
      <c r="AO311" s="32">
        <v>0</v>
      </c>
      <c r="AP311" s="32">
        <v>0</v>
      </c>
      <c r="AQ311" s="33">
        <v>0</v>
      </c>
      <c r="AR311" s="33" t="s">
        <v>411</v>
      </c>
      <c r="AS311" s="33">
        <v>0</v>
      </c>
      <c r="AT311" s="35">
        <v>0</v>
      </c>
      <c r="AU311" s="35">
        <v>0</v>
      </c>
      <c r="AV311" s="35">
        <v>0</v>
      </c>
      <c r="AW311" s="35">
        <v>0</v>
      </c>
      <c r="AX311" s="35">
        <v>0</v>
      </c>
      <c r="AY311" s="35">
        <v>0</v>
      </c>
      <c r="AZ311" s="32">
        <v>0</v>
      </c>
      <c r="BA311" s="32">
        <v>0</v>
      </c>
      <c r="BB311" s="32">
        <v>0</v>
      </c>
      <c r="BC311" s="32">
        <v>0</v>
      </c>
      <c r="BD311" s="35">
        <v>0</v>
      </c>
      <c r="BE311" s="35">
        <v>0</v>
      </c>
      <c r="BF311" s="33" t="s">
        <v>412</v>
      </c>
      <c r="BG311" s="33" t="s">
        <v>412</v>
      </c>
      <c r="BH311" s="33">
        <v>0.99029126213592233</v>
      </c>
    </row>
    <row r="312" spans="1:60" ht="19.5" customHeight="1">
      <c r="A312" s="36">
        <v>309</v>
      </c>
      <c r="B312" s="31" t="s">
        <v>410</v>
      </c>
      <c r="C312" s="37">
        <v>46225</v>
      </c>
      <c r="D312" s="31" t="s">
        <v>413</v>
      </c>
      <c r="E312" s="31">
        <v>281</v>
      </c>
      <c r="F312" s="31">
        <v>254</v>
      </c>
      <c r="G312" s="32">
        <v>0.90391459074733094</v>
      </c>
      <c r="H312" s="31">
        <v>87</v>
      </c>
      <c r="I312" s="33">
        <v>0.30960854092526691</v>
      </c>
      <c r="J312" s="31">
        <v>279</v>
      </c>
      <c r="K312" s="31">
        <v>147</v>
      </c>
      <c r="L312" s="32">
        <v>0.52700000000000002</v>
      </c>
      <c r="M312" s="31">
        <v>482</v>
      </c>
      <c r="N312" s="31">
        <v>469</v>
      </c>
      <c r="O312" s="31">
        <v>296</v>
      </c>
      <c r="P312" s="32">
        <v>0.61410788381742742</v>
      </c>
      <c r="Q312" s="31">
        <v>93</v>
      </c>
      <c r="R312" s="31">
        <v>0</v>
      </c>
      <c r="S312" s="31">
        <v>0</v>
      </c>
      <c r="T312" s="32">
        <v>0</v>
      </c>
      <c r="U312" s="31">
        <v>0</v>
      </c>
      <c r="V312" s="32">
        <v>0</v>
      </c>
      <c r="W312" s="31">
        <v>2</v>
      </c>
      <c r="X312" s="32">
        <v>7.1174377224199276E-3</v>
      </c>
      <c r="Y312" s="31">
        <v>61</v>
      </c>
      <c r="Z312" s="34">
        <v>0.2170818505338078</v>
      </c>
      <c r="AA312" s="31">
        <v>0</v>
      </c>
      <c r="AB312" s="32">
        <v>0</v>
      </c>
      <c r="AC312" s="31">
        <v>1</v>
      </c>
      <c r="AD312" s="32">
        <v>3.5587188612099638E-3</v>
      </c>
      <c r="AE312" s="31">
        <v>0</v>
      </c>
      <c r="AF312" s="32">
        <v>0</v>
      </c>
      <c r="AG312" s="31">
        <v>0</v>
      </c>
      <c r="AH312" s="32">
        <v>0</v>
      </c>
      <c r="AI312" s="35">
        <v>0</v>
      </c>
      <c r="AJ312" s="32">
        <v>0</v>
      </c>
      <c r="AK312" s="35">
        <v>0</v>
      </c>
      <c r="AL312" s="32">
        <v>0</v>
      </c>
      <c r="AM312" s="35">
        <v>0</v>
      </c>
      <c r="AN312" s="35">
        <v>0</v>
      </c>
      <c r="AO312" s="32">
        <v>0</v>
      </c>
      <c r="AP312" s="32">
        <v>0</v>
      </c>
      <c r="AQ312" s="33"/>
      <c r="AR312" s="33" t="s">
        <v>411</v>
      </c>
      <c r="AS312" s="33" t="s">
        <v>411</v>
      </c>
      <c r="AT312" s="35">
        <v>0</v>
      </c>
      <c r="AU312" s="35">
        <v>0</v>
      </c>
      <c r="AV312" s="35">
        <v>3</v>
      </c>
      <c r="AW312" s="35">
        <v>3</v>
      </c>
      <c r="AX312" s="35">
        <v>3</v>
      </c>
      <c r="AY312" s="35">
        <v>0</v>
      </c>
      <c r="AZ312" s="32">
        <v>1.067615658362989E-2</v>
      </c>
      <c r="BA312" s="32">
        <v>1.067615658362989E-2</v>
      </c>
      <c r="BB312" s="32">
        <v>0</v>
      </c>
      <c r="BC312" s="32">
        <v>0</v>
      </c>
      <c r="BD312" s="35">
        <v>0</v>
      </c>
      <c r="BE312" s="35">
        <v>0</v>
      </c>
      <c r="BF312" s="33" t="s">
        <v>412</v>
      </c>
      <c r="BG312" s="33">
        <v>1</v>
      </c>
      <c r="BH312" s="33" t="s">
        <v>412</v>
      </c>
    </row>
    <row r="313" spans="1:60" ht="19.5" customHeight="1">
      <c r="A313" s="36">
        <v>310</v>
      </c>
      <c r="B313" s="31" t="s">
        <v>410</v>
      </c>
      <c r="C313" s="37">
        <v>46225</v>
      </c>
      <c r="D313" s="31" t="s">
        <v>335</v>
      </c>
      <c r="E313" s="31">
        <v>1834</v>
      </c>
      <c r="F313" s="31">
        <v>1549</v>
      </c>
      <c r="G313" s="32">
        <v>0.84460196292257361</v>
      </c>
      <c r="H313" s="31">
        <v>898</v>
      </c>
      <c r="I313" s="33">
        <v>0.48964013086150487</v>
      </c>
      <c r="J313" s="31">
        <v>1877</v>
      </c>
      <c r="K313" s="31">
        <v>1810</v>
      </c>
      <c r="L313" s="32">
        <v>0.96399999999999997</v>
      </c>
      <c r="M313" s="31">
        <v>9796</v>
      </c>
      <c r="N313" s="31">
        <v>9795</v>
      </c>
      <c r="O313" s="31">
        <v>9612</v>
      </c>
      <c r="P313" s="32">
        <v>0.98121682319314008</v>
      </c>
      <c r="Q313" s="31">
        <v>61</v>
      </c>
      <c r="R313" s="31">
        <v>0</v>
      </c>
      <c r="S313" s="31">
        <v>0</v>
      </c>
      <c r="T313" s="32">
        <v>0</v>
      </c>
      <c r="U313" s="31">
        <v>0</v>
      </c>
      <c r="V313" s="32">
        <v>0</v>
      </c>
      <c r="W313" s="31">
        <v>256</v>
      </c>
      <c r="X313" s="32">
        <v>0.1395856052344602</v>
      </c>
      <c r="Y313" s="31">
        <v>795</v>
      </c>
      <c r="Z313" s="34">
        <v>0.43347873500545259</v>
      </c>
      <c r="AA313" s="31">
        <v>0</v>
      </c>
      <c r="AB313" s="32">
        <v>0</v>
      </c>
      <c r="AC313" s="31">
        <v>112</v>
      </c>
      <c r="AD313" s="32">
        <v>6.1068702290076327E-2</v>
      </c>
      <c r="AE313" s="31">
        <v>24</v>
      </c>
      <c r="AF313" s="32">
        <v>0.2142857142857143</v>
      </c>
      <c r="AG313" s="31">
        <v>97</v>
      </c>
      <c r="AH313" s="32">
        <v>0.8660714285714286</v>
      </c>
      <c r="AI313" s="35">
        <v>98</v>
      </c>
      <c r="AJ313" s="32">
        <v>5.3435114503816793E-2</v>
      </c>
      <c r="AK313" s="35">
        <v>12</v>
      </c>
      <c r="AL313" s="32">
        <v>0.8571428571428571</v>
      </c>
      <c r="AM313" s="35">
        <v>95</v>
      </c>
      <c r="AN313" s="35">
        <v>84</v>
      </c>
      <c r="AO313" s="32">
        <v>4.5801526717557252E-2</v>
      </c>
      <c r="AP313" s="32">
        <v>0.75</v>
      </c>
      <c r="AQ313" s="33">
        <v>0.9213483146067416</v>
      </c>
      <c r="AR313" s="33" t="s">
        <v>411</v>
      </c>
      <c r="AS313" s="33">
        <v>0</v>
      </c>
      <c r="AT313" s="35">
        <v>0</v>
      </c>
      <c r="AU313" s="35">
        <v>0</v>
      </c>
      <c r="AV313" s="35">
        <v>32</v>
      </c>
      <c r="AW313" s="35">
        <v>27</v>
      </c>
      <c r="AX313" s="35">
        <v>25</v>
      </c>
      <c r="AY313" s="35">
        <v>43</v>
      </c>
      <c r="AZ313" s="32">
        <v>1.472191930207197E-2</v>
      </c>
      <c r="BA313" s="32">
        <v>1.363140676117775E-2</v>
      </c>
      <c r="BB313" s="32">
        <v>2.3446019629225739E-2</v>
      </c>
      <c r="BC313" s="32">
        <v>0.29761904761904762</v>
      </c>
      <c r="BD313" s="35">
        <v>0</v>
      </c>
      <c r="BE313" s="35">
        <v>0</v>
      </c>
      <c r="BF313" s="33">
        <v>1</v>
      </c>
      <c r="BG313" s="33">
        <v>1</v>
      </c>
      <c r="BH313" s="33" t="s">
        <v>412</v>
      </c>
    </row>
    <row r="314" spans="1:60" ht="19.5" customHeight="1">
      <c r="A314" s="36">
        <v>311</v>
      </c>
      <c r="B314" s="31" t="s">
        <v>410</v>
      </c>
      <c r="C314" s="37">
        <v>46225</v>
      </c>
      <c r="D314" s="31" t="s">
        <v>334</v>
      </c>
      <c r="E314" s="31">
        <v>1637</v>
      </c>
      <c r="F314" s="31">
        <v>1437</v>
      </c>
      <c r="G314" s="32">
        <v>0.87782529016493582</v>
      </c>
      <c r="H314" s="31">
        <v>675</v>
      </c>
      <c r="I314" s="33">
        <v>0.41233964569334153</v>
      </c>
      <c r="J314" s="31">
        <v>1555</v>
      </c>
      <c r="K314" s="31">
        <v>1396</v>
      </c>
      <c r="L314" s="32">
        <v>0.89800000000000002</v>
      </c>
      <c r="M314" s="31">
        <v>8393</v>
      </c>
      <c r="N314" s="31">
        <v>8115</v>
      </c>
      <c r="O314" s="31">
        <v>8107</v>
      </c>
      <c r="P314" s="32">
        <v>0.96592398427260817</v>
      </c>
      <c r="Q314" s="31">
        <v>63</v>
      </c>
      <c r="R314" s="31">
        <v>0</v>
      </c>
      <c r="S314" s="31">
        <v>0</v>
      </c>
      <c r="T314" s="32">
        <v>0</v>
      </c>
      <c r="U314" s="31">
        <v>0</v>
      </c>
      <c r="V314" s="32">
        <v>0</v>
      </c>
      <c r="W314" s="31">
        <v>220</v>
      </c>
      <c r="X314" s="32">
        <v>0.13439218081857049</v>
      </c>
      <c r="Y314" s="31">
        <v>430</v>
      </c>
      <c r="Z314" s="34">
        <v>0.26267562614538792</v>
      </c>
      <c r="AA314" s="31">
        <v>0</v>
      </c>
      <c r="AB314" s="32">
        <v>0</v>
      </c>
      <c r="AC314" s="31">
        <v>96</v>
      </c>
      <c r="AD314" s="32">
        <v>5.864386072083079E-2</v>
      </c>
      <c r="AE314" s="31">
        <v>18</v>
      </c>
      <c r="AF314" s="32">
        <v>0.1875</v>
      </c>
      <c r="AG314" s="31">
        <v>90</v>
      </c>
      <c r="AH314" s="32">
        <v>0.9375</v>
      </c>
      <c r="AI314" s="35">
        <v>91</v>
      </c>
      <c r="AJ314" s="32">
        <v>5.5589492974954177E-2</v>
      </c>
      <c r="AK314" s="35">
        <v>5</v>
      </c>
      <c r="AL314" s="32">
        <v>0.87912087912087911</v>
      </c>
      <c r="AM314" s="35">
        <v>90</v>
      </c>
      <c r="AN314" s="35">
        <v>80</v>
      </c>
      <c r="AO314" s="32">
        <v>4.8869883934025658E-2</v>
      </c>
      <c r="AP314" s="32">
        <v>0.83333333333333337</v>
      </c>
      <c r="AQ314" s="33">
        <v>0.95327102803738317</v>
      </c>
      <c r="AR314" s="33" t="s">
        <v>411</v>
      </c>
      <c r="AS314" s="33">
        <v>0</v>
      </c>
      <c r="AT314" s="35">
        <v>0</v>
      </c>
      <c r="AU314" s="35">
        <v>0</v>
      </c>
      <c r="AV314" s="35">
        <v>24</v>
      </c>
      <c r="AW314" s="35">
        <v>21</v>
      </c>
      <c r="AX314" s="35">
        <v>22</v>
      </c>
      <c r="AY314" s="35">
        <v>43</v>
      </c>
      <c r="AZ314" s="32">
        <v>1.2828344532681739E-2</v>
      </c>
      <c r="BA314" s="32">
        <v>1.343921808185706E-2</v>
      </c>
      <c r="BB314" s="32">
        <v>2.6267562614538789E-2</v>
      </c>
      <c r="BC314" s="32">
        <v>0.27500000000000002</v>
      </c>
      <c r="BD314" s="35">
        <v>0</v>
      </c>
      <c r="BE314" s="35">
        <v>0</v>
      </c>
      <c r="BF314" s="33">
        <v>1</v>
      </c>
      <c r="BG314" s="33">
        <v>1</v>
      </c>
      <c r="BH314" s="33" t="s">
        <v>412</v>
      </c>
    </row>
    <row r="315" spans="1:60" ht="19.5" customHeight="1">
      <c r="A315" s="36">
        <v>312</v>
      </c>
      <c r="B315" s="31" t="s">
        <v>410</v>
      </c>
      <c r="C315" s="37">
        <v>46225</v>
      </c>
      <c r="D315" s="31" t="s">
        <v>337</v>
      </c>
      <c r="E315" s="31">
        <v>6157</v>
      </c>
      <c r="F315" s="31">
        <v>5540</v>
      </c>
      <c r="G315" s="32">
        <v>0.8997888582101673</v>
      </c>
      <c r="H315" s="31">
        <v>2261</v>
      </c>
      <c r="I315" s="33">
        <v>0.36722429754750691</v>
      </c>
      <c r="J315" s="31">
        <v>5338</v>
      </c>
      <c r="K315" s="31">
        <v>4949</v>
      </c>
      <c r="L315" s="32">
        <v>0.92700000000000005</v>
      </c>
      <c r="M315" s="31">
        <v>24512</v>
      </c>
      <c r="N315" s="31">
        <v>24071</v>
      </c>
      <c r="O315" s="31">
        <v>23708</v>
      </c>
      <c r="P315" s="32">
        <v>0.96719973890339428</v>
      </c>
      <c r="Q315" s="31">
        <v>218</v>
      </c>
      <c r="R315" s="31">
        <v>0</v>
      </c>
      <c r="S315" s="31">
        <v>0</v>
      </c>
      <c r="T315" s="32">
        <v>0</v>
      </c>
      <c r="U315" s="31">
        <v>0</v>
      </c>
      <c r="V315" s="32">
        <v>0</v>
      </c>
      <c r="W315" s="31">
        <v>562</v>
      </c>
      <c r="X315" s="32">
        <v>9.1278219912294956E-2</v>
      </c>
      <c r="Y315" s="31">
        <v>2094</v>
      </c>
      <c r="Z315" s="34">
        <v>0.34010069839207407</v>
      </c>
      <c r="AA315" s="31">
        <v>0</v>
      </c>
      <c r="AB315" s="32">
        <v>0</v>
      </c>
      <c r="AC315" s="31">
        <v>564</v>
      </c>
      <c r="AD315" s="32">
        <v>9.1603053435114504E-2</v>
      </c>
      <c r="AE315" s="31">
        <v>123</v>
      </c>
      <c r="AF315" s="32">
        <v>0.21808510638297871</v>
      </c>
      <c r="AG315" s="31">
        <v>495</v>
      </c>
      <c r="AH315" s="32">
        <v>0.87765957446808507</v>
      </c>
      <c r="AI315" s="35">
        <v>547</v>
      </c>
      <c r="AJ315" s="32">
        <v>8.8841968491148282E-2</v>
      </c>
      <c r="AK315" s="35">
        <v>41</v>
      </c>
      <c r="AL315" s="32">
        <v>0.8756855575868373</v>
      </c>
      <c r="AM315" s="35">
        <v>539</v>
      </c>
      <c r="AN315" s="35">
        <v>479</v>
      </c>
      <c r="AO315" s="32">
        <v>7.7797628715283423E-2</v>
      </c>
      <c r="AP315" s="32">
        <v>0.849290780141844</v>
      </c>
      <c r="AQ315" s="33">
        <v>0.95679012345679015</v>
      </c>
      <c r="AR315" s="33" t="s">
        <v>411</v>
      </c>
      <c r="AS315" s="33">
        <v>0</v>
      </c>
      <c r="AT315" s="35">
        <v>0</v>
      </c>
      <c r="AU315" s="35">
        <v>0</v>
      </c>
      <c r="AV315" s="35">
        <v>69</v>
      </c>
      <c r="AW315" s="35">
        <v>46</v>
      </c>
      <c r="AX315" s="35">
        <v>64</v>
      </c>
      <c r="AY315" s="35">
        <v>113</v>
      </c>
      <c r="AZ315" s="32">
        <v>7.4711710248497641E-3</v>
      </c>
      <c r="BA315" s="32">
        <v>1.0394672730225761E-2</v>
      </c>
      <c r="BB315" s="32">
        <v>1.8353094039304851E-2</v>
      </c>
      <c r="BC315" s="32">
        <v>0.1336116910229645</v>
      </c>
      <c r="BD315" s="35">
        <v>0</v>
      </c>
      <c r="BE315" s="35">
        <v>0</v>
      </c>
      <c r="BF315" s="33">
        <v>0.98305084745762716</v>
      </c>
      <c r="BG315" s="33">
        <v>1</v>
      </c>
      <c r="BH315" s="33" t="s">
        <v>412</v>
      </c>
    </row>
    <row r="316" spans="1:60" ht="19.5" customHeight="1">
      <c r="A316" s="36">
        <v>313</v>
      </c>
      <c r="B316" s="31" t="s">
        <v>410</v>
      </c>
      <c r="C316" s="37">
        <v>46225</v>
      </c>
      <c r="D316" s="31" t="s">
        <v>336</v>
      </c>
      <c r="E316" s="31">
        <v>2970</v>
      </c>
      <c r="F316" s="31">
        <v>2668</v>
      </c>
      <c r="G316" s="32">
        <v>0.89831649831649829</v>
      </c>
      <c r="H316" s="31">
        <v>1963</v>
      </c>
      <c r="I316" s="33">
        <v>0.66094276094276094</v>
      </c>
      <c r="J316" s="31">
        <v>3699</v>
      </c>
      <c r="K316" s="31">
        <v>3582</v>
      </c>
      <c r="L316" s="32">
        <v>0.96799999999999997</v>
      </c>
      <c r="M316" s="31">
        <v>19243</v>
      </c>
      <c r="N316" s="31">
        <v>18801</v>
      </c>
      <c r="O316" s="31">
        <v>18883</v>
      </c>
      <c r="P316" s="32">
        <v>0.98129189835264774</v>
      </c>
      <c r="Q316" s="31">
        <v>147</v>
      </c>
      <c r="R316" s="31">
        <v>0</v>
      </c>
      <c r="S316" s="31">
        <v>0</v>
      </c>
      <c r="T316" s="32">
        <v>0</v>
      </c>
      <c r="U316" s="31">
        <v>0</v>
      </c>
      <c r="V316" s="32">
        <v>0</v>
      </c>
      <c r="W316" s="31">
        <v>321</v>
      </c>
      <c r="X316" s="32">
        <v>0.1080808080808081</v>
      </c>
      <c r="Y316" s="31">
        <v>653</v>
      </c>
      <c r="Z316" s="34">
        <v>0.2198653198653199</v>
      </c>
      <c r="AA316" s="31">
        <v>0</v>
      </c>
      <c r="AB316" s="32">
        <v>0</v>
      </c>
      <c r="AC316" s="31">
        <v>217</v>
      </c>
      <c r="AD316" s="32">
        <v>7.3063973063973067E-2</v>
      </c>
      <c r="AE316" s="31">
        <v>45</v>
      </c>
      <c r="AF316" s="32">
        <v>0.20737327188940091</v>
      </c>
      <c r="AG316" s="31">
        <v>197</v>
      </c>
      <c r="AH316" s="32">
        <v>0.90783410138248843</v>
      </c>
      <c r="AI316" s="35">
        <v>211</v>
      </c>
      <c r="AJ316" s="32">
        <v>7.1043771043771048E-2</v>
      </c>
      <c r="AK316" s="35">
        <v>24</v>
      </c>
      <c r="AL316" s="32">
        <v>0.80568720379146919</v>
      </c>
      <c r="AM316" s="35">
        <v>208</v>
      </c>
      <c r="AN316" s="35">
        <v>170</v>
      </c>
      <c r="AO316" s="32">
        <v>5.7239057239057242E-2</v>
      </c>
      <c r="AP316" s="32">
        <v>0.78341013824884798</v>
      </c>
      <c r="AQ316" s="33">
        <v>0.971830985915493</v>
      </c>
      <c r="AR316" s="33" t="s">
        <v>411</v>
      </c>
      <c r="AS316" s="33">
        <v>0</v>
      </c>
      <c r="AT316" s="35">
        <v>0</v>
      </c>
      <c r="AU316" s="35">
        <v>0</v>
      </c>
      <c r="AV316" s="35">
        <v>48</v>
      </c>
      <c r="AW316" s="35">
        <v>42</v>
      </c>
      <c r="AX316" s="35">
        <v>44</v>
      </c>
      <c r="AY316" s="35">
        <v>79</v>
      </c>
      <c r="AZ316" s="32">
        <v>1.4141414141414141E-2</v>
      </c>
      <c r="BA316" s="32">
        <v>1.4814814814814821E-2</v>
      </c>
      <c r="BB316" s="32">
        <v>2.6599326599326598E-2</v>
      </c>
      <c r="BC316" s="32">
        <v>0.25882352941176467</v>
      </c>
      <c r="BD316" s="35">
        <v>0</v>
      </c>
      <c r="BE316" s="35">
        <v>0</v>
      </c>
      <c r="BF316" s="33">
        <v>1</v>
      </c>
      <c r="BG316" s="33">
        <v>1</v>
      </c>
      <c r="BH316" s="33" t="s">
        <v>412</v>
      </c>
    </row>
    <row r="317" spans="1:60" ht="19.5" customHeight="1">
      <c r="A317" s="36">
        <v>314</v>
      </c>
      <c r="B317" s="31" t="s">
        <v>410</v>
      </c>
      <c r="C317" s="37">
        <v>46226</v>
      </c>
      <c r="D317" s="31"/>
      <c r="E317" s="31">
        <v>43</v>
      </c>
      <c r="F317" s="31">
        <v>43</v>
      </c>
      <c r="G317" s="32">
        <v>1</v>
      </c>
      <c r="H317" s="31">
        <v>43</v>
      </c>
      <c r="I317" s="33">
        <v>1</v>
      </c>
      <c r="J317" s="31">
        <v>1</v>
      </c>
      <c r="K317" s="31">
        <v>0</v>
      </c>
      <c r="L317" s="32">
        <v>0</v>
      </c>
      <c r="M317" s="31">
        <v>12</v>
      </c>
      <c r="N317" s="31">
        <v>3</v>
      </c>
      <c r="O317" s="31">
        <v>3</v>
      </c>
      <c r="P317" s="32">
        <v>0.25</v>
      </c>
      <c r="Q317" s="31">
        <v>9</v>
      </c>
      <c r="R317" s="31">
        <v>0</v>
      </c>
      <c r="S317" s="31">
        <v>0</v>
      </c>
      <c r="T317" s="32">
        <v>0</v>
      </c>
      <c r="U317" s="31">
        <v>0</v>
      </c>
      <c r="V317" s="32">
        <v>0</v>
      </c>
      <c r="W317" s="31">
        <v>15</v>
      </c>
      <c r="X317" s="32">
        <v>0.34883720930232559</v>
      </c>
      <c r="Y317" s="31">
        <v>14</v>
      </c>
      <c r="Z317" s="34">
        <v>0.32558139534883718</v>
      </c>
      <c r="AA317" s="31">
        <v>0</v>
      </c>
      <c r="AB317" s="32">
        <v>0</v>
      </c>
      <c r="AC317" s="31">
        <v>0</v>
      </c>
      <c r="AD317" s="32">
        <v>0</v>
      </c>
      <c r="AE317" s="31">
        <v>0</v>
      </c>
      <c r="AF317" s="32">
        <v>0</v>
      </c>
      <c r="AG317" s="31">
        <v>0</v>
      </c>
      <c r="AH317" s="32">
        <v>0</v>
      </c>
      <c r="AI317" s="35">
        <v>0</v>
      </c>
      <c r="AJ317" s="32">
        <v>0</v>
      </c>
      <c r="AK317" s="35">
        <v>0</v>
      </c>
      <c r="AL317" s="32">
        <v>0</v>
      </c>
      <c r="AM317" s="35">
        <v>0</v>
      </c>
      <c r="AN317" s="35">
        <v>0</v>
      </c>
      <c r="AO317" s="32">
        <v>0</v>
      </c>
      <c r="AP317" s="32">
        <v>0</v>
      </c>
      <c r="AQ317" s="33">
        <v>0</v>
      </c>
      <c r="AR317" s="33" t="s">
        <v>411</v>
      </c>
      <c r="AS317" s="33">
        <v>0</v>
      </c>
      <c r="AT317" s="35">
        <v>0</v>
      </c>
      <c r="AU317" s="35">
        <v>0</v>
      </c>
      <c r="AV317" s="35">
        <v>0</v>
      </c>
      <c r="AW317" s="35">
        <v>0</v>
      </c>
      <c r="AX317" s="35">
        <v>0</v>
      </c>
      <c r="AY317" s="35">
        <v>0</v>
      </c>
      <c r="AZ317" s="32">
        <v>0</v>
      </c>
      <c r="BA317" s="32">
        <v>0</v>
      </c>
      <c r="BB317" s="32">
        <v>0</v>
      </c>
      <c r="BC317" s="32">
        <v>0</v>
      </c>
      <c r="BD317" s="35">
        <v>0</v>
      </c>
      <c r="BE317" s="35">
        <v>0</v>
      </c>
      <c r="BF317" s="33" t="s">
        <v>412</v>
      </c>
      <c r="BG317" s="33" t="s">
        <v>412</v>
      </c>
      <c r="BH317" s="33">
        <v>1</v>
      </c>
    </row>
    <row r="318" spans="1:60" ht="19.5" customHeight="1">
      <c r="A318" s="36">
        <v>315</v>
      </c>
      <c r="B318" s="31" t="s">
        <v>410</v>
      </c>
      <c r="C318" s="37">
        <v>46226</v>
      </c>
      <c r="D318" s="31" t="s">
        <v>413</v>
      </c>
      <c r="E318" s="31">
        <v>244</v>
      </c>
      <c r="F318" s="31">
        <v>222</v>
      </c>
      <c r="G318" s="32">
        <v>0.9098360655737705</v>
      </c>
      <c r="H318" s="31">
        <v>82</v>
      </c>
      <c r="I318" s="33">
        <v>0.33606557377049179</v>
      </c>
      <c r="J318" s="31">
        <v>348</v>
      </c>
      <c r="K318" s="31">
        <v>200</v>
      </c>
      <c r="L318" s="32">
        <v>0.57499999999999996</v>
      </c>
      <c r="M318" s="31">
        <v>572</v>
      </c>
      <c r="N318" s="31">
        <v>491</v>
      </c>
      <c r="O318" s="31">
        <v>374</v>
      </c>
      <c r="P318" s="32">
        <v>0.65384615384615385</v>
      </c>
      <c r="Q318" s="31">
        <v>118</v>
      </c>
      <c r="R318" s="31">
        <v>0</v>
      </c>
      <c r="S318" s="31">
        <v>0</v>
      </c>
      <c r="T318" s="32">
        <v>0</v>
      </c>
      <c r="U318" s="31">
        <v>0</v>
      </c>
      <c r="V318" s="32">
        <v>0</v>
      </c>
      <c r="W318" s="31">
        <v>1</v>
      </c>
      <c r="X318" s="32">
        <v>4.0983606557377051E-3</v>
      </c>
      <c r="Y318" s="31">
        <v>31</v>
      </c>
      <c r="Z318" s="34">
        <v>0.12704918032786891</v>
      </c>
      <c r="AA318" s="31">
        <v>0</v>
      </c>
      <c r="AB318" s="32">
        <v>0</v>
      </c>
      <c r="AC318" s="31">
        <v>0</v>
      </c>
      <c r="AD318" s="32">
        <v>0</v>
      </c>
      <c r="AE318" s="31">
        <v>0</v>
      </c>
      <c r="AF318" s="32">
        <v>0</v>
      </c>
      <c r="AG318" s="31">
        <v>0</v>
      </c>
      <c r="AH318" s="32">
        <v>0</v>
      </c>
      <c r="AI318" s="35">
        <v>0</v>
      </c>
      <c r="AJ318" s="32">
        <v>0</v>
      </c>
      <c r="AK318" s="35">
        <v>0</v>
      </c>
      <c r="AL318" s="32">
        <v>0</v>
      </c>
      <c r="AM318" s="35">
        <v>0</v>
      </c>
      <c r="AN318" s="35">
        <v>0</v>
      </c>
      <c r="AO318" s="32">
        <v>0</v>
      </c>
      <c r="AP318" s="32">
        <v>0</v>
      </c>
      <c r="AQ318" s="33"/>
      <c r="AR318" s="33" t="s">
        <v>411</v>
      </c>
      <c r="AS318" s="33" t="s">
        <v>411</v>
      </c>
      <c r="AT318" s="35">
        <v>0</v>
      </c>
      <c r="AU318" s="35">
        <v>0</v>
      </c>
      <c r="AV318" s="35">
        <v>3</v>
      </c>
      <c r="AW318" s="35">
        <v>3</v>
      </c>
      <c r="AX318" s="35">
        <v>3</v>
      </c>
      <c r="AY318" s="35">
        <v>1</v>
      </c>
      <c r="AZ318" s="32">
        <v>1.2295081967213109E-2</v>
      </c>
      <c r="BA318" s="32">
        <v>1.2295081967213109E-2</v>
      </c>
      <c r="BB318" s="32">
        <v>4.0983606557377051E-3</v>
      </c>
      <c r="BC318" s="32">
        <v>0</v>
      </c>
      <c r="BD318" s="35">
        <v>0</v>
      </c>
      <c r="BE318" s="35">
        <v>0</v>
      </c>
      <c r="BF318" s="33" t="s">
        <v>412</v>
      </c>
      <c r="BG318" s="33">
        <v>1</v>
      </c>
      <c r="BH318" s="33" t="s">
        <v>412</v>
      </c>
    </row>
    <row r="319" spans="1:60" ht="19.5" customHeight="1">
      <c r="A319" s="36">
        <v>316</v>
      </c>
      <c r="B319" s="31" t="s">
        <v>410</v>
      </c>
      <c r="C319" s="37">
        <v>46226</v>
      </c>
      <c r="D319" s="31" t="s">
        <v>335</v>
      </c>
      <c r="E319" s="31">
        <v>2041</v>
      </c>
      <c r="F319" s="31">
        <v>1798</v>
      </c>
      <c r="G319" s="32">
        <v>0.8809407153356198</v>
      </c>
      <c r="H319" s="31">
        <v>977</v>
      </c>
      <c r="I319" s="33">
        <v>0.47868691817736397</v>
      </c>
      <c r="J319" s="31">
        <v>1849</v>
      </c>
      <c r="K319" s="31">
        <v>1808</v>
      </c>
      <c r="L319" s="32">
        <v>0.97799999999999998</v>
      </c>
      <c r="M319" s="31">
        <v>10090</v>
      </c>
      <c r="N319" s="31">
        <v>9902</v>
      </c>
      <c r="O319" s="31">
        <v>9924</v>
      </c>
      <c r="P319" s="32">
        <v>0.9835480673934589</v>
      </c>
      <c r="Q319" s="31">
        <v>78</v>
      </c>
      <c r="R319" s="31">
        <v>0</v>
      </c>
      <c r="S319" s="31">
        <v>0</v>
      </c>
      <c r="T319" s="32">
        <v>0</v>
      </c>
      <c r="U319" s="31">
        <v>0</v>
      </c>
      <c r="V319" s="32">
        <v>0</v>
      </c>
      <c r="W319" s="31">
        <v>303</v>
      </c>
      <c r="X319" s="32">
        <v>0.1484566389024988</v>
      </c>
      <c r="Y319" s="31">
        <v>831</v>
      </c>
      <c r="Z319" s="34">
        <v>0.40715335619794218</v>
      </c>
      <c r="AA319" s="31">
        <v>0</v>
      </c>
      <c r="AB319" s="32">
        <v>0</v>
      </c>
      <c r="AC319" s="31">
        <v>127</v>
      </c>
      <c r="AD319" s="32">
        <v>6.2224399804017637E-2</v>
      </c>
      <c r="AE319" s="31">
        <v>24</v>
      </c>
      <c r="AF319" s="32">
        <v>0.1889763779527559</v>
      </c>
      <c r="AG319" s="31">
        <v>106</v>
      </c>
      <c r="AH319" s="32">
        <v>0.83464566929133854</v>
      </c>
      <c r="AI319" s="35">
        <v>106</v>
      </c>
      <c r="AJ319" s="32">
        <v>5.1935325820676143E-2</v>
      </c>
      <c r="AK319" s="35">
        <v>10</v>
      </c>
      <c r="AL319" s="32">
        <v>0.82075471698113212</v>
      </c>
      <c r="AM319" s="35">
        <v>105</v>
      </c>
      <c r="AN319" s="35">
        <v>87</v>
      </c>
      <c r="AO319" s="32">
        <v>4.2626163645271928E-2</v>
      </c>
      <c r="AP319" s="32">
        <v>0.68503937007874016</v>
      </c>
      <c r="AQ319" s="33">
        <v>0.98809523809523814</v>
      </c>
      <c r="AR319" s="33" t="s">
        <v>411</v>
      </c>
      <c r="AS319" s="33">
        <v>0</v>
      </c>
      <c r="AT319" s="35">
        <v>0</v>
      </c>
      <c r="AU319" s="35">
        <v>0</v>
      </c>
      <c r="AV319" s="35">
        <v>31</v>
      </c>
      <c r="AW319" s="35">
        <v>26</v>
      </c>
      <c r="AX319" s="35">
        <v>29</v>
      </c>
      <c r="AY319" s="35">
        <v>53</v>
      </c>
      <c r="AZ319" s="32">
        <v>1.2738853503184711E-2</v>
      </c>
      <c r="BA319" s="32">
        <v>1.420872121509064E-2</v>
      </c>
      <c r="BB319" s="32">
        <v>2.5967662910338071E-2</v>
      </c>
      <c r="BC319" s="32">
        <v>0.33333333333333331</v>
      </c>
      <c r="BD319" s="35">
        <v>0</v>
      </c>
      <c r="BE319" s="35">
        <v>0</v>
      </c>
      <c r="BF319" s="33">
        <v>1</v>
      </c>
      <c r="BG319" s="33">
        <v>1</v>
      </c>
      <c r="BH319" s="33" t="s">
        <v>412</v>
      </c>
    </row>
    <row r="320" spans="1:60" ht="19.5" customHeight="1">
      <c r="A320" s="36">
        <v>317</v>
      </c>
      <c r="B320" s="31" t="s">
        <v>410</v>
      </c>
      <c r="C320" s="37">
        <v>46226</v>
      </c>
      <c r="D320" s="31" t="s">
        <v>334</v>
      </c>
      <c r="E320" s="31">
        <v>1648</v>
      </c>
      <c r="F320" s="31">
        <v>1450</v>
      </c>
      <c r="G320" s="32">
        <v>0.87985436893203883</v>
      </c>
      <c r="H320" s="31">
        <v>755</v>
      </c>
      <c r="I320" s="33">
        <v>0.45813106796116498</v>
      </c>
      <c r="J320" s="31">
        <v>1460</v>
      </c>
      <c r="K320" s="31">
        <v>1425</v>
      </c>
      <c r="L320" s="32">
        <v>0.97599999999999998</v>
      </c>
      <c r="M320" s="31">
        <v>8324</v>
      </c>
      <c r="N320" s="31">
        <v>8433</v>
      </c>
      <c r="O320" s="31">
        <v>8189</v>
      </c>
      <c r="P320" s="32">
        <v>0.98378183565593469</v>
      </c>
      <c r="Q320" s="31">
        <v>53</v>
      </c>
      <c r="R320" s="31">
        <v>0</v>
      </c>
      <c r="S320" s="31">
        <v>0</v>
      </c>
      <c r="T320" s="32">
        <v>0</v>
      </c>
      <c r="U320" s="31">
        <v>0</v>
      </c>
      <c r="V320" s="32">
        <v>0</v>
      </c>
      <c r="W320" s="31">
        <v>271</v>
      </c>
      <c r="X320" s="32">
        <v>0.16444174757281549</v>
      </c>
      <c r="Y320" s="31">
        <v>502</v>
      </c>
      <c r="Z320" s="34">
        <v>0.30461165048543692</v>
      </c>
      <c r="AA320" s="31">
        <v>0</v>
      </c>
      <c r="AB320" s="32">
        <v>0</v>
      </c>
      <c r="AC320" s="31">
        <v>113</v>
      </c>
      <c r="AD320" s="32">
        <v>6.8567961165048541E-2</v>
      </c>
      <c r="AE320" s="31">
        <v>15</v>
      </c>
      <c r="AF320" s="32">
        <v>0.13274336283185839</v>
      </c>
      <c r="AG320" s="31">
        <v>91</v>
      </c>
      <c r="AH320" s="32">
        <v>0.80530973451327437</v>
      </c>
      <c r="AI320" s="35">
        <v>90</v>
      </c>
      <c r="AJ320" s="32">
        <v>5.461165048543689E-2</v>
      </c>
      <c r="AK320" s="35">
        <v>5</v>
      </c>
      <c r="AL320" s="32">
        <v>0.77777777777777779</v>
      </c>
      <c r="AM320" s="35">
        <v>88</v>
      </c>
      <c r="AN320" s="35">
        <v>70</v>
      </c>
      <c r="AO320" s="32">
        <v>4.2475728155339808E-2</v>
      </c>
      <c r="AP320" s="32">
        <v>0.61946902654867253</v>
      </c>
      <c r="AQ320" s="33">
        <v>0.96385542168674698</v>
      </c>
      <c r="AR320" s="33" t="s">
        <v>411</v>
      </c>
      <c r="AS320" s="33">
        <v>0</v>
      </c>
      <c r="AT320" s="35">
        <v>0</v>
      </c>
      <c r="AU320" s="35">
        <v>0</v>
      </c>
      <c r="AV320" s="35">
        <v>29</v>
      </c>
      <c r="AW320" s="35">
        <v>20</v>
      </c>
      <c r="AX320" s="35">
        <v>19</v>
      </c>
      <c r="AY320" s="35">
        <v>42</v>
      </c>
      <c r="AZ320" s="32">
        <v>1.2135922330097091E-2</v>
      </c>
      <c r="BA320" s="32">
        <v>1.152912621359223E-2</v>
      </c>
      <c r="BB320" s="32">
        <v>2.5485436893203879E-2</v>
      </c>
      <c r="BC320" s="32">
        <v>0.27142857142857141</v>
      </c>
      <c r="BD320" s="35">
        <v>0</v>
      </c>
      <c r="BE320" s="35">
        <v>0</v>
      </c>
      <c r="BF320" s="33">
        <v>1</v>
      </c>
      <c r="BG320" s="33">
        <v>1</v>
      </c>
      <c r="BH320" s="33" t="s">
        <v>412</v>
      </c>
    </row>
    <row r="321" spans="1:60" ht="19.5" customHeight="1">
      <c r="A321" s="36">
        <v>318</v>
      </c>
      <c r="B321" s="31" t="s">
        <v>410</v>
      </c>
      <c r="C321" s="37">
        <v>46226</v>
      </c>
      <c r="D321" s="31" t="s">
        <v>337</v>
      </c>
      <c r="E321" s="31">
        <v>6121</v>
      </c>
      <c r="F321" s="31">
        <v>5476</v>
      </c>
      <c r="G321" s="32">
        <v>0.89462506126449926</v>
      </c>
      <c r="H321" s="31">
        <v>2277</v>
      </c>
      <c r="I321" s="33">
        <v>0.37199803953602351</v>
      </c>
      <c r="J321" s="31">
        <v>4775</v>
      </c>
      <c r="K321" s="31">
        <v>4650</v>
      </c>
      <c r="L321" s="32">
        <v>0.97399999999999998</v>
      </c>
      <c r="M321" s="31">
        <v>23507</v>
      </c>
      <c r="N321" s="31">
        <v>23777</v>
      </c>
      <c r="O321" s="31">
        <v>23098</v>
      </c>
      <c r="P321" s="32">
        <v>0.9826009273833326</v>
      </c>
      <c r="Q321" s="31">
        <v>181</v>
      </c>
      <c r="R321" s="31">
        <v>0</v>
      </c>
      <c r="S321" s="31">
        <v>0</v>
      </c>
      <c r="T321" s="32">
        <v>0</v>
      </c>
      <c r="U321" s="31">
        <v>0</v>
      </c>
      <c r="V321" s="32">
        <v>0</v>
      </c>
      <c r="W321" s="31">
        <v>595</v>
      </c>
      <c r="X321" s="32">
        <v>9.7206338833523934E-2</v>
      </c>
      <c r="Y321" s="31">
        <v>1813</v>
      </c>
      <c r="Z321" s="34">
        <v>0.29619343244567881</v>
      </c>
      <c r="AA321" s="31">
        <v>0</v>
      </c>
      <c r="AB321" s="32">
        <v>0</v>
      </c>
      <c r="AC321" s="31">
        <v>598</v>
      </c>
      <c r="AD321" s="32">
        <v>9.769645482764254E-2</v>
      </c>
      <c r="AE321" s="31">
        <v>97</v>
      </c>
      <c r="AF321" s="32">
        <v>0.1622073578595318</v>
      </c>
      <c r="AG321" s="31">
        <v>527</v>
      </c>
      <c r="AH321" s="32">
        <v>0.88127090301003341</v>
      </c>
      <c r="AI321" s="35">
        <v>571</v>
      </c>
      <c r="AJ321" s="32">
        <v>9.328541088057507E-2</v>
      </c>
      <c r="AK321" s="35">
        <v>36</v>
      </c>
      <c r="AL321" s="32">
        <v>0.87390542907180391</v>
      </c>
      <c r="AM321" s="35">
        <v>562</v>
      </c>
      <c r="AN321" s="35">
        <v>499</v>
      </c>
      <c r="AO321" s="32">
        <v>8.152262702172848E-2</v>
      </c>
      <c r="AP321" s="32">
        <v>0.83444816053511706</v>
      </c>
      <c r="AQ321" s="33">
        <v>0.96448598130841123</v>
      </c>
      <c r="AR321" s="33" t="s">
        <v>411</v>
      </c>
      <c r="AS321" s="33">
        <v>0</v>
      </c>
      <c r="AT321" s="35">
        <v>0</v>
      </c>
      <c r="AU321" s="35">
        <v>0</v>
      </c>
      <c r="AV321" s="35">
        <v>59</v>
      </c>
      <c r="AW321" s="35">
        <v>40</v>
      </c>
      <c r="AX321" s="35">
        <v>38</v>
      </c>
      <c r="AY321" s="35">
        <v>117</v>
      </c>
      <c r="AZ321" s="32">
        <v>6.5348799215814409E-3</v>
      </c>
      <c r="BA321" s="32">
        <v>6.2081359255023692E-3</v>
      </c>
      <c r="BB321" s="32">
        <v>1.911452377062571E-2</v>
      </c>
      <c r="BC321" s="32">
        <v>7.6152304609218444E-2</v>
      </c>
      <c r="BD321" s="35">
        <v>0</v>
      </c>
      <c r="BE321" s="35">
        <v>1</v>
      </c>
      <c r="BF321" s="33">
        <v>0.96969696969696972</v>
      </c>
      <c r="BG321" s="33">
        <v>1</v>
      </c>
      <c r="BH321" s="33" t="s">
        <v>412</v>
      </c>
    </row>
    <row r="322" spans="1:60" ht="19.5" customHeight="1">
      <c r="A322" s="36">
        <v>319</v>
      </c>
      <c r="B322" s="31" t="s">
        <v>410</v>
      </c>
      <c r="C322" s="37">
        <v>46226</v>
      </c>
      <c r="D322" s="31" t="s">
        <v>336</v>
      </c>
      <c r="E322" s="31">
        <v>3020</v>
      </c>
      <c r="F322" s="31">
        <v>2646</v>
      </c>
      <c r="G322" s="32">
        <v>0.87615894039735098</v>
      </c>
      <c r="H322" s="31">
        <v>2047</v>
      </c>
      <c r="I322" s="33">
        <v>0.67781456953642383</v>
      </c>
      <c r="J322" s="31">
        <v>3874</v>
      </c>
      <c r="K322" s="31">
        <v>3777</v>
      </c>
      <c r="L322" s="32">
        <v>0.97499999999999998</v>
      </c>
      <c r="M322" s="31">
        <v>19162</v>
      </c>
      <c r="N322" s="31">
        <v>19130</v>
      </c>
      <c r="O322" s="31">
        <v>18895</v>
      </c>
      <c r="P322" s="32">
        <v>0.98606617263333685</v>
      </c>
      <c r="Q322" s="31">
        <v>115</v>
      </c>
      <c r="R322" s="31">
        <v>0</v>
      </c>
      <c r="S322" s="31">
        <v>0</v>
      </c>
      <c r="T322" s="32">
        <v>0</v>
      </c>
      <c r="U322" s="31">
        <v>0</v>
      </c>
      <c r="V322" s="32">
        <v>0</v>
      </c>
      <c r="W322" s="31">
        <v>351</v>
      </c>
      <c r="X322" s="32">
        <v>0.1162251655629139</v>
      </c>
      <c r="Y322" s="31">
        <v>838</v>
      </c>
      <c r="Z322" s="34">
        <v>0.27748344370860928</v>
      </c>
      <c r="AA322" s="31">
        <v>0</v>
      </c>
      <c r="AB322" s="32">
        <v>0</v>
      </c>
      <c r="AC322" s="31">
        <v>212</v>
      </c>
      <c r="AD322" s="32">
        <v>7.0198675496688748E-2</v>
      </c>
      <c r="AE322" s="31">
        <v>45</v>
      </c>
      <c r="AF322" s="32">
        <v>0.21226415094339621</v>
      </c>
      <c r="AG322" s="31">
        <v>190</v>
      </c>
      <c r="AH322" s="32">
        <v>0.89622641509433965</v>
      </c>
      <c r="AI322" s="35">
        <v>191</v>
      </c>
      <c r="AJ322" s="32">
        <v>6.3245033112582782E-2</v>
      </c>
      <c r="AK322" s="35">
        <v>17</v>
      </c>
      <c r="AL322" s="32">
        <v>0.80628272251308897</v>
      </c>
      <c r="AM322" s="35">
        <v>190</v>
      </c>
      <c r="AN322" s="35">
        <v>154</v>
      </c>
      <c r="AO322" s="32">
        <v>5.0993377483443708E-2</v>
      </c>
      <c r="AP322" s="32">
        <v>0.72641509433962259</v>
      </c>
      <c r="AQ322" s="33">
        <v>0.96391752577319589</v>
      </c>
      <c r="AR322" s="33" t="s">
        <v>411</v>
      </c>
      <c r="AS322" s="33">
        <v>0</v>
      </c>
      <c r="AT322" s="35">
        <v>0</v>
      </c>
      <c r="AU322" s="35">
        <v>0</v>
      </c>
      <c r="AV322" s="35">
        <v>31</v>
      </c>
      <c r="AW322" s="35">
        <v>24</v>
      </c>
      <c r="AX322" s="35">
        <v>24</v>
      </c>
      <c r="AY322" s="35">
        <v>63</v>
      </c>
      <c r="AZ322" s="32">
        <v>7.9470198675496689E-3</v>
      </c>
      <c r="BA322" s="32">
        <v>7.9470198675496689E-3</v>
      </c>
      <c r="BB322" s="32">
        <v>2.0860927152317878E-2</v>
      </c>
      <c r="BC322" s="32">
        <v>0.15584415584415581</v>
      </c>
      <c r="BD322" s="35">
        <v>0</v>
      </c>
      <c r="BE322" s="35">
        <v>0</v>
      </c>
      <c r="BF322" s="33">
        <v>0.94444444444444442</v>
      </c>
      <c r="BG322" s="33">
        <v>1</v>
      </c>
      <c r="BH322" s="33" t="s">
        <v>412</v>
      </c>
    </row>
    <row r="323" spans="1:60" ht="19.5" customHeight="1">
      <c r="A323" s="36">
        <v>320</v>
      </c>
      <c r="B323" s="31" t="s">
        <v>410</v>
      </c>
      <c r="C323" s="37">
        <v>46226</v>
      </c>
      <c r="D323" s="31" t="s">
        <v>414</v>
      </c>
      <c r="E323" s="31">
        <v>0</v>
      </c>
      <c r="F323" s="31">
        <v>0</v>
      </c>
      <c r="G323" s="32">
        <v>0</v>
      </c>
      <c r="H323" s="31">
        <v>0</v>
      </c>
      <c r="I323" s="33">
        <v>0</v>
      </c>
      <c r="J323" s="31">
        <v>0</v>
      </c>
      <c r="K323" s="31">
        <v>0</v>
      </c>
      <c r="L323" s="32">
        <v>0</v>
      </c>
      <c r="M323" s="31">
        <v>0</v>
      </c>
      <c r="N323" s="31">
        <v>0</v>
      </c>
      <c r="O323" s="31">
        <v>0</v>
      </c>
      <c r="P323" s="32">
        <v>0</v>
      </c>
      <c r="Q323" s="31">
        <v>0</v>
      </c>
      <c r="R323" s="31">
        <v>0</v>
      </c>
      <c r="S323" s="31">
        <v>0</v>
      </c>
      <c r="T323" s="32">
        <v>0</v>
      </c>
      <c r="U323" s="31">
        <v>0</v>
      </c>
      <c r="V323" s="32">
        <v>0</v>
      </c>
      <c r="W323" s="31">
        <v>0</v>
      </c>
      <c r="X323" s="32">
        <v>0</v>
      </c>
      <c r="Y323" s="31">
        <v>0</v>
      </c>
      <c r="Z323" s="34">
        <v>0</v>
      </c>
      <c r="AA323" s="31">
        <v>0</v>
      </c>
      <c r="AB323" s="32">
        <v>0</v>
      </c>
      <c r="AC323" s="31">
        <v>0</v>
      </c>
      <c r="AD323" s="32">
        <v>0</v>
      </c>
      <c r="AE323" s="31">
        <v>0</v>
      </c>
      <c r="AF323" s="32">
        <v>0</v>
      </c>
      <c r="AG323" s="31">
        <v>0</v>
      </c>
      <c r="AH323" s="32">
        <v>0</v>
      </c>
      <c r="AI323" s="35">
        <v>1</v>
      </c>
      <c r="AJ323" s="32">
        <v>0</v>
      </c>
      <c r="AK323" s="35">
        <v>0</v>
      </c>
      <c r="AL323" s="32">
        <v>0</v>
      </c>
      <c r="AM323" s="35">
        <v>0</v>
      </c>
      <c r="AN323" s="35">
        <v>0</v>
      </c>
      <c r="AO323" s="32">
        <v>0</v>
      </c>
      <c r="AP323" s="32">
        <v>0</v>
      </c>
      <c r="AQ323" s="33"/>
      <c r="AR323" s="33" t="s">
        <v>411</v>
      </c>
      <c r="AS323" s="33" t="s">
        <v>411</v>
      </c>
      <c r="AT323" s="35">
        <v>0</v>
      </c>
      <c r="AU323" s="35">
        <v>0</v>
      </c>
      <c r="AV323" s="35">
        <v>0</v>
      </c>
      <c r="AW323" s="35">
        <v>0</v>
      </c>
      <c r="AX323" s="35">
        <v>0</v>
      </c>
      <c r="AY323" s="35">
        <v>0</v>
      </c>
      <c r="AZ323" s="32">
        <v>0</v>
      </c>
      <c r="BA323" s="32">
        <v>0</v>
      </c>
      <c r="BB323" s="32">
        <v>0</v>
      </c>
      <c r="BC323" s="32">
        <v>0</v>
      </c>
      <c r="BD323" s="35">
        <v>0</v>
      </c>
      <c r="BE323" s="35">
        <v>0</v>
      </c>
      <c r="BF323" s="33" t="s">
        <v>412</v>
      </c>
      <c r="BG323" s="33" t="s">
        <v>412</v>
      </c>
      <c r="BH323" s="33" t="s">
        <v>412</v>
      </c>
    </row>
    <row r="324" spans="1:60" ht="19.5" customHeight="1">
      <c r="A324" s="36">
        <v>321</v>
      </c>
      <c r="B324" s="31" t="s">
        <v>410</v>
      </c>
      <c r="C324" s="37">
        <v>46227</v>
      </c>
      <c r="D324" s="31"/>
      <c r="E324" s="31">
        <v>44</v>
      </c>
      <c r="F324" s="31">
        <v>44</v>
      </c>
      <c r="G324" s="32">
        <v>1</v>
      </c>
      <c r="H324" s="31">
        <v>44</v>
      </c>
      <c r="I324" s="33">
        <v>1</v>
      </c>
      <c r="J324" s="31">
        <v>1</v>
      </c>
      <c r="K324" s="31">
        <v>0</v>
      </c>
      <c r="L324" s="32">
        <v>0</v>
      </c>
      <c r="M324" s="31">
        <v>4</v>
      </c>
      <c r="N324" s="31">
        <v>1</v>
      </c>
      <c r="O324" s="31">
        <v>1</v>
      </c>
      <c r="P324" s="32">
        <v>0.25</v>
      </c>
      <c r="Q324" s="31">
        <v>3</v>
      </c>
      <c r="R324" s="31">
        <v>0</v>
      </c>
      <c r="S324" s="31">
        <v>0</v>
      </c>
      <c r="T324" s="32">
        <v>0</v>
      </c>
      <c r="U324" s="31">
        <v>0</v>
      </c>
      <c r="V324" s="32">
        <v>0</v>
      </c>
      <c r="W324" s="31">
        <v>24</v>
      </c>
      <c r="X324" s="32">
        <v>0.54545454545454541</v>
      </c>
      <c r="Y324" s="31">
        <v>12</v>
      </c>
      <c r="Z324" s="34">
        <v>0.27272727272727271</v>
      </c>
      <c r="AA324" s="31">
        <v>0</v>
      </c>
      <c r="AB324" s="32">
        <v>0</v>
      </c>
      <c r="AC324" s="31">
        <v>0</v>
      </c>
      <c r="AD324" s="32">
        <v>0</v>
      </c>
      <c r="AE324" s="31">
        <v>0</v>
      </c>
      <c r="AF324" s="32">
        <v>0</v>
      </c>
      <c r="AG324" s="31">
        <v>0</v>
      </c>
      <c r="AH324" s="32">
        <v>0</v>
      </c>
      <c r="AI324" s="35">
        <v>0</v>
      </c>
      <c r="AJ324" s="32">
        <v>0</v>
      </c>
      <c r="AK324" s="35">
        <v>0</v>
      </c>
      <c r="AL324" s="32">
        <v>0</v>
      </c>
      <c r="AM324" s="35">
        <v>0</v>
      </c>
      <c r="AN324" s="35">
        <v>0</v>
      </c>
      <c r="AO324" s="32">
        <v>0</v>
      </c>
      <c r="AP324" s="32">
        <v>0</v>
      </c>
      <c r="AQ324" s="33">
        <v>0</v>
      </c>
      <c r="AR324" s="33" t="s">
        <v>411</v>
      </c>
      <c r="AS324" s="33">
        <v>0</v>
      </c>
      <c r="AT324" s="35">
        <v>0</v>
      </c>
      <c r="AU324" s="35">
        <v>0</v>
      </c>
      <c r="AV324" s="35">
        <v>0</v>
      </c>
      <c r="AW324" s="35">
        <v>0</v>
      </c>
      <c r="AX324" s="35">
        <v>0</v>
      </c>
      <c r="AY324" s="35">
        <v>0</v>
      </c>
      <c r="AZ324" s="32">
        <v>0</v>
      </c>
      <c r="BA324" s="32">
        <v>0</v>
      </c>
      <c r="BB324" s="32">
        <v>0</v>
      </c>
      <c r="BC324" s="32">
        <v>0</v>
      </c>
      <c r="BD324" s="35">
        <v>0</v>
      </c>
      <c r="BE324" s="35">
        <v>0</v>
      </c>
      <c r="BF324" s="33" t="s">
        <v>412</v>
      </c>
      <c r="BG324" s="33" t="s">
        <v>412</v>
      </c>
      <c r="BH324" s="33">
        <v>0.99300699300699302</v>
      </c>
    </row>
    <row r="325" spans="1:60" ht="19.5" customHeight="1">
      <c r="A325" s="36">
        <v>322</v>
      </c>
      <c r="B325" s="31" t="s">
        <v>410</v>
      </c>
      <c r="C325" s="37">
        <v>46227</v>
      </c>
      <c r="D325" s="31" t="s">
        <v>413</v>
      </c>
      <c r="E325" s="31">
        <v>228</v>
      </c>
      <c r="F325" s="31">
        <v>205</v>
      </c>
      <c r="G325" s="32">
        <v>0.89912280701754388</v>
      </c>
      <c r="H325" s="31">
        <v>64</v>
      </c>
      <c r="I325" s="33">
        <v>0.2807017543859649</v>
      </c>
      <c r="J325" s="31">
        <v>221</v>
      </c>
      <c r="K325" s="31">
        <v>142</v>
      </c>
      <c r="L325" s="32">
        <v>0.64300000000000002</v>
      </c>
      <c r="M325" s="31">
        <v>553</v>
      </c>
      <c r="N325" s="31">
        <v>495</v>
      </c>
      <c r="O325" s="31">
        <v>391</v>
      </c>
      <c r="P325" s="32">
        <v>0.70705244122965638</v>
      </c>
      <c r="Q325" s="31">
        <v>76</v>
      </c>
      <c r="R325" s="31">
        <v>0</v>
      </c>
      <c r="S325" s="31">
        <v>0</v>
      </c>
      <c r="T325" s="32">
        <v>0</v>
      </c>
      <c r="U325" s="31">
        <v>0</v>
      </c>
      <c r="V325" s="32">
        <v>0</v>
      </c>
      <c r="W325" s="31">
        <v>2</v>
      </c>
      <c r="X325" s="32">
        <v>8.771929824561403E-3</v>
      </c>
      <c r="Y325" s="31">
        <v>15</v>
      </c>
      <c r="Z325" s="34">
        <v>6.5789473684210523E-2</v>
      </c>
      <c r="AA325" s="31">
        <v>0</v>
      </c>
      <c r="AB325" s="32">
        <v>0</v>
      </c>
      <c r="AC325" s="31">
        <v>1</v>
      </c>
      <c r="AD325" s="32">
        <v>4.3859649122807024E-3</v>
      </c>
      <c r="AE325" s="31">
        <v>0</v>
      </c>
      <c r="AF325" s="32">
        <v>0</v>
      </c>
      <c r="AG325" s="31">
        <v>0</v>
      </c>
      <c r="AH325" s="32">
        <v>0</v>
      </c>
      <c r="AI325" s="35">
        <v>0</v>
      </c>
      <c r="AJ325" s="32">
        <v>0</v>
      </c>
      <c r="AK325" s="35">
        <v>0</v>
      </c>
      <c r="AL325" s="32">
        <v>0</v>
      </c>
      <c r="AM325" s="35">
        <v>0</v>
      </c>
      <c r="AN325" s="35">
        <v>0</v>
      </c>
      <c r="AO325" s="32">
        <v>0</v>
      </c>
      <c r="AP325" s="32">
        <v>0</v>
      </c>
      <c r="AQ325" s="33"/>
      <c r="AR325" s="33" t="s">
        <v>411</v>
      </c>
      <c r="AS325" s="33" t="s">
        <v>411</v>
      </c>
      <c r="AT325" s="35">
        <v>0</v>
      </c>
      <c r="AU325" s="35">
        <v>0</v>
      </c>
      <c r="AV325" s="35">
        <v>2</v>
      </c>
      <c r="AW325" s="35">
        <v>2</v>
      </c>
      <c r="AX325" s="35">
        <v>2</v>
      </c>
      <c r="AY325" s="35">
        <v>1</v>
      </c>
      <c r="AZ325" s="32">
        <v>8.771929824561403E-3</v>
      </c>
      <c r="BA325" s="32">
        <v>8.771929824561403E-3</v>
      </c>
      <c r="BB325" s="32">
        <v>4.3859649122807024E-3</v>
      </c>
      <c r="BC325" s="32">
        <v>0</v>
      </c>
      <c r="BD325" s="35">
        <v>0</v>
      </c>
      <c r="BE325" s="35">
        <v>0</v>
      </c>
      <c r="BF325" s="33" t="s">
        <v>412</v>
      </c>
      <c r="BG325" s="33" t="s">
        <v>412</v>
      </c>
      <c r="BH325" s="33" t="s">
        <v>412</v>
      </c>
    </row>
    <row r="326" spans="1:60" ht="19.5" customHeight="1">
      <c r="A326" s="36">
        <v>323</v>
      </c>
      <c r="B326" s="31" t="s">
        <v>410</v>
      </c>
      <c r="C326" s="37">
        <v>46227</v>
      </c>
      <c r="D326" s="31" t="s">
        <v>335</v>
      </c>
      <c r="E326" s="31">
        <v>2161</v>
      </c>
      <c r="F326" s="31">
        <v>1895</v>
      </c>
      <c r="G326" s="32">
        <v>0.87690883850069412</v>
      </c>
      <c r="H326" s="31">
        <v>1007</v>
      </c>
      <c r="I326" s="33">
        <v>0.46598796853308649</v>
      </c>
      <c r="J326" s="31">
        <v>2073</v>
      </c>
      <c r="K326" s="31">
        <v>1983</v>
      </c>
      <c r="L326" s="32">
        <v>0.95699999999999996</v>
      </c>
      <c r="M326" s="31">
        <v>10484</v>
      </c>
      <c r="N326" s="31">
        <v>10552</v>
      </c>
      <c r="O326" s="31">
        <v>10308</v>
      </c>
      <c r="P326" s="32">
        <v>0.98321251430751622</v>
      </c>
      <c r="Q326" s="31">
        <v>61</v>
      </c>
      <c r="R326" s="31">
        <v>0</v>
      </c>
      <c r="S326" s="31">
        <v>0</v>
      </c>
      <c r="T326" s="32">
        <v>0</v>
      </c>
      <c r="U326" s="31">
        <v>0</v>
      </c>
      <c r="V326" s="32">
        <v>0</v>
      </c>
      <c r="W326" s="31">
        <v>474</v>
      </c>
      <c r="X326" s="32">
        <v>0.21934289680703381</v>
      </c>
      <c r="Y326" s="31">
        <v>895</v>
      </c>
      <c r="Z326" s="34">
        <v>0.41416011105969458</v>
      </c>
      <c r="AA326" s="31">
        <v>0</v>
      </c>
      <c r="AB326" s="32">
        <v>0</v>
      </c>
      <c r="AC326" s="31">
        <v>125</v>
      </c>
      <c r="AD326" s="32">
        <v>5.7843590930124943E-2</v>
      </c>
      <c r="AE326" s="31">
        <v>20</v>
      </c>
      <c r="AF326" s="32">
        <v>0.16</v>
      </c>
      <c r="AG326" s="31">
        <v>107</v>
      </c>
      <c r="AH326" s="32">
        <v>0.85599999999999998</v>
      </c>
      <c r="AI326" s="35">
        <v>116</v>
      </c>
      <c r="AJ326" s="32">
        <v>5.3678852383155937E-2</v>
      </c>
      <c r="AK326" s="35">
        <v>12</v>
      </c>
      <c r="AL326" s="32">
        <v>0.87931034482758619</v>
      </c>
      <c r="AM326" s="35">
        <v>114</v>
      </c>
      <c r="AN326" s="35">
        <v>102</v>
      </c>
      <c r="AO326" s="32">
        <v>4.7200370198981947E-2</v>
      </c>
      <c r="AP326" s="32">
        <v>0.81599999999999995</v>
      </c>
      <c r="AQ326" s="33">
        <v>0.90217391304347827</v>
      </c>
      <c r="AR326" s="33" t="s">
        <v>411</v>
      </c>
      <c r="AS326" s="33">
        <v>0.14130434782608689</v>
      </c>
      <c r="AT326" s="35">
        <v>0</v>
      </c>
      <c r="AU326" s="35">
        <v>0</v>
      </c>
      <c r="AV326" s="35">
        <v>26</v>
      </c>
      <c r="AW326" s="35">
        <v>20</v>
      </c>
      <c r="AX326" s="35">
        <v>18</v>
      </c>
      <c r="AY326" s="35">
        <v>53</v>
      </c>
      <c r="AZ326" s="32">
        <v>9.2549745488199903E-3</v>
      </c>
      <c r="BA326" s="32">
        <v>8.3294770939379911E-3</v>
      </c>
      <c r="BB326" s="32">
        <v>2.4525682554372971E-2</v>
      </c>
      <c r="BC326" s="32">
        <v>0.1764705882352941</v>
      </c>
      <c r="BD326" s="35">
        <v>0</v>
      </c>
      <c r="BE326" s="35">
        <v>0</v>
      </c>
      <c r="BF326" s="33">
        <v>1</v>
      </c>
      <c r="BG326" s="33">
        <v>1</v>
      </c>
      <c r="BH326" s="33" t="s">
        <v>412</v>
      </c>
    </row>
    <row r="327" spans="1:60" ht="19.5" customHeight="1">
      <c r="A327" s="36">
        <v>324</v>
      </c>
      <c r="B327" s="31" t="s">
        <v>410</v>
      </c>
      <c r="C327" s="37">
        <v>46227</v>
      </c>
      <c r="D327" s="31" t="s">
        <v>334</v>
      </c>
      <c r="E327" s="31">
        <v>1622</v>
      </c>
      <c r="F327" s="31">
        <v>1409</v>
      </c>
      <c r="G327" s="32">
        <v>0.86868064118372379</v>
      </c>
      <c r="H327" s="31">
        <v>810</v>
      </c>
      <c r="I327" s="33">
        <v>0.499383477188656</v>
      </c>
      <c r="J327" s="31">
        <v>1456</v>
      </c>
      <c r="K327" s="31">
        <v>1422</v>
      </c>
      <c r="L327" s="32">
        <v>0.97699999999999998</v>
      </c>
      <c r="M327" s="31">
        <v>8884</v>
      </c>
      <c r="N327" s="31">
        <v>8990</v>
      </c>
      <c r="O327" s="31">
        <v>8730</v>
      </c>
      <c r="P327" s="32">
        <v>0.98266546600630345</v>
      </c>
      <c r="Q327" s="31">
        <v>65</v>
      </c>
      <c r="R327" s="31">
        <v>0</v>
      </c>
      <c r="S327" s="31">
        <v>0</v>
      </c>
      <c r="T327" s="32">
        <v>0</v>
      </c>
      <c r="U327" s="31">
        <v>0</v>
      </c>
      <c r="V327" s="32">
        <v>0</v>
      </c>
      <c r="W327" s="31">
        <v>505</v>
      </c>
      <c r="X327" s="32">
        <v>0.31134401972872988</v>
      </c>
      <c r="Y327" s="31">
        <v>743</v>
      </c>
      <c r="Z327" s="34">
        <v>0.45807644882860671</v>
      </c>
      <c r="AA327" s="31">
        <v>0</v>
      </c>
      <c r="AB327" s="32">
        <v>0</v>
      </c>
      <c r="AC327" s="31">
        <v>151</v>
      </c>
      <c r="AD327" s="32">
        <v>9.3094944512946975E-2</v>
      </c>
      <c r="AE327" s="31">
        <v>20</v>
      </c>
      <c r="AF327" s="32">
        <v>0.1324503311258278</v>
      </c>
      <c r="AG327" s="31">
        <v>128</v>
      </c>
      <c r="AH327" s="32">
        <v>0.84768211920529801</v>
      </c>
      <c r="AI327" s="35">
        <v>121</v>
      </c>
      <c r="AJ327" s="32">
        <v>7.4599260172626386E-2</v>
      </c>
      <c r="AK327" s="35">
        <v>5</v>
      </c>
      <c r="AL327" s="32">
        <v>0.88429752066115708</v>
      </c>
      <c r="AM327" s="35">
        <v>121</v>
      </c>
      <c r="AN327" s="35">
        <v>107</v>
      </c>
      <c r="AO327" s="32">
        <v>6.5967940813810105E-2</v>
      </c>
      <c r="AP327" s="32">
        <v>0.70860927152317876</v>
      </c>
      <c r="AQ327" s="33">
        <v>0.96511627906976749</v>
      </c>
      <c r="AR327" s="33" t="s">
        <v>411</v>
      </c>
      <c r="AS327" s="33">
        <v>0.19767441860465121</v>
      </c>
      <c r="AT327" s="35">
        <v>0</v>
      </c>
      <c r="AU327" s="35">
        <v>0</v>
      </c>
      <c r="AV327" s="35">
        <v>16</v>
      </c>
      <c r="AW327" s="35">
        <v>12</v>
      </c>
      <c r="AX327" s="35">
        <v>13</v>
      </c>
      <c r="AY327" s="35">
        <v>58</v>
      </c>
      <c r="AZ327" s="32">
        <v>7.3982737361282368E-3</v>
      </c>
      <c r="BA327" s="32">
        <v>8.0147965474722561E-3</v>
      </c>
      <c r="BB327" s="32">
        <v>3.5758323057953137E-2</v>
      </c>
      <c r="BC327" s="32">
        <v>0.1214953271028037</v>
      </c>
      <c r="BD327" s="35">
        <v>0</v>
      </c>
      <c r="BE327" s="35">
        <v>0</v>
      </c>
      <c r="BF327" s="33">
        <v>1</v>
      </c>
      <c r="BG327" s="33">
        <v>0.75</v>
      </c>
      <c r="BH327" s="33" t="s">
        <v>412</v>
      </c>
    </row>
    <row r="328" spans="1:60" ht="19.5" customHeight="1">
      <c r="A328" s="36">
        <v>325</v>
      </c>
      <c r="B328" s="31" t="s">
        <v>410</v>
      </c>
      <c r="C328" s="37">
        <v>46227</v>
      </c>
      <c r="D328" s="31" t="s">
        <v>337</v>
      </c>
      <c r="E328" s="31">
        <v>5783</v>
      </c>
      <c r="F328" s="31">
        <v>5207</v>
      </c>
      <c r="G328" s="32">
        <v>0.90039771744769148</v>
      </c>
      <c r="H328" s="31">
        <v>2511</v>
      </c>
      <c r="I328" s="33">
        <v>0.43420370050146978</v>
      </c>
      <c r="J328" s="31">
        <v>5021</v>
      </c>
      <c r="K328" s="31">
        <v>4876</v>
      </c>
      <c r="L328" s="32">
        <v>0.97099999999999997</v>
      </c>
      <c r="M328" s="31">
        <v>26333</v>
      </c>
      <c r="N328" s="31">
        <v>26518</v>
      </c>
      <c r="O328" s="31">
        <v>25862</v>
      </c>
      <c r="P328" s="32">
        <v>0.98211369764174228</v>
      </c>
      <c r="Q328" s="31">
        <v>207</v>
      </c>
      <c r="R328" s="31">
        <v>0</v>
      </c>
      <c r="S328" s="31">
        <v>0</v>
      </c>
      <c r="T328" s="32">
        <v>0</v>
      </c>
      <c r="U328" s="31">
        <v>0</v>
      </c>
      <c r="V328" s="32">
        <v>0</v>
      </c>
      <c r="W328" s="31">
        <v>1371</v>
      </c>
      <c r="X328" s="32">
        <v>0.23707418295002591</v>
      </c>
      <c r="Y328" s="31">
        <v>2459</v>
      </c>
      <c r="Z328" s="34">
        <v>0.4252118277710531</v>
      </c>
      <c r="AA328" s="31">
        <v>0</v>
      </c>
      <c r="AB328" s="32">
        <v>0</v>
      </c>
      <c r="AC328" s="31">
        <v>744</v>
      </c>
      <c r="AD328" s="32">
        <v>0.12865294829673179</v>
      </c>
      <c r="AE328" s="31">
        <v>145</v>
      </c>
      <c r="AF328" s="32">
        <v>0.19489247311827959</v>
      </c>
      <c r="AG328" s="31">
        <v>658</v>
      </c>
      <c r="AH328" s="32">
        <v>0.88440860215053763</v>
      </c>
      <c r="AI328" s="35">
        <v>711</v>
      </c>
      <c r="AJ328" s="32">
        <v>0.1229465675255058</v>
      </c>
      <c r="AK328" s="35">
        <v>51</v>
      </c>
      <c r="AL328" s="32">
        <v>0.87623066104078762</v>
      </c>
      <c r="AM328" s="35">
        <v>699</v>
      </c>
      <c r="AN328" s="35">
        <v>623</v>
      </c>
      <c r="AO328" s="32">
        <v>0.1077295521355698</v>
      </c>
      <c r="AP328" s="32">
        <v>0.8373655913978495</v>
      </c>
      <c r="AQ328" s="33">
        <v>0.96071428571428574</v>
      </c>
      <c r="AR328" s="33" t="s">
        <v>411</v>
      </c>
      <c r="AS328" s="33">
        <v>0.1410714285714286</v>
      </c>
      <c r="AT328" s="35">
        <v>0</v>
      </c>
      <c r="AU328" s="35">
        <v>0</v>
      </c>
      <c r="AV328" s="35">
        <v>36</v>
      </c>
      <c r="AW328" s="35">
        <v>19</v>
      </c>
      <c r="AX328" s="35">
        <v>19</v>
      </c>
      <c r="AY328" s="35">
        <v>150</v>
      </c>
      <c r="AZ328" s="32">
        <v>3.2854919591907309E-3</v>
      </c>
      <c r="BA328" s="32">
        <v>3.2854919591907309E-3</v>
      </c>
      <c r="BB328" s="32">
        <v>2.593809441466367E-2</v>
      </c>
      <c r="BC328" s="32">
        <v>3.04975922953451E-2</v>
      </c>
      <c r="BD328" s="35">
        <v>0</v>
      </c>
      <c r="BE328" s="35">
        <v>1</v>
      </c>
      <c r="BF328" s="33">
        <v>0.96153846153846156</v>
      </c>
      <c r="BG328" s="33">
        <v>1</v>
      </c>
      <c r="BH328" s="33" t="s">
        <v>412</v>
      </c>
    </row>
    <row r="329" spans="1:60" ht="19.5" customHeight="1">
      <c r="A329" s="36">
        <v>326</v>
      </c>
      <c r="B329" s="31" t="s">
        <v>410</v>
      </c>
      <c r="C329" s="37">
        <v>46227</v>
      </c>
      <c r="D329" s="31" t="s">
        <v>336</v>
      </c>
      <c r="E329" s="31">
        <v>2907</v>
      </c>
      <c r="F329" s="31">
        <v>2571</v>
      </c>
      <c r="G329" s="32">
        <v>0.88441692466460264</v>
      </c>
      <c r="H329" s="31">
        <v>2013</v>
      </c>
      <c r="I329" s="33">
        <v>0.69246646026831782</v>
      </c>
      <c r="J329" s="31">
        <v>3581</v>
      </c>
      <c r="K329" s="31">
        <v>3501</v>
      </c>
      <c r="L329" s="32">
        <v>0.97799999999999998</v>
      </c>
      <c r="M329" s="31">
        <v>19958</v>
      </c>
      <c r="N329" s="31">
        <v>20142</v>
      </c>
      <c r="O329" s="31">
        <v>19695</v>
      </c>
      <c r="P329" s="32">
        <v>0.98682232688646154</v>
      </c>
      <c r="Q329" s="31">
        <v>115</v>
      </c>
      <c r="R329" s="31">
        <v>0</v>
      </c>
      <c r="S329" s="31">
        <v>0</v>
      </c>
      <c r="T329" s="32">
        <v>0</v>
      </c>
      <c r="U329" s="31">
        <v>0</v>
      </c>
      <c r="V329" s="32">
        <v>0</v>
      </c>
      <c r="W329" s="31">
        <v>582</v>
      </c>
      <c r="X329" s="32">
        <v>0.20020639834881321</v>
      </c>
      <c r="Y329" s="31">
        <v>1044</v>
      </c>
      <c r="Z329" s="34">
        <v>0.3591331269349845</v>
      </c>
      <c r="AA329" s="31">
        <v>0</v>
      </c>
      <c r="AB329" s="32">
        <v>0</v>
      </c>
      <c r="AC329" s="31">
        <v>199</v>
      </c>
      <c r="AD329" s="32">
        <v>6.8455452356381147E-2</v>
      </c>
      <c r="AE329" s="31">
        <v>45</v>
      </c>
      <c r="AF329" s="32">
        <v>0.22613065326633169</v>
      </c>
      <c r="AG329" s="31">
        <v>162</v>
      </c>
      <c r="AH329" s="32">
        <v>0.81407035175879394</v>
      </c>
      <c r="AI329" s="35">
        <v>190</v>
      </c>
      <c r="AJ329" s="32">
        <v>6.535947712418301E-2</v>
      </c>
      <c r="AK329" s="35">
        <v>16</v>
      </c>
      <c r="AL329" s="32">
        <v>0.88947368421052631</v>
      </c>
      <c r="AM329" s="35">
        <v>189</v>
      </c>
      <c r="AN329" s="35">
        <v>169</v>
      </c>
      <c r="AO329" s="32">
        <v>5.8135534915720682E-2</v>
      </c>
      <c r="AP329" s="32">
        <v>0.84924623115577891</v>
      </c>
      <c r="AQ329" s="33">
        <v>0.98936170212765961</v>
      </c>
      <c r="AR329" s="33" t="s">
        <v>411</v>
      </c>
      <c r="AS329" s="33">
        <v>0.10106382978723399</v>
      </c>
      <c r="AT329" s="35">
        <v>0</v>
      </c>
      <c r="AU329" s="35">
        <v>0</v>
      </c>
      <c r="AV329" s="35">
        <v>51</v>
      </c>
      <c r="AW329" s="35">
        <v>49</v>
      </c>
      <c r="AX329" s="35">
        <v>49</v>
      </c>
      <c r="AY329" s="35">
        <v>70</v>
      </c>
      <c r="AZ329" s="32">
        <v>1.685586515307878E-2</v>
      </c>
      <c r="BA329" s="32">
        <v>1.685586515307878E-2</v>
      </c>
      <c r="BB329" s="32">
        <v>2.4079807361541111E-2</v>
      </c>
      <c r="BC329" s="32">
        <v>0.28994082840236679</v>
      </c>
      <c r="BD329" s="35">
        <v>0</v>
      </c>
      <c r="BE329" s="35">
        <v>0</v>
      </c>
      <c r="BF329" s="33">
        <v>1</v>
      </c>
      <c r="BG329" s="33">
        <v>1</v>
      </c>
      <c r="BH329" s="33" t="s">
        <v>412</v>
      </c>
    </row>
    <row r="330" spans="1:60" ht="19.5" customHeight="1">
      <c r="A330" s="36">
        <v>327</v>
      </c>
      <c r="B330" s="31" t="s">
        <v>410</v>
      </c>
      <c r="C330" s="37">
        <v>46227</v>
      </c>
      <c r="D330" s="31" t="s">
        <v>414</v>
      </c>
      <c r="E330" s="31">
        <v>0</v>
      </c>
      <c r="F330" s="31">
        <v>0</v>
      </c>
      <c r="G330" s="32">
        <v>0</v>
      </c>
      <c r="H330" s="31">
        <v>0</v>
      </c>
      <c r="I330" s="33">
        <v>0</v>
      </c>
      <c r="J330" s="31">
        <v>0</v>
      </c>
      <c r="K330" s="31">
        <v>0</v>
      </c>
      <c r="L330" s="32">
        <v>0</v>
      </c>
      <c r="M330" s="31">
        <v>0</v>
      </c>
      <c r="N330" s="31">
        <v>0</v>
      </c>
      <c r="O330" s="31">
        <v>0</v>
      </c>
      <c r="P330" s="32">
        <v>0</v>
      </c>
      <c r="Q330" s="31">
        <v>0</v>
      </c>
      <c r="R330" s="31">
        <v>0</v>
      </c>
      <c r="S330" s="31">
        <v>0</v>
      </c>
      <c r="T330" s="32">
        <v>0</v>
      </c>
      <c r="U330" s="31">
        <v>0</v>
      </c>
      <c r="V330" s="32">
        <v>0</v>
      </c>
      <c r="W330" s="31">
        <v>0</v>
      </c>
      <c r="X330" s="32">
        <v>0</v>
      </c>
      <c r="Y330" s="31">
        <v>0</v>
      </c>
      <c r="Z330" s="34">
        <v>0</v>
      </c>
      <c r="AA330" s="31">
        <v>0</v>
      </c>
      <c r="AB330" s="32">
        <v>0</v>
      </c>
      <c r="AC330" s="31">
        <v>0</v>
      </c>
      <c r="AD330" s="32">
        <v>0</v>
      </c>
      <c r="AE330" s="31">
        <v>0</v>
      </c>
      <c r="AF330" s="32">
        <v>0</v>
      </c>
      <c r="AG330" s="31">
        <v>0</v>
      </c>
      <c r="AH330" s="32">
        <v>0</v>
      </c>
      <c r="AI330" s="35">
        <v>1</v>
      </c>
      <c r="AJ330" s="32">
        <v>0</v>
      </c>
      <c r="AK330" s="35">
        <v>0</v>
      </c>
      <c r="AL330" s="32">
        <v>0</v>
      </c>
      <c r="AM330" s="35">
        <v>1</v>
      </c>
      <c r="AN330" s="35">
        <v>0</v>
      </c>
      <c r="AO330" s="32">
        <v>0</v>
      </c>
      <c r="AP330" s="32">
        <v>0</v>
      </c>
      <c r="AQ330" s="33"/>
      <c r="AR330" s="33" t="s">
        <v>411</v>
      </c>
      <c r="AS330" s="33" t="s">
        <v>411</v>
      </c>
      <c r="AT330" s="35">
        <v>0</v>
      </c>
      <c r="AU330" s="35">
        <v>0</v>
      </c>
      <c r="AV330" s="35">
        <v>0</v>
      </c>
      <c r="AW330" s="35">
        <v>0</v>
      </c>
      <c r="AX330" s="35">
        <v>0</v>
      </c>
      <c r="AY330" s="35">
        <v>0</v>
      </c>
      <c r="AZ330" s="32">
        <v>0</v>
      </c>
      <c r="BA330" s="32">
        <v>0</v>
      </c>
      <c r="BB330" s="32">
        <v>0</v>
      </c>
      <c r="BC330" s="32">
        <v>0</v>
      </c>
      <c r="BD330" s="35">
        <v>0</v>
      </c>
      <c r="BE330" s="35">
        <v>0</v>
      </c>
      <c r="BF330" s="33" t="s">
        <v>412</v>
      </c>
      <c r="BG330" s="33" t="s">
        <v>412</v>
      </c>
      <c r="BH330" s="33" t="s">
        <v>412</v>
      </c>
    </row>
    <row r="331" spans="1:60" ht="19.5" customHeight="1">
      <c r="A331" s="36">
        <v>328</v>
      </c>
      <c r="B331" s="31" t="s">
        <v>410</v>
      </c>
      <c r="C331" s="37">
        <v>46228</v>
      </c>
      <c r="D331" s="31"/>
      <c r="E331" s="31">
        <v>79</v>
      </c>
      <c r="F331" s="31">
        <v>79</v>
      </c>
      <c r="G331" s="32">
        <v>1</v>
      </c>
      <c r="H331" s="31">
        <v>79</v>
      </c>
      <c r="I331" s="33">
        <v>1</v>
      </c>
      <c r="J331" s="31">
        <v>4</v>
      </c>
      <c r="K331" s="31">
        <v>0</v>
      </c>
      <c r="L331" s="32">
        <v>0</v>
      </c>
      <c r="M331" s="31">
        <v>7</v>
      </c>
      <c r="N331" s="31">
        <v>1</v>
      </c>
      <c r="O331" s="31">
        <v>1</v>
      </c>
      <c r="P331" s="32">
        <v>0.14285714285714279</v>
      </c>
      <c r="Q331" s="31">
        <v>6</v>
      </c>
      <c r="R331" s="31">
        <v>0</v>
      </c>
      <c r="S331" s="31">
        <v>0</v>
      </c>
      <c r="T331" s="32">
        <v>0</v>
      </c>
      <c r="U331" s="31">
        <v>0</v>
      </c>
      <c r="V331" s="32">
        <v>0</v>
      </c>
      <c r="W331" s="31">
        <v>23</v>
      </c>
      <c r="X331" s="32">
        <v>0.29113924050632911</v>
      </c>
      <c r="Y331" s="31">
        <v>30</v>
      </c>
      <c r="Z331" s="34">
        <v>0.379746835443038</v>
      </c>
      <c r="AA331" s="31">
        <v>0</v>
      </c>
      <c r="AB331" s="32">
        <v>0</v>
      </c>
      <c r="AC331" s="31">
        <v>0</v>
      </c>
      <c r="AD331" s="32">
        <v>0</v>
      </c>
      <c r="AE331" s="31">
        <v>0</v>
      </c>
      <c r="AF331" s="32">
        <v>0</v>
      </c>
      <c r="AG331" s="31">
        <v>0</v>
      </c>
      <c r="AH331" s="32">
        <v>0</v>
      </c>
      <c r="AI331" s="35">
        <v>0</v>
      </c>
      <c r="AJ331" s="32">
        <v>0</v>
      </c>
      <c r="AK331" s="35">
        <v>0</v>
      </c>
      <c r="AL331" s="32">
        <v>0</v>
      </c>
      <c r="AM331" s="35">
        <v>0</v>
      </c>
      <c r="AN331" s="35">
        <v>0</v>
      </c>
      <c r="AO331" s="32">
        <v>0</v>
      </c>
      <c r="AP331" s="32">
        <v>0</v>
      </c>
      <c r="AQ331" s="33">
        <v>0</v>
      </c>
      <c r="AR331" s="33" t="s">
        <v>411</v>
      </c>
      <c r="AS331" s="33">
        <v>0</v>
      </c>
      <c r="AT331" s="35">
        <v>0</v>
      </c>
      <c r="AU331" s="35">
        <v>0</v>
      </c>
      <c r="AV331" s="35">
        <v>0</v>
      </c>
      <c r="AW331" s="35">
        <v>0</v>
      </c>
      <c r="AX331" s="35">
        <v>0</v>
      </c>
      <c r="AY331" s="35">
        <v>0</v>
      </c>
      <c r="AZ331" s="32">
        <v>0</v>
      </c>
      <c r="BA331" s="32">
        <v>0</v>
      </c>
      <c r="BB331" s="32">
        <v>0</v>
      </c>
      <c r="BC331" s="32">
        <v>0</v>
      </c>
      <c r="BD331" s="35">
        <v>0</v>
      </c>
      <c r="BE331" s="35">
        <v>1</v>
      </c>
      <c r="BF331" s="33" t="s">
        <v>412</v>
      </c>
      <c r="BG331" s="33" t="s">
        <v>412</v>
      </c>
      <c r="BH331" s="33">
        <v>0.98360655737704916</v>
      </c>
    </row>
    <row r="332" spans="1:60" ht="19.5" customHeight="1">
      <c r="A332" s="36">
        <v>329</v>
      </c>
      <c r="B332" s="31" t="s">
        <v>410</v>
      </c>
      <c r="C332" s="37">
        <v>46228</v>
      </c>
      <c r="D332" s="31" t="s">
        <v>413</v>
      </c>
      <c r="E332" s="31">
        <v>288</v>
      </c>
      <c r="F332" s="31">
        <v>278</v>
      </c>
      <c r="G332" s="32">
        <v>0.96527777777777779</v>
      </c>
      <c r="H332" s="31">
        <v>75</v>
      </c>
      <c r="I332" s="33">
        <v>0.26041666666666669</v>
      </c>
      <c r="J332" s="31">
        <v>241</v>
      </c>
      <c r="K332" s="31">
        <v>160</v>
      </c>
      <c r="L332" s="32">
        <v>0.66400000000000003</v>
      </c>
      <c r="M332" s="31">
        <v>588</v>
      </c>
      <c r="N332" s="31">
        <v>511</v>
      </c>
      <c r="O332" s="31">
        <v>434</v>
      </c>
      <c r="P332" s="32">
        <v>0.73809523809523814</v>
      </c>
      <c r="Q332" s="31">
        <v>83</v>
      </c>
      <c r="R332" s="31">
        <v>0</v>
      </c>
      <c r="S332" s="31">
        <v>0</v>
      </c>
      <c r="T332" s="32">
        <v>0</v>
      </c>
      <c r="U332" s="31">
        <v>0</v>
      </c>
      <c r="V332" s="32">
        <v>0</v>
      </c>
      <c r="W332" s="31">
        <v>2</v>
      </c>
      <c r="X332" s="32">
        <v>6.9444444444444441E-3</v>
      </c>
      <c r="Y332" s="31">
        <v>19</v>
      </c>
      <c r="Z332" s="34">
        <v>6.5972222222222224E-2</v>
      </c>
      <c r="AA332" s="31">
        <v>0</v>
      </c>
      <c r="AB332" s="32">
        <v>0</v>
      </c>
      <c r="AC332" s="31">
        <v>1</v>
      </c>
      <c r="AD332" s="32">
        <v>3.472222222222222E-3</v>
      </c>
      <c r="AE332" s="31">
        <v>0</v>
      </c>
      <c r="AF332" s="32">
        <v>0</v>
      </c>
      <c r="AG332" s="31">
        <v>1</v>
      </c>
      <c r="AH332" s="32">
        <v>1</v>
      </c>
      <c r="AI332" s="35">
        <v>0</v>
      </c>
      <c r="AJ332" s="32">
        <v>0</v>
      </c>
      <c r="AK332" s="35">
        <v>0</v>
      </c>
      <c r="AL332" s="32">
        <v>0</v>
      </c>
      <c r="AM332" s="35">
        <v>0</v>
      </c>
      <c r="AN332" s="35">
        <v>0</v>
      </c>
      <c r="AO332" s="32">
        <v>0</v>
      </c>
      <c r="AP332" s="32">
        <v>0</v>
      </c>
      <c r="AQ332" s="33">
        <v>1</v>
      </c>
      <c r="AR332" s="33" t="s">
        <v>411</v>
      </c>
      <c r="AS332" s="33">
        <v>0</v>
      </c>
      <c r="AT332" s="35">
        <v>0</v>
      </c>
      <c r="AU332" s="35">
        <v>0</v>
      </c>
      <c r="AV332" s="35">
        <v>3</v>
      </c>
      <c r="AW332" s="35">
        <v>3</v>
      </c>
      <c r="AX332" s="35">
        <v>3</v>
      </c>
      <c r="AY332" s="35">
        <v>0</v>
      </c>
      <c r="AZ332" s="32">
        <v>1.041666666666667E-2</v>
      </c>
      <c r="BA332" s="32">
        <v>1.041666666666667E-2</v>
      </c>
      <c r="BB332" s="32">
        <v>0</v>
      </c>
      <c r="BC332" s="32">
        <v>0</v>
      </c>
      <c r="BD332" s="35">
        <v>0</v>
      </c>
      <c r="BE332" s="35">
        <v>0</v>
      </c>
      <c r="BF332" s="33" t="s">
        <v>412</v>
      </c>
      <c r="BG332" s="33" t="s">
        <v>412</v>
      </c>
      <c r="BH332" s="33" t="s">
        <v>412</v>
      </c>
    </row>
    <row r="333" spans="1:60" ht="19.5" customHeight="1">
      <c r="A333" s="36">
        <v>330</v>
      </c>
      <c r="B333" s="31" t="s">
        <v>410</v>
      </c>
      <c r="C333" s="37">
        <v>46228</v>
      </c>
      <c r="D333" s="31" t="s">
        <v>335</v>
      </c>
      <c r="E333" s="31">
        <v>2207</v>
      </c>
      <c r="F333" s="31">
        <v>1964</v>
      </c>
      <c r="G333" s="32">
        <v>0.88989578613502496</v>
      </c>
      <c r="H333" s="31">
        <v>1117</v>
      </c>
      <c r="I333" s="33">
        <v>0.50611690077027638</v>
      </c>
      <c r="J333" s="31">
        <v>2131</v>
      </c>
      <c r="K333" s="31">
        <v>2044</v>
      </c>
      <c r="L333" s="32">
        <v>0.95899999999999996</v>
      </c>
      <c r="M333" s="31">
        <v>10712</v>
      </c>
      <c r="N333" s="31">
        <v>10474</v>
      </c>
      <c r="O333" s="31">
        <v>10500</v>
      </c>
      <c r="P333" s="32">
        <v>0.98020911127707244</v>
      </c>
      <c r="Q333" s="31">
        <v>96</v>
      </c>
      <c r="R333" s="31">
        <v>0</v>
      </c>
      <c r="S333" s="31">
        <v>0</v>
      </c>
      <c r="T333" s="32">
        <v>0</v>
      </c>
      <c r="U333" s="31">
        <v>0</v>
      </c>
      <c r="V333" s="32">
        <v>0</v>
      </c>
      <c r="W333" s="31">
        <v>305</v>
      </c>
      <c r="X333" s="32">
        <v>0.13819664703217041</v>
      </c>
      <c r="Y333" s="31">
        <v>1090</v>
      </c>
      <c r="Z333" s="34">
        <v>0.49388309922972362</v>
      </c>
      <c r="AA333" s="31">
        <v>0</v>
      </c>
      <c r="AB333" s="32">
        <v>0</v>
      </c>
      <c r="AC333" s="31">
        <v>217</v>
      </c>
      <c r="AD333" s="32">
        <v>9.8323516085183513E-2</v>
      </c>
      <c r="AE333" s="31">
        <v>24</v>
      </c>
      <c r="AF333" s="32">
        <v>0.1105990783410138</v>
      </c>
      <c r="AG333" s="31">
        <v>176</v>
      </c>
      <c r="AH333" s="32">
        <v>0.81105990783410142</v>
      </c>
      <c r="AI333" s="35">
        <v>175</v>
      </c>
      <c r="AJ333" s="32">
        <v>7.9293158133212499E-2</v>
      </c>
      <c r="AK333" s="35">
        <v>7</v>
      </c>
      <c r="AL333" s="32">
        <v>0.87428571428571433</v>
      </c>
      <c r="AM333" s="35">
        <v>171</v>
      </c>
      <c r="AN333" s="35">
        <v>153</v>
      </c>
      <c r="AO333" s="32">
        <v>6.9324875396465785E-2</v>
      </c>
      <c r="AP333" s="32">
        <v>0.70506912442396308</v>
      </c>
      <c r="AQ333" s="33">
        <v>0.96116504854368934</v>
      </c>
      <c r="AR333" s="33" t="s">
        <v>411</v>
      </c>
      <c r="AS333" s="33">
        <v>7.7669902912621352E-2</v>
      </c>
      <c r="AT333" s="35">
        <v>0</v>
      </c>
      <c r="AU333" s="35">
        <v>0</v>
      </c>
      <c r="AV333" s="35">
        <v>44</v>
      </c>
      <c r="AW333" s="35">
        <v>43</v>
      </c>
      <c r="AX333" s="35">
        <v>43</v>
      </c>
      <c r="AY333" s="35">
        <v>37</v>
      </c>
      <c r="AZ333" s="32">
        <v>1.9483461712732211E-2</v>
      </c>
      <c r="BA333" s="32">
        <v>1.9483461712732211E-2</v>
      </c>
      <c r="BB333" s="32">
        <v>1.6764839148164928E-2</v>
      </c>
      <c r="BC333" s="32">
        <v>0.28104575163398687</v>
      </c>
      <c r="BD333" s="35">
        <v>0</v>
      </c>
      <c r="BE333" s="35">
        <v>0</v>
      </c>
      <c r="BF333" s="33">
        <v>1</v>
      </c>
      <c r="BG333" s="33">
        <v>1</v>
      </c>
      <c r="BH333" s="33" t="s">
        <v>412</v>
      </c>
    </row>
    <row r="334" spans="1:60" ht="19.5" customHeight="1">
      <c r="A334" s="36">
        <v>331</v>
      </c>
      <c r="B334" s="31" t="s">
        <v>410</v>
      </c>
      <c r="C334" s="37">
        <v>46228</v>
      </c>
      <c r="D334" s="31" t="s">
        <v>334</v>
      </c>
      <c r="E334" s="31">
        <v>1698</v>
      </c>
      <c r="F334" s="31">
        <v>1530</v>
      </c>
      <c r="G334" s="32">
        <v>0.90106007067137805</v>
      </c>
      <c r="H334" s="31">
        <v>793</v>
      </c>
      <c r="I334" s="33">
        <v>0.46702002355712602</v>
      </c>
      <c r="J334" s="31">
        <v>1448</v>
      </c>
      <c r="K334" s="31">
        <v>1418</v>
      </c>
      <c r="L334" s="32">
        <v>0.97899999999999998</v>
      </c>
      <c r="M334" s="31">
        <v>8381</v>
      </c>
      <c r="N334" s="31">
        <v>8306</v>
      </c>
      <c r="O334" s="31">
        <v>8220</v>
      </c>
      <c r="P334" s="32">
        <v>0.98078988187567118</v>
      </c>
      <c r="Q334" s="31">
        <v>72</v>
      </c>
      <c r="R334" s="31">
        <v>0</v>
      </c>
      <c r="S334" s="31">
        <v>0</v>
      </c>
      <c r="T334" s="32">
        <v>0</v>
      </c>
      <c r="U334" s="31">
        <v>0</v>
      </c>
      <c r="V334" s="32">
        <v>0</v>
      </c>
      <c r="W334" s="31">
        <v>267</v>
      </c>
      <c r="X334" s="32">
        <v>0.157243816254417</v>
      </c>
      <c r="Y334" s="31">
        <v>857</v>
      </c>
      <c r="Z334" s="34">
        <v>0.50471142520612489</v>
      </c>
      <c r="AA334" s="31">
        <v>0</v>
      </c>
      <c r="AB334" s="32">
        <v>0</v>
      </c>
      <c r="AC334" s="31">
        <v>241</v>
      </c>
      <c r="AD334" s="32">
        <v>0.1419316843345112</v>
      </c>
      <c r="AE334" s="31">
        <v>40</v>
      </c>
      <c r="AF334" s="32">
        <v>0.1659751037344398</v>
      </c>
      <c r="AG334" s="31">
        <v>205</v>
      </c>
      <c r="AH334" s="32">
        <v>0.85062240663900412</v>
      </c>
      <c r="AI334" s="35">
        <v>230</v>
      </c>
      <c r="AJ334" s="32">
        <v>0.13545347467608951</v>
      </c>
      <c r="AK334" s="35">
        <v>14</v>
      </c>
      <c r="AL334" s="32">
        <v>0.81739130434782614</v>
      </c>
      <c r="AM334" s="35">
        <v>220</v>
      </c>
      <c r="AN334" s="35">
        <v>188</v>
      </c>
      <c r="AO334" s="32">
        <v>0.11071849234393399</v>
      </c>
      <c r="AP334" s="32">
        <v>0.78008298755186722</v>
      </c>
      <c r="AQ334" s="33">
        <v>0.95</v>
      </c>
      <c r="AR334" s="33" t="s">
        <v>411</v>
      </c>
      <c r="AS334" s="33">
        <v>0.1166666666666667</v>
      </c>
      <c r="AT334" s="35">
        <v>0</v>
      </c>
      <c r="AU334" s="35">
        <v>0</v>
      </c>
      <c r="AV334" s="35">
        <v>38</v>
      </c>
      <c r="AW334" s="35">
        <v>35</v>
      </c>
      <c r="AX334" s="35">
        <v>34</v>
      </c>
      <c r="AY334" s="35">
        <v>34</v>
      </c>
      <c r="AZ334" s="32">
        <v>2.0612485276796232E-2</v>
      </c>
      <c r="BA334" s="32">
        <v>2.0023557126030621E-2</v>
      </c>
      <c r="BB334" s="32">
        <v>2.0023557126030621E-2</v>
      </c>
      <c r="BC334" s="32">
        <v>0.18085106382978719</v>
      </c>
      <c r="BD334" s="35">
        <v>0</v>
      </c>
      <c r="BE334" s="35">
        <v>0</v>
      </c>
      <c r="BF334" s="33">
        <v>1</v>
      </c>
      <c r="BG334" s="33">
        <v>1</v>
      </c>
      <c r="BH334" s="33" t="s">
        <v>412</v>
      </c>
    </row>
    <row r="335" spans="1:60" ht="19.5" customHeight="1">
      <c r="A335" s="36">
        <v>332</v>
      </c>
      <c r="B335" s="31" t="s">
        <v>410</v>
      </c>
      <c r="C335" s="37">
        <v>46228</v>
      </c>
      <c r="D335" s="31" t="s">
        <v>337</v>
      </c>
      <c r="E335" s="31">
        <v>6985</v>
      </c>
      <c r="F335" s="31">
        <v>6469</v>
      </c>
      <c r="G335" s="32">
        <v>0.9261274158911954</v>
      </c>
      <c r="H335" s="31">
        <v>2962</v>
      </c>
      <c r="I335" s="33">
        <v>0.42405153901216891</v>
      </c>
      <c r="J335" s="31">
        <v>5523</v>
      </c>
      <c r="K335" s="31">
        <v>5353</v>
      </c>
      <c r="L335" s="32">
        <v>0.96899999999999997</v>
      </c>
      <c r="M335" s="31">
        <v>27045</v>
      </c>
      <c r="N335" s="31">
        <v>26903</v>
      </c>
      <c r="O335" s="31">
        <v>26554</v>
      </c>
      <c r="P335" s="32">
        <v>0.98184507302643742</v>
      </c>
      <c r="Q335" s="31">
        <v>200</v>
      </c>
      <c r="R335" s="31">
        <v>0</v>
      </c>
      <c r="S335" s="31">
        <v>0</v>
      </c>
      <c r="T335" s="32">
        <v>0</v>
      </c>
      <c r="U335" s="31">
        <v>0</v>
      </c>
      <c r="V335" s="32">
        <v>0</v>
      </c>
      <c r="W335" s="31">
        <v>723</v>
      </c>
      <c r="X335" s="32">
        <v>0.10350751610594131</v>
      </c>
      <c r="Y335" s="31">
        <v>2310</v>
      </c>
      <c r="Z335" s="34">
        <v>0.33070866141732291</v>
      </c>
      <c r="AA335" s="31">
        <v>0</v>
      </c>
      <c r="AB335" s="32">
        <v>0</v>
      </c>
      <c r="AC335" s="31">
        <v>1124</v>
      </c>
      <c r="AD335" s="32">
        <v>0.16091624910522551</v>
      </c>
      <c r="AE335" s="31">
        <v>192</v>
      </c>
      <c r="AF335" s="32">
        <v>0.1708185053380783</v>
      </c>
      <c r="AG335" s="31">
        <v>925</v>
      </c>
      <c r="AH335" s="32">
        <v>0.82295373665480431</v>
      </c>
      <c r="AI335" s="35">
        <v>1061</v>
      </c>
      <c r="AJ335" s="32">
        <v>0.1518969219756621</v>
      </c>
      <c r="AK335" s="35">
        <v>59</v>
      </c>
      <c r="AL335" s="32">
        <v>0.84165881244109331</v>
      </c>
      <c r="AM335" s="35">
        <v>997</v>
      </c>
      <c r="AN335" s="35">
        <v>893</v>
      </c>
      <c r="AO335" s="32">
        <v>0.12784538296349321</v>
      </c>
      <c r="AP335" s="32">
        <v>0.79448398576512458</v>
      </c>
      <c r="AQ335" s="33">
        <v>0.976123595505618</v>
      </c>
      <c r="AR335" s="33" t="s">
        <v>411</v>
      </c>
      <c r="AS335" s="33">
        <v>0.1446629213483146</v>
      </c>
      <c r="AT335" s="35">
        <v>0</v>
      </c>
      <c r="AU335" s="35">
        <v>0</v>
      </c>
      <c r="AV335" s="35">
        <v>260</v>
      </c>
      <c r="AW335" s="35">
        <v>240</v>
      </c>
      <c r="AX335" s="35">
        <v>232</v>
      </c>
      <c r="AY335" s="35">
        <v>77</v>
      </c>
      <c r="AZ335" s="32">
        <v>3.4359341445955621E-2</v>
      </c>
      <c r="BA335" s="32">
        <v>3.3214030064423757E-2</v>
      </c>
      <c r="BB335" s="32">
        <v>1.1023622047244091E-2</v>
      </c>
      <c r="BC335" s="32">
        <v>0.25979843225083987</v>
      </c>
      <c r="BD335" s="35">
        <v>0</v>
      </c>
      <c r="BE335" s="35">
        <v>0</v>
      </c>
      <c r="BF335" s="33">
        <v>0.9821428571428571</v>
      </c>
      <c r="BG335" s="33">
        <v>1</v>
      </c>
      <c r="BH335" s="33" t="s">
        <v>412</v>
      </c>
    </row>
    <row r="336" spans="1:60" ht="19.5" customHeight="1">
      <c r="A336" s="36">
        <v>333</v>
      </c>
      <c r="B336" s="31" t="s">
        <v>410</v>
      </c>
      <c r="C336" s="37">
        <v>46228</v>
      </c>
      <c r="D336" s="31" t="s">
        <v>336</v>
      </c>
      <c r="E336" s="31">
        <v>3110</v>
      </c>
      <c r="F336" s="31">
        <v>2800</v>
      </c>
      <c r="G336" s="32">
        <v>0.90032154340836013</v>
      </c>
      <c r="H336" s="31">
        <v>2015</v>
      </c>
      <c r="I336" s="33">
        <v>0.64790996784565913</v>
      </c>
      <c r="J336" s="31">
        <v>3773</v>
      </c>
      <c r="K336" s="31">
        <v>3683</v>
      </c>
      <c r="L336" s="32">
        <v>0.97599999999999998</v>
      </c>
      <c r="M336" s="31">
        <v>20268</v>
      </c>
      <c r="N336" s="31">
        <v>19767</v>
      </c>
      <c r="O336" s="31">
        <v>19986</v>
      </c>
      <c r="P336" s="32">
        <v>0.98608644168146831</v>
      </c>
      <c r="Q336" s="31">
        <v>126</v>
      </c>
      <c r="R336" s="31">
        <v>0</v>
      </c>
      <c r="S336" s="31">
        <v>0</v>
      </c>
      <c r="T336" s="32">
        <v>0</v>
      </c>
      <c r="U336" s="31">
        <v>0</v>
      </c>
      <c r="V336" s="32">
        <v>0</v>
      </c>
      <c r="W336" s="31">
        <v>459</v>
      </c>
      <c r="X336" s="32">
        <v>0.147588424437299</v>
      </c>
      <c r="Y336" s="31">
        <v>1400</v>
      </c>
      <c r="Z336" s="34">
        <v>0.45016077170418012</v>
      </c>
      <c r="AA336" s="31">
        <v>0</v>
      </c>
      <c r="AB336" s="32">
        <v>0</v>
      </c>
      <c r="AC336" s="31">
        <v>326</v>
      </c>
      <c r="AD336" s="32">
        <v>0.1048231511254019</v>
      </c>
      <c r="AE336" s="31">
        <v>53</v>
      </c>
      <c r="AF336" s="32">
        <v>0.16257668711656439</v>
      </c>
      <c r="AG336" s="31">
        <v>293</v>
      </c>
      <c r="AH336" s="32">
        <v>0.89877300613496935</v>
      </c>
      <c r="AI336" s="35">
        <v>310</v>
      </c>
      <c r="AJ336" s="32">
        <v>9.9678456591639875E-2</v>
      </c>
      <c r="AK336" s="35">
        <v>15</v>
      </c>
      <c r="AL336" s="32">
        <v>0.8774193548387097</v>
      </c>
      <c r="AM336" s="35">
        <v>296</v>
      </c>
      <c r="AN336" s="35">
        <v>272</v>
      </c>
      <c r="AO336" s="32">
        <v>8.7459807073954982E-2</v>
      </c>
      <c r="AP336" s="32">
        <v>0.83435582822085885</v>
      </c>
      <c r="AQ336" s="33">
        <v>0.96858638743455494</v>
      </c>
      <c r="AR336" s="33" t="s">
        <v>411</v>
      </c>
      <c r="AS336" s="33">
        <v>0.13089005235602089</v>
      </c>
      <c r="AT336" s="35">
        <v>0</v>
      </c>
      <c r="AU336" s="35">
        <v>0</v>
      </c>
      <c r="AV336" s="35">
        <v>118</v>
      </c>
      <c r="AW336" s="35">
        <v>112</v>
      </c>
      <c r="AX336" s="35">
        <v>107</v>
      </c>
      <c r="AY336" s="35">
        <v>70</v>
      </c>
      <c r="AZ336" s="32">
        <v>3.6012861736334403E-2</v>
      </c>
      <c r="BA336" s="32">
        <v>3.4405144694533762E-2</v>
      </c>
      <c r="BB336" s="32">
        <v>2.2508038585209E-2</v>
      </c>
      <c r="BC336" s="32">
        <v>0.39338235294117652</v>
      </c>
      <c r="BD336" s="35">
        <v>0</v>
      </c>
      <c r="BE336" s="35">
        <v>0</v>
      </c>
      <c r="BF336" s="33">
        <v>0.96969696969696972</v>
      </c>
      <c r="BG336" s="33">
        <v>1</v>
      </c>
      <c r="BH336" s="33" t="s">
        <v>412</v>
      </c>
    </row>
    <row r="337" spans="1:60" ht="19.5" customHeight="1">
      <c r="A337" s="36">
        <v>334</v>
      </c>
      <c r="B337" s="31" t="s">
        <v>410</v>
      </c>
      <c r="C337" s="37">
        <v>46229</v>
      </c>
      <c r="D337" s="31"/>
      <c r="E337" s="31">
        <v>81</v>
      </c>
      <c r="F337" s="31">
        <v>81</v>
      </c>
      <c r="G337" s="32">
        <v>1</v>
      </c>
      <c r="H337" s="31">
        <v>81</v>
      </c>
      <c r="I337" s="33">
        <v>1</v>
      </c>
      <c r="J337" s="31">
        <v>6</v>
      </c>
      <c r="K337" s="31">
        <v>0</v>
      </c>
      <c r="L337" s="32">
        <v>0</v>
      </c>
      <c r="M337" s="31">
        <v>21</v>
      </c>
      <c r="N337" s="31">
        <v>3</v>
      </c>
      <c r="O337" s="31">
        <v>2</v>
      </c>
      <c r="P337" s="32">
        <v>9.5238095238095233E-2</v>
      </c>
      <c r="Q337" s="31">
        <v>19</v>
      </c>
      <c r="R337" s="31">
        <v>0</v>
      </c>
      <c r="S337" s="31">
        <v>0</v>
      </c>
      <c r="T337" s="32">
        <v>0</v>
      </c>
      <c r="U337" s="31">
        <v>0</v>
      </c>
      <c r="V337" s="32">
        <v>0</v>
      </c>
      <c r="W337" s="31">
        <v>19</v>
      </c>
      <c r="X337" s="32">
        <v>0.23456790123456789</v>
      </c>
      <c r="Y337" s="31">
        <v>12</v>
      </c>
      <c r="Z337" s="34">
        <v>0.14814814814814811</v>
      </c>
      <c r="AA337" s="31">
        <v>0</v>
      </c>
      <c r="AB337" s="32">
        <v>0</v>
      </c>
      <c r="AC337" s="31">
        <v>0</v>
      </c>
      <c r="AD337" s="32">
        <v>0</v>
      </c>
      <c r="AE337" s="31">
        <v>0</v>
      </c>
      <c r="AF337" s="32">
        <v>0</v>
      </c>
      <c r="AG337" s="31">
        <v>0</v>
      </c>
      <c r="AH337" s="32">
        <v>0</v>
      </c>
      <c r="AI337" s="35">
        <v>0</v>
      </c>
      <c r="AJ337" s="32">
        <v>0</v>
      </c>
      <c r="AK337" s="35">
        <v>0</v>
      </c>
      <c r="AL337" s="32">
        <v>0</v>
      </c>
      <c r="AM337" s="35">
        <v>0</v>
      </c>
      <c r="AN337" s="35">
        <v>0</v>
      </c>
      <c r="AO337" s="32">
        <v>0</v>
      </c>
      <c r="AP337" s="32">
        <v>0</v>
      </c>
      <c r="AQ337" s="33">
        <v>0</v>
      </c>
      <c r="AR337" s="33" t="s">
        <v>411</v>
      </c>
      <c r="AS337" s="33">
        <v>0</v>
      </c>
      <c r="AT337" s="35">
        <v>0</v>
      </c>
      <c r="AU337" s="35">
        <v>0</v>
      </c>
      <c r="AV337" s="35">
        <v>0</v>
      </c>
      <c r="AW337" s="35">
        <v>0</v>
      </c>
      <c r="AX337" s="35">
        <v>0</v>
      </c>
      <c r="AY337" s="35">
        <v>0</v>
      </c>
      <c r="AZ337" s="32">
        <v>0</v>
      </c>
      <c r="BA337" s="32">
        <v>0</v>
      </c>
      <c r="BB337" s="32">
        <v>0</v>
      </c>
      <c r="BC337" s="32">
        <v>0</v>
      </c>
      <c r="BD337" s="35">
        <v>0</v>
      </c>
      <c r="BE337" s="35">
        <v>0</v>
      </c>
      <c r="BF337" s="33" t="s">
        <v>412</v>
      </c>
      <c r="BG337" s="33" t="s">
        <v>412</v>
      </c>
      <c r="BH337" s="33">
        <v>0.98750000000000004</v>
      </c>
    </row>
    <row r="338" spans="1:60" ht="19.5" customHeight="1">
      <c r="A338" s="36">
        <v>335</v>
      </c>
      <c r="B338" s="31" t="s">
        <v>410</v>
      </c>
      <c r="C338" s="37">
        <v>46229</v>
      </c>
      <c r="D338" s="31" t="s">
        <v>413</v>
      </c>
      <c r="E338" s="31">
        <v>291</v>
      </c>
      <c r="F338" s="31">
        <v>286</v>
      </c>
      <c r="G338" s="32">
        <v>0.98281786941580751</v>
      </c>
      <c r="H338" s="31">
        <v>92</v>
      </c>
      <c r="I338" s="33">
        <v>0.31615120274914088</v>
      </c>
      <c r="J338" s="31">
        <v>373</v>
      </c>
      <c r="K338" s="31">
        <v>208</v>
      </c>
      <c r="L338" s="32">
        <v>0.55800000000000005</v>
      </c>
      <c r="M338" s="31">
        <v>743</v>
      </c>
      <c r="N338" s="31">
        <v>625</v>
      </c>
      <c r="O338" s="31">
        <v>519</v>
      </c>
      <c r="P338" s="32">
        <v>0.69851951547779279</v>
      </c>
      <c r="Q338" s="31">
        <v>131</v>
      </c>
      <c r="R338" s="31">
        <v>0</v>
      </c>
      <c r="S338" s="31">
        <v>0</v>
      </c>
      <c r="T338" s="32">
        <v>0</v>
      </c>
      <c r="U338" s="31">
        <v>0</v>
      </c>
      <c r="V338" s="32">
        <v>0</v>
      </c>
      <c r="W338" s="31">
        <v>2</v>
      </c>
      <c r="X338" s="32">
        <v>6.8728522336769758E-3</v>
      </c>
      <c r="Y338" s="31">
        <v>23</v>
      </c>
      <c r="Z338" s="34">
        <v>7.903780068728522E-2</v>
      </c>
      <c r="AA338" s="31">
        <v>0</v>
      </c>
      <c r="AB338" s="32">
        <v>0</v>
      </c>
      <c r="AC338" s="31">
        <v>0</v>
      </c>
      <c r="AD338" s="32">
        <v>0</v>
      </c>
      <c r="AE338" s="31">
        <v>0</v>
      </c>
      <c r="AF338" s="32">
        <v>0</v>
      </c>
      <c r="AG338" s="31">
        <v>0</v>
      </c>
      <c r="AH338" s="32">
        <v>0</v>
      </c>
      <c r="AI338" s="35">
        <v>0</v>
      </c>
      <c r="AJ338" s="32">
        <v>0</v>
      </c>
      <c r="AK338" s="35">
        <v>0</v>
      </c>
      <c r="AL338" s="32">
        <v>0</v>
      </c>
      <c r="AM338" s="35">
        <v>0</v>
      </c>
      <c r="AN338" s="35">
        <v>0</v>
      </c>
      <c r="AO338" s="32">
        <v>0</v>
      </c>
      <c r="AP338" s="32">
        <v>0</v>
      </c>
      <c r="AQ338" s="33"/>
      <c r="AR338" s="33" t="s">
        <v>411</v>
      </c>
      <c r="AS338" s="33" t="s">
        <v>411</v>
      </c>
      <c r="AT338" s="35">
        <v>0</v>
      </c>
      <c r="AU338" s="35">
        <v>0</v>
      </c>
      <c r="AV338" s="35">
        <v>3</v>
      </c>
      <c r="AW338" s="35">
        <v>3</v>
      </c>
      <c r="AX338" s="35">
        <v>3</v>
      </c>
      <c r="AY338" s="35">
        <v>0</v>
      </c>
      <c r="AZ338" s="32">
        <v>1.030927835051546E-2</v>
      </c>
      <c r="BA338" s="32">
        <v>1.030927835051546E-2</v>
      </c>
      <c r="BB338" s="32">
        <v>0</v>
      </c>
      <c r="BC338" s="32">
        <v>0</v>
      </c>
      <c r="BD338" s="35">
        <v>0</v>
      </c>
      <c r="BE338" s="35">
        <v>0</v>
      </c>
      <c r="BF338" s="33" t="s">
        <v>412</v>
      </c>
      <c r="BG338" s="33" t="s">
        <v>412</v>
      </c>
      <c r="BH338" s="33" t="s">
        <v>412</v>
      </c>
    </row>
    <row r="339" spans="1:60" ht="19.5" customHeight="1">
      <c r="A339" s="36">
        <v>336</v>
      </c>
      <c r="B339" s="31" t="s">
        <v>410</v>
      </c>
      <c r="C339" s="37">
        <v>46229</v>
      </c>
      <c r="D339" s="31" t="s">
        <v>335</v>
      </c>
      <c r="E339" s="31">
        <v>2044</v>
      </c>
      <c r="F339" s="31">
        <v>1827</v>
      </c>
      <c r="G339" s="32">
        <v>0.89383561643835618</v>
      </c>
      <c r="H339" s="31">
        <v>1040</v>
      </c>
      <c r="I339" s="33">
        <v>0.50880626223091974</v>
      </c>
      <c r="J339" s="31">
        <v>2426</v>
      </c>
      <c r="K339" s="31">
        <v>2338</v>
      </c>
      <c r="L339" s="32">
        <v>0.96399999999999997</v>
      </c>
      <c r="M339" s="31">
        <v>11176</v>
      </c>
      <c r="N339" s="31">
        <v>11124</v>
      </c>
      <c r="O339" s="31">
        <v>10916</v>
      </c>
      <c r="P339" s="32">
        <v>0.97673586256263423</v>
      </c>
      <c r="Q339" s="31">
        <v>111</v>
      </c>
      <c r="R339" s="31">
        <v>0</v>
      </c>
      <c r="S339" s="31">
        <v>0</v>
      </c>
      <c r="T339" s="32">
        <v>0</v>
      </c>
      <c r="U339" s="31">
        <v>0</v>
      </c>
      <c r="V339" s="32">
        <v>0</v>
      </c>
      <c r="W339" s="31">
        <v>319</v>
      </c>
      <c r="X339" s="32">
        <v>0.15606653620352251</v>
      </c>
      <c r="Y339" s="31">
        <v>797</v>
      </c>
      <c r="Z339" s="34">
        <v>0.38992172211350301</v>
      </c>
      <c r="AA339" s="31">
        <v>0</v>
      </c>
      <c r="AB339" s="32">
        <v>0</v>
      </c>
      <c r="AC339" s="31">
        <v>193</v>
      </c>
      <c r="AD339" s="32">
        <v>9.4422700587084143E-2</v>
      </c>
      <c r="AE339" s="31">
        <v>42</v>
      </c>
      <c r="AF339" s="32">
        <v>0.2176165803108808</v>
      </c>
      <c r="AG339" s="31">
        <v>158</v>
      </c>
      <c r="AH339" s="32">
        <v>0.81865284974093266</v>
      </c>
      <c r="AI339" s="35">
        <v>166</v>
      </c>
      <c r="AJ339" s="32">
        <v>8.1213307240704496E-2</v>
      </c>
      <c r="AK339" s="35">
        <v>10</v>
      </c>
      <c r="AL339" s="32">
        <v>0.8493975903614458</v>
      </c>
      <c r="AM339" s="35">
        <v>159</v>
      </c>
      <c r="AN339" s="35">
        <v>141</v>
      </c>
      <c r="AO339" s="32">
        <v>6.8982387475538157E-2</v>
      </c>
      <c r="AP339" s="32">
        <v>0.73056994818652854</v>
      </c>
      <c r="AQ339" s="33">
        <v>0.96178343949044587</v>
      </c>
      <c r="AR339" s="33" t="s">
        <v>411</v>
      </c>
      <c r="AS339" s="33">
        <v>8.2802547770700632E-2</v>
      </c>
      <c r="AT339" s="35">
        <v>0</v>
      </c>
      <c r="AU339" s="35">
        <v>0</v>
      </c>
      <c r="AV339" s="35">
        <v>77</v>
      </c>
      <c r="AW339" s="35">
        <v>72</v>
      </c>
      <c r="AX339" s="35">
        <v>65</v>
      </c>
      <c r="AY339" s="35">
        <v>29</v>
      </c>
      <c r="AZ339" s="32">
        <v>3.5225048923679059E-2</v>
      </c>
      <c r="BA339" s="32">
        <v>3.1800391389432477E-2</v>
      </c>
      <c r="BB339" s="32">
        <v>1.4187866927592951E-2</v>
      </c>
      <c r="BC339" s="32">
        <v>0.46099290780141838</v>
      </c>
      <c r="BD339" s="35">
        <v>0</v>
      </c>
      <c r="BE339" s="35">
        <v>0</v>
      </c>
      <c r="BF339" s="33">
        <v>1</v>
      </c>
      <c r="BG339" s="33">
        <v>1</v>
      </c>
      <c r="BH339" s="33" t="s">
        <v>412</v>
      </c>
    </row>
    <row r="340" spans="1:60" ht="19.5" customHeight="1">
      <c r="A340" s="36">
        <v>337</v>
      </c>
      <c r="B340" s="31" t="s">
        <v>410</v>
      </c>
      <c r="C340" s="37">
        <v>46229</v>
      </c>
      <c r="D340" s="31" t="s">
        <v>334</v>
      </c>
      <c r="E340" s="31">
        <v>1922</v>
      </c>
      <c r="F340" s="31">
        <v>1748</v>
      </c>
      <c r="G340" s="32">
        <v>0.90946930280957339</v>
      </c>
      <c r="H340" s="31">
        <v>977</v>
      </c>
      <c r="I340" s="33">
        <v>0.50832466181061398</v>
      </c>
      <c r="J340" s="31">
        <v>2126</v>
      </c>
      <c r="K340" s="31">
        <v>2060</v>
      </c>
      <c r="L340" s="32">
        <v>0.96899999999999997</v>
      </c>
      <c r="M340" s="31">
        <v>9633</v>
      </c>
      <c r="N340" s="31">
        <v>9550</v>
      </c>
      <c r="O340" s="31">
        <v>9374</v>
      </c>
      <c r="P340" s="32">
        <v>0.97311325651406622</v>
      </c>
      <c r="Q340" s="31">
        <v>140</v>
      </c>
      <c r="R340" s="31">
        <v>0</v>
      </c>
      <c r="S340" s="31">
        <v>0</v>
      </c>
      <c r="T340" s="32">
        <v>0</v>
      </c>
      <c r="U340" s="31">
        <v>0</v>
      </c>
      <c r="V340" s="32">
        <v>0</v>
      </c>
      <c r="W340" s="31">
        <v>354</v>
      </c>
      <c r="X340" s="32">
        <v>0.18418314255983351</v>
      </c>
      <c r="Y340" s="31">
        <v>640</v>
      </c>
      <c r="Z340" s="34">
        <v>0.33298647242455781</v>
      </c>
      <c r="AA340" s="31">
        <v>0</v>
      </c>
      <c r="AB340" s="32">
        <v>0</v>
      </c>
      <c r="AC340" s="31">
        <v>236</v>
      </c>
      <c r="AD340" s="32">
        <v>0.1227887617065557</v>
      </c>
      <c r="AE340" s="31">
        <v>32</v>
      </c>
      <c r="AF340" s="32">
        <v>0.13559322033898311</v>
      </c>
      <c r="AG340" s="31">
        <v>198</v>
      </c>
      <c r="AH340" s="32">
        <v>0.83898305084745761</v>
      </c>
      <c r="AI340" s="35">
        <v>220</v>
      </c>
      <c r="AJ340" s="32">
        <v>0.1144640998959417</v>
      </c>
      <c r="AK340" s="35">
        <v>7</v>
      </c>
      <c r="AL340" s="32">
        <v>0.84545454545454546</v>
      </c>
      <c r="AM340" s="35">
        <v>214</v>
      </c>
      <c r="AN340" s="35">
        <v>186</v>
      </c>
      <c r="AO340" s="32">
        <v>9.6774193548387094E-2</v>
      </c>
      <c r="AP340" s="32">
        <v>0.78813559322033899</v>
      </c>
      <c r="AQ340" s="33">
        <v>0.93689320388349517</v>
      </c>
      <c r="AR340" s="33" t="s">
        <v>411</v>
      </c>
      <c r="AS340" s="33">
        <v>0.12621359223300971</v>
      </c>
      <c r="AT340" s="35">
        <v>0</v>
      </c>
      <c r="AU340" s="35">
        <v>0</v>
      </c>
      <c r="AV340" s="35">
        <v>48</v>
      </c>
      <c r="AW340" s="35">
        <v>46</v>
      </c>
      <c r="AX340" s="35">
        <v>46</v>
      </c>
      <c r="AY340" s="35">
        <v>20</v>
      </c>
      <c r="AZ340" s="32">
        <v>2.393340270551509E-2</v>
      </c>
      <c r="BA340" s="32">
        <v>2.393340270551509E-2</v>
      </c>
      <c r="BB340" s="32">
        <v>1.040582726326743E-2</v>
      </c>
      <c r="BC340" s="32">
        <v>0.24731182795698919</v>
      </c>
      <c r="BD340" s="35">
        <v>0</v>
      </c>
      <c r="BE340" s="35">
        <v>0</v>
      </c>
      <c r="BF340" s="33">
        <v>1</v>
      </c>
      <c r="BG340" s="33">
        <v>1</v>
      </c>
      <c r="BH340" s="33" t="s">
        <v>412</v>
      </c>
    </row>
    <row r="341" spans="1:60" ht="19.5" customHeight="1">
      <c r="A341" s="36">
        <v>338</v>
      </c>
      <c r="B341" s="31" t="s">
        <v>410</v>
      </c>
      <c r="C341" s="37">
        <v>46229</v>
      </c>
      <c r="D341" s="31" t="s">
        <v>337</v>
      </c>
      <c r="E341" s="31">
        <v>6908</v>
      </c>
      <c r="F341" s="31">
        <v>6455</v>
      </c>
      <c r="G341" s="32">
        <v>0.93442385639837866</v>
      </c>
      <c r="H341" s="31">
        <v>2770</v>
      </c>
      <c r="I341" s="33">
        <v>0.4009843659525188</v>
      </c>
      <c r="J341" s="31">
        <v>8246</v>
      </c>
      <c r="K341" s="31">
        <v>8018</v>
      </c>
      <c r="L341" s="32">
        <v>0.97199999999999998</v>
      </c>
      <c r="M341" s="31">
        <v>30551</v>
      </c>
      <c r="N341" s="31">
        <v>30285</v>
      </c>
      <c r="O341" s="31">
        <v>29814</v>
      </c>
      <c r="P341" s="32">
        <v>0.97587640339105108</v>
      </c>
      <c r="Q341" s="31">
        <v>300</v>
      </c>
      <c r="R341" s="31">
        <v>0</v>
      </c>
      <c r="S341" s="31">
        <v>0</v>
      </c>
      <c r="T341" s="32">
        <v>0</v>
      </c>
      <c r="U341" s="31">
        <v>0</v>
      </c>
      <c r="V341" s="32">
        <v>0</v>
      </c>
      <c r="W341" s="31">
        <v>877</v>
      </c>
      <c r="X341" s="32">
        <v>0.12695425593514759</v>
      </c>
      <c r="Y341" s="31">
        <v>2113</v>
      </c>
      <c r="Z341" s="34">
        <v>0.30587724377533287</v>
      </c>
      <c r="AA341" s="31">
        <v>0</v>
      </c>
      <c r="AB341" s="32">
        <v>0</v>
      </c>
      <c r="AC341" s="31">
        <v>940</v>
      </c>
      <c r="AD341" s="32">
        <v>0.13607411696583671</v>
      </c>
      <c r="AE341" s="31">
        <v>138</v>
      </c>
      <c r="AF341" s="32">
        <v>0.14680851063829789</v>
      </c>
      <c r="AG341" s="31">
        <v>817</v>
      </c>
      <c r="AH341" s="32">
        <v>0.86914893617021272</v>
      </c>
      <c r="AI341" s="35">
        <v>950</v>
      </c>
      <c r="AJ341" s="32">
        <v>0.13752171395483501</v>
      </c>
      <c r="AK341" s="35">
        <v>50</v>
      </c>
      <c r="AL341" s="32">
        <v>0.79157894736842105</v>
      </c>
      <c r="AM341" s="35">
        <v>847</v>
      </c>
      <c r="AN341" s="35">
        <v>752</v>
      </c>
      <c r="AO341" s="32">
        <v>0.10885929357266939</v>
      </c>
      <c r="AP341" s="32">
        <v>0.8</v>
      </c>
      <c r="AQ341" s="33">
        <v>0.97245762711864403</v>
      </c>
      <c r="AR341" s="33" t="s">
        <v>411</v>
      </c>
      <c r="AS341" s="33">
        <v>0.1038135593220339</v>
      </c>
      <c r="AT341" s="35">
        <v>0</v>
      </c>
      <c r="AU341" s="35">
        <v>0</v>
      </c>
      <c r="AV341" s="35">
        <v>302</v>
      </c>
      <c r="AW341" s="35">
        <v>284</v>
      </c>
      <c r="AX341" s="35">
        <v>252</v>
      </c>
      <c r="AY341" s="35">
        <v>98</v>
      </c>
      <c r="AZ341" s="32">
        <v>4.1111754487550667E-2</v>
      </c>
      <c r="BA341" s="32">
        <v>3.6479444122756222E-2</v>
      </c>
      <c r="BB341" s="32">
        <v>1.418645049218298E-2</v>
      </c>
      <c r="BC341" s="32">
        <v>0.33510638297872342</v>
      </c>
      <c r="BD341" s="35">
        <v>0</v>
      </c>
      <c r="BE341" s="35">
        <v>0</v>
      </c>
      <c r="BF341" s="33">
        <v>0.97169811320754718</v>
      </c>
      <c r="BG341" s="33">
        <v>0.9859154929577465</v>
      </c>
      <c r="BH341" s="33" t="s">
        <v>412</v>
      </c>
    </row>
    <row r="342" spans="1:60" ht="19.5" customHeight="1">
      <c r="A342" s="36">
        <v>339</v>
      </c>
      <c r="B342" s="31" t="s">
        <v>410</v>
      </c>
      <c r="C342" s="37">
        <v>46229</v>
      </c>
      <c r="D342" s="31" t="s">
        <v>336</v>
      </c>
      <c r="E342" s="31">
        <v>3187</v>
      </c>
      <c r="F342" s="31">
        <v>2934</v>
      </c>
      <c r="G342" s="32">
        <v>0.92061499843112649</v>
      </c>
      <c r="H342" s="31">
        <v>1965</v>
      </c>
      <c r="I342" s="33">
        <v>0.61656730467524312</v>
      </c>
      <c r="J342" s="31">
        <v>3977</v>
      </c>
      <c r="K342" s="31">
        <v>3855</v>
      </c>
      <c r="L342" s="32">
        <v>0.96899999999999997</v>
      </c>
      <c r="M342" s="31">
        <v>20295</v>
      </c>
      <c r="N342" s="31">
        <v>20443</v>
      </c>
      <c r="O342" s="31">
        <v>19902</v>
      </c>
      <c r="P342" s="32">
        <v>0.98063562453806352</v>
      </c>
      <c r="Q342" s="31">
        <v>181</v>
      </c>
      <c r="R342" s="31">
        <v>0</v>
      </c>
      <c r="S342" s="31">
        <v>0</v>
      </c>
      <c r="T342" s="32">
        <v>0</v>
      </c>
      <c r="U342" s="31">
        <v>0</v>
      </c>
      <c r="V342" s="32">
        <v>0</v>
      </c>
      <c r="W342" s="31">
        <v>502</v>
      </c>
      <c r="X342" s="32">
        <v>0.15751490429871351</v>
      </c>
      <c r="Y342" s="31">
        <v>791</v>
      </c>
      <c r="Z342" s="34">
        <v>0.2481957954188892</v>
      </c>
      <c r="AA342" s="31">
        <v>0</v>
      </c>
      <c r="AB342" s="32">
        <v>0</v>
      </c>
      <c r="AC342" s="31">
        <v>366</v>
      </c>
      <c r="AD342" s="32">
        <v>0.114841543771572</v>
      </c>
      <c r="AE342" s="31">
        <v>41</v>
      </c>
      <c r="AF342" s="32">
        <v>0.11202185792349729</v>
      </c>
      <c r="AG342" s="31">
        <v>327</v>
      </c>
      <c r="AH342" s="32">
        <v>0.89344262295081966</v>
      </c>
      <c r="AI342" s="35">
        <v>359</v>
      </c>
      <c r="AJ342" s="32">
        <v>0.1126451208032633</v>
      </c>
      <c r="AK342" s="35">
        <v>20</v>
      </c>
      <c r="AL342" s="32">
        <v>0.88022284122562677</v>
      </c>
      <c r="AM342" s="35">
        <v>343</v>
      </c>
      <c r="AN342" s="35">
        <v>316</v>
      </c>
      <c r="AO342" s="32">
        <v>9.9152808283652333E-2</v>
      </c>
      <c r="AP342" s="32">
        <v>0.86338797814207646</v>
      </c>
      <c r="AQ342" s="33">
        <v>0.967741935483871</v>
      </c>
      <c r="AR342" s="33" t="s">
        <v>411</v>
      </c>
      <c r="AS342" s="33">
        <v>7.8853046594982074E-2</v>
      </c>
      <c r="AT342" s="35">
        <v>0</v>
      </c>
      <c r="AU342" s="35">
        <v>0</v>
      </c>
      <c r="AV342" s="35">
        <v>161</v>
      </c>
      <c r="AW342" s="35">
        <v>157</v>
      </c>
      <c r="AX342" s="35">
        <v>149</v>
      </c>
      <c r="AY342" s="35">
        <v>54</v>
      </c>
      <c r="AZ342" s="32">
        <v>4.9262629432067773E-2</v>
      </c>
      <c r="BA342" s="32">
        <v>4.675243175400063E-2</v>
      </c>
      <c r="BB342" s="32">
        <v>1.6943834326953251E-2</v>
      </c>
      <c r="BC342" s="32">
        <v>0.47151898734177222</v>
      </c>
      <c r="BD342" s="35">
        <v>0</v>
      </c>
      <c r="BE342" s="35">
        <v>0</v>
      </c>
      <c r="BF342" s="33">
        <v>0.93548387096774188</v>
      </c>
      <c r="BG342" s="33">
        <v>1</v>
      </c>
      <c r="BH342" s="33" t="s">
        <v>412</v>
      </c>
    </row>
    <row r="343" spans="1:60" ht="19.5" customHeight="1">
      <c r="A343" s="36">
        <v>340</v>
      </c>
      <c r="B343" s="31" t="s">
        <v>410</v>
      </c>
      <c r="C343" s="37">
        <v>46230</v>
      </c>
      <c r="D343" s="31"/>
      <c r="E343" s="31">
        <v>42</v>
      </c>
      <c r="F343" s="31">
        <v>42</v>
      </c>
      <c r="G343" s="32">
        <v>1</v>
      </c>
      <c r="H343" s="31">
        <v>42</v>
      </c>
      <c r="I343" s="33">
        <v>1</v>
      </c>
      <c r="J343" s="31">
        <v>0</v>
      </c>
      <c r="K343" s="31">
        <v>0</v>
      </c>
      <c r="L343" s="32">
        <v>0</v>
      </c>
      <c r="M343" s="31">
        <v>7</v>
      </c>
      <c r="N343" s="31">
        <v>0</v>
      </c>
      <c r="O343" s="31">
        <v>1</v>
      </c>
      <c r="P343" s="32">
        <v>0.14285714285714279</v>
      </c>
      <c r="Q343" s="31">
        <v>6</v>
      </c>
      <c r="R343" s="31">
        <v>0</v>
      </c>
      <c r="S343" s="31">
        <v>0</v>
      </c>
      <c r="T343" s="32">
        <v>0</v>
      </c>
      <c r="U343" s="31">
        <v>0</v>
      </c>
      <c r="V343" s="32">
        <v>0</v>
      </c>
      <c r="W343" s="31">
        <v>12</v>
      </c>
      <c r="X343" s="32">
        <v>0.2857142857142857</v>
      </c>
      <c r="Y343" s="31">
        <v>18</v>
      </c>
      <c r="Z343" s="34">
        <v>0.42857142857142849</v>
      </c>
      <c r="AA343" s="31">
        <v>0</v>
      </c>
      <c r="AB343" s="32">
        <v>0</v>
      </c>
      <c r="AC343" s="31">
        <v>0</v>
      </c>
      <c r="AD343" s="32">
        <v>0</v>
      </c>
      <c r="AE343" s="31">
        <v>0</v>
      </c>
      <c r="AF343" s="32">
        <v>0</v>
      </c>
      <c r="AG343" s="31">
        <v>0</v>
      </c>
      <c r="AH343" s="32">
        <v>0</v>
      </c>
      <c r="AI343" s="35">
        <v>0</v>
      </c>
      <c r="AJ343" s="32">
        <v>0</v>
      </c>
      <c r="AK343" s="35">
        <v>0</v>
      </c>
      <c r="AL343" s="32">
        <v>0</v>
      </c>
      <c r="AM343" s="35">
        <v>0</v>
      </c>
      <c r="AN343" s="35">
        <v>0</v>
      </c>
      <c r="AO343" s="32">
        <v>0</v>
      </c>
      <c r="AP343" s="32">
        <v>0</v>
      </c>
      <c r="AQ343" s="33">
        <v>0</v>
      </c>
      <c r="AR343" s="33" t="s">
        <v>411</v>
      </c>
      <c r="AS343" s="33">
        <v>0</v>
      </c>
      <c r="AT343" s="35">
        <v>0</v>
      </c>
      <c r="AU343" s="35">
        <v>0</v>
      </c>
      <c r="AV343" s="35">
        <v>0</v>
      </c>
      <c r="AW343" s="35">
        <v>0</v>
      </c>
      <c r="AX343" s="35">
        <v>0</v>
      </c>
      <c r="AY343" s="35">
        <v>0</v>
      </c>
      <c r="AZ343" s="32">
        <v>0</v>
      </c>
      <c r="BA343" s="32">
        <v>0</v>
      </c>
      <c r="BB343" s="32">
        <v>0</v>
      </c>
      <c r="BC343" s="32">
        <v>0</v>
      </c>
      <c r="BD343" s="35">
        <v>0</v>
      </c>
      <c r="BE343" s="35">
        <v>0</v>
      </c>
      <c r="BF343" s="33" t="s">
        <v>412</v>
      </c>
      <c r="BG343" s="33" t="s">
        <v>412</v>
      </c>
      <c r="BH343" s="33">
        <v>0.98347107438016534</v>
      </c>
    </row>
    <row r="344" spans="1:60" ht="19.5" customHeight="1">
      <c r="A344" s="36">
        <v>341</v>
      </c>
      <c r="B344" s="31" t="s">
        <v>410</v>
      </c>
      <c r="C344" s="37">
        <v>46230</v>
      </c>
      <c r="D344" s="31" t="s">
        <v>413</v>
      </c>
      <c r="E344" s="31">
        <v>268</v>
      </c>
      <c r="F344" s="31">
        <v>250</v>
      </c>
      <c r="G344" s="32">
        <v>0.93283582089552242</v>
      </c>
      <c r="H344" s="31">
        <v>55</v>
      </c>
      <c r="I344" s="33">
        <v>0.20522388059701491</v>
      </c>
      <c r="J344" s="31">
        <v>233</v>
      </c>
      <c r="K344" s="31">
        <v>148</v>
      </c>
      <c r="L344" s="32">
        <v>0.63500000000000001</v>
      </c>
      <c r="M344" s="31">
        <v>576</v>
      </c>
      <c r="N344" s="31">
        <v>472</v>
      </c>
      <c r="O344" s="31">
        <v>424</v>
      </c>
      <c r="P344" s="32">
        <v>0.73611111111111116</v>
      </c>
      <c r="Q344" s="31">
        <v>88</v>
      </c>
      <c r="R344" s="31">
        <v>0</v>
      </c>
      <c r="S344" s="31">
        <v>0</v>
      </c>
      <c r="T344" s="32">
        <v>0</v>
      </c>
      <c r="U344" s="31">
        <v>0</v>
      </c>
      <c r="V344" s="32">
        <v>0</v>
      </c>
      <c r="W344" s="31">
        <v>4</v>
      </c>
      <c r="X344" s="32">
        <v>1.492537313432836E-2</v>
      </c>
      <c r="Y344" s="31">
        <v>65</v>
      </c>
      <c r="Z344" s="34">
        <v>0.2425373134328358</v>
      </c>
      <c r="AA344" s="31">
        <v>0</v>
      </c>
      <c r="AB344" s="32">
        <v>0</v>
      </c>
      <c r="AC344" s="31">
        <v>1</v>
      </c>
      <c r="AD344" s="32">
        <v>3.731343283582089E-3</v>
      </c>
      <c r="AE344" s="31">
        <v>0</v>
      </c>
      <c r="AF344" s="32">
        <v>0</v>
      </c>
      <c r="AG344" s="31">
        <v>1</v>
      </c>
      <c r="AH344" s="32">
        <v>1</v>
      </c>
      <c r="AI344" s="35">
        <v>0</v>
      </c>
      <c r="AJ344" s="32">
        <v>0</v>
      </c>
      <c r="AK344" s="35">
        <v>0</v>
      </c>
      <c r="AL344" s="32">
        <v>0</v>
      </c>
      <c r="AM344" s="35">
        <v>0</v>
      </c>
      <c r="AN344" s="35">
        <v>0</v>
      </c>
      <c r="AO344" s="32">
        <v>0</v>
      </c>
      <c r="AP344" s="32">
        <v>0</v>
      </c>
      <c r="AQ344" s="33"/>
      <c r="AR344" s="33" t="s">
        <v>411</v>
      </c>
      <c r="AS344" s="33" t="s">
        <v>411</v>
      </c>
      <c r="AT344" s="35">
        <v>0</v>
      </c>
      <c r="AU344" s="35">
        <v>0</v>
      </c>
      <c r="AV344" s="35">
        <v>1</v>
      </c>
      <c r="AW344" s="35">
        <v>1</v>
      </c>
      <c r="AX344" s="35">
        <v>1</v>
      </c>
      <c r="AY344" s="35">
        <v>0</v>
      </c>
      <c r="AZ344" s="32">
        <v>3.731343283582089E-3</v>
      </c>
      <c r="BA344" s="32">
        <v>3.731343283582089E-3</v>
      </c>
      <c r="BB344" s="32">
        <v>0</v>
      </c>
      <c r="BC344" s="32">
        <v>0</v>
      </c>
      <c r="BD344" s="35">
        <v>0</v>
      </c>
      <c r="BE344" s="35">
        <v>0</v>
      </c>
      <c r="BF344" s="33" t="s">
        <v>412</v>
      </c>
      <c r="BG344" s="33" t="s">
        <v>412</v>
      </c>
      <c r="BH344" s="33" t="s">
        <v>412</v>
      </c>
    </row>
    <row r="345" spans="1:60" ht="19.5" customHeight="1">
      <c r="A345" s="36">
        <v>342</v>
      </c>
      <c r="B345" s="31" t="s">
        <v>410</v>
      </c>
      <c r="C345" s="37">
        <v>46230</v>
      </c>
      <c r="D345" s="31" t="s">
        <v>335</v>
      </c>
      <c r="E345" s="31">
        <v>2352</v>
      </c>
      <c r="F345" s="31">
        <v>2084</v>
      </c>
      <c r="G345" s="32">
        <v>0.88605442176870752</v>
      </c>
      <c r="H345" s="31">
        <v>1207</v>
      </c>
      <c r="I345" s="33">
        <v>0.51318027210884354</v>
      </c>
      <c r="J345" s="31">
        <v>2150</v>
      </c>
      <c r="K345" s="31">
        <v>2074</v>
      </c>
      <c r="L345" s="32">
        <v>0.96499999999999997</v>
      </c>
      <c r="M345" s="31">
        <v>10649</v>
      </c>
      <c r="N345" s="31">
        <v>10285</v>
      </c>
      <c r="O345" s="31">
        <v>10408</v>
      </c>
      <c r="P345" s="32">
        <v>0.97736876702037745</v>
      </c>
      <c r="Q345" s="31">
        <v>74</v>
      </c>
      <c r="R345" s="31">
        <v>0</v>
      </c>
      <c r="S345" s="31">
        <v>0</v>
      </c>
      <c r="T345" s="32">
        <v>0</v>
      </c>
      <c r="U345" s="31">
        <v>0</v>
      </c>
      <c r="V345" s="32">
        <v>0</v>
      </c>
      <c r="W345" s="31">
        <v>526</v>
      </c>
      <c r="X345" s="32">
        <v>0.2236394557823129</v>
      </c>
      <c r="Y345" s="31">
        <v>913</v>
      </c>
      <c r="Z345" s="34">
        <v>0.38818027210884348</v>
      </c>
      <c r="AA345" s="31">
        <v>0</v>
      </c>
      <c r="AB345" s="32">
        <v>0</v>
      </c>
      <c r="AC345" s="31">
        <v>143</v>
      </c>
      <c r="AD345" s="32">
        <v>6.0799319727891148E-2</v>
      </c>
      <c r="AE345" s="31">
        <v>39</v>
      </c>
      <c r="AF345" s="32">
        <v>0.27272727272727271</v>
      </c>
      <c r="AG345" s="31">
        <v>112</v>
      </c>
      <c r="AH345" s="32">
        <v>0.78321678321678323</v>
      </c>
      <c r="AI345" s="35">
        <v>118</v>
      </c>
      <c r="AJ345" s="32">
        <v>5.0170068027210878E-2</v>
      </c>
      <c r="AK345" s="35">
        <v>16</v>
      </c>
      <c r="AL345" s="32">
        <v>0.89830508474576276</v>
      </c>
      <c r="AM345" s="35">
        <v>118</v>
      </c>
      <c r="AN345" s="35">
        <v>106</v>
      </c>
      <c r="AO345" s="32">
        <v>4.5068027210884362E-2</v>
      </c>
      <c r="AP345" s="32">
        <v>0.74125874125874125</v>
      </c>
      <c r="AQ345" s="33">
        <v>0.98581560283687941</v>
      </c>
      <c r="AR345" s="33" t="s">
        <v>411</v>
      </c>
      <c r="AS345" s="33">
        <v>6.3829787234042548E-2</v>
      </c>
      <c r="AT345" s="35">
        <v>0</v>
      </c>
      <c r="AU345" s="35">
        <v>0</v>
      </c>
      <c r="AV345" s="35">
        <v>40</v>
      </c>
      <c r="AW345" s="35">
        <v>28</v>
      </c>
      <c r="AX345" s="35">
        <v>36</v>
      </c>
      <c r="AY345" s="35">
        <v>50</v>
      </c>
      <c r="AZ345" s="32">
        <v>1.1904761904761901E-2</v>
      </c>
      <c r="BA345" s="32">
        <v>1.530612244897959E-2</v>
      </c>
      <c r="BB345" s="32">
        <v>2.125850340136054E-2</v>
      </c>
      <c r="BC345" s="32">
        <v>0.33962264150943389</v>
      </c>
      <c r="BD345" s="35">
        <v>0</v>
      </c>
      <c r="BE345" s="35">
        <v>0</v>
      </c>
      <c r="BF345" s="33">
        <v>1</v>
      </c>
      <c r="BG345" s="33">
        <v>1</v>
      </c>
      <c r="BH345" s="33" t="s">
        <v>412</v>
      </c>
    </row>
    <row r="346" spans="1:60" ht="19.5" customHeight="1">
      <c r="A346" s="36">
        <v>343</v>
      </c>
      <c r="B346" s="31" t="s">
        <v>410</v>
      </c>
      <c r="C346" s="37">
        <v>46230</v>
      </c>
      <c r="D346" s="31" t="s">
        <v>334</v>
      </c>
      <c r="E346" s="31">
        <v>1792</v>
      </c>
      <c r="F346" s="31">
        <v>1584</v>
      </c>
      <c r="G346" s="32">
        <v>0.8839285714285714</v>
      </c>
      <c r="H346" s="31">
        <v>760</v>
      </c>
      <c r="I346" s="33">
        <v>0.42410714285714279</v>
      </c>
      <c r="J346" s="31">
        <v>1506</v>
      </c>
      <c r="K346" s="31">
        <v>1438</v>
      </c>
      <c r="L346" s="32">
        <v>0.95499999999999996</v>
      </c>
      <c r="M346" s="31">
        <v>8597</v>
      </c>
      <c r="N346" s="31">
        <v>8193</v>
      </c>
      <c r="O346" s="31">
        <v>8383</v>
      </c>
      <c r="P346" s="32">
        <v>0.97510759567290917</v>
      </c>
      <c r="Q346" s="31">
        <v>84</v>
      </c>
      <c r="R346" s="31">
        <v>0</v>
      </c>
      <c r="S346" s="31">
        <v>0</v>
      </c>
      <c r="T346" s="32">
        <v>0</v>
      </c>
      <c r="U346" s="31">
        <v>0</v>
      </c>
      <c r="V346" s="32">
        <v>0</v>
      </c>
      <c r="W346" s="31">
        <v>473</v>
      </c>
      <c r="X346" s="32">
        <v>0.26395089285714279</v>
      </c>
      <c r="Y346" s="31">
        <v>803</v>
      </c>
      <c r="Z346" s="34">
        <v>0.44810267857142849</v>
      </c>
      <c r="AA346" s="31">
        <v>0</v>
      </c>
      <c r="AB346" s="32">
        <v>0</v>
      </c>
      <c r="AC346" s="31">
        <v>147</v>
      </c>
      <c r="AD346" s="32">
        <v>8.203125E-2</v>
      </c>
      <c r="AE346" s="31">
        <v>22</v>
      </c>
      <c r="AF346" s="32">
        <v>0.1496598639455782</v>
      </c>
      <c r="AG346" s="31">
        <v>125</v>
      </c>
      <c r="AH346" s="32">
        <v>0.85034013605442171</v>
      </c>
      <c r="AI346" s="35">
        <v>134</v>
      </c>
      <c r="AJ346" s="32">
        <v>7.4776785714285712E-2</v>
      </c>
      <c r="AK346" s="35">
        <v>6</v>
      </c>
      <c r="AL346" s="32">
        <v>0.82089552238805974</v>
      </c>
      <c r="AM346" s="35">
        <v>132</v>
      </c>
      <c r="AN346" s="35">
        <v>110</v>
      </c>
      <c r="AO346" s="32">
        <v>6.1383928571428568E-2</v>
      </c>
      <c r="AP346" s="32">
        <v>0.74829931972789121</v>
      </c>
      <c r="AQ346" s="33">
        <v>0.9285714285714286</v>
      </c>
      <c r="AR346" s="33" t="s">
        <v>411</v>
      </c>
      <c r="AS346" s="33">
        <v>7.6530612244897961E-2</v>
      </c>
      <c r="AT346" s="35">
        <v>0</v>
      </c>
      <c r="AU346" s="35">
        <v>0</v>
      </c>
      <c r="AV346" s="35">
        <v>31</v>
      </c>
      <c r="AW346" s="35">
        <v>23</v>
      </c>
      <c r="AX346" s="35">
        <v>19</v>
      </c>
      <c r="AY346" s="35">
        <v>50</v>
      </c>
      <c r="AZ346" s="32">
        <v>1.283482142857143E-2</v>
      </c>
      <c r="BA346" s="32">
        <v>1.060267857142857E-2</v>
      </c>
      <c r="BB346" s="32">
        <v>2.7901785714285719E-2</v>
      </c>
      <c r="BC346" s="32">
        <v>0.1727272727272727</v>
      </c>
      <c r="BD346" s="35">
        <v>0</v>
      </c>
      <c r="BE346" s="35">
        <v>0</v>
      </c>
      <c r="BF346" s="33">
        <v>1</v>
      </c>
      <c r="BG346" s="33">
        <v>1</v>
      </c>
      <c r="BH346" s="33" t="s">
        <v>412</v>
      </c>
    </row>
    <row r="347" spans="1:60" ht="19.5" customHeight="1">
      <c r="A347" s="36">
        <v>344</v>
      </c>
      <c r="B347" s="31" t="s">
        <v>410</v>
      </c>
      <c r="C347" s="37">
        <v>46230</v>
      </c>
      <c r="D347" s="31" t="s">
        <v>337</v>
      </c>
      <c r="E347" s="31">
        <v>6083</v>
      </c>
      <c r="F347" s="31">
        <v>5556</v>
      </c>
      <c r="G347" s="32">
        <v>0.9133651158967615</v>
      </c>
      <c r="H347" s="31">
        <v>2390</v>
      </c>
      <c r="I347" s="33">
        <v>0.39289824099950682</v>
      </c>
      <c r="J347" s="31">
        <v>4977</v>
      </c>
      <c r="K347" s="31">
        <v>4789</v>
      </c>
      <c r="L347" s="32">
        <v>0.96199999999999997</v>
      </c>
      <c r="M347" s="31">
        <v>25803</v>
      </c>
      <c r="N347" s="31">
        <v>25065</v>
      </c>
      <c r="O347" s="31">
        <v>25264</v>
      </c>
      <c r="P347" s="32">
        <v>0.97911095609037713</v>
      </c>
      <c r="Q347" s="31">
        <v>211</v>
      </c>
      <c r="R347" s="31">
        <v>0</v>
      </c>
      <c r="S347" s="31">
        <v>0</v>
      </c>
      <c r="T347" s="32">
        <v>0</v>
      </c>
      <c r="U347" s="31">
        <v>0</v>
      </c>
      <c r="V347" s="32">
        <v>0</v>
      </c>
      <c r="W347" s="31">
        <v>1183</v>
      </c>
      <c r="X347" s="32">
        <v>0.1944764096662831</v>
      </c>
      <c r="Y347" s="31">
        <v>3667</v>
      </c>
      <c r="Z347" s="34">
        <v>0.60282755219464079</v>
      </c>
      <c r="AA347" s="31">
        <v>0</v>
      </c>
      <c r="AB347" s="32">
        <v>0</v>
      </c>
      <c r="AC347" s="31">
        <v>660</v>
      </c>
      <c r="AD347" s="32">
        <v>0.108499095840868</v>
      </c>
      <c r="AE347" s="31">
        <v>111</v>
      </c>
      <c r="AF347" s="32">
        <v>0.16818181818181821</v>
      </c>
      <c r="AG347" s="31">
        <v>590</v>
      </c>
      <c r="AH347" s="32">
        <v>0.89393939393939392</v>
      </c>
      <c r="AI347" s="35">
        <v>646</v>
      </c>
      <c r="AJ347" s="32">
        <v>0.1061975998684859</v>
      </c>
      <c r="AK347" s="35">
        <v>39</v>
      </c>
      <c r="AL347" s="32">
        <v>0.86996904024767807</v>
      </c>
      <c r="AM347" s="35">
        <v>634</v>
      </c>
      <c r="AN347" s="35">
        <v>562</v>
      </c>
      <c r="AO347" s="32">
        <v>9.238862403419365E-2</v>
      </c>
      <c r="AP347" s="32">
        <v>0.85151515151515156</v>
      </c>
      <c r="AQ347" s="33">
        <v>0.96817625458996326</v>
      </c>
      <c r="AR347" s="33" t="s">
        <v>411</v>
      </c>
      <c r="AS347" s="33">
        <v>8.6903304773561812E-2</v>
      </c>
      <c r="AT347" s="35">
        <v>0</v>
      </c>
      <c r="AU347" s="35">
        <v>0</v>
      </c>
      <c r="AV347" s="35">
        <v>62</v>
      </c>
      <c r="AW347" s="35">
        <v>41</v>
      </c>
      <c r="AX347" s="35">
        <v>58</v>
      </c>
      <c r="AY347" s="35">
        <v>144</v>
      </c>
      <c r="AZ347" s="32">
        <v>6.7400953476902843E-3</v>
      </c>
      <c r="BA347" s="32">
        <v>9.5347690284399138E-3</v>
      </c>
      <c r="BB347" s="32">
        <v>2.3672530001643929E-2</v>
      </c>
      <c r="BC347" s="32">
        <v>0.103202846975089</v>
      </c>
      <c r="BD347" s="35">
        <v>0</v>
      </c>
      <c r="BE347" s="35">
        <v>0</v>
      </c>
      <c r="BF347" s="33">
        <v>1</v>
      </c>
      <c r="BG347" s="33">
        <v>1</v>
      </c>
      <c r="BH347" s="33" t="s">
        <v>412</v>
      </c>
    </row>
    <row r="348" spans="1:60" ht="19.5" customHeight="1">
      <c r="A348" s="36">
        <v>345</v>
      </c>
      <c r="B348" s="31" t="s">
        <v>410</v>
      </c>
      <c r="C348" s="37">
        <v>46230</v>
      </c>
      <c r="D348" s="31" t="s">
        <v>336</v>
      </c>
      <c r="E348" s="31">
        <v>3061</v>
      </c>
      <c r="F348" s="31">
        <v>2816</v>
      </c>
      <c r="G348" s="32">
        <v>0.91996079712512246</v>
      </c>
      <c r="H348" s="31">
        <v>1896</v>
      </c>
      <c r="I348" s="33">
        <v>0.61940542306435808</v>
      </c>
      <c r="J348" s="31">
        <v>3777</v>
      </c>
      <c r="K348" s="31">
        <v>3661</v>
      </c>
      <c r="L348" s="32">
        <v>0.96899999999999997</v>
      </c>
      <c r="M348" s="31">
        <v>19437</v>
      </c>
      <c r="N348" s="31">
        <v>18949</v>
      </c>
      <c r="O348" s="31">
        <v>19081</v>
      </c>
      <c r="P348" s="32">
        <v>0.98168441631939085</v>
      </c>
      <c r="Q348" s="31">
        <v>151</v>
      </c>
      <c r="R348" s="31">
        <v>0</v>
      </c>
      <c r="S348" s="31">
        <v>0</v>
      </c>
      <c r="T348" s="32">
        <v>0</v>
      </c>
      <c r="U348" s="31">
        <v>0</v>
      </c>
      <c r="V348" s="32">
        <v>0</v>
      </c>
      <c r="W348" s="31">
        <v>898</v>
      </c>
      <c r="X348" s="32">
        <v>0.29336818033322443</v>
      </c>
      <c r="Y348" s="31">
        <v>1209</v>
      </c>
      <c r="Z348" s="34">
        <v>0.39496896439072199</v>
      </c>
      <c r="AA348" s="31">
        <v>0</v>
      </c>
      <c r="AB348" s="32">
        <v>0</v>
      </c>
      <c r="AC348" s="31">
        <v>196</v>
      </c>
      <c r="AD348" s="32">
        <v>6.4031362299901987E-2</v>
      </c>
      <c r="AE348" s="31">
        <v>55</v>
      </c>
      <c r="AF348" s="32">
        <v>0.28061224489795922</v>
      </c>
      <c r="AG348" s="31">
        <v>177</v>
      </c>
      <c r="AH348" s="32">
        <v>0.90306122448979587</v>
      </c>
      <c r="AI348" s="35">
        <v>201</v>
      </c>
      <c r="AJ348" s="32">
        <v>6.5664815419797448E-2</v>
      </c>
      <c r="AK348" s="35">
        <v>16</v>
      </c>
      <c r="AL348" s="32">
        <v>0.94527363184079605</v>
      </c>
      <c r="AM348" s="35">
        <v>201</v>
      </c>
      <c r="AN348" s="35">
        <v>190</v>
      </c>
      <c r="AO348" s="32">
        <v>6.2071218556027437E-2</v>
      </c>
      <c r="AP348" s="32">
        <v>0.96938775510204078</v>
      </c>
      <c r="AQ348" s="33">
        <v>0.92207792207792205</v>
      </c>
      <c r="AR348" s="33" t="s">
        <v>411</v>
      </c>
      <c r="AS348" s="33">
        <v>5.1948051948051951E-2</v>
      </c>
      <c r="AT348" s="35">
        <v>0</v>
      </c>
      <c r="AU348" s="35">
        <v>0</v>
      </c>
      <c r="AV348" s="35">
        <v>54</v>
      </c>
      <c r="AW348" s="35">
        <v>43</v>
      </c>
      <c r="AX348" s="35">
        <v>48</v>
      </c>
      <c r="AY348" s="35">
        <v>103</v>
      </c>
      <c r="AZ348" s="32">
        <v>1.404769683110095E-2</v>
      </c>
      <c r="BA348" s="32">
        <v>1.5681149950996408E-2</v>
      </c>
      <c r="BB348" s="32">
        <v>3.3649134269846448E-2</v>
      </c>
      <c r="BC348" s="32">
        <v>0.25263157894736837</v>
      </c>
      <c r="BD348" s="35">
        <v>0</v>
      </c>
      <c r="BE348" s="35">
        <v>0</v>
      </c>
      <c r="BF348" s="33">
        <v>1</v>
      </c>
      <c r="BG348" s="33">
        <v>1</v>
      </c>
      <c r="BH348" s="33" t="s">
        <v>412</v>
      </c>
    </row>
    <row r="349" spans="1:60" ht="19.5" customHeight="1">
      <c r="A349" s="36">
        <v>346</v>
      </c>
      <c r="B349" s="31" t="s">
        <v>410</v>
      </c>
      <c r="C349" s="37">
        <v>46231</v>
      </c>
      <c r="D349" s="31"/>
      <c r="E349" s="31">
        <v>33</v>
      </c>
      <c r="F349" s="31">
        <v>33</v>
      </c>
      <c r="G349" s="32">
        <v>1</v>
      </c>
      <c r="H349" s="31">
        <v>33</v>
      </c>
      <c r="I349" s="33">
        <v>1</v>
      </c>
      <c r="J349" s="31">
        <v>1</v>
      </c>
      <c r="K349" s="31">
        <v>0</v>
      </c>
      <c r="L349" s="32">
        <v>0</v>
      </c>
      <c r="M349" s="31">
        <v>10</v>
      </c>
      <c r="N349" s="31">
        <v>0</v>
      </c>
      <c r="O349" s="31">
        <v>0</v>
      </c>
      <c r="P349" s="32">
        <v>0</v>
      </c>
      <c r="Q349" s="31">
        <v>10</v>
      </c>
      <c r="R349" s="31">
        <v>0</v>
      </c>
      <c r="S349" s="31">
        <v>0</v>
      </c>
      <c r="T349" s="32">
        <v>0</v>
      </c>
      <c r="U349" s="31">
        <v>0</v>
      </c>
      <c r="V349" s="32">
        <v>0</v>
      </c>
      <c r="W349" s="31">
        <v>13</v>
      </c>
      <c r="X349" s="32">
        <v>0.39393939393939392</v>
      </c>
      <c r="Y349" s="31">
        <v>13</v>
      </c>
      <c r="Z349" s="34">
        <v>0.39393939393939392</v>
      </c>
      <c r="AA349" s="31">
        <v>0</v>
      </c>
      <c r="AB349" s="32">
        <v>0</v>
      </c>
      <c r="AC349" s="31">
        <v>0</v>
      </c>
      <c r="AD349" s="32">
        <v>0</v>
      </c>
      <c r="AE349" s="31">
        <v>0</v>
      </c>
      <c r="AF349" s="32">
        <v>0</v>
      </c>
      <c r="AG349" s="31">
        <v>0</v>
      </c>
      <c r="AH349" s="32">
        <v>0</v>
      </c>
      <c r="AI349" s="35">
        <v>0</v>
      </c>
      <c r="AJ349" s="32">
        <v>0</v>
      </c>
      <c r="AK349" s="35">
        <v>0</v>
      </c>
      <c r="AL349" s="32">
        <v>0</v>
      </c>
      <c r="AM349" s="35">
        <v>0</v>
      </c>
      <c r="AN349" s="35">
        <v>0</v>
      </c>
      <c r="AO349" s="32">
        <v>0</v>
      </c>
      <c r="AP349" s="32">
        <v>0</v>
      </c>
      <c r="AQ349" s="33">
        <v>0</v>
      </c>
      <c r="AR349" s="33" t="s">
        <v>411</v>
      </c>
      <c r="AS349" s="33">
        <v>0</v>
      </c>
      <c r="AT349" s="35">
        <v>0</v>
      </c>
      <c r="AU349" s="35">
        <v>0</v>
      </c>
      <c r="AV349" s="35">
        <v>0</v>
      </c>
      <c r="AW349" s="35">
        <v>0</v>
      </c>
      <c r="AX349" s="35">
        <v>0</v>
      </c>
      <c r="AY349" s="35">
        <v>0</v>
      </c>
      <c r="AZ349" s="32">
        <v>0</v>
      </c>
      <c r="BA349" s="32">
        <v>0</v>
      </c>
      <c r="BB349" s="32">
        <v>0</v>
      </c>
      <c r="BC349" s="32">
        <v>0</v>
      </c>
      <c r="BD349" s="35">
        <v>0</v>
      </c>
      <c r="BE349" s="35">
        <v>0</v>
      </c>
      <c r="BF349" s="33" t="s">
        <v>412</v>
      </c>
      <c r="BG349" s="33" t="s">
        <v>412</v>
      </c>
      <c r="BH349" s="33">
        <v>1</v>
      </c>
    </row>
    <row r="350" spans="1:60" ht="19.5" customHeight="1">
      <c r="A350" s="36">
        <v>347</v>
      </c>
      <c r="B350" s="31" t="s">
        <v>410</v>
      </c>
      <c r="C350" s="37">
        <v>46231</v>
      </c>
      <c r="D350" s="31" t="s">
        <v>413</v>
      </c>
      <c r="E350" s="31">
        <v>204</v>
      </c>
      <c r="F350" s="31">
        <v>191</v>
      </c>
      <c r="G350" s="32">
        <v>0.93627450980392157</v>
      </c>
      <c r="H350" s="31">
        <v>58</v>
      </c>
      <c r="I350" s="33">
        <v>0.28431372549019612</v>
      </c>
      <c r="J350" s="31">
        <v>227</v>
      </c>
      <c r="K350" s="31">
        <v>145</v>
      </c>
      <c r="L350" s="32">
        <v>0.63900000000000001</v>
      </c>
      <c r="M350" s="31">
        <v>574</v>
      </c>
      <c r="N350" s="31">
        <v>528</v>
      </c>
      <c r="O350" s="31">
        <v>435</v>
      </c>
      <c r="P350" s="32">
        <v>0.75783972125435539</v>
      </c>
      <c r="Q350" s="31">
        <v>83</v>
      </c>
      <c r="R350" s="31">
        <v>0</v>
      </c>
      <c r="S350" s="31">
        <v>0</v>
      </c>
      <c r="T350" s="32">
        <v>0</v>
      </c>
      <c r="U350" s="31">
        <v>0</v>
      </c>
      <c r="V350" s="32">
        <v>0</v>
      </c>
      <c r="W350" s="31">
        <v>2</v>
      </c>
      <c r="X350" s="32">
        <v>9.8039215686274508E-3</v>
      </c>
      <c r="Y350" s="31">
        <v>28</v>
      </c>
      <c r="Z350" s="34">
        <v>0.1372549019607843</v>
      </c>
      <c r="AA350" s="31">
        <v>0</v>
      </c>
      <c r="AB350" s="32">
        <v>0</v>
      </c>
      <c r="AC350" s="31">
        <v>2</v>
      </c>
      <c r="AD350" s="32">
        <v>9.8039215686274508E-3</v>
      </c>
      <c r="AE350" s="31">
        <v>0</v>
      </c>
      <c r="AF350" s="32">
        <v>0</v>
      </c>
      <c r="AG350" s="31">
        <v>1</v>
      </c>
      <c r="AH350" s="32">
        <v>0.5</v>
      </c>
      <c r="AI350" s="35">
        <v>0</v>
      </c>
      <c r="AJ350" s="32">
        <v>0</v>
      </c>
      <c r="AK350" s="35">
        <v>0</v>
      </c>
      <c r="AL350" s="32">
        <v>0</v>
      </c>
      <c r="AM350" s="35">
        <v>0</v>
      </c>
      <c r="AN350" s="35">
        <v>0</v>
      </c>
      <c r="AO350" s="32">
        <v>0</v>
      </c>
      <c r="AP350" s="32">
        <v>0</v>
      </c>
      <c r="AQ350" s="33"/>
      <c r="AR350" s="33" t="s">
        <v>411</v>
      </c>
      <c r="AS350" s="33" t="s">
        <v>411</v>
      </c>
      <c r="AT350" s="35">
        <v>0</v>
      </c>
      <c r="AU350" s="35">
        <v>0</v>
      </c>
      <c r="AV350" s="35">
        <v>4</v>
      </c>
      <c r="AW350" s="35">
        <v>4</v>
      </c>
      <c r="AX350" s="35">
        <v>4</v>
      </c>
      <c r="AY350" s="35">
        <v>1</v>
      </c>
      <c r="AZ350" s="32">
        <v>1.9607843137254902E-2</v>
      </c>
      <c r="BA350" s="32">
        <v>1.9607843137254902E-2</v>
      </c>
      <c r="BB350" s="32">
        <v>4.9019607843137254E-3</v>
      </c>
      <c r="BC350" s="32">
        <v>0</v>
      </c>
      <c r="BD350" s="35">
        <v>0</v>
      </c>
      <c r="BE350" s="35">
        <v>0</v>
      </c>
      <c r="BF350" s="33" t="s">
        <v>412</v>
      </c>
      <c r="BG350" s="33">
        <v>1</v>
      </c>
      <c r="BH350" s="33" t="s">
        <v>412</v>
      </c>
    </row>
    <row r="351" spans="1:60" ht="19.5" customHeight="1">
      <c r="A351" s="36">
        <v>348</v>
      </c>
      <c r="B351" s="31" t="s">
        <v>410</v>
      </c>
      <c r="C351" s="37">
        <v>46231</v>
      </c>
      <c r="D351" s="31" t="s">
        <v>335</v>
      </c>
      <c r="E351" s="31">
        <v>2233</v>
      </c>
      <c r="F351" s="31">
        <v>2017</v>
      </c>
      <c r="G351" s="32">
        <v>0.90326914464845498</v>
      </c>
      <c r="H351" s="31">
        <v>1036</v>
      </c>
      <c r="I351" s="33">
        <v>0.46394984326018812</v>
      </c>
      <c r="J351" s="31">
        <v>2206</v>
      </c>
      <c r="K351" s="31">
        <v>2152</v>
      </c>
      <c r="L351" s="32">
        <v>0.97599999999999998</v>
      </c>
      <c r="M351" s="31">
        <v>10382</v>
      </c>
      <c r="N351" s="31">
        <v>10515</v>
      </c>
      <c r="O351" s="31">
        <v>10221</v>
      </c>
      <c r="P351" s="32">
        <v>0.98449239067617034</v>
      </c>
      <c r="Q351" s="31">
        <v>71</v>
      </c>
      <c r="R351" s="31">
        <v>0</v>
      </c>
      <c r="S351" s="31">
        <v>0</v>
      </c>
      <c r="T351" s="32">
        <v>0</v>
      </c>
      <c r="U351" s="31">
        <v>0</v>
      </c>
      <c r="V351" s="32">
        <v>0</v>
      </c>
      <c r="W351" s="31">
        <v>285</v>
      </c>
      <c r="X351" s="32">
        <v>0.12763098969995521</v>
      </c>
      <c r="Y351" s="31">
        <v>749</v>
      </c>
      <c r="Z351" s="34">
        <v>0.33542319749216298</v>
      </c>
      <c r="AA351" s="31">
        <v>0</v>
      </c>
      <c r="AB351" s="32">
        <v>0</v>
      </c>
      <c r="AC351" s="31">
        <v>178</v>
      </c>
      <c r="AD351" s="32">
        <v>7.9713390058217648E-2</v>
      </c>
      <c r="AE351" s="31">
        <v>44</v>
      </c>
      <c r="AF351" s="32">
        <v>0.24719101123595499</v>
      </c>
      <c r="AG351" s="31">
        <v>99</v>
      </c>
      <c r="AH351" s="32">
        <v>0.5561797752808989</v>
      </c>
      <c r="AI351" s="35">
        <v>113</v>
      </c>
      <c r="AJ351" s="32">
        <v>5.0604567845947163E-2</v>
      </c>
      <c r="AK351" s="35">
        <v>11</v>
      </c>
      <c r="AL351" s="32">
        <v>0.89380530973451322</v>
      </c>
      <c r="AM351" s="35">
        <v>112</v>
      </c>
      <c r="AN351" s="35">
        <v>101</v>
      </c>
      <c r="AO351" s="32">
        <v>4.5230631437527993E-2</v>
      </c>
      <c r="AP351" s="32">
        <v>0.56741573033707871</v>
      </c>
      <c r="AQ351" s="33">
        <v>0.95614035087719296</v>
      </c>
      <c r="AR351" s="33" t="s">
        <v>411</v>
      </c>
      <c r="AS351" s="33">
        <v>5.2631578947368418E-2</v>
      </c>
      <c r="AT351" s="35">
        <v>0</v>
      </c>
      <c r="AU351" s="35">
        <v>0</v>
      </c>
      <c r="AV351" s="35">
        <v>29</v>
      </c>
      <c r="AW351" s="35">
        <v>19</v>
      </c>
      <c r="AX351" s="35">
        <v>19</v>
      </c>
      <c r="AY351" s="35">
        <v>104</v>
      </c>
      <c r="AZ351" s="32">
        <v>8.5087326466636807E-3</v>
      </c>
      <c r="BA351" s="32">
        <v>8.5087326466636807E-3</v>
      </c>
      <c r="BB351" s="32">
        <v>4.6574115539632782E-2</v>
      </c>
      <c r="BC351" s="32">
        <v>0.18811881188118809</v>
      </c>
      <c r="BD351" s="35">
        <v>0</v>
      </c>
      <c r="BE351" s="35">
        <v>0</v>
      </c>
      <c r="BF351" s="33">
        <v>1</v>
      </c>
      <c r="BG351" s="33">
        <v>1</v>
      </c>
      <c r="BH351" s="33" t="s">
        <v>412</v>
      </c>
    </row>
    <row r="352" spans="1:60" ht="19.5" customHeight="1">
      <c r="A352" s="36">
        <v>349</v>
      </c>
      <c r="B352" s="31" t="s">
        <v>410</v>
      </c>
      <c r="C352" s="37">
        <v>46231</v>
      </c>
      <c r="D352" s="31" t="s">
        <v>334</v>
      </c>
      <c r="E352" s="31">
        <v>1612</v>
      </c>
      <c r="F352" s="31">
        <v>1451</v>
      </c>
      <c r="G352" s="32">
        <v>0.90012406947890822</v>
      </c>
      <c r="H352" s="31">
        <v>749</v>
      </c>
      <c r="I352" s="33">
        <v>0.46464019851116628</v>
      </c>
      <c r="J352" s="31">
        <v>1412</v>
      </c>
      <c r="K352" s="31">
        <v>1363</v>
      </c>
      <c r="L352" s="32">
        <v>0.96499999999999997</v>
      </c>
      <c r="M352" s="31">
        <v>7962</v>
      </c>
      <c r="N352" s="31">
        <v>8033</v>
      </c>
      <c r="O352" s="31">
        <v>7826</v>
      </c>
      <c r="P352" s="32">
        <v>0.98291886460688271</v>
      </c>
      <c r="Q352" s="31">
        <v>63</v>
      </c>
      <c r="R352" s="31">
        <v>0</v>
      </c>
      <c r="S352" s="31">
        <v>0</v>
      </c>
      <c r="T352" s="32">
        <v>0</v>
      </c>
      <c r="U352" s="31">
        <v>0</v>
      </c>
      <c r="V352" s="32">
        <v>0</v>
      </c>
      <c r="W352" s="31">
        <v>245</v>
      </c>
      <c r="X352" s="32">
        <v>0.15198511166253101</v>
      </c>
      <c r="Y352" s="31">
        <v>628</v>
      </c>
      <c r="Z352" s="34">
        <v>0.38957816377171223</v>
      </c>
      <c r="AA352" s="31">
        <v>0</v>
      </c>
      <c r="AB352" s="32">
        <v>0</v>
      </c>
      <c r="AC352" s="31">
        <v>261</v>
      </c>
      <c r="AD352" s="32">
        <v>0.16191066997518611</v>
      </c>
      <c r="AE352" s="31">
        <v>79</v>
      </c>
      <c r="AF352" s="32">
        <v>0.30268199233716481</v>
      </c>
      <c r="AG352" s="31">
        <v>141</v>
      </c>
      <c r="AH352" s="32">
        <v>0.54022988505747127</v>
      </c>
      <c r="AI352" s="35">
        <v>157</v>
      </c>
      <c r="AJ352" s="32">
        <v>9.7394540942928043E-2</v>
      </c>
      <c r="AK352" s="35">
        <v>14</v>
      </c>
      <c r="AL352" s="32">
        <v>0.86624203821656054</v>
      </c>
      <c r="AM352" s="35">
        <v>156</v>
      </c>
      <c r="AN352" s="35">
        <v>136</v>
      </c>
      <c r="AO352" s="32">
        <v>8.4367245657568243E-2</v>
      </c>
      <c r="AP352" s="32">
        <v>0.52107279693486586</v>
      </c>
      <c r="AQ352" s="33">
        <v>0.98360655737704916</v>
      </c>
      <c r="AR352" s="33" t="s">
        <v>411</v>
      </c>
      <c r="AS352" s="33">
        <v>0.13114754098360659</v>
      </c>
      <c r="AT352" s="35">
        <v>0</v>
      </c>
      <c r="AU352" s="35">
        <v>0</v>
      </c>
      <c r="AV352" s="35">
        <v>30</v>
      </c>
      <c r="AW352" s="35">
        <v>20</v>
      </c>
      <c r="AX352" s="35">
        <v>22</v>
      </c>
      <c r="AY352" s="35">
        <v>40</v>
      </c>
      <c r="AZ352" s="32">
        <v>1.2406947890818859E-2</v>
      </c>
      <c r="BA352" s="32">
        <v>1.364764267990074E-2</v>
      </c>
      <c r="BB352" s="32">
        <v>2.4813895781637719E-2</v>
      </c>
      <c r="BC352" s="32">
        <v>0.16176470588235289</v>
      </c>
      <c r="BD352" s="35">
        <v>0</v>
      </c>
      <c r="BE352" s="35">
        <v>0</v>
      </c>
      <c r="BF352" s="33">
        <v>1</v>
      </c>
      <c r="BG352" s="33">
        <v>1</v>
      </c>
      <c r="BH352" s="33" t="s">
        <v>412</v>
      </c>
    </row>
    <row r="353" spans="1:60" ht="19.5" customHeight="1">
      <c r="A353" s="36">
        <v>350</v>
      </c>
      <c r="B353" s="31" t="s">
        <v>410</v>
      </c>
      <c r="C353" s="37">
        <v>46231</v>
      </c>
      <c r="D353" s="31" t="s">
        <v>337</v>
      </c>
      <c r="E353" s="31">
        <v>6635</v>
      </c>
      <c r="F353" s="31">
        <v>6139</v>
      </c>
      <c r="G353" s="32">
        <v>0.92524491333835723</v>
      </c>
      <c r="H353" s="31">
        <v>2446</v>
      </c>
      <c r="I353" s="33">
        <v>0.36865109269027879</v>
      </c>
      <c r="J353" s="31">
        <v>4990</v>
      </c>
      <c r="K353" s="31">
        <v>4822</v>
      </c>
      <c r="L353" s="32">
        <v>0.96599999999999997</v>
      </c>
      <c r="M353" s="31">
        <v>24996</v>
      </c>
      <c r="N353" s="31">
        <v>25233</v>
      </c>
      <c r="O353" s="31">
        <v>24555</v>
      </c>
      <c r="P353" s="32">
        <v>0.9823571771483437</v>
      </c>
      <c r="Q353" s="31">
        <v>198</v>
      </c>
      <c r="R353" s="31">
        <v>0</v>
      </c>
      <c r="S353" s="31">
        <v>0</v>
      </c>
      <c r="T353" s="32">
        <v>0</v>
      </c>
      <c r="U353" s="31">
        <v>0</v>
      </c>
      <c r="V353" s="32">
        <v>0</v>
      </c>
      <c r="W353" s="31">
        <v>732</v>
      </c>
      <c r="X353" s="32">
        <v>0.11032403918613411</v>
      </c>
      <c r="Y353" s="31">
        <v>1778</v>
      </c>
      <c r="Z353" s="34">
        <v>0.26797287113790502</v>
      </c>
      <c r="AA353" s="31">
        <v>0</v>
      </c>
      <c r="AB353" s="32">
        <v>0</v>
      </c>
      <c r="AC353" s="31">
        <v>840</v>
      </c>
      <c r="AD353" s="32">
        <v>0.12660135644310469</v>
      </c>
      <c r="AE353" s="31">
        <v>151</v>
      </c>
      <c r="AF353" s="32">
        <v>0.17976190476190479</v>
      </c>
      <c r="AG353" s="31">
        <v>638</v>
      </c>
      <c r="AH353" s="32">
        <v>0.75952380952380949</v>
      </c>
      <c r="AI353" s="35">
        <v>688</v>
      </c>
      <c r="AJ353" s="32">
        <v>0.1036925395629239</v>
      </c>
      <c r="AK353" s="35">
        <v>36</v>
      </c>
      <c r="AL353" s="32">
        <v>0.88662790697674421</v>
      </c>
      <c r="AM353" s="35">
        <v>679</v>
      </c>
      <c r="AN353" s="35">
        <v>610</v>
      </c>
      <c r="AO353" s="32">
        <v>9.1936699321778448E-2</v>
      </c>
      <c r="AP353" s="32">
        <v>0.72619047619047616</v>
      </c>
      <c r="AQ353" s="33">
        <v>0.97096774193548385</v>
      </c>
      <c r="AR353" s="33" t="s">
        <v>411</v>
      </c>
      <c r="AS353" s="33">
        <v>8.0645161290322578E-2</v>
      </c>
      <c r="AT353" s="35">
        <v>0</v>
      </c>
      <c r="AU353" s="35">
        <v>0</v>
      </c>
      <c r="AV353" s="35">
        <v>71</v>
      </c>
      <c r="AW353" s="35">
        <v>54</v>
      </c>
      <c r="AX353" s="35">
        <v>72</v>
      </c>
      <c r="AY353" s="35">
        <v>163</v>
      </c>
      <c r="AZ353" s="32">
        <v>8.1386586284853055E-3</v>
      </c>
      <c r="BA353" s="32">
        <v>1.085154483798041E-2</v>
      </c>
      <c r="BB353" s="32">
        <v>2.4566691785983419E-2</v>
      </c>
      <c r="BC353" s="32">
        <v>0.11803278688524591</v>
      </c>
      <c r="BD353" s="35">
        <v>0</v>
      </c>
      <c r="BE353" s="35">
        <v>0</v>
      </c>
      <c r="BF353" s="33">
        <v>1</v>
      </c>
      <c r="BG353" s="33">
        <v>1</v>
      </c>
      <c r="BH353" s="33" t="s">
        <v>412</v>
      </c>
    </row>
    <row r="354" spans="1:60" ht="19.5" customHeight="1">
      <c r="A354" s="36">
        <v>351</v>
      </c>
      <c r="B354" s="31" t="s">
        <v>410</v>
      </c>
      <c r="C354" s="37">
        <v>46231</v>
      </c>
      <c r="D354" s="31" t="s">
        <v>336</v>
      </c>
      <c r="E354" s="31">
        <v>3088</v>
      </c>
      <c r="F354" s="31">
        <v>2824</v>
      </c>
      <c r="G354" s="32">
        <v>0.91450777202072542</v>
      </c>
      <c r="H354" s="31">
        <v>1931</v>
      </c>
      <c r="I354" s="33">
        <v>0.62532383419689119</v>
      </c>
      <c r="J354" s="31">
        <v>3814</v>
      </c>
      <c r="K354" s="31">
        <v>3704</v>
      </c>
      <c r="L354" s="32">
        <v>0.97099999999999997</v>
      </c>
      <c r="M354" s="31">
        <v>18870</v>
      </c>
      <c r="N354" s="31">
        <v>18778</v>
      </c>
      <c r="O354" s="31">
        <v>18586</v>
      </c>
      <c r="P354" s="32">
        <v>0.98494965553789082</v>
      </c>
      <c r="Q354" s="31">
        <v>118</v>
      </c>
      <c r="R354" s="31">
        <v>0</v>
      </c>
      <c r="S354" s="31">
        <v>0</v>
      </c>
      <c r="T354" s="32">
        <v>0</v>
      </c>
      <c r="U354" s="31">
        <v>0</v>
      </c>
      <c r="V354" s="32">
        <v>0</v>
      </c>
      <c r="W354" s="31">
        <v>450</v>
      </c>
      <c r="X354" s="32">
        <v>0.14572538860103629</v>
      </c>
      <c r="Y354" s="31">
        <v>967</v>
      </c>
      <c r="Z354" s="34">
        <v>0.31314766839378239</v>
      </c>
      <c r="AA354" s="31">
        <v>0</v>
      </c>
      <c r="AB354" s="32">
        <v>0</v>
      </c>
      <c r="AC354" s="31">
        <v>260</v>
      </c>
      <c r="AD354" s="32">
        <v>8.4196891191709838E-2</v>
      </c>
      <c r="AE354" s="31">
        <v>52</v>
      </c>
      <c r="AF354" s="32">
        <v>0.2</v>
      </c>
      <c r="AG354" s="31">
        <v>216</v>
      </c>
      <c r="AH354" s="32">
        <v>0.83076923076923082</v>
      </c>
      <c r="AI354" s="35">
        <v>229</v>
      </c>
      <c r="AJ354" s="32">
        <v>7.4158031088082901E-2</v>
      </c>
      <c r="AK354" s="35">
        <v>14</v>
      </c>
      <c r="AL354" s="32">
        <v>0.90393013100436681</v>
      </c>
      <c r="AM354" s="35">
        <v>223</v>
      </c>
      <c r="AN354" s="35">
        <v>207</v>
      </c>
      <c r="AO354" s="32">
        <v>6.7033678756476686E-2</v>
      </c>
      <c r="AP354" s="32">
        <v>0.7961538461538461</v>
      </c>
      <c r="AQ354" s="33">
        <v>0.96276595744680848</v>
      </c>
      <c r="AR354" s="33" t="s">
        <v>411</v>
      </c>
      <c r="AS354" s="33">
        <v>8.5106382978723402E-2</v>
      </c>
      <c r="AT354" s="35">
        <v>0</v>
      </c>
      <c r="AU354" s="35">
        <v>0</v>
      </c>
      <c r="AV354" s="35">
        <v>60</v>
      </c>
      <c r="AW354" s="35">
        <v>50</v>
      </c>
      <c r="AX354" s="35">
        <v>51</v>
      </c>
      <c r="AY354" s="35">
        <v>99</v>
      </c>
      <c r="AZ354" s="32">
        <v>1.6191709844559581E-2</v>
      </c>
      <c r="BA354" s="32">
        <v>1.651554404145078E-2</v>
      </c>
      <c r="BB354" s="32">
        <v>3.2059585492227982E-2</v>
      </c>
      <c r="BC354" s="32">
        <v>0.24637681159420291</v>
      </c>
      <c r="BD354" s="35">
        <v>0</v>
      </c>
      <c r="BE354" s="35">
        <v>0</v>
      </c>
      <c r="BF354" s="33">
        <v>1</v>
      </c>
      <c r="BG354" s="33">
        <v>1</v>
      </c>
      <c r="BH354" s="33" t="s">
        <v>412</v>
      </c>
    </row>
    <row r="355" spans="1:60" ht="19.5" customHeight="1">
      <c r="A355" s="36">
        <v>352</v>
      </c>
      <c r="B355" s="31" t="s">
        <v>410</v>
      </c>
      <c r="C355" s="37">
        <v>46231</v>
      </c>
      <c r="D355" s="31" t="s">
        <v>414</v>
      </c>
      <c r="E355" s="31">
        <v>0</v>
      </c>
      <c r="F355" s="31">
        <v>0</v>
      </c>
      <c r="G355" s="32">
        <v>0</v>
      </c>
      <c r="H355" s="31">
        <v>0</v>
      </c>
      <c r="I355" s="33">
        <v>0</v>
      </c>
      <c r="J355" s="31">
        <v>0</v>
      </c>
      <c r="K355" s="31">
        <v>0</v>
      </c>
      <c r="L355" s="32">
        <v>0</v>
      </c>
      <c r="M355" s="31">
        <v>0</v>
      </c>
      <c r="N355" s="31">
        <v>0</v>
      </c>
      <c r="O355" s="31">
        <v>0</v>
      </c>
      <c r="P355" s="32">
        <v>0</v>
      </c>
      <c r="Q355" s="31">
        <v>0</v>
      </c>
      <c r="R355" s="31">
        <v>0</v>
      </c>
      <c r="S355" s="31">
        <v>0</v>
      </c>
      <c r="T355" s="32">
        <v>0</v>
      </c>
      <c r="U355" s="31">
        <v>0</v>
      </c>
      <c r="V355" s="32">
        <v>0</v>
      </c>
      <c r="W355" s="31">
        <v>0</v>
      </c>
      <c r="X355" s="32">
        <v>0</v>
      </c>
      <c r="Y355" s="31">
        <v>0</v>
      </c>
      <c r="Z355" s="34">
        <v>0</v>
      </c>
      <c r="AA355" s="31">
        <v>0</v>
      </c>
      <c r="AB355" s="32">
        <v>0</v>
      </c>
      <c r="AC355" s="31">
        <v>0</v>
      </c>
      <c r="AD355" s="32">
        <v>0</v>
      </c>
      <c r="AE355" s="31">
        <v>0</v>
      </c>
      <c r="AF355" s="32">
        <v>0</v>
      </c>
      <c r="AG355" s="31">
        <v>0</v>
      </c>
      <c r="AH355" s="32">
        <v>0</v>
      </c>
      <c r="AI355" s="35">
        <v>1</v>
      </c>
      <c r="AJ355" s="32">
        <v>0</v>
      </c>
      <c r="AK355" s="35">
        <v>0</v>
      </c>
      <c r="AL355" s="32">
        <v>0</v>
      </c>
      <c r="AM355" s="35">
        <v>1</v>
      </c>
      <c r="AN355" s="35">
        <v>0</v>
      </c>
      <c r="AO355" s="32">
        <v>0</v>
      </c>
      <c r="AP355" s="32">
        <v>0</v>
      </c>
      <c r="AQ355" s="33"/>
      <c r="AR355" s="33" t="s">
        <v>411</v>
      </c>
      <c r="AS355" s="33" t="s">
        <v>411</v>
      </c>
      <c r="AT355" s="35">
        <v>0</v>
      </c>
      <c r="AU355" s="35">
        <v>0</v>
      </c>
      <c r="AV355" s="35">
        <v>0</v>
      </c>
      <c r="AW355" s="35">
        <v>0</v>
      </c>
      <c r="AX355" s="35">
        <v>0</v>
      </c>
      <c r="AY355" s="35">
        <v>0</v>
      </c>
      <c r="AZ355" s="32">
        <v>0</v>
      </c>
      <c r="BA355" s="32">
        <v>0</v>
      </c>
      <c r="BB355" s="32">
        <v>0</v>
      </c>
      <c r="BC355" s="32">
        <v>0</v>
      </c>
      <c r="BD355" s="35">
        <v>0</v>
      </c>
      <c r="BE355" s="35">
        <v>0</v>
      </c>
      <c r="BF355" s="33" t="s">
        <v>412</v>
      </c>
      <c r="BG355" s="33" t="s">
        <v>412</v>
      </c>
      <c r="BH355" s="33" t="s">
        <v>412</v>
      </c>
    </row>
    <row r="356" spans="1:60" ht="19.5" customHeight="1">
      <c r="A356" s="36">
        <v>353</v>
      </c>
      <c r="B356" s="31" t="s">
        <v>410</v>
      </c>
      <c r="C356" s="37">
        <v>46232</v>
      </c>
      <c r="D356" s="31"/>
      <c r="E356" s="31">
        <v>31</v>
      </c>
      <c r="F356" s="31">
        <v>31</v>
      </c>
      <c r="G356" s="32">
        <v>1</v>
      </c>
      <c r="H356" s="31">
        <v>31</v>
      </c>
      <c r="I356" s="33">
        <v>1</v>
      </c>
      <c r="J356" s="31">
        <v>1</v>
      </c>
      <c r="K356" s="31">
        <v>0</v>
      </c>
      <c r="L356" s="32">
        <v>0</v>
      </c>
      <c r="M356" s="31">
        <v>4</v>
      </c>
      <c r="N356" s="31">
        <v>0</v>
      </c>
      <c r="O356" s="31">
        <v>0</v>
      </c>
      <c r="P356" s="32">
        <v>0</v>
      </c>
      <c r="Q356" s="31">
        <v>4</v>
      </c>
      <c r="R356" s="31">
        <v>0</v>
      </c>
      <c r="S356" s="31">
        <v>0</v>
      </c>
      <c r="T356" s="32">
        <v>0</v>
      </c>
      <c r="U356" s="31">
        <v>0</v>
      </c>
      <c r="V356" s="32">
        <v>0</v>
      </c>
      <c r="W356" s="31">
        <v>5</v>
      </c>
      <c r="X356" s="32">
        <v>0.16129032258064521</v>
      </c>
      <c r="Y356" s="31">
        <v>21</v>
      </c>
      <c r="Z356" s="34">
        <v>0.67741935483870963</v>
      </c>
      <c r="AA356" s="31">
        <v>0</v>
      </c>
      <c r="AB356" s="32">
        <v>0</v>
      </c>
      <c r="AC356" s="31">
        <v>0</v>
      </c>
      <c r="AD356" s="32">
        <v>0</v>
      </c>
      <c r="AE356" s="31">
        <v>0</v>
      </c>
      <c r="AF356" s="32">
        <v>0</v>
      </c>
      <c r="AG356" s="31">
        <v>0</v>
      </c>
      <c r="AH356" s="32">
        <v>0</v>
      </c>
      <c r="AI356" s="35">
        <v>0</v>
      </c>
      <c r="AJ356" s="32">
        <v>0</v>
      </c>
      <c r="AK356" s="35">
        <v>0</v>
      </c>
      <c r="AL356" s="32">
        <v>0</v>
      </c>
      <c r="AM356" s="35">
        <v>0</v>
      </c>
      <c r="AN356" s="35">
        <v>0</v>
      </c>
      <c r="AO356" s="32">
        <v>0</v>
      </c>
      <c r="AP356" s="32">
        <v>0</v>
      </c>
      <c r="AQ356" s="33">
        <v>0</v>
      </c>
      <c r="AR356" s="33" t="s">
        <v>411</v>
      </c>
      <c r="AS356" s="33">
        <v>0</v>
      </c>
      <c r="AT356" s="35">
        <v>0</v>
      </c>
      <c r="AU356" s="35">
        <v>0</v>
      </c>
      <c r="AV356" s="35">
        <v>0</v>
      </c>
      <c r="AW356" s="35">
        <v>0</v>
      </c>
      <c r="AX356" s="35">
        <v>0</v>
      </c>
      <c r="AY356" s="35">
        <v>0</v>
      </c>
      <c r="AZ356" s="32">
        <v>0</v>
      </c>
      <c r="BA356" s="32">
        <v>0</v>
      </c>
      <c r="BB356" s="32">
        <v>0</v>
      </c>
      <c r="BC356" s="32">
        <v>0</v>
      </c>
      <c r="BD356" s="35">
        <v>0</v>
      </c>
      <c r="BE356" s="35">
        <v>0</v>
      </c>
      <c r="BF356" s="33" t="s">
        <v>412</v>
      </c>
      <c r="BG356" s="33" t="s">
        <v>412</v>
      </c>
      <c r="BH356" s="33">
        <v>0.98837209302325579</v>
      </c>
    </row>
    <row r="357" spans="1:60" ht="19.5" customHeight="1">
      <c r="A357" s="36">
        <v>354</v>
      </c>
      <c r="B357" s="31" t="s">
        <v>410</v>
      </c>
      <c r="C357" s="37">
        <v>46232</v>
      </c>
      <c r="D357" s="31" t="s">
        <v>413</v>
      </c>
      <c r="E357" s="31">
        <v>225</v>
      </c>
      <c r="F357" s="31">
        <v>213</v>
      </c>
      <c r="G357" s="32">
        <v>0.94666666666666666</v>
      </c>
      <c r="H357" s="31">
        <v>61</v>
      </c>
      <c r="I357" s="33">
        <v>0.27111111111111108</v>
      </c>
      <c r="J357" s="31">
        <v>181</v>
      </c>
      <c r="K357" s="31">
        <v>106</v>
      </c>
      <c r="L357" s="32">
        <v>0.58599999999999997</v>
      </c>
      <c r="M357" s="31">
        <v>585</v>
      </c>
      <c r="N357" s="31">
        <v>495</v>
      </c>
      <c r="O357" s="31">
        <v>439</v>
      </c>
      <c r="P357" s="32">
        <v>0.75042735042735043</v>
      </c>
      <c r="Q357" s="31">
        <v>87</v>
      </c>
      <c r="R357" s="31">
        <v>0</v>
      </c>
      <c r="S357" s="31">
        <v>0</v>
      </c>
      <c r="T357" s="32">
        <v>0</v>
      </c>
      <c r="U357" s="31">
        <v>0</v>
      </c>
      <c r="V357" s="32">
        <v>0</v>
      </c>
      <c r="W357" s="31">
        <v>0</v>
      </c>
      <c r="X357" s="32">
        <v>0</v>
      </c>
      <c r="Y357" s="31">
        <v>34</v>
      </c>
      <c r="Z357" s="34">
        <v>0.15111111111111111</v>
      </c>
      <c r="AA357" s="31">
        <v>0</v>
      </c>
      <c r="AB357" s="32">
        <v>0</v>
      </c>
      <c r="AC357" s="31">
        <v>1</v>
      </c>
      <c r="AD357" s="32">
        <v>4.4444444444444436E-3</v>
      </c>
      <c r="AE357" s="31">
        <v>0</v>
      </c>
      <c r="AF357" s="32">
        <v>0</v>
      </c>
      <c r="AG357" s="31">
        <v>1</v>
      </c>
      <c r="AH357" s="32">
        <v>1</v>
      </c>
      <c r="AI357" s="35">
        <v>0</v>
      </c>
      <c r="AJ357" s="32">
        <v>0</v>
      </c>
      <c r="AK357" s="35">
        <v>0</v>
      </c>
      <c r="AL357" s="32">
        <v>0</v>
      </c>
      <c r="AM357" s="35">
        <v>0</v>
      </c>
      <c r="AN357" s="35">
        <v>0</v>
      </c>
      <c r="AO357" s="32">
        <v>0</v>
      </c>
      <c r="AP357" s="32">
        <v>0</v>
      </c>
      <c r="AQ357" s="33">
        <v>0.5</v>
      </c>
      <c r="AR357" s="33" t="s">
        <v>411</v>
      </c>
      <c r="AS357" s="33">
        <v>0</v>
      </c>
      <c r="AT357" s="35">
        <v>0</v>
      </c>
      <c r="AU357" s="35">
        <v>0</v>
      </c>
      <c r="AV357" s="35">
        <v>4</v>
      </c>
      <c r="AW357" s="35">
        <v>4</v>
      </c>
      <c r="AX357" s="35">
        <v>3</v>
      </c>
      <c r="AY357" s="35">
        <v>2</v>
      </c>
      <c r="AZ357" s="32">
        <v>1.7777777777777781E-2</v>
      </c>
      <c r="BA357" s="32">
        <v>1.3333333333333331E-2</v>
      </c>
      <c r="BB357" s="32">
        <v>8.8888888888888889E-3</v>
      </c>
      <c r="BC357" s="32">
        <v>0</v>
      </c>
      <c r="BD357" s="35">
        <v>0</v>
      </c>
      <c r="BE357" s="35">
        <v>0</v>
      </c>
      <c r="BF357" s="33" t="s">
        <v>412</v>
      </c>
      <c r="BG357" s="33" t="s">
        <v>412</v>
      </c>
      <c r="BH357" s="33" t="s">
        <v>412</v>
      </c>
    </row>
    <row r="358" spans="1:60" ht="19.5" customHeight="1">
      <c r="A358" s="36">
        <v>355</v>
      </c>
      <c r="B358" s="31" t="s">
        <v>410</v>
      </c>
      <c r="C358" s="37">
        <v>46232</v>
      </c>
      <c r="D358" s="31" t="s">
        <v>335</v>
      </c>
      <c r="E358" s="31">
        <v>2129</v>
      </c>
      <c r="F358" s="31">
        <v>1889</v>
      </c>
      <c r="G358" s="32">
        <v>0.88727101925786755</v>
      </c>
      <c r="H358" s="31">
        <v>1066</v>
      </c>
      <c r="I358" s="33">
        <v>0.50070455612963838</v>
      </c>
      <c r="J358" s="31">
        <v>2152</v>
      </c>
      <c r="K358" s="31">
        <v>2040</v>
      </c>
      <c r="L358" s="32">
        <v>0.94799999999999995</v>
      </c>
      <c r="M358" s="31">
        <v>10480</v>
      </c>
      <c r="N358" s="31">
        <v>9898</v>
      </c>
      <c r="O358" s="31">
        <v>10253</v>
      </c>
      <c r="P358" s="32">
        <v>0.97833969465648851</v>
      </c>
      <c r="Q358" s="31">
        <v>81</v>
      </c>
      <c r="R358" s="31">
        <v>0</v>
      </c>
      <c r="S358" s="31">
        <v>0</v>
      </c>
      <c r="T358" s="32">
        <v>0</v>
      </c>
      <c r="U358" s="31">
        <v>0</v>
      </c>
      <c r="V358" s="32">
        <v>0</v>
      </c>
      <c r="W358" s="31">
        <v>841</v>
      </c>
      <c r="X358" s="32">
        <v>0.39502113668388922</v>
      </c>
      <c r="Y358" s="31">
        <v>939</v>
      </c>
      <c r="Z358" s="34">
        <v>0.44105213715359332</v>
      </c>
      <c r="AA358" s="31">
        <v>441</v>
      </c>
      <c r="AB358" s="32">
        <v>0.20713950211366841</v>
      </c>
      <c r="AC358" s="31">
        <v>171</v>
      </c>
      <c r="AD358" s="32">
        <v>8.0319398778769369E-2</v>
      </c>
      <c r="AE358" s="31">
        <v>40</v>
      </c>
      <c r="AF358" s="32">
        <v>0.23391812865497069</v>
      </c>
      <c r="AG358" s="31">
        <v>109</v>
      </c>
      <c r="AH358" s="32">
        <v>0.63742690058479534</v>
      </c>
      <c r="AI358" s="35">
        <v>120</v>
      </c>
      <c r="AJ358" s="32">
        <v>5.636449037106623E-2</v>
      </c>
      <c r="AK358" s="35">
        <v>6</v>
      </c>
      <c r="AL358" s="32">
        <v>0.89166666666666672</v>
      </c>
      <c r="AM358" s="35">
        <v>120</v>
      </c>
      <c r="AN358" s="35">
        <v>107</v>
      </c>
      <c r="AO358" s="32">
        <v>5.0258337247534063E-2</v>
      </c>
      <c r="AP358" s="32">
        <v>0.6257309941520468</v>
      </c>
      <c r="AQ358" s="33">
        <v>0.97802197802197799</v>
      </c>
      <c r="AR358" s="33" t="s">
        <v>411</v>
      </c>
      <c r="AS358" s="33">
        <v>0.12087912087912089</v>
      </c>
      <c r="AT358" s="35">
        <v>0</v>
      </c>
      <c r="AU358" s="35">
        <v>0</v>
      </c>
      <c r="AV358" s="35">
        <v>37</v>
      </c>
      <c r="AW358" s="35">
        <v>28</v>
      </c>
      <c r="AX358" s="35">
        <v>29</v>
      </c>
      <c r="AY358" s="35">
        <v>33</v>
      </c>
      <c r="AZ358" s="32">
        <v>1.315171441991545E-2</v>
      </c>
      <c r="BA358" s="32">
        <v>1.3621418506341011E-2</v>
      </c>
      <c r="BB358" s="32">
        <v>1.550023485204321E-2</v>
      </c>
      <c r="BC358" s="32">
        <v>0.27102803738317749</v>
      </c>
      <c r="BD358" s="35">
        <v>0</v>
      </c>
      <c r="BE358" s="35">
        <v>0</v>
      </c>
      <c r="BF358" s="33">
        <v>1</v>
      </c>
      <c r="BG358" s="33">
        <v>1</v>
      </c>
      <c r="BH358" s="33" t="s">
        <v>412</v>
      </c>
    </row>
    <row r="359" spans="1:60" ht="19.5" customHeight="1">
      <c r="A359" s="36">
        <v>356</v>
      </c>
      <c r="B359" s="31" t="s">
        <v>410</v>
      </c>
      <c r="C359" s="37">
        <v>46232</v>
      </c>
      <c r="D359" s="31" t="s">
        <v>334</v>
      </c>
      <c r="E359" s="31">
        <v>1753</v>
      </c>
      <c r="F359" s="31">
        <v>1609</v>
      </c>
      <c r="G359" s="32">
        <v>0.91785510553337135</v>
      </c>
      <c r="H359" s="31">
        <v>785</v>
      </c>
      <c r="I359" s="33">
        <v>0.44780376497432972</v>
      </c>
      <c r="J359" s="31">
        <v>1548</v>
      </c>
      <c r="K359" s="31">
        <v>1428</v>
      </c>
      <c r="L359" s="32">
        <v>0.92200000000000004</v>
      </c>
      <c r="M359" s="31">
        <v>8675</v>
      </c>
      <c r="N359" s="31">
        <v>7992</v>
      </c>
      <c r="O359" s="31">
        <v>8430</v>
      </c>
      <c r="P359" s="32">
        <v>0.97175792507204606</v>
      </c>
      <c r="Q359" s="31">
        <v>71</v>
      </c>
      <c r="R359" s="31">
        <v>0</v>
      </c>
      <c r="S359" s="31">
        <v>0</v>
      </c>
      <c r="T359" s="32">
        <v>0</v>
      </c>
      <c r="U359" s="31">
        <v>0</v>
      </c>
      <c r="V359" s="32">
        <v>0</v>
      </c>
      <c r="W359" s="31">
        <v>639</v>
      </c>
      <c r="X359" s="32">
        <v>0.36451796919566459</v>
      </c>
      <c r="Y359" s="31">
        <v>794</v>
      </c>
      <c r="Z359" s="34">
        <v>0.45293782087849399</v>
      </c>
      <c r="AA359" s="31">
        <v>397</v>
      </c>
      <c r="AB359" s="32">
        <v>0.226468910439247</v>
      </c>
      <c r="AC359" s="31">
        <v>213</v>
      </c>
      <c r="AD359" s="32">
        <v>0.1215059897318882</v>
      </c>
      <c r="AE359" s="31">
        <v>28</v>
      </c>
      <c r="AF359" s="32">
        <v>0.1314553990610329</v>
      </c>
      <c r="AG359" s="31">
        <v>115</v>
      </c>
      <c r="AH359" s="32">
        <v>0.539906103286385</v>
      </c>
      <c r="AI359" s="35">
        <v>136</v>
      </c>
      <c r="AJ359" s="32">
        <v>7.7581289218482605E-2</v>
      </c>
      <c r="AK359" s="35">
        <v>14</v>
      </c>
      <c r="AL359" s="32">
        <v>0.81617647058823528</v>
      </c>
      <c r="AM359" s="35">
        <v>135</v>
      </c>
      <c r="AN359" s="35">
        <v>111</v>
      </c>
      <c r="AO359" s="32">
        <v>6.3320022818026248E-2</v>
      </c>
      <c r="AP359" s="32">
        <v>0.52112676056338025</v>
      </c>
      <c r="AQ359" s="33">
        <v>0.96551724137931039</v>
      </c>
      <c r="AR359" s="33" t="s">
        <v>411</v>
      </c>
      <c r="AS359" s="33">
        <v>8.9655172413793102E-2</v>
      </c>
      <c r="AT359" s="35">
        <v>0</v>
      </c>
      <c r="AU359" s="35">
        <v>0</v>
      </c>
      <c r="AV359" s="35">
        <v>34</v>
      </c>
      <c r="AW359" s="35">
        <v>27</v>
      </c>
      <c r="AX359" s="35">
        <v>28</v>
      </c>
      <c r="AY359" s="35">
        <v>52</v>
      </c>
      <c r="AZ359" s="32">
        <v>1.540216771249287E-2</v>
      </c>
      <c r="BA359" s="32">
        <v>1.5972618368511129E-2</v>
      </c>
      <c r="BB359" s="32">
        <v>2.9663434112949229E-2</v>
      </c>
      <c r="BC359" s="32">
        <v>0.25225225225225217</v>
      </c>
      <c r="BD359" s="35">
        <v>0</v>
      </c>
      <c r="BE359" s="35">
        <v>0</v>
      </c>
      <c r="BF359" s="33">
        <v>1</v>
      </c>
      <c r="BG359" s="33">
        <v>1</v>
      </c>
      <c r="BH359" s="33" t="s">
        <v>412</v>
      </c>
    </row>
    <row r="360" spans="1:60" ht="19.5" customHeight="1">
      <c r="A360" s="36">
        <v>357</v>
      </c>
      <c r="B360" s="31" t="s">
        <v>410</v>
      </c>
      <c r="C360" s="37">
        <v>46232</v>
      </c>
      <c r="D360" s="31" t="s">
        <v>337</v>
      </c>
      <c r="E360" s="31">
        <v>6262</v>
      </c>
      <c r="F360" s="31">
        <v>5864</v>
      </c>
      <c r="G360" s="32">
        <v>0.93644203129990422</v>
      </c>
      <c r="H360" s="31">
        <v>2279</v>
      </c>
      <c r="I360" s="33">
        <v>0.3639412328329607</v>
      </c>
      <c r="J360" s="31">
        <v>4912</v>
      </c>
      <c r="K360" s="31">
        <v>4750</v>
      </c>
      <c r="L360" s="32">
        <v>0.96699999999999997</v>
      </c>
      <c r="M360" s="31">
        <v>26589</v>
      </c>
      <c r="N360" s="31">
        <v>25215</v>
      </c>
      <c r="O360" s="31">
        <v>26014</v>
      </c>
      <c r="P360" s="32">
        <v>0.97837451577720114</v>
      </c>
      <c r="Q360" s="31">
        <v>236</v>
      </c>
      <c r="R360" s="31">
        <v>0</v>
      </c>
      <c r="S360" s="31">
        <v>0</v>
      </c>
      <c r="T360" s="32">
        <v>0</v>
      </c>
      <c r="U360" s="31">
        <v>0</v>
      </c>
      <c r="V360" s="32">
        <v>0</v>
      </c>
      <c r="W360" s="31">
        <v>1032</v>
      </c>
      <c r="X360" s="32">
        <v>0.16480357713190669</v>
      </c>
      <c r="Y360" s="31">
        <v>2423</v>
      </c>
      <c r="Z360" s="34">
        <v>0.38693708080485473</v>
      </c>
      <c r="AA360" s="31">
        <v>1030</v>
      </c>
      <c r="AB360" s="32">
        <v>0.16448419035451931</v>
      </c>
      <c r="AC360" s="31">
        <v>719</v>
      </c>
      <c r="AD360" s="32">
        <v>0.11481954647077609</v>
      </c>
      <c r="AE360" s="31">
        <v>150</v>
      </c>
      <c r="AF360" s="32">
        <v>0.20862308762169679</v>
      </c>
      <c r="AG360" s="31">
        <v>559</v>
      </c>
      <c r="AH360" s="32">
        <v>0.77746870653685674</v>
      </c>
      <c r="AI360" s="35">
        <v>628</v>
      </c>
      <c r="AJ360" s="32">
        <v>0.10028744809964869</v>
      </c>
      <c r="AK360" s="35">
        <v>50</v>
      </c>
      <c r="AL360" s="32">
        <v>0.87420382165605093</v>
      </c>
      <c r="AM360" s="35">
        <v>609</v>
      </c>
      <c r="AN360" s="35">
        <v>549</v>
      </c>
      <c r="AO360" s="32">
        <v>8.7671670392845735E-2</v>
      </c>
      <c r="AP360" s="32">
        <v>0.76356050069541026</v>
      </c>
      <c r="AQ360" s="33">
        <v>0.94091580502215655</v>
      </c>
      <c r="AR360" s="33" t="s">
        <v>411</v>
      </c>
      <c r="AS360" s="33">
        <v>0.103397341211226</v>
      </c>
      <c r="AT360" s="35">
        <v>0</v>
      </c>
      <c r="AU360" s="35">
        <v>0</v>
      </c>
      <c r="AV360" s="35">
        <v>65</v>
      </c>
      <c r="AW360" s="35">
        <v>51</v>
      </c>
      <c r="AX360" s="35">
        <v>57</v>
      </c>
      <c r="AY360" s="35">
        <v>161</v>
      </c>
      <c r="AZ360" s="32">
        <v>8.1443628233791119E-3</v>
      </c>
      <c r="BA360" s="32">
        <v>9.1025231555413606E-3</v>
      </c>
      <c r="BB360" s="32">
        <v>2.5710635579686999E-2</v>
      </c>
      <c r="BC360" s="32">
        <v>0.1038251366120219</v>
      </c>
      <c r="BD360" s="35">
        <v>0</v>
      </c>
      <c r="BE360" s="35">
        <v>0</v>
      </c>
      <c r="BF360" s="33">
        <v>0.96875</v>
      </c>
      <c r="BG360" s="33">
        <v>0.95652173913043481</v>
      </c>
      <c r="BH360" s="33" t="s">
        <v>412</v>
      </c>
    </row>
    <row r="361" spans="1:60" ht="19.5" customHeight="1">
      <c r="A361" s="36">
        <v>358</v>
      </c>
      <c r="B361" s="31" t="s">
        <v>410</v>
      </c>
      <c r="C361" s="37">
        <v>46232</v>
      </c>
      <c r="D361" s="31" t="s">
        <v>336</v>
      </c>
      <c r="E361" s="31">
        <v>3028</v>
      </c>
      <c r="F361" s="31">
        <v>2779</v>
      </c>
      <c r="G361" s="32">
        <v>0.91776750330250989</v>
      </c>
      <c r="H361" s="31">
        <v>1819</v>
      </c>
      <c r="I361" s="33">
        <v>0.60072655217965654</v>
      </c>
      <c r="J361" s="31">
        <v>3565</v>
      </c>
      <c r="K361" s="31">
        <v>3459</v>
      </c>
      <c r="L361" s="32">
        <v>0.97</v>
      </c>
      <c r="M361" s="31">
        <v>19066</v>
      </c>
      <c r="N361" s="31">
        <v>18168</v>
      </c>
      <c r="O361" s="31">
        <v>18729</v>
      </c>
      <c r="P361" s="32">
        <v>0.98232455680268538</v>
      </c>
      <c r="Q361" s="31">
        <v>162</v>
      </c>
      <c r="R361" s="31">
        <v>0</v>
      </c>
      <c r="S361" s="31">
        <v>0</v>
      </c>
      <c r="T361" s="32">
        <v>0</v>
      </c>
      <c r="U361" s="31">
        <v>0</v>
      </c>
      <c r="V361" s="32">
        <v>0</v>
      </c>
      <c r="W361" s="31">
        <v>1117</v>
      </c>
      <c r="X361" s="32">
        <v>0.36889035667107001</v>
      </c>
      <c r="Y361" s="31">
        <v>1128</v>
      </c>
      <c r="Z361" s="34">
        <v>0.37252311756935269</v>
      </c>
      <c r="AA361" s="31">
        <v>590</v>
      </c>
      <c r="AB361" s="32">
        <v>0.19484808454425359</v>
      </c>
      <c r="AC361" s="31">
        <v>216</v>
      </c>
      <c r="AD361" s="32">
        <v>7.1334214002642005E-2</v>
      </c>
      <c r="AE361" s="31">
        <v>49</v>
      </c>
      <c r="AF361" s="32">
        <v>0.22685185185185189</v>
      </c>
      <c r="AG361" s="31">
        <v>165</v>
      </c>
      <c r="AH361" s="32">
        <v>0.76388888888888884</v>
      </c>
      <c r="AI361" s="35">
        <v>186</v>
      </c>
      <c r="AJ361" s="32">
        <v>6.1426684280052837E-2</v>
      </c>
      <c r="AK361" s="35">
        <v>17</v>
      </c>
      <c r="AL361" s="32">
        <v>0.88172043010752688</v>
      </c>
      <c r="AM361" s="35">
        <v>183</v>
      </c>
      <c r="AN361" s="35">
        <v>164</v>
      </c>
      <c r="AO361" s="32">
        <v>5.416116248348745E-2</v>
      </c>
      <c r="AP361" s="32">
        <v>0.7592592592592593</v>
      </c>
      <c r="AQ361" s="33">
        <v>0.97247706422018354</v>
      </c>
      <c r="AR361" s="33" t="s">
        <v>411</v>
      </c>
      <c r="AS361" s="33">
        <v>6.8807339449541288E-2</v>
      </c>
      <c r="AT361" s="35">
        <v>0</v>
      </c>
      <c r="AU361" s="35">
        <v>0</v>
      </c>
      <c r="AV361" s="35">
        <v>55</v>
      </c>
      <c r="AW361" s="35">
        <v>47</v>
      </c>
      <c r="AX361" s="35">
        <v>51</v>
      </c>
      <c r="AY361" s="35">
        <v>120</v>
      </c>
      <c r="AZ361" s="32">
        <v>1.5521796565389699E-2</v>
      </c>
      <c r="BA361" s="32">
        <v>1.6842800528401581E-2</v>
      </c>
      <c r="BB361" s="32">
        <v>3.9630118890356669E-2</v>
      </c>
      <c r="BC361" s="32">
        <v>0.31097560975609762</v>
      </c>
      <c r="BD361" s="35">
        <v>0</v>
      </c>
      <c r="BE361" s="35">
        <v>1</v>
      </c>
      <c r="BF361" s="33">
        <v>0.92307692307692313</v>
      </c>
      <c r="BG361" s="33">
        <v>1</v>
      </c>
      <c r="BH361" s="33" t="s">
        <v>412</v>
      </c>
    </row>
    <row r="362" spans="1:60" ht="19.5" customHeight="1">
      <c r="A362" s="36">
        <v>359</v>
      </c>
      <c r="B362" s="31" t="s">
        <v>410</v>
      </c>
      <c r="C362" s="37">
        <v>46232</v>
      </c>
      <c r="D362" s="31" t="s">
        <v>414</v>
      </c>
      <c r="E362" s="31">
        <v>0</v>
      </c>
      <c r="F362" s="31">
        <v>0</v>
      </c>
      <c r="G362" s="32">
        <v>0</v>
      </c>
      <c r="H362" s="31">
        <v>0</v>
      </c>
      <c r="I362" s="33">
        <v>0</v>
      </c>
      <c r="J362" s="31">
        <v>0</v>
      </c>
      <c r="K362" s="31">
        <v>0</v>
      </c>
      <c r="L362" s="32">
        <v>0</v>
      </c>
      <c r="M362" s="31">
        <v>0</v>
      </c>
      <c r="N362" s="31">
        <v>0</v>
      </c>
      <c r="O362" s="31">
        <v>0</v>
      </c>
      <c r="P362" s="32">
        <v>0</v>
      </c>
      <c r="Q362" s="31">
        <v>0</v>
      </c>
      <c r="R362" s="31">
        <v>0</v>
      </c>
      <c r="S362" s="31">
        <v>0</v>
      </c>
      <c r="T362" s="32">
        <v>0</v>
      </c>
      <c r="U362" s="31">
        <v>0</v>
      </c>
      <c r="V362" s="32">
        <v>0</v>
      </c>
      <c r="W362" s="31">
        <v>0</v>
      </c>
      <c r="X362" s="32">
        <v>0</v>
      </c>
      <c r="Y362" s="31">
        <v>0</v>
      </c>
      <c r="Z362" s="34">
        <v>0</v>
      </c>
      <c r="AA362" s="31">
        <v>0</v>
      </c>
      <c r="AB362" s="32">
        <v>0</v>
      </c>
      <c r="AC362" s="31">
        <v>0</v>
      </c>
      <c r="AD362" s="32">
        <v>0</v>
      </c>
      <c r="AE362" s="31">
        <v>0</v>
      </c>
      <c r="AF362" s="32">
        <v>0</v>
      </c>
      <c r="AG362" s="31">
        <v>0</v>
      </c>
      <c r="AH362" s="32">
        <v>0</v>
      </c>
      <c r="AI362" s="35">
        <v>1</v>
      </c>
      <c r="AJ362" s="32">
        <v>0</v>
      </c>
      <c r="AK362" s="35">
        <v>0</v>
      </c>
      <c r="AL362" s="32">
        <v>0</v>
      </c>
      <c r="AM362" s="35">
        <v>1</v>
      </c>
      <c r="AN362" s="35">
        <v>0</v>
      </c>
      <c r="AO362" s="32">
        <v>0</v>
      </c>
      <c r="AP362" s="32">
        <v>0</v>
      </c>
      <c r="AQ362" s="33"/>
      <c r="AR362" s="33" t="s">
        <v>411</v>
      </c>
      <c r="AS362" s="33" t="s">
        <v>411</v>
      </c>
      <c r="AT362" s="35">
        <v>0</v>
      </c>
      <c r="AU362" s="35">
        <v>0</v>
      </c>
      <c r="AV362" s="35">
        <v>0</v>
      </c>
      <c r="AW362" s="35">
        <v>0</v>
      </c>
      <c r="AX362" s="35">
        <v>0</v>
      </c>
      <c r="AY362" s="35">
        <v>0</v>
      </c>
      <c r="AZ362" s="32">
        <v>0</v>
      </c>
      <c r="BA362" s="32">
        <v>0</v>
      </c>
      <c r="BB362" s="32">
        <v>0</v>
      </c>
      <c r="BC362" s="32">
        <v>0</v>
      </c>
      <c r="BD362" s="35">
        <v>0</v>
      </c>
      <c r="BE362" s="35">
        <v>0</v>
      </c>
      <c r="BF362" s="33" t="s">
        <v>412</v>
      </c>
      <c r="BG362" s="33" t="s">
        <v>412</v>
      </c>
      <c r="BH362" s="33" t="s">
        <v>412</v>
      </c>
    </row>
    <row r="363" spans="1:60" ht="25.7" customHeight="1">
      <c r="A363" s="36">
        <v>360</v>
      </c>
      <c r="B363" s="31" t="s">
        <v>410</v>
      </c>
      <c r="C363" s="37">
        <v>46233</v>
      </c>
      <c r="D363" s="31"/>
      <c r="E363" s="31">
        <v>33</v>
      </c>
      <c r="F363" s="31">
        <v>33</v>
      </c>
      <c r="G363" s="32">
        <v>1</v>
      </c>
      <c r="H363" s="31">
        <v>33</v>
      </c>
      <c r="I363" s="33">
        <v>1</v>
      </c>
      <c r="J363" s="31">
        <v>3</v>
      </c>
      <c r="K363" s="31">
        <v>0</v>
      </c>
      <c r="L363" s="32">
        <v>0</v>
      </c>
      <c r="M363" s="31">
        <v>8</v>
      </c>
      <c r="N363" s="31">
        <v>0</v>
      </c>
      <c r="O363" s="31">
        <v>0</v>
      </c>
      <c r="P363" s="32">
        <v>0</v>
      </c>
      <c r="Q363" s="31">
        <v>8</v>
      </c>
      <c r="R363" s="31">
        <v>0</v>
      </c>
      <c r="S363" s="31">
        <v>0</v>
      </c>
      <c r="T363" s="32">
        <v>0</v>
      </c>
      <c r="U363" s="31">
        <v>0</v>
      </c>
      <c r="V363" s="32">
        <v>0</v>
      </c>
      <c r="W363" s="31">
        <v>11</v>
      </c>
      <c r="X363" s="32">
        <v>0.33333333333333331</v>
      </c>
      <c r="Y363" s="31">
        <v>35</v>
      </c>
      <c r="Z363" s="34">
        <v>1.060606060606061</v>
      </c>
      <c r="AA363" s="31">
        <v>0</v>
      </c>
      <c r="AB363" s="32">
        <v>0</v>
      </c>
      <c r="AC363" s="31">
        <v>0</v>
      </c>
      <c r="AD363" s="32">
        <v>0</v>
      </c>
      <c r="AE363" s="31">
        <v>0</v>
      </c>
      <c r="AF363" s="32">
        <v>0</v>
      </c>
      <c r="AG363" s="31">
        <v>0</v>
      </c>
      <c r="AH363" s="32">
        <v>0</v>
      </c>
      <c r="AI363" s="35">
        <v>0</v>
      </c>
      <c r="AJ363" s="32">
        <v>0</v>
      </c>
      <c r="AK363" s="35">
        <v>0</v>
      </c>
      <c r="AL363" s="32">
        <v>0</v>
      </c>
      <c r="AM363" s="35">
        <v>0</v>
      </c>
      <c r="AN363" s="35">
        <v>0</v>
      </c>
      <c r="AO363" s="32">
        <v>0</v>
      </c>
      <c r="AP363" s="32">
        <v>0</v>
      </c>
      <c r="AQ363" s="33">
        <v>0</v>
      </c>
      <c r="AR363" s="33" t="s">
        <v>411</v>
      </c>
      <c r="AS363" s="33">
        <v>0</v>
      </c>
      <c r="AT363" s="35">
        <v>0</v>
      </c>
      <c r="AU363" s="35">
        <v>0</v>
      </c>
      <c r="AV363" s="35">
        <v>0</v>
      </c>
      <c r="AW363" s="35">
        <v>0</v>
      </c>
      <c r="AX363" s="35">
        <v>0</v>
      </c>
      <c r="AY363" s="35">
        <v>0</v>
      </c>
      <c r="AZ363" s="32">
        <v>0</v>
      </c>
      <c r="BA363" s="32">
        <v>0</v>
      </c>
      <c r="BB363" s="32">
        <v>0</v>
      </c>
      <c r="BC363" s="32">
        <v>0</v>
      </c>
      <c r="BD363" s="35">
        <v>0</v>
      </c>
      <c r="BE363" s="35">
        <v>0</v>
      </c>
      <c r="BF363" s="33" t="s">
        <v>412</v>
      </c>
      <c r="BG363" s="33" t="s">
        <v>412</v>
      </c>
      <c r="BH363" s="33">
        <v>1</v>
      </c>
    </row>
    <row r="364" spans="1:60" ht="19.5" customHeight="1">
      <c r="A364" s="36">
        <v>361</v>
      </c>
      <c r="B364" s="31" t="s">
        <v>410</v>
      </c>
      <c r="C364" s="37">
        <v>46233</v>
      </c>
      <c r="D364" s="31" t="s">
        <v>413</v>
      </c>
      <c r="E364" s="31">
        <v>242</v>
      </c>
      <c r="F364" s="31">
        <v>238</v>
      </c>
      <c r="G364" s="32">
        <v>0.98347107438016534</v>
      </c>
      <c r="H364" s="31">
        <v>61</v>
      </c>
      <c r="I364" s="33">
        <v>0.25206611570247928</v>
      </c>
      <c r="J364" s="31">
        <v>292</v>
      </c>
      <c r="K364" s="31">
        <v>178</v>
      </c>
      <c r="L364" s="32">
        <v>0.61</v>
      </c>
      <c r="M364" s="31">
        <v>639</v>
      </c>
      <c r="N364" s="31">
        <v>603</v>
      </c>
      <c r="O364" s="31">
        <v>462</v>
      </c>
      <c r="P364" s="32">
        <v>0.72300469483568075</v>
      </c>
      <c r="Q364" s="31">
        <v>113</v>
      </c>
      <c r="R364" s="31">
        <v>0</v>
      </c>
      <c r="S364" s="31">
        <v>0</v>
      </c>
      <c r="T364" s="32">
        <v>0</v>
      </c>
      <c r="U364" s="31">
        <v>0</v>
      </c>
      <c r="V364" s="32">
        <v>0</v>
      </c>
      <c r="W364" s="31">
        <v>1</v>
      </c>
      <c r="X364" s="32">
        <v>4.1322314049586778E-3</v>
      </c>
      <c r="Y364" s="31">
        <v>51</v>
      </c>
      <c r="Z364" s="34">
        <v>0.21074380165289261</v>
      </c>
      <c r="AA364" s="31">
        <v>0</v>
      </c>
      <c r="AB364" s="32">
        <v>0</v>
      </c>
      <c r="AC364" s="31">
        <v>2</v>
      </c>
      <c r="AD364" s="32">
        <v>8.2644628099173556E-3</v>
      </c>
      <c r="AE364" s="31">
        <v>0</v>
      </c>
      <c r="AF364" s="32">
        <v>0</v>
      </c>
      <c r="AG364" s="31">
        <v>1</v>
      </c>
      <c r="AH364" s="32">
        <v>0.5</v>
      </c>
      <c r="AI364" s="35">
        <v>0</v>
      </c>
      <c r="AJ364" s="32">
        <v>0</v>
      </c>
      <c r="AK364" s="35">
        <v>0</v>
      </c>
      <c r="AL364" s="32">
        <v>0</v>
      </c>
      <c r="AM364" s="35">
        <v>0</v>
      </c>
      <c r="AN364" s="35">
        <v>0</v>
      </c>
      <c r="AO364" s="32">
        <v>0</v>
      </c>
      <c r="AP364" s="32">
        <v>0</v>
      </c>
      <c r="AQ364" s="33">
        <v>1</v>
      </c>
      <c r="AR364" s="33" t="s">
        <v>411</v>
      </c>
      <c r="AS364" s="33">
        <v>0</v>
      </c>
      <c r="AT364" s="35">
        <v>0</v>
      </c>
      <c r="AU364" s="35">
        <v>0</v>
      </c>
      <c r="AV364" s="35">
        <v>1</v>
      </c>
      <c r="AW364" s="35">
        <v>1</v>
      </c>
      <c r="AX364" s="35">
        <v>2</v>
      </c>
      <c r="AY364" s="35">
        <v>4</v>
      </c>
      <c r="AZ364" s="32">
        <v>4.1322314049586778E-3</v>
      </c>
      <c r="BA364" s="32">
        <v>8.2644628099173556E-3</v>
      </c>
      <c r="BB364" s="32">
        <v>1.6528925619834711E-2</v>
      </c>
      <c r="BC364" s="32">
        <v>0</v>
      </c>
      <c r="BD364" s="35">
        <v>0</v>
      </c>
      <c r="BE364" s="35">
        <v>0</v>
      </c>
      <c r="BF364" s="33" t="s">
        <v>412</v>
      </c>
      <c r="BG364" s="33" t="s">
        <v>412</v>
      </c>
      <c r="BH364" s="33" t="s">
        <v>412</v>
      </c>
    </row>
    <row r="365" spans="1:60" ht="19.5" customHeight="1">
      <c r="A365" s="36">
        <v>362</v>
      </c>
      <c r="B365" s="31" t="s">
        <v>410</v>
      </c>
      <c r="C365" s="37">
        <v>46233</v>
      </c>
      <c r="D365" s="31" t="s">
        <v>335</v>
      </c>
      <c r="E365" s="31">
        <v>2342</v>
      </c>
      <c r="F365" s="31">
        <v>2205</v>
      </c>
      <c r="G365" s="32">
        <v>0.94150298889837747</v>
      </c>
      <c r="H365" s="31">
        <v>1086</v>
      </c>
      <c r="I365" s="33">
        <v>0.46370623398804439</v>
      </c>
      <c r="J365" s="31">
        <v>2100</v>
      </c>
      <c r="K365" s="31">
        <v>2033</v>
      </c>
      <c r="L365" s="32">
        <v>0.96799999999999997</v>
      </c>
      <c r="M365" s="31">
        <v>9905</v>
      </c>
      <c r="N365" s="31">
        <v>10234</v>
      </c>
      <c r="O365" s="31">
        <v>9717</v>
      </c>
      <c r="P365" s="32">
        <v>0.98101968702675413</v>
      </c>
      <c r="Q365" s="31">
        <v>73</v>
      </c>
      <c r="R365" s="31">
        <v>0</v>
      </c>
      <c r="S365" s="31">
        <v>0</v>
      </c>
      <c r="T365" s="32">
        <v>0</v>
      </c>
      <c r="U365" s="31">
        <v>0</v>
      </c>
      <c r="V365" s="32">
        <v>0</v>
      </c>
      <c r="W365" s="31">
        <v>209</v>
      </c>
      <c r="X365" s="32">
        <v>8.9239965841161395E-2</v>
      </c>
      <c r="Y365" s="31">
        <v>1035</v>
      </c>
      <c r="Z365" s="34">
        <v>0.44192997438087112</v>
      </c>
      <c r="AA365" s="31">
        <v>928</v>
      </c>
      <c r="AB365" s="32">
        <v>0.39624252775405638</v>
      </c>
      <c r="AC365" s="31">
        <v>211</v>
      </c>
      <c r="AD365" s="32">
        <v>9.0093936806148592E-2</v>
      </c>
      <c r="AE365" s="31">
        <v>30</v>
      </c>
      <c r="AF365" s="32">
        <v>0.14218009478672991</v>
      </c>
      <c r="AG365" s="31">
        <v>108</v>
      </c>
      <c r="AH365" s="32">
        <v>0.51184834123222744</v>
      </c>
      <c r="AI365" s="35">
        <v>120</v>
      </c>
      <c r="AJ365" s="32">
        <v>5.1238257899231428E-2</v>
      </c>
      <c r="AK365" s="35">
        <v>15</v>
      </c>
      <c r="AL365" s="32">
        <v>0.875</v>
      </c>
      <c r="AM365" s="35">
        <v>117</v>
      </c>
      <c r="AN365" s="35">
        <v>105</v>
      </c>
      <c r="AO365" s="32">
        <v>4.48334756618275E-2</v>
      </c>
      <c r="AP365" s="32">
        <v>0.49763033175355448</v>
      </c>
      <c r="AQ365" s="33">
        <v>0.93693693693693691</v>
      </c>
      <c r="AR365" s="33" t="s">
        <v>411</v>
      </c>
      <c r="AS365" s="33">
        <v>0.15315315315315309</v>
      </c>
      <c r="AT365" s="35">
        <v>0</v>
      </c>
      <c r="AU365" s="35">
        <v>0</v>
      </c>
      <c r="AV365" s="35">
        <v>37</v>
      </c>
      <c r="AW365" s="35">
        <v>33</v>
      </c>
      <c r="AX365" s="35">
        <v>31</v>
      </c>
      <c r="AY365" s="35">
        <v>110</v>
      </c>
      <c r="AZ365" s="32">
        <v>1.409052092228864E-2</v>
      </c>
      <c r="BA365" s="32">
        <v>1.323654995730145E-2</v>
      </c>
      <c r="BB365" s="32">
        <v>4.6968403074295471E-2</v>
      </c>
      <c r="BC365" s="32">
        <v>0.29523809523809519</v>
      </c>
      <c r="BD365" s="35">
        <v>0</v>
      </c>
      <c r="BE365" s="35">
        <v>0</v>
      </c>
      <c r="BF365" s="33">
        <v>1</v>
      </c>
      <c r="BG365" s="33">
        <v>1</v>
      </c>
      <c r="BH365" s="33" t="s">
        <v>412</v>
      </c>
    </row>
    <row r="366" spans="1:60" ht="19.5" customHeight="1">
      <c r="A366" s="36">
        <v>363</v>
      </c>
      <c r="B366" s="31" t="s">
        <v>410</v>
      </c>
      <c r="C366" s="37">
        <v>46233</v>
      </c>
      <c r="D366" s="31" t="s">
        <v>334</v>
      </c>
      <c r="E366" s="31">
        <v>1810</v>
      </c>
      <c r="F366" s="31">
        <v>1673</v>
      </c>
      <c r="G366" s="32">
        <v>0.92430939226519337</v>
      </c>
      <c r="H366" s="31">
        <v>823</v>
      </c>
      <c r="I366" s="33">
        <v>0.45469613259668512</v>
      </c>
      <c r="J366" s="31">
        <v>1660</v>
      </c>
      <c r="K366" s="31">
        <v>1581</v>
      </c>
      <c r="L366" s="32">
        <v>0.95199999999999996</v>
      </c>
      <c r="M366" s="31">
        <v>8149</v>
      </c>
      <c r="N366" s="31">
        <v>8379</v>
      </c>
      <c r="O366" s="31">
        <v>7964</v>
      </c>
      <c r="P366" s="32">
        <v>0.97729782795435027</v>
      </c>
      <c r="Q366" s="31">
        <v>102</v>
      </c>
      <c r="R366" s="31">
        <v>0</v>
      </c>
      <c r="S366" s="31">
        <v>0</v>
      </c>
      <c r="T366" s="32">
        <v>0</v>
      </c>
      <c r="U366" s="31">
        <v>0</v>
      </c>
      <c r="V366" s="32">
        <v>0</v>
      </c>
      <c r="W366" s="31">
        <v>175</v>
      </c>
      <c r="X366" s="32">
        <v>9.668508287292818E-2</v>
      </c>
      <c r="Y366" s="31">
        <v>1131</v>
      </c>
      <c r="Z366" s="34">
        <v>0.62486187845303864</v>
      </c>
      <c r="AA366" s="31">
        <v>834</v>
      </c>
      <c r="AB366" s="32">
        <v>0.4607734806629834</v>
      </c>
      <c r="AC366" s="31">
        <v>252</v>
      </c>
      <c r="AD366" s="32">
        <v>0.1392265193370166</v>
      </c>
      <c r="AE366" s="31">
        <v>32</v>
      </c>
      <c r="AF366" s="32">
        <v>0.126984126984127</v>
      </c>
      <c r="AG366" s="31">
        <v>146</v>
      </c>
      <c r="AH366" s="32">
        <v>0.57936507936507942</v>
      </c>
      <c r="AI366" s="35">
        <v>153</v>
      </c>
      <c r="AJ366" s="32">
        <v>8.453038674033149E-2</v>
      </c>
      <c r="AK366" s="35">
        <v>3</v>
      </c>
      <c r="AL366" s="32">
        <v>0.84967320261437906</v>
      </c>
      <c r="AM366" s="35">
        <v>152</v>
      </c>
      <c r="AN366" s="35">
        <v>130</v>
      </c>
      <c r="AO366" s="32">
        <v>7.18232044198895E-2</v>
      </c>
      <c r="AP366" s="32">
        <v>0.51587301587301593</v>
      </c>
      <c r="AQ366" s="33">
        <v>0.95041322314049592</v>
      </c>
      <c r="AR366" s="33" t="s">
        <v>411</v>
      </c>
      <c r="AS366" s="33">
        <v>0.1735537190082645</v>
      </c>
      <c r="AT366" s="35">
        <v>0</v>
      </c>
      <c r="AU366" s="35">
        <v>0</v>
      </c>
      <c r="AV366" s="35">
        <v>27</v>
      </c>
      <c r="AW366" s="35">
        <v>18</v>
      </c>
      <c r="AX366" s="35">
        <v>22</v>
      </c>
      <c r="AY366" s="35">
        <v>59</v>
      </c>
      <c r="AZ366" s="32">
        <v>9.9447513812154689E-3</v>
      </c>
      <c r="BA366" s="32">
        <v>1.215469613259668E-2</v>
      </c>
      <c r="BB366" s="32">
        <v>3.2596685082872931E-2</v>
      </c>
      <c r="BC366" s="32">
        <v>0.16923076923076921</v>
      </c>
      <c r="BD366" s="35">
        <v>0</v>
      </c>
      <c r="BE366" s="35">
        <v>0</v>
      </c>
      <c r="BF366" s="33">
        <v>1</v>
      </c>
      <c r="BG366" s="33">
        <v>1</v>
      </c>
      <c r="BH366" s="33" t="s">
        <v>412</v>
      </c>
    </row>
    <row r="367" spans="1:60" ht="19.5" customHeight="1">
      <c r="A367" s="36">
        <v>364</v>
      </c>
      <c r="B367" s="31" t="s">
        <v>410</v>
      </c>
      <c r="C367" s="37">
        <v>46233</v>
      </c>
      <c r="D367" s="31" t="s">
        <v>337</v>
      </c>
      <c r="E367" s="31">
        <v>6664</v>
      </c>
      <c r="F367" s="31">
        <v>6281</v>
      </c>
      <c r="G367" s="32">
        <v>0.94252701080432177</v>
      </c>
      <c r="H367" s="31">
        <v>2454</v>
      </c>
      <c r="I367" s="33">
        <v>0.36824729891956781</v>
      </c>
      <c r="J367" s="31">
        <v>5548</v>
      </c>
      <c r="K367" s="31">
        <v>5370</v>
      </c>
      <c r="L367" s="32">
        <v>0.96799999999999997</v>
      </c>
      <c r="M367" s="31">
        <v>24972</v>
      </c>
      <c r="N367" s="31">
        <v>25689</v>
      </c>
      <c r="O367" s="31">
        <v>24466</v>
      </c>
      <c r="P367" s="32">
        <v>0.97973730578247642</v>
      </c>
      <c r="Q367" s="31">
        <v>273</v>
      </c>
      <c r="R367" s="31">
        <v>0</v>
      </c>
      <c r="S367" s="31">
        <v>0</v>
      </c>
      <c r="T367" s="32">
        <v>0</v>
      </c>
      <c r="U367" s="31">
        <v>0</v>
      </c>
      <c r="V367" s="32">
        <v>0</v>
      </c>
      <c r="W367" s="31">
        <v>481</v>
      </c>
      <c r="X367" s="32">
        <v>7.2178871548619447E-2</v>
      </c>
      <c r="Y367" s="31">
        <v>3679</v>
      </c>
      <c r="Z367" s="34">
        <v>0.55207082833133259</v>
      </c>
      <c r="AA367" s="31">
        <v>2077</v>
      </c>
      <c r="AB367" s="32">
        <v>0.31167466986794717</v>
      </c>
      <c r="AC367" s="31">
        <v>846</v>
      </c>
      <c r="AD367" s="32">
        <v>0.12695078031212481</v>
      </c>
      <c r="AE367" s="31">
        <v>127</v>
      </c>
      <c r="AF367" s="32">
        <v>0.15011820330969269</v>
      </c>
      <c r="AG367" s="31">
        <v>612</v>
      </c>
      <c r="AH367" s="32">
        <v>0.72340425531914898</v>
      </c>
      <c r="AI367" s="35">
        <v>684</v>
      </c>
      <c r="AJ367" s="32">
        <v>0.102641056422569</v>
      </c>
      <c r="AK367" s="35">
        <v>34</v>
      </c>
      <c r="AL367" s="32">
        <v>0.88596491228070173</v>
      </c>
      <c r="AM367" s="35">
        <v>663</v>
      </c>
      <c r="AN367" s="35">
        <v>606</v>
      </c>
      <c r="AO367" s="32">
        <v>9.0936374549819926E-2</v>
      </c>
      <c r="AP367" s="32">
        <v>0.71631205673758869</v>
      </c>
      <c r="AQ367" s="33">
        <v>0.98305084745762716</v>
      </c>
      <c r="AR367" s="33" t="s">
        <v>411</v>
      </c>
      <c r="AS367" s="33">
        <v>0.2135593220338983</v>
      </c>
      <c r="AT367" s="35">
        <v>0</v>
      </c>
      <c r="AU367" s="35">
        <v>0</v>
      </c>
      <c r="AV367" s="35">
        <v>103</v>
      </c>
      <c r="AW367" s="35">
        <v>84</v>
      </c>
      <c r="AX367" s="35">
        <v>81</v>
      </c>
      <c r="AY367" s="35">
        <v>144</v>
      </c>
      <c r="AZ367" s="32">
        <v>1.260504201680672E-2</v>
      </c>
      <c r="BA367" s="32">
        <v>1.215486194477791E-2</v>
      </c>
      <c r="BB367" s="32">
        <v>2.1608643457382951E-2</v>
      </c>
      <c r="BC367" s="32">
        <v>0.1336633663366337</v>
      </c>
      <c r="BD367" s="35">
        <v>0</v>
      </c>
      <c r="BE367" s="35">
        <v>0</v>
      </c>
      <c r="BF367" s="33">
        <v>0.98666666666666669</v>
      </c>
      <c r="BG367" s="33">
        <v>1</v>
      </c>
      <c r="BH367" s="33" t="s">
        <v>412</v>
      </c>
    </row>
    <row r="368" spans="1:60" ht="19.5" customHeight="1">
      <c r="A368" s="36">
        <v>365</v>
      </c>
      <c r="B368" s="31" t="s">
        <v>410</v>
      </c>
      <c r="C368" s="37">
        <v>46233</v>
      </c>
      <c r="D368" s="31" t="s">
        <v>336</v>
      </c>
      <c r="E368" s="31">
        <v>3078</v>
      </c>
      <c r="F368" s="31">
        <v>2856</v>
      </c>
      <c r="G368" s="32">
        <v>0.9278752436647173</v>
      </c>
      <c r="H368" s="31">
        <v>1843</v>
      </c>
      <c r="I368" s="33">
        <v>0.59876543209876543</v>
      </c>
      <c r="J368" s="31">
        <v>3617</v>
      </c>
      <c r="K368" s="31">
        <v>3494</v>
      </c>
      <c r="L368" s="32">
        <v>0.96599999999999997</v>
      </c>
      <c r="M368" s="31">
        <v>18365</v>
      </c>
      <c r="N368" s="31">
        <v>18379</v>
      </c>
      <c r="O368" s="31">
        <v>18011</v>
      </c>
      <c r="P368" s="32">
        <v>0.98072420364824398</v>
      </c>
      <c r="Q368" s="31">
        <v>164</v>
      </c>
      <c r="R368" s="31">
        <v>0</v>
      </c>
      <c r="S368" s="31">
        <v>0</v>
      </c>
      <c r="T368" s="32">
        <v>0</v>
      </c>
      <c r="U368" s="31">
        <v>0</v>
      </c>
      <c r="V368" s="32">
        <v>0</v>
      </c>
      <c r="W368" s="31">
        <v>275</v>
      </c>
      <c r="X368" s="32">
        <v>8.9343729694606883E-2</v>
      </c>
      <c r="Y368" s="31">
        <v>1577</v>
      </c>
      <c r="Z368" s="34">
        <v>0.51234567901234573</v>
      </c>
      <c r="AA368" s="31">
        <v>1209</v>
      </c>
      <c r="AB368" s="32">
        <v>0.39278752436647169</v>
      </c>
      <c r="AC368" s="31">
        <v>254</v>
      </c>
      <c r="AD368" s="32">
        <v>8.2521117608836903E-2</v>
      </c>
      <c r="AE368" s="31">
        <v>54</v>
      </c>
      <c r="AF368" s="32">
        <v>0.2125984251968504</v>
      </c>
      <c r="AG368" s="31">
        <v>174</v>
      </c>
      <c r="AH368" s="32">
        <v>0.68503937007874016</v>
      </c>
      <c r="AI368" s="35">
        <v>204</v>
      </c>
      <c r="AJ368" s="32">
        <v>6.6276803118908378E-2</v>
      </c>
      <c r="AK368" s="35">
        <v>17</v>
      </c>
      <c r="AL368" s="32">
        <v>0.92156862745098034</v>
      </c>
      <c r="AM368" s="35">
        <v>199</v>
      </c>
      <c r="AN368" s="35">
        <v>188</v>
      </c>
      <c r="AO368" s="32">
        <v>6.1078622482131251E-2</v>
      </c>
      <c r="AP368" s="32">
        <v>0.74015748031496065</v>
      </c>
      <c r="AQ368" s="33">
        <v>0.94565217391304346</v>
      </c>
      <c r="AR368" s="33" t="s">
        <v>411</v>
      </c>
      <c r="AS368" s="33">
        <v>0.16847826086956519</v>
      </c>
      <c r="AT368" s="35">
        <v>0</v>
      </c>
      <c r="AU368" s="35">
        <v>0</v>
      </c>
      <c r="AV368" s="35">
        <v>71</v>
      </c>
      <c r="AW368" s="35">
        <v>63</v>
      </c>
      <c r="AX368" s="35">
        <v>63</v>
      </c>
      <c r="AY368" s="35">
        <v>118</v>
      </c>
      <c r="AZ368" s="32">
        <v>2.046783625730994E-2</v>
      </c>
      <c r="BA368" s="32">
        <v>2.046783625730994E-2</v>
      </c>
      <c r="BB368" s="32">
        <v>3.8336582196231317E-2</v>
      </c>
      <c r="BC368" s="32">
        <v>0.33510638297872342</v>
      </c>
      <c r="BD368" s="35">
        <v>0</v>
      </c>
      <c r="BE368" s="35">
        <v>0</v>
      </c>
      <c r="BF368" s="33">
        <v>1</v>
      </c>
      <c r="BG368" s="33">
        <v>1</v>
      </c>
      <c r="BH368" s="33" t="s">
        <v>412</v>
      </c>
    </row>
    <row r="369" spans="1:60" ht="19.5" customHeight="1">
      <c r="A369" s="36">
        <v>366</v>
      </c>
      <c r="B369" s="31" t="s">
        <v>410</v>
      </c>
      <c r="C369" s="37">
        <v>46234</v>
      </c>
      <c r="D369" s="31"/>
      <c r="E369" s="31">
        <v>48</v>
      </c>
      <c r="F369" s="31">
        <v>48</v>
      </c>
      <c r="G369" s="32">
        <v>1</v>
      </c>
      <c r="H369" s="31">
        <v>48</v>
      </c>
      <c r="I369" s="33">
        <v>1</v>
      </c>
      <c r="J369" s="31">
        <v>2</v>
      </c>
      <c r="K369" s="31">
        <v>0</v>
      </c>
      <c r="L369" s="32">
        <v>0</v>
      </c>
      <c r="M369" s="31">
        <v>10</v>
      </c>
      <c r="N369" s="31">
        <v>1</v>
      </c>
      <c r="O369" s="31">
        <v>1</v>
      </c>
      <c r="P369" s="32">
        <v>0.1</v>
      </c>
      <c r="Q369" s="31">
        <v>9</v>
      </c>
      <c r="R369" s="31">
        <v>5258</v>
      </c>
      <c r="S369" s="31">
        <v>1131</v>
      </c>
      <c r="T369" s="32">
        <v>0.21510079878280719</v>
      </c>
      <c r="U369" s="31">
        <v>5205</v>
      </c>
      <c r="V369" s="32">
        <v>0.9899201217192849</v>
      </c>
      <c r="W369" s="31">
        <v>11</v>
      </c>
      <c r="X369" s="32">
        <v>0.22916666666666671</v>
      </c>
      <c r="Y369" s="31">
        <v>35</v>
      </c>
      <c r="Z369" s="34">
        <v>0.72916666666666663</v>
      </c>
      <c r="AA369" s="31">
        <v>2</v>
      </c>
      <c r="AB369" s="32">
        <v>4.1666666666666657E-2</v>
      </c>
      <c r="AC369" s="31">
        <v>0</v>
      </c>
      <c r="AD369" s="32">
        <v>0</v>
      </c>
      <c r="AE369" s="31">
        <v>0</v>
      </c>
      <c r="AF369" s="32">
        <v>0</v>
      </c>
      <c r="AG369" s="31">
        <v>0</v>
      </c>
      <c r="AH369" s="32">
        <v>0</v>
      </c>
      <c r="AI369" s="35">
        <v>0</v>
      </c>
      <c r="AJ369" s="32">
        <v>0</v>
      </c>
      <c r="AK369" s="35">
        <v>0</v>
      </c>
      <c r="AL369" s="32">
        <v>0</v>
      </c>
      <c r="AM369" s="35">
        <v>0</v>
      </c>
      <c r="AN369" s="35">
        <v>0</v>
      </c>
      <c r="AO369" s="32">
        <v>0</v>
      </c>
      <c r="AP369" s="32">
        <v>0</v>
      </c>
      <c r="AQ369" s="33">
        <v>0</v>
      </c>
      <c r="AR369" s="33" t="s">
        <v>411</v>
      </c>
      <c r="AS369" s="33">
        <v>0</v>
      </c>
      <c r="AT369" s="35">
        <v>0</v>
      </c>
      <c r="AU369" s="35">
        <v>0</v>
      </c>
      <c r="AV369" s="35">
        <v>0</v>
      </c>
      <c r="AW369" s="35">
        <v>0</v>
      </c>
      <c r="AX369" s="35">
        <v>0</v>
      </c>
      <c r="AY369" s="35">
        <v>0</v>
      </c>
      <c r="AZ369" s="32">
        <v>0</v>
      </c>
      <c r="BA369" s="32">
        <v>0</v>
      </c>
      <c r="BB369" s="32">
        <v>0</v>
      </c>
      <c r="BC369" s="32">
        <v>0</v>
      </c>
      <c r="BD369" s="35">
        <v>0</v>
      </c>
      <c r="BE369" s="35">
        <v>0</v>
      </c>
      <c r="BF369" s="33" t="s">
        <v>412</v>
      </c>
      <c r="BG369" s="33" t="s">
        <v>412</v>
      </c>
      <c r="BH369" s="33">
        <v>0.99065420560747663</v>
      </c>
    </row>
    <row r="370" spans="1:60" ht="19.5" customHeight="1">
      <c r="A370" s="36">
        <v>367</v>
      </c>
      <c r="B370" s="31" t="s">
        <v>410</v>
      </c>
      <c r="C370" s="37">
        <v>46234</v>
      </c>
      <c r="D370" s="31" t="s">
        <v>413</v>
      </c>
      <c r="E370" s="31">
        <v>289</v>
      </c>
      <c r="F370" s="31">
        <v>288</v>
      </c>
      <c r="G370" s="32">
        <v>0.9965397923875432</v>
      </c>
      <c r="H370" s="31">
        <v>60</v>
      </c>
      <c r="I370" s="33">
        <v>0.20761245674740481</v>
      </c>
      <c r="J370" s="31">
        <v>328</v>
      </c>
      <c r="K370" s="31">
        <v>198</v>
      </c>
      <c r="L370" s="32">
        <v>0.60399999999999998</v>
      </c>
      <c r="M370" s="31">
        <v>753</v>
      </c>
      <c r="N370" s="31">
        <v>714</v>
      </c>
      <c r="O370" s="31">
        <v>557</v>
      </c>
      <c r="P370" s="32">
        <v>0.73970783532536521</v>
      </c>
      <c r="Q370" s="31">
        <v>157</v>
      </c>
      <c r="R370" s="31">
        <v>3521</v>
      </c>
      <c r="S370" s="31">
        <v>2001</v>
      </c>
      <c r="T370" s="32">
        <v>0.56830445896052262</v>
      </c>
      <c r="U370" s="31">
        <v>68</v>
      </c>
      <c r="V370" s="32">
        <v>1.931269525702925E-2</v>
      </c>
      <c r="W370" s="31">
        <v>3</v>
      </c>
      <c r="X370" s="32">
        <v>1.038062283737024E-2</v>
      </c>
      <c r="Y370" s="31">
        <v>37</v>
      </c>
      <c r="Z370" s="34">
        <v>0.12802768166089959</v>
      </c>
      <c r="AA370" s="31">
        <v>0</v>
      </c>
      <c r="AB370" s="32">
        <v>0</v>
      </c>
      <c r="AC370" s="31">
        <v>0</v>
      </c>
      <c r="AD370" s="32">
        <v>0</v>
      </c>
      <c r="AE370" s="31">
        <v>0</v>
      </c>
      <c r="AF370" s="32">
        <v>0</v>
      </c>
      <c r="AG370" s="31">
        <v>0</v>
      </c>
      <c r="AH370" s="32">
        <v>0</v>
      </c>
      <c r="AI370" s="35">
        <v>0</v>
      </c>
      <c r="AJ370" s="32">
        <v>0</v>
      </c>
      <c r="AK370" s="35">
        <v>0</v>
      </c>
      <c r="AL370" s="32">
        <v>0</v>
      </c>
      <c r="AM370" s="35">
        <v>0</v>
      </c>
      <c r="AN370" s="35">
        <v>0</v>
      </c>
      <c r="AO370" s="32">
        <v>0</v>
      </c>
      <c r="AP370" s="32">
        <v>0</v>
      </c>
      <c r="AQ370" s="33">
        <v>1</v>
      </c>
      <c r="AR370" s="33" t="s">
        <v>411</v>
      </c>
      <c r="AS370" s="33">
        <v>0</v>
      </c>
      <c r="AT370" s="35">
        <v>0</v>
      </c>
      <c r="AU370" s="35">
        <v>0</v>
      </c>
      <c r="AV370" s="35">
        <v>2</v>
      </c>
      <c r="AW370" s="35">
        <v>2</v>
      </c>
      <c r="AX370" s="35">
        <v>1</v>
      </c>
      <c r="AY370" s="35">
        <v>0</v>
      </c>
      <c r="AZ370" s="32">
        <v>6.920415224913495E-3</v>
      </c>
      <c r="BA370" s="32">
        <v>3.4602076124567479E-3</v>
      </c>
      <c r="BB370" s="32">
        <v>0</v>
      </c>
      <c r="BC370" s="32">
        <v>0</v>
      </c>
      <c r="BD370" s="35">
        <v>0</v>
      </c>
      <c r="BE370" s="35">
        <v>0</v>
      </c>
      <c r="BF370" s="33" t="s">
        <v>412</v>
      </c>
      <c r="BG370" s="33" t="s">
        <v>412</v>
      </c>
      <c r="BH370" s="33" t="s">
        <v>412</v>
      </c>
    </row>
    <row r="371" spans="1:60" ht="19.5" customHeight="1">
      <c r="A371" s="36">
        <v>368</v>
      </c>
      <c r="B371" s="31" t="s">
        <v>410</v>
      </c>
      <c r="C371" s="37">
        <v>46234</v>
      </c>
      <c r="D371" s="31" t="s">
        <v>335</v>
      </c>
      <c r="E371" s="31">
        <v>2284</v>
      </c>
      <c r="F371" s="31">
        <v>2189</v>
      </c>
      <c r="G371" s="32">
        <v>0.95840630472854638</v>
      </c>
      <c r="H371" s="31">
        <v>1252</v>
      </c>
      <c r="I371" s="33">
        <v>0.54816112084063051</v>
      </c>
      <c r="J371" s="31">
        <v>2435</v>
      </c>
      <c r="K371" s="31">
        <v>2378</v>
      </c>
      <c r="L371" s="32">
        <v>0.97699999999999998</v>
      </c>
      <c r="M371" s="31">
        <v>10439</v>
      </c>
      <c r="N371" s="31">
        <v>10663</v>
      </c>
      <c r="O371" s="31">
        <v>10238</v>
      </c>
      <c r="P371" s="32">
        <v>0.98074528211514511</v>
      </c>
      <c r="Q371" s="31">
        <v>148</v>
      </c>
      <c r="R371" s="31">
        <v>163798</v>
      </c>
      <c r="S371" s="31">
        <v>86656</v>
      </c>
      <c r="T371" s="32">
        <v>0.52904186864308478</v>
      </c>
      <c r="U371" s="31">
        <v>30044</v>
      </c>
      <c r="V371" s="32">
        <v>0.1834210429919779</v>
      </c>
      <c r="W371" s="31">
        <v>1183</v>
      </c>
      <c r="X371" s="32">
        <v>0.51795096322241685</v>
      </c>
      <c r="Y371" s="31">
        <v>1552</v>
      </c>
      <c r="Z371" s="34">
        <v>0.67950963222416816</v>
      </c>
      <c r="AA371" s="31">
        <v>1522</v>
      </c>
      <c r="AB371" s="32">
        <v>0.66637478108581438</v>
      </c>
      <c r="AC371" s="31">
        <v>226</v>
      </c>
      <c r="AD371" s="32">
        <v>9.8949211908931703E-2</v>
      </c>
      <c r="AE371" s="31">
        <v>43</v>
      </c>
      <c r="AF371" s="32">
        <v>0.19026548672566371</v>
      </c>
      <c r="AG371" s="31">
        <v>125</v>
      </c>
      <c r="AH371" s="32">
        <v>0.55309734513274333</v>
      </c>
      <c r="AI371" s="35">
        <v>158</v>
      </c>
      <c r="AJ371" s="32">
        <v>6.9176882661996494E-2</v>
      </c>
      <c r="AK371" s="35">
        <v>12</v>
      </c>
      <c r="AL371" s="32">
        <v>0.759493670886076</v>
      </c>
      <c r="AM371" s="35">
        <v>155</v>
      </c>
      <c r="AN371" s="35">
        <v>120</v>
      </c>
      <c r="AO371" s="32">
        <v>5.2539404553415062E-2</v>
      </c>
      <c r="AP371" s="32">
        <v>0.53097345132743368</v>
      </c>
      <c r="AQ371" s="33">
        <v>0.98113207547169812</v>
      </c>
      <c r="AR371" s="33" t="s">
        <v>411</v>
      </c>
      <c r="AS371" s="33">
        <v>0.169811320754717</v>
      </c>
      <c r="AT371" s="35">
        <v>0</v>
      </c>
      <c r="AU371" s="35">
        <v>0</v>
      </c>
      <c r="AV371" s="35">
        <v>30</v>
      </c>
      <c r="AW371" s="35">
        <v>17</v>
      </c>
      <c r="AX371" s="35">
        <v>20</v>
      </c>
      <c r="AY371" s="35">
        <v>70</v>
      </c>
      <c r="AZ371" s="32">
        <v>7.4430823117338004E-3</v>
      </c>
      <c r="BA371" s="32">
        <v>8.7565674255691769E-3</v>
      </c>
      <c r="BB371" s="32">
        <v>3.0647985989492119E-2</v>
      </c>
      <c r="BC371" s="32">
        <v>0.16666666666666671</v>
      </c>
      <c r="BD371" s="35">
        <v>0</v>
      </c>
      <c r="BE371" s="35">
        <v>0</v>
      </c>
      <c r="BF371" s="33">
        <v>1</v>
      </c>
      <c r="BG371" s="33">
        <v>1</v>
      </c>
      <c r="BH371" s="33" t="s">
        <v>412</v>
      </c>
    </row>
    <row r="372" spans="1:60" ht="19.5" customHeight="1">
      <c r="A372" s="36">
        <v>369</v>
      </c>
      <c r="B372" s="31" t="s">
        <v>410</v>
      </c>
      <c r="C372" s="37">
        <v>46234</v>
      </c>
      <c r="D372" s="31" t="s">
        <v>334</v>
      </c>
      <c r="E372" s="31">
        <v>1683</v>
      </c>
      <c r="F372" s="31">
        <v>1602</v>
      </c>
      <c r="G372" s="32">
        <v>0.95187165775401072</v>
      </c>
      <c r="H372" s="31">
        <v>839</v>
      </c>
      <c r="I372" s="33">
        <v>0.49851455733808681</v>
      </c>
      <c r="J372" s="31">
        <v>1704</v>
      </c>
      <c r="K372" s="31">
        <v>1653</v>
      </c>
      <c r="L372" s="32">
        <v>0.97</v>
      </c>
      <c r="M372" s="31">
        <v>8001</v>
      </c>
      <c r="N372" s="31">
        <v>8179</v>
      </c>
      <c r="O372" s="31">
        <v>7839</v>
      </c>
      <c r="P372" s="32">
        <v>0.97975253093363335</v>
      </c>
      <c r="Q372" s="31">
        <v>107</v>
      </c>
      <c r="R372" s="31">
        <v>332683</v>
      </c>
      <c r="S372" s="31">
        <v>157704</v>
      </c>
      <c r="T372" s="32">
        <v>0.47403684588632422</v>
      </c>
      <c r="U372" s="31">
        <v>55260</v>
      </c>
      <c r="V372" s="32">
        <v>0.16610406903869451</v>
      </c>
      <c r="W372" s="31">
        <v>943</v>
      </c>
      <c r="X372" s="32">
        <v>0.56030897207367791</v>
      </c>
      <c r="Y372" s="31">
        <v>1463</v>
      </c>
      <c r="Z372" s="34">
        <v>0.86928104575163401</v>
      </c>
      <c r="AA372" s="31">
        <v>1320</v>
      </c>
      <c r="AB372" s="32">
        <v>0.78431372549019607</v>
      </c>
      <c r="AC372" s="31">
        <v>213</v>
      </c>
      <c r="AD372" s="32">
        <v>0.12655971479500891</v>
      </c>
      <c r="AE372" s="31">
        <v>39</v>
      </c>
      <c r="AF372" s="32">
        <v>0.18309859154929581</v>
      </c>
      <c r="AG372" s="31">
        <v>147</v>
      </c>
      <c r="AH372" s="32">
        <v>0.6901408450704225</v>
      </c>
      <c r="AI372" s="35">
        <v>188</v>
      </c>
      <c r="AJ372" s="32">
        <v>0.1117052881758764</v>
      </c>
      <c r="AK372" s="35">
        <v>14</v>
      </c>
      <c r="AL372" s="32">
        <v>0.79255319148936165</v>
      </c>
      <c r="AM372" s="35">
        <v>184</v>
      </c>
      <c r="AN372" s="35">
        <v>149</v>
      </c>
      <c r="AO372" s="32">
        <v>8.8532382650029703E-2</v>
      </c>
      <c r="AP372" s="32">
        <v>0.69953051643192488</v>
      </c>
      <c r="AQ372" s="33">
        <v>0.94736842105263153</v>
      </c>
      <c r="AR372" s="33" t="s">
        <v>411</v>
      </c>
      <c r="AS372" s="33">
        <v>0.13533834586466159</v>
      </c>
      <c r="AT372" s="35">
        <v>0</v>
      </c>
      <c r="AU372" s="35">
        <v>0</v>
      </c>
      <c r="AV372" s="35">
        <v>43</v>
      </c>
      <c r="AW372" s="35">
        <v>-254</v>
      </c>
      <c r="AX372" s="35">
        <v>-259</v>
      </c>
      <c r="AY372" s="35">
        <v>79</v>
      </c>
      <c r="AZ372" s="32">
        <v>-0.15092097445038621</v>
      </c>
      <c r="BA372" s="32">
        <v>-0.15389185977421271</v>
      </c>
      <c r="BB372" s="32">
        <v>4.6939988116458713E-2</v>
      </c>
      <c r="BC372" s="32">
        <v>-1.738255033557047</v>
      </c>
      <c r="BD372" s="35">
        <v>0</v>
      </c>
      <c r="BE372" s="35">
        <v>0</v>
      </c>
      <c r="BF372" s="33">
        <v>1</v>
      </c>
      <c r="BG372" s="33">
        <v>1</v>
      </c>
      <c r="BH372" s="33" t="s">
        <v>412</v>
      </c>
    </row>
    <row r="373" spans="1:60" ht="19.5" customHeight="1">
      <c r="A373" s="36">
        <v>370</v>
      </c>
      <c r="B373" s="31" t="s">
        <v>410</v>
      </c>
      <c r="C373" s="37">
        <v>46234</v>
      </c>
      <c r="D373" s="31" t="s">
        <v>337</v>
      </c>
      <c r="E373" s="31">
        <v>6248</v>
      </c>
      <c r="F373" s="31">
        <v>6048</v>
      </c>
      <c r="G373" s="32">
        <v>0.96798975672215104</v>
      </c>
      <c r="H373" s="31">
        <v>2262</v>
      </c>
      <c r="I373" s="33">
        <v>0.36203585147247119</v>
      </c>
      <c r="J373" s="31">
        <v>6180</v>
      </c>
      <c r="K373" s="31">
        <v>5994</v>
      </c>
      <c r="L373" s="32">
        <v>0.97</v>
      </c>
      <c r="M373" s="31">
        <v>26740</v>
      </c>
      <c r="N373" s="31">
        <v>27486</v>
      </c>
      <c r="O373" s="31">
        <v>26145</v>
      </c>
      <c r="P373" s="32">
        <v>0.97774869109947649</v>
      </c>
      <c r="Q373" s="31">
        <v>418</v>
      </c>
      <c r="R373" s="31">
        <v>216204</v>
      </c>
      <c r="S373" s="31">
        <v>86603</v>
      </c>
      <c r="T373" s="32">
        <v>0.40056150672513002</v>
      </c>
      <c r="U373" s="31">
        <v>62713</v>
      </c>
      <c r="V373" s="32">
        <v>0.29006401361676942</v>
      </c>
      <c r="W373" s="31">
        <v>2322</v>
      </c>
      <c r="X373" s="32">
        <v>0.37163892445582591</v>
      </c>
      <c r="Y373" s="31">
        <v>4549</v>
      </c>
      <c r="Z373" s="34">
        <v>0.72807298335467352</v>
      </c>
      <c r="AA373" s="31">
        <v>3136</v>
      </c>
      <c r="AB373" s="32">
        <v>0.50192061459667092</v>
      </c>
      <c r="AC373" s="31">
        <v>800</v>
      </c>
      <c r="AD373" s="32">
        <v>0.12804097311139559</v>
      </c>
      <c r="AE373" s="31">
        <v>160</v>
      </c>
      <c r="AF373" s="32">
        <v>0.2</v>
      </c>
      <c r="AG373" s="31">
        <v>575</v>
      </c>
      <c r="AH373" s="32">
        <v>0.71875</v>
      </c>
      <c r="AI373" s="35">
        <v>765</v>
      </c>
      <c r="AJ373" s="32">
        <v>0.1224391805377721</v>
      </c>
      <c r="AK373" s="35">
        <v>50</v>
      </c>
      <c r="AL373" s="32">
        <v>0.77254901960784317</v>
      </c>
      <c r="AM373" s="35">
        <v>729</v>
      </c>
      <c r="AN373" s="35">
        <v>591</v>
      </c>
      <c r="AO373" s="32">
        <v>9.4590268886043535E-2</v>
      </c>
      <c r="AP373" s="32">
        <v>0.73875000000000002</v>
      </c>
      <c r="AQ373" s="33">
        <v>0.98018292682926833</v>
      </c>
      <c r="AR373" s="33" t="s">
        <v>411</v>
      </c>
      <c r="AS373" s="33">
        <v>0.2027439024390244</v>
      </c>
      <c r="AT373" s="35">
        <v>0</v>
      </c>
      <c r="AU373" s="35">
        <v>0</v>
      </c>
      <c r="AV373" s="35">
        <v>81</v>
      </c>
      <c r="AW373" s="35">
        <v>54</v>
      </c>
      <c r="AX373" s="35">
        <v>48</v>
      </c>
      <c r="AY373" s="35">
        <v>166</v>
      </c>
      <c r="AZ373" s="32">
        <v>8.6427656850192065E-3</v>
      </c>
      <c r="BA373" s="32">
        <v>7.6824583866837376E-3</v>
      </c>
      <c r="BB373" s="32">
        <v>2.65685019206146E-2</v>
      </c>
      <c r="BC373" s="32">
        <v>8.1218274111675121E-2</v>
      </c>
      <c r="BD373" s="35">
        <v>0</v>
      </c>
      <c r="BE373" s="35">
        <v>0</v>
      </c>
      <c r="BF373" s="33">
        <v>0.98611111111111116</v>
      </c>
      <c r="BG373" s="33">
        <v>1</v>
      </c>
      <c r="BH373" s="33" t="s">
        <v>412</v>
      </c>
    </row>
    <row r="374" spans="1:60" ht="19.5" customHeight="1">
      <c r="A374" s="36">
        <v>371</v>
      </c>
      <c r="B374" s="31" t="s">
        <v>410</v>
      </c>
      <c r="C374" s="37">
        <v>46234</v>
      </c>
      <c r="D374" s="31" t="s">
        <v>336</v>
      </c>
      <c r="E374" s="31">
        <v>2867</v>
      </c>
      <c r="F374" s="31">
        <v>2712</v>
      </c>
      <c r="G374" s="32">
        <v>0.94593651900941755</v>
      </c>
      <c r="H374" s="31">
        <v>1808</v>
      </c>
      <c r="I374" s="33">
        <v>0.63062434600627837</v>
      </c>
      <c r="J374" s="31">
        <v>3730</v>
      </c>
      <c r="K374" s="31">
        <v>3656</v>
      </c>
      <c r="L374" s="32">
        <v>0.98</v>
      </c>
      <c r="M374" s="31">
        <v>18970</v>
      </c>
      <c r="N374" s="31">
        <v>19255</v>
      </c>
      <c r="O374" s="31">
        <v>18661</v>
      </c>
      <c r="P374" s="32">
        <v>0.98371112282551398</v>
      </c>
      <c r="Q374" s="31">
        <v>220</v>
      </c>
      <c r="R374" s="31">
        <v>217857</v>
      </c>
      <c r="S374" s="31">
        <v>101412</v>
      </c>
      <c r="T374" s="32">
        <v>0.46549801016262959</v>
      </c>
      <c r="U374" s="31">
        <v>48512</v>
      </c>
      <c r="V374" s="32">
        <v>0.22267817880536309</v>
      </c>
      <c r="W374" s="31">
        <v>1659</v>
      </c>
      <c r="X374" s="32">
        <v>0.5786536449250087</v>
      </c>
      <c r="Y374" s="31">
        <v>2241</v>
      </c>
      <c r="Z374" s="34">
        <v>0.78165329612835721</v>
      </c>
      <c r="AA374" s="31">
        <v>1991</v>
      </c>
      <c r="AB374" s="32">
        <v>0.6944541332403209</v>
      </c>
      <c r="AC374" s="31">
        <v>232</v>
      </c>
      <c r="AD374" s="32">
        <v>8.092082316009766E-2</v>
      </c>
      <c r="AE374" s="31">
        <v>71</v>
      </c>
      <c r="AF374" s="32">
        <v>0.30603448275862072</v>
      </c>
      <c r="AG374" s="31">
        <v>156</v>
      </c>
      <c r="AH374" s="32">
        <v>0.67241379310344829</v>
      </c>
      <c r="AI374" s="35">
        <v>228</v>
      </c>
      <c r="AJ374" s="32">
        <v>7.9525636553889084E-2</v>
      </c>
      <c r="AK374" s="35">
        <v>11</v>
      </c>
      <c r="AL374" s="32">
        <v>0.84649122807017541</v>
      </c>
      <c r="AM374" s="35">
        <v>226</v>
      </c>
      <c r="AN374" s="35">
        <v>193</v>
      </c>
      <c r="AO374" s="32">
        <v>6.7317753749564002E-2</v>
      </c>
      <c r="AP374" s="32">
        <v>0.8318965517241379</v>
      </c>
      <c r="AQ374" s="33">
        <v>0.96875</v>
      </c>
      <c r="AR374" s="33" t="s">
        <v>411</v>
      </c>
      <c r="AS374" s="33">
        <v>0.15104166666666671</v>
      </c>
      <c r="AT374" s="35">
        <v>0</v>
      </c>
      <c r="AU374" s="35">
        <v>0</v>
      </c>
      <c r="AV374" s="35">
        <v>92</v>
      </c>
      <c r="AW374" s="35">
        <v>73</v>
      </c>
      <c r="AX374" s="35">
        <v>66</v>
      </c>
      <c r="AY374" s="35">
        <v>167</v>
      </c>
      <c r="AZ374" s="32">
        <v>2.5462155563306589E-2</v>
      </c>
      <c r="BA374" s="32">
        <v>2.3020579002441581E-2</v>
      </c>
      <c r="BB374" s="32">
        <v>5.824904080920823E-2</v>
      </c>
      <c r="BC374" s="32">
        <v>0.34196891191709838</v>
      </c>
      <c r="BD374" s="35">
        <v>0</v>
      </c>
      <c r="BE374" s="35">
        <v>0</v>
      </c>
      <c r="BF374" s="33">
        <v>0.96875</v>
      </c>
      <c r="BG374" s="33">
        <v>1</v>
      </c>
      <c r="BH374" s="33" t="s">
        <v>412</v>
      </c>
    </row>
  </sheetData>
  <mergeCells count="13">
    <mergeCell ref="BD1:BH1"/>
    <mergeCell ref="AI1:AS1"/>
    <mergeCell ref="A1:A2"/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7" tint="0.79998168889431442"/>
  </sheetPr>
  <dimension ref="A1:BH147"/>
  <sheetViews>
    <sheetView workbookViewId="0"/>
  </sheetViews>
  <sheetFormatPr defaultRowHeight="14.25"/>
  <cols>
    <col min="1" max="1" width="5.625" customWidth="1"/>
    <col min="2" max="2" width="6.75" customWidth="1"/>
    <col min="3" max="3" width="9.75" customWidth="1"/>
    <col min="4" max="4" width="11.125" customWidth="1"/>
    <col min="5" max="7" width="7.5" customWidth="1"/>
    <col min="8" max="9" width="9" customWidth="1"/>
    <col min="10" max="12" width="7.5" customWidth="1"/>
    <col min="13" max="17" width="9" customWidth="1"/>
    <col min="18" max="18" width="7.5" customWidth="1"/>
    <col min="19" max="22" width="9.5" customWidth="1"/>
    <col min="23" max="23" width="7.5" customWidth="1"/>
    <col min="24" max="24" width="6.75" customWidth="1"/>
    <col min="25" max="25" width="7.5" customWidth="1"/>
    <col min="26" max="26" width="6.75" customWidth="1"/>
    <col min="27" max="27" width="7.5" customWidth="1"/>
    <col min="28" max="28" width="6.75" customWidth="1"/>
    <col min="29" max="31" width="7.5" customWidth="1"/>
    <col min="32" max="32" width="8.25" customWidth="1"/>
    <col min="33" max="34" width="9.75" customWidth="1"/>
    <col min="35" max="38" width="7.5" customWidth="1"/>
    <col min="39" max="39" width="6.75" customWidth="1"/>
    <col min="40" max="41" width="7.5" customWidth="1"/>
    <col min="42" max="42" width="10.75" customWidth="1"/>
    <col min="43" max="45" width="12.5" customWidth="1"/>
    <col min="46" max="46" width="9.75" customWidth="1"/>
    <col min="47" max="47" width="6.75" customWidth="1"/>
    <col min="48" max="48" width="7.5" customWidth="1"/>
    <col min="49" max="51" width="6.125" customWidth="1"/>
    <col min="52" max="53" width="8.125" customWidth="1"/>
    <col min="54" max="55" width="9.75" customWidth="1"/>
    <col min="56" max="56" width="9.5" customWidth="1"/>
    <col min="57" max="60" width="8.125" customWidth="1"/>
    <col min="61" max="92" width="9.75" customWidth="1"/>
  </cols>
  <sheetData>
    <row r="1" spans="1:60" ht="22.7" customHeight="1">
      <c r="A1" s="43" t="s">
        <v>0</v>
      </c>
      <c r="B1" s="43" t="s">
        <v>346</v>
      </c>
      <c r="C1" s="43" t="s">
        <v>333</v>
      </c>
      <c r="D1" s="43" t="s">
        <v>347</v>
      </c>
      <c r="E1" s="43" t="s">
        <v>348</v>
      </c>
      <c r="F1" s="44"/>
      <c r="G1" s="44"/>
      <c r="H1" s="44"/>
      <c r="I1" s="45"/>
      <c r="J1" s="43" t="s">
        <v>349</v>
      </c>
      <c r="K1" s="44"/>
      <c r="L1" s="44"/>
      <c r="M1" s="44"/>
      <c r="N1" s="44"/>
      <c r="O1" s="44"/>
      <c r="P1" s="44"/>
      <c r="Q1" s="45"/>
      <c r="R1" s="43" t="s">
        <v>350</v>
      </c>
      <c r="S1" s="44"/>
      <c r="T1" s="44"/>
      <c r="U1" s="44"/>
      <c r="V1" s="45"/>
      <c r="W1" s="43" t="s">
        <v>351</v>
      </c>
      <c r="X1" s="44"/>
      <c r="Y1" s="44"/>
      <c r="Z1" s="44"/>
      <c r="AA1" s="44"/>
      <c r="AB1" s="45"/>
      <c r="AC1" s="43" t="s">
        <v>352</v>
      </c>
      <c r="AD1" s="44"/>
      <c r="AE1" s="44"/>
      <c r="AF1" s="44"/>
      <c r="AG1" s="44"/>
      <c r="AH1" s="45"/>
      <c r="AI1" s="43" t="s">
        <v>353</v>
      </c>
      <c r="AJ1" s="44"/>
      <c r="AK1" s="44"/>
      <c r="AL1" s="44"/>
      <c r="AM1" s="44"/>
      <c r="AN1" s="44"/>
      <c r="AO1" s="44"/>
      <c r="AP1" s="44"/>
      <c r="AQ1" s="44"/>
      <c r="AR1" s="44"/>
      <c r="AS1" s="45"/>
      <c r="AT1" s="43" t="s">
        <v>354</v>
      </c>
      <c r="AU1" s="44"/>
      <c r="AV1" s="44"/>
      <c r="AW1" s="44"/>
      <c r="AX1" s="44"/>
      <c r="AY1" s="44"/>
      <c r="AZ1" s="44"/>
      <c r="BA1" s="44"/>
      <c r="BB1" s="44"/>
      <c r="BC1" s="45"/>
      <c r="BD1" s="43" t="s">
        <v>355</v>
      </c>
      <c r="BE1" s="44"/>
      <c r="BF1" s="44"/>
      <c r="BG1" s="44"/>
      <c r="BH1" s="45"/>
    </row>
    <row r="2" spans="1:60" ht="42.95" customHeight="1">
      <c r="A2" s="47"/>
      <c r="B2" s="47"/>
      <c r="C2" s="47"/>
      <c r="D2" s="47"/>
      <c r="E2" s="29" t="s">
        <v>356</v>
      </c>
      <c r="F2" s="29" t="s">
        <v>6</v>
      </c>
      <c r="G2" s="29" t="s">
        <v>357</v>
      </c>
      <c r="H2" s="29" t="s">
        <v>358</v>
      </c>
      <c r="I2" s="29" t="s">
        <v>359</v>
      </c>
      <c r="J2" s="29" t="s">
        <v>360</v>
      </c>
      <c r="K2" s="30" t="s">
        <v>361</v>
      </c>
      <c r="L2" s="29" t="s">
        <v>362</v>
      </c>
      <c r="M2" s="29" t="s">
        <v>363</v>
      </c>
      <c r="N2" s="29" t="s">
        <v>364</v>
      </c>
      <c r="O2" s="29" t="s">
        <v>365</v>
      </c>
      <c r="P2" s="29" t="s">
        <v>366</v>
      </c>
      <c r="Q2" s="29" t="s">
        <v>367</v>
      </c>
      <c r="R2" s="29" t="s">
        <v>368</v>
      </c>
      <c r="S2" s="29" t="s">
        <v>369</v>
      </c>
      <c r="T2" s="29" t="s">
        <v>370</v>
      </c>
      <c r="U2" s="29" t="s">
        <v>371</v>
      </c>
      <c r="V2" s="29" t="s">
        <v>372</v>
      </c>
      <c r="W2" s="29" t="s">
        <v>11</v>
      </c>
      <c r="X2" s="29" t="s">
        <v>373</v>
      </c>
      <c r="Y2" s="29" t="s">
        <v>374</v>
      </c>
      <c r="Z2" s="29" t="s">
        <v>375</v>
      </c>
      <c r="AA2" s="29" t="s">
        <v>376</v>
      </c>
      <c r="AB2" s="29" t="s">
        <v>377</v>
      </c>
      <c r="AC2" s="29" t="s">
        <v>378</v>
      </c>
      <c r="AD2" s="29" t="s">
        <v>379</v>
      </c>
      <c r="AE2" s="29" t="s">
        <v>380</v>
      </c>
      <c r="AF2" s="29" t="s">
        <v>381</v>
      </c>
      <c r="AG2" s="29" t="s">
        <v>382</v>
      </c>
      <c r="AH2" s="29" t="s">
        <v>383</v>
      </c>
      <c r="AI2" s="29" t="s">
        <v>384</v>
      </c>
      <c r="AJ2" s="29" t="s">
        <v>385</v>
      </c>
      <c r="AK2" s="29" t="s">
        <v>386</v>
      </c>
      <c r="AL2" s="29" t="s">
        <v>387</v>
      </c>
      <c r="AM2" s="29" t="s">
        <v>388</v>
      </c>
      <c r="AN2" s="29" t="s">
        <v>389</v>
      </c>
      <c r="AO2" s="29" t="s">
        <v>390</v>
      </c>
      <c r="AP2" s="29" t="s">
        <v>391</v>
      </c>
      <c r="AQ2" s="29" t="s">
        <v>392</v>
      </c>
      <c r="AR2" s="29" t="s">
        <v>393</v>
      </c>
      <c r="AS2" s="29" t="s">
        <v>394</v>
      </c>
      <c r="AT2" s="29" t="s">
        <v>395</v>
      </c>
      <c r="AU2" s="29" t="s">
        <v>396</v>
      </c>
      <c r="AV2" s="29" t="s">
        <v>397</v>
      </c>
      <c r="AW2" s="29" t="s">
        <v>398</v>
      </c>
      <c r="AX2" s="29" t="s">
        <v>399</v>
      </c>
      <c r="AY2" s="29" t="s">
        <v>400</v>
      </c>
      <c r="AZ2" s="29" t="s">
        <v>401</v>
      </c>
      <c r="BA2" s="29" t="s">
        <v>402</v>
      </c>
      <c r="BB2" s="29" t="s">
        <v>403</v>
      </c>
      <c r="BC2" s="29" t="s">
        <v>404</v>
      </c>
      <c r="BD2" s="29" t="s">
        <v>405</v>
      </c>
      <c r="BE2" s="29" t="s">
        <v>406</v>
      </c>
      <c r="BF2" s="29" t="s">
        <v>407</v>
      </c>
      <c r="BG2" s="29" t="s">
        <v>408</v>
      </c>
      <c r="BH2" s="29" t="s">
        <v>409</v>
      </c>
    </row>
    <row r="3" spans="1:60" ht="19.5" customHeight="1">
      <c r="A3" s="46" t="s">
        <v>22</v>
      </c>
      <c r="B3" s="44"/>
      <c r="C3" s="44"/>
      <c r="D3" s="45"/>
      <c r="E3" s="31">
        <v>224986</v>
      </c>
      <c r="F3" s="31">
        <v>177822</v>
      </c>
      <c r="G3" s="32">
        <v>0.79036917852666388</v>
      </c>
      <c r="H3" s="31">
        <v>96429</v>
      </c>
      <c r="I3" s="33">
        <v>0.42859999999999998</v>
      </c>
      <c r="J3" s="31">
        <v>169995</v>
      </c>
      <c r="K3" s="31">
        <v>160861</v>
      </c>
      <c r="L3" s="32">
        <v>0.94599999999999995</v>
      </c>
      <c r="M3" s="31">
        <v>206708</v>
      </c>
      <c r="N3" s="31">
        <v>1736</v>
      </c>
      <c r="O3" s="31">
        <v>193312</v>
      </c>
      <c r="P3" s="32">
        <v>0.93519360644000227</v>
      </c>
      <c r="Q3" s="31">
        <v>780</v>
      </c>
      <c r="R3" s="31">
        <v>377367</v>
      </c>
      <c r="S3" s="31">
        <v>179971</v>
      </c>
      <c r="T3" s="32">
        <v>0.47691239562547871</v>
      </c>
      <c r="U3" s="31">
        <v>45190</v>
      </c>
      <c r="V3" s="32">
        <v>0.11975079961946861</v>
      </c>
      <c r="W3" s="31">
        <v>26034</v>
      </c>
      <c r="X3" s="32">
        <v>0.115713866640591</v>
      </c>
      <c r="Y3" s="31">
        <v>29678</v>
      </c>
      <c r="Z3" s="34">
        <v>0.13191042998231001</v>
      </c>
      <c r="AA3" s="31">
        <v>2720</v>
      </c>
      <c r="AB3" s="32">
        <v>1.2089641133226071E-2</v>
      </c>
      <c r="AC3" s="31">
        <v>40577</v>
      </c>
      <c r="AD3" s="32">
        <v>0.18035344421430671</v>
      </c>
      <c r="AE3" s="31">
        <v>1556</v>
      </c>
      <c r="AF3" s="32">
        <v>3.834684673583557E-2</v>
      </c>
      <c r="AG3" s="31">
        <v>17205</v>
      </c>
      <c r="AH3" s="32">
        <v>0.42400867486507132</v>
      </c>
      <c r="AI3" s="35">
        <v>35932</v>
      </c>
      <c r="AJ3" s="32">
        <v>0.15970771514672019</v>
      </c>
      <c r="AK3" s="35">
        <v>669</v>
      </c>
      <c r="AL3" s="32">
        <v>0.81186685962373373</v>
      </c>
      <c r="AM3" s="35">
        <v>34821</v>
      </c>
      <c r="AN3" s="35">
        <v>29172</v>
      </c>
      <c r="AO3" s="32">
        <v>0.12966140115384961</v>
      </c>
      <c r="AP3" s="32">
        <v>0.71892944278778614</v>
      </c>
      <c r="AQ3" s="33">
        <v>0.15254237288135589</v>
      </c>
      <c r="AR3" s="33">
        <v>0</v>
      </c>
      <c r="AS3" s="33">
        <v>0</v>
      </c>
      <c r="AT3" s="35">
        <v>0</v>
      </c>
      <c r="AU3" s="35">
        <v>0</v>
      </c>
      <c r="AV3" s="35">
        <v>5233</v>
      </c>
      <c r="AW3" s="35">
        <v>4330</v>
      </c>
      <c r="AX3" s="35">
        <v>4447</v>
      </c>
      <c r="AY3" s="35">
        <v>6416</v>
      </c>
      <c r="AZ3" s="32">
        <v>1.9245641951054729E-2</v>
      </c>
      <c r="BA3" s="32">
        <v>1.9765674308623651E-2</v>
      </c>
      <c r="BB3" s="32">
        <v>2.8517329967197962E-2</v>
      </c>
      <c r="BC3" s="32">
        <v>0.15244069655834361</v>
      </c>
      <c r="BD3" s="35">
        <v>0</v>
      </c>
      <c r="BE3" s="35">
        <v>68</v>
      </c>
      <c r="BF3" s="33">
        <v>0.94450317124735728</v>
      </c>
      <c r="BG3" s="33">
        <v>0.97180043383947934</v>
      </c>
      <c r="BH3" s="33">
        <v>0.96863090002931695</v>
      </c>
    </row>
    <row r="4" spans="1:60" ht="19.5" customHeight="1">
      <c r="A4" s="36">
        <v>1</v>
      </c>
      <c r="B4" s="31" t="s">
        <v>410</v>
      </c>
      <c r="C4" s="37">
        <v>45839</v>
      </c>
      <c r="D4" s="31" t="s">
        <v>335</v>
      </c>
      <c r="E4" s="31">
        <v>51</v>
      </c>
      <c r="F4" s="31">
        <v>48</v>
      </c>
      <c r="G4" s="32">
        <v>0.94117647058823528</v>
      </c>
      <c r="H4" s="31">
        <v>27</v>
      </c>
      <c r="I4" s="33">
        <v>0.52941176470588236</v>
      </c>
      <c r="J4" s="31">
        <v>28</v>
      </c>
      <c r="K4" s="31">
        <v>26</v>
      </c>
      <c r="L4" s="32">
        <v>0.92900000000000005</v>
      </c>
      <c r="M4" s="31">
        <v>47</v>
      </c>
      <c r="N4" s="31">
        <v>0</v>
      </c>
      <c r="O4" s="31">
        <v>43</v>
      </c>
      <c r="P4" s="32">
        <v>0.91489361702127658</v>
      </c>
      <c r="Q4" s="31">
        <v>0</v>
      </c>
      <c r="R4" s="31">
        <v>0</v>
      </c>
      <c r="S4" s="31">
        <v>0</v>
      </c>
      <c r="T4" s="32">
        <v>0</v>
      </c>
      <c r="U4" s="31">
        <v>0</v>
      </c>
      <c r="V4" s="32">
        <v>0</v>
      </c>
      <c r="W4" s="31">
        <v>0</v>
      </c>
      <c r="X4" s="32">
        <v>0</v>
      </c>
      <c r="Y4" s="31">
        <v>0</v>
      </c>
      <c r="Z4" s="34">
        <v>0</v>
      </c>
      <c r="AA4" s="31">
        <v>0</v>
      </c>
      <c r="AB4" s="32">
        <v>0</v>
      </c>
      <c r="AC4" s="31">
        <v>11</v>
      </c>
      <c r="AD4" s="32">
        <v>0.2156862745098039</v>
      </c>
      <c r="AE4" s="31">
        <v>1</v>
      </c>
      <c r="AF4" s="32">
        <v>9.0909090909090912E-2</v>
      </c>
      <c r="AG4" s="31">
        <v>8</v>
      </c>
      <c r="AH4" s="32">
        <v>0.72727272727272729</v>
      </c>
      <c r="AI4" s="35">
        <v>0</v>
      </c>
      <c r="AJ4" s="32">
        <v>0</v>
      </c>
      <c r="AK4" s="35">
        <v>0</v>
      </c>
      <c r="AL4" s="32">
        <v>0</v>
      </c>
      <c r="AM4" s="35">
        <v>0</v>
      </c>
      <c r="AN4" s="35">
        <v>0</v>
      </c>
      <c r="AO4" s="32">
        <v>0</v>
      </c>
      <c r="AP4" s="32">
        <v>0</v>
      </c>
      <c r="AQ4" s="33"/>
      <c r="AR4" s="33" t="s">
        <v>411</v>
      </c>
      <c r="AS4" s="33" t="s">
        <v>411</v>
      </c>
      <c r="AT4" s="35">
        <v>0</v>
      </c>
      <c r="AU4" s="35">
        <v>0</v>
      </c>
      <c r="AV4" s="35">
        <v>0</v>
      </c>
      <c r="AW4" s="35">
        <v>0</v>
      </c>
      <c r="AX4" s="35">
        <v>0</v>
      </c>
      <c r="AY4" s="35">
        <v>0</v>
      </c>
      <c r="AZ4" s="32">
        <v>0</v>
      </c>
      <c r="BA4" s="32">
        <v>0</v>
      </c>
      <c r="BB4" s="32">
        <v>0</v>
      </c>
      <c r="BC4" s="32">
        <v>0</v>
      </c>
      <c r="BD4" s="35">
        <v>0</v>
      </c>
      <c r="BE4" s="35">
        <v>0</v>
      </c>
      <c r="BF4" s="33" t="s">
        <v>412</v>
      </c>
      <c r="BG4" s="33" t="s">
        <v>412</v>
      </c>
      <c r="BH4" s="33" t="s">
        <v>412</v>
      </c>
    </row>
    <row r="5" spans="1:60" ht="19.5" customHeight="1">
      <c r="A5" s="36">
        <v>2</v>
      </c>
      <c r="B5" s="31" t="s">
        <v>410</v>
      </c>
      <c r="C5" s="37">
        <v>45839</v>
      </c>
      <c r="D5" s="31" t="s">
        <v>334</v>
      </c>
      <c r="E5" s="31">
        <v>5457</v>
      </c>
      <c r="F5" s="31">
        <v>4253</v>
      </c>
      <c r="G5" s="32">
        <v>0.77936595198827197</v>
      </c>
      <c r="H5" s="31">
        <v>2366</v>
      </c>
      <c r="I5" s="33">
        <v>0.43357155946490739</v>
      </c>
      <c r="J5" s="31">
        <v>4444</v>
      </c>
      <c r="K5" s="31">
        <v>4105</v>
      </c>
      <c r="L5" s="32">
        <v>0.92400000000000004</v>
      </c>
      <c r="M5" s="31">
        <v>5613</v>
      </c>
      <c r="N5" s="31">
        <v>0</v>
      </c>
      <c r="O5" s="31">
        <v>5148</v>
      </c>
      <c r="P5" s="32">
        <v>0.917156600748263</v>
      </c>
      <c r="Q5" s="31">
        <v>57</v>
      </c>
      <c r="R5" s="31">
        <v>0</v>
      </c>
      <c r="S5" s="31">
        <v>0</v>
      </c>
      <c r="T5" s="32">
        <v>0</v>
      </c>
      <c r="U5" s="31">
        <v>0</v>
      </c>
      <c r="V5" s="32">
        <v>0</v>
      </c>
      <c r="W5" s="31">
        <v>608</v>
      </c>
      <c r="X5" s="32">
        <v>0.11141652922851381</v>
      </c>
      <c r="Y5" s="31">
        <v>910</v>
      </c>
      <c r="Z5" s="34">
        <v>0.1667582921018875</v>
      </c>
      <c r="AA5" s="31">
        <v>4</v>
      </c>
      <c r="AB5" s="32">
        <v>7.3300348176653842E-4</v>
      </c>
      <c r="AC5" s="31">
        <v>940</v>
      </c>
      <c r="AD5" s="32">
        <v>0.1722558182151365</v>
      </c>
      <c r="AE5" s="31">
        <v>16</v>
      </c>
      <c r="AF5" s="32">
        <v>1.7021276595744681E-2</v>
      </c>
      <c r="AG5" s="31">
        <v>349</v>
      </c>
      <c r="AH5" s="32">
        <v>0.37127659574468092</v>
      </c>
      <c r="AI5" s="35">
        <v>812</v>
      </c>
      <c r="AJ5" s="32">
        <v>0.1487997067986073</v>
      </c>
      <c r="AK5" s="35">
        <v>6</v>
      </c>
      <c r="AL5" s="32">
        <v>0.88054187192118227</v>
      </c>
      <c r="AM5" s="35">
        <v>803</v>
      </c>
      <c r="AN5" s="35">
        <v>715</v>
      </c>
      <c r="AO5" s="32">
        <v>0.13102437236576869</v>
      </c>
      <c r="AP5" s="32">
        <v>0.76063829787234039</v>
      </c>
      <c r="AQ5" s="33">
        <v>0</v>
      </c>
      <c r="AR5" s="33" t="s">
        <v>411</v>
      </c>
      <c r="AS5" s="33">
        <v>0</v>
      </c>
      <c r="AT5" s="35">
        <v>0</v>
      </c>
      <c r="AU5" s="35">
        <v>0</v>
      </c>
      <c r="AV5" s="35">
        <v>63</v>
      </c>
      <c r="AW5" s="35">
        <v>-1</v>
      </c>
      <c r="AX5" s="35">
        <v>155</v>
      </c>
      <c r="AY5" s="35">
        <v>229</v>
      </c>
      <c r="AZ5" s="32">
        <v>-1.8325087044163461E-4</v>
      </c>
      <c r="BA5" s="32">
        <v>2.8403884918453359E-2</v>
      </c>
      <c r="BB5" s="32">
        <v>4.1964449331134322E-2</v>
      </c>
      <c r="BC5" s="32">
        <v>0.2167832167832168</v>
      </c>
      <c r="BD5" s="35">
        <v>0</v>
      </c>
      <c r="BE5" s="35">
        <v>3</v>
      </c>
      <c r="BF5" s="33">
        <v>0.83333333333333337</v>
      </c>
      <c r="BG5" s="33">
        <v>1</v>
      </c>
      <c r="BH5" s="33">
        <v>0.97272727272727277</v>
      </c>
    </row>
    <row r="6" spans="1:60" ht="19.5" customHeight="1">
      <c r="A6" s="36">
        <v>3</v>
      </c>
      <c r="B6" s="31" t="s">
        <v>410</v>
      </c>
      <c r="C6" s="37">
        <v>45839</v>
      </c>
      <c r="D6" s="31" t="s">
        <v>337</v>
      </c>
      <c r="E6" s="31">
        <v>115</v>
      </c>
      <c r="F6" s="31">
        <v>102</v>
      </c>
      <c r="G6" s="32">
        <v>0.88695652173913042</v>
      </c>
      <c r="H6" s="31">
        <v>41</v>
      </c>
      <c r="I6" s="33">
        <v>0.35652173913043478</v>
      </c>
      <c r="J6" s="31">
        <v>49</v>
      </c>
      <c r="K6" s="31">
        <v>44</v>
      </c>
      <c r="L6" s="32">
        <v>0.89800000000000002</v>
      </c>
      <c r="M6" s="31">
        <v>72</v>
      </c>
      <c r="N6" s="31">
        <v>0</v>
      </c>
      <c r="O6" s="31">
        <v>66</v>
      </c>
      <c r="P6" s="32">
        <v>0.91666666666666663</v>
      </c>
      <c r="Q6" s="31">
        <v>0</v>
      </c>
      <c r="R6" s="31">
        <v>0</v>
      </c>
      <c r="S6" s="31">
        <v>0</v>
      </c>
      <c r="T6" s="32">
        <v>0</v>
      </c>
      <c r="U6" s="31">
        <v>0</v>
      </c>
      <c r="V6" s="32">
        <v>0</v>
      </c>
      <c r="W6" s="31">
        <v>0</v>
      </c>
      <c r="X6" s="32">
        <v>0</v>
      </c>
      <c r="Y6" s="31">
        <v>0</v>
      </c>
      <c r="Z6" s="34">
        <v>0</v>
      </c>
      <c r="AA6" s="31">
        <v>0</v>
      </c>
      <c r="AB6" s="32">
        <v>0</v>
      </c>
      <c r="AC6" s="31">
        <v>24</v>
      </c>
      <c r="AD6" s="32">
        <v>0.208695652173913</v>
      </c>
      <c r="AE6" s="31">
        <v>1</v>
      </c>
      <c r="AF6" s="32">
        <v>4.1666666666666657E-2</v>
      </c>
      <c r="AG6" s="31">
        <v>17</v>
      </c>
      <c r="AH6" s="32">
        <v>0.70833333333333337</v>
      </c>
      <c r="AI6" s="35">
        <v>0</v>
      </c>
      <c r="AJ6" s="32">
        <v>0</v>
      </c>
      <c r="AK6" s="35">
        <v>0</v>
      </c>
      <c r="AL6" s="32">
        <v>0</v>
      </c>
      <c r="AM6" s="35">
        <v>0</v>
      </c>
      <c r="AN6" s="35">
        <v>0</v>
      </c>
      <c r="AO6" s="32">
        <v>0</v>
      </c>
      <c r="AP6" s="32">
        <v>0</v>
      </c>
      <c r="AQ6" s="33"/>
      <c r="AR6" s="33" t="s">
        <v>411</v>
      </c>
      <c r="AS6" s="33" t="s">
        <v>411</v>
      </c>
      <c r="AT6" s="35">
        <v>0</v>
      </c>
      <c r="AU6" s="35">
        <v>0</v>
      </c>
      <c r="AV6" s="35">
        <v>0</v>
      </c>
      <c r="AW6" s="35">
        <v>0</v>
      </c>
      <c r="AX6" s="35">
        <v>0</v>
      </c>
      <c r="AY6" s="35">
        <v>0</v>
      </c>
      <c r="AZ6" s="32">
        <v>0</v>
      </c>
      <c r="BA6" s="32">
        <v>0</v>
      </c>
      <c r="BB6" s="32">
        <v>0</v>
      </c>
      <c r="BC6" s="32">
        <v>0</v>
      </c>
      <c r="BD6" s="35">
        <v>0</v>
      </c>
      <c r="BE6" s="35">
        <v>0</v>
      </c>
      <c r="BF6" s="33" t="s">
        <v>412</v>
      </c>
      <c r="BG6" s="33" t="s">
        <v>412</v>
      </c>
      <c r="BH6" s="33" t="s">
        <v>412</v>
      </c>
    </row>
    <row r="7" spans="1:60" ht="19.5" customHeight="1">
      <c r="A7" s="36">
        <v>4</v>
      </c>
      <c r="B7" s="31" t="s">
        <v>410</v>
      </c>
      <c r="C7" s="37">
        <v>45839</v>
      </c>
      <c r="D7" s="31" t="s">
        <v>336</v>
      </c>
      <c r="E7" s="31">
        <v>53</v>
      </c>
      <c r="F7" s="31">
        <v>49</v>
      </c>
      <c r="G7" s="32">
        <v>0.92452830188679247</v>
      </c>
      <c r="H7" s="31">
        <v>34</v>
      </c>
      <c r="I7" s="33">
        <v>0.64150943396226412</v>
      </c>
      <c r="J7" s="31">
        <v>30</v>
      </c>
      <c r="K7" s="31">
        <v>26</v>
      </c>
      <c r="L7" s="32">
        <v>0.86699999999999999</v>
      </c>
      <c r="M7" s="31">
        <v>51</v>
      </c>
      <c r="N7" s="31">
        <v>0</v>
      </c>
      <c r="O7" s="31">
        <v>47</v>
      </c>
      <c r="P7" s="32">
        <v>0.92156862745098034</v>
      </c>
      <c r="Q7" s="31">
        <v>0</v>
      </c>
      <c r="R7" s="31">
        <v>0</v>
      </c>
      <c r="S7" s="31">
        <v>0</v>
      </c>
      <c r="T7" s="32">
        <v>0</v>
      </c>
      <c r="U7" s="31">
        <v>0</v>
      </c>
      <c r="V7" s="32">
        <v>0</v>
      </c>
      <c r="W7" s="31">
        <v>0</v>
      </c>
      <c r="X7" s="32">
        <v>0</v>
      </c>
      <c r="Y7" s="31">
        <v>0</v>
      </c>
      <c r="Z7" s="34">
        <v>0</v>
      </c>
      <c r="AA7" s="31">
        <v>0</v>
      </c>
      <c r="AB7" s="32">
        <v>0</v>
      </c>
      <c r="AC7" s="31">
        <v>18</v>
      </c>
      <c r="AD7" s="32">
        <v>0.33962264150943389</v>
      </c>
      <c r="AE7" s="31">
        <v>0</v>
      </c>
      <c r="AF7" s="32">
        <v>0</v>
      </c>
      <c r="AG7" s="31">
        <v>16</v>
      </c>
      <c r="AH7" s="32">
        <v>0.88888888888888884</v>
      </c>
      <c r="AI7" s="35">
        <v>0</v>
      </c>
      <c r="AJ7" s="32">
        <v>0</v>
      </c>
      <c r="AK7" s="35">
        <v>0</v>
      </c>
      <c r="AL7" s="32">
        <v>0</v>
      </c>
      <c r="AM7" s="35">
        <v>0</v>
      </c>
      <c r="AN7" s="35">
        <v>0</v>
      </c>
      <c r="AO7" s="32">
        <v>0</v>
      </c>
      <c r="AP7" s="32">
        <v>0</v>
      </c>
      <c r="AQ7" s="33"/>
      <c r="AR7" s="33" t="s">
        <v>411</v>
      </c>
      <c r="AS7" s="33" t="s">
        <v>411</v>
      </c>
      <c r="AT7" s="35">
        <v>0</v>
      </c>
      <c r="AU7" s="35">
        <v>0</v>
      </c>
      <c r="AV7" s="35">
        <v>0</v>
      </c>
      <c r="AW7" s="35">
        <v>0</v>
      </c>
      <c r="AX7" s="35">
        <v>0</v>
      </c>
      <c r="AY7" s="35">
        <v>0</v>
      </c>
      <c r="AZ7" s="32">
        <v>0</v>
      </c>
      <c r="BA7" s="32">
        <v>0</v>
      </c>
      <c r="BB7" s="32">
        <v>0</v>
      </c>
      <c r="BC7" s="32">
        <v>0</v>
      </c>
      <c r="BD7" s="35">
        <v>0</v>
      </c>
      <c r="BE7" s="35">
        <v>0</v>
      </c>
      <c r="BF7" s="33" t="s">
        <v>412</v>
      </c>
      <c r="BG7" s="33" t="s">
        <v>412</v>
      </c>
      <c r="BH7" s="33" t="s">
        <v>412</v>
      </c>
    </row>
    <row r="8" spans="1:60" ht="19.5" customHeight="1">
      <c r="A8" s="36">
        <v>5</v>
      </c>
      <c r="B8" s="31" t="s">
        <v>410</v>
      </c>
      <c r="C8" s="37">
        <v>45840</v>
      </c>
      <c r="D8" s="31" t="s">
        <v>413</v>
      </c>
      <c r="E8" s="31">
        <v>1</v>
      </c>
      <c r="F8" s="31">
        <v>1</v>
      </c>
      <c r="G8" s="32">
        <v>1</v>
      </c>
      <c r="H8" s="31">
        <v>0</v>
      </c>
      <c r="I8" s="33">
        <v>0</v>
      </c>
      <c r="J8" s="31">
        <v>0</v>
      </c>
      <c r="K8" s="31">
        <v>0</v>
      </c>
      <c r="L8" s="32">
        <v>0</v>
      </c>
      <c r="M8" s="31">
        <v>0</v>
      </c>
      <c r="N8" s="31">
        <v>0</v>
      </c>
      <c r="O8" s="31">
        <v>0</v>
      </c>
      <c r="P8" s="32">
        <v>0</v>
      </c>
      <c r="Q8" s="31">
        <v>0</v>
      </c>
      <c r="R8" s="31">
        <v>0</v>
      </c>
      <c r="S8" s="31">
        <v>0</v>
      </c>
      <c r="T8" s="32">
        <v>0</v>
      </c>
      <c r="U8" s="31">
        <v>0</v>
      </c>
      <c r="V8" s="32">
        <v>0</v>
      </c>
      <c r="W8" s="31">
        <v>0</v>
      </c>
      <c r="X8" s="32">
        <v>0</v>
      </c>
      <c r="Y8" s="31">
        <v>0</v>
      </c>
      <c r="Z8" s="34">
        <v>0</v>
      </c>
      <c r="AA8" s="31">
        <v>0</v>
      </c>
      <c r="AB8" s="32">
        <v>0</v>
      </c>
      <c r="AC8" s="31">
        <v>0</v>
      </c>
      <c r="AD8" s="32">
        <v>0</v>
      </c>
      <c r="AE8" s="31">
        <v>0</v>
      </c>
      <c r="AF8" s="32">
        <v>0</v>
      </c>
      <c r="AG8" s="31">
        <v>0</v>
      </c>
      <c r="AH8" s="32">
        <v>0</v>
      </c>
      <c r="AI8" s="35">
        <v>0</v>
      </c>
      <c r="AJ8" s="32">
        <v>0</v>
      </c>
      <c r="AK8" s="35">
        <v>0</v>
      </c>
      <c r="AL8" s="32">
        <v>0</v>
      </c>
      <c r="AM8" s="35">
        <v>0</v>
      </c>
      <c r="AN8" s="35">
        <v>0</v>
      </c>
      <c r="AO8" s="32">
        <v>0</v>
      </c>
      <c r="AP8" s="32">
        <v>0</v>
      </c>
      <c r="AQ8" s="33"/>
      <c r="AR8" s="33" t="s">
        <v>411</v>
      </c>
      <c r="AS8" s="33" t="s">
        <v>411</v>
      </c>
      <c r="AT8" s="35">
        <v>0</v>
      </c>
      <c r="AU8" s="35">
        <v>0</v>
      </c>
      <c r="AV8" s="35">
        <v>0</v>
      </c>
      <c r="AW8" s="35">
        <v>0</v>
      </c>
      <c r="AX8" s="35">
        <v>0</v>
      </c>
      <c r="AY8" s="35">
        <v>0</v>
      </c>
      <c r="AZ8" s="32">
        <v>0</v>
      </c>
      <c r="BA8" s="32">
        <v>0</v>
      </c>
      <c r="BB8" s="32">
        <v>0</v>
      </c>
      <c r="BC8" s="32">
        <v>0</v>
      </c>
      <c r="BD8" s="35">
        <v>0</v>
      </c>
      <c r="BE8" s="35">
        <v>0</v>
      </c>
      <c r="BF8" s="33" t="s">
        <v>412</v>
      </c>
      <c r="BG8" s="33" t="s">
        <v>412</v>
      </c>
      <c r="BH8" s="33" t="s">
        <v>412</v>
      </c>
    </row>
    <row r="9" spans="1:60" ht="19.5" customHeight="1">
      <c r="A9" s="36">
        <v>6</v>
      </c>
      <c r="B9" s="31" t="s">
        <v>410</v>
      </c>
      <c r="C9" s="37">
        <v>45840</v>
      </c>
      <c r="D9" s="31" t="s">
        <v>335</v>
      </c>
      <c r="E9" s="31">
        <v>51</v>
      </c>
      <c r="F9" s="31">
        <v>50</v>
      </c>
      <c r="G9" s="32">
        <v>0.98039215686274506</v>
      </c>
      <c r="H9" s="31">
        <v>26</v>
      </c>
      <c r="I9" s="33">
        <v>0.50980392156862742</v>
      </c>
      <c r="J9" s="31">
        <v>20</v>
      </c>
      <c r="K9" s="31">
        <v>20</v>
      </c>
      <c r="L9" s="32">
        <v>1</v>
      </c>
      <c r="M9" s="31">
        <v>35</v>
      </c>
      <c r="N9" s="31">
        <v>0</v>
      </c>
      <c r="O9" s="31">
        <v>35</v>
      </c>
      <c r="P9" s="32">
        <v>1</v>
      </c>
      <c r="Q9" s="31">
        <v>0</v>
      </c>
      <c r="R9" s="31">
        <v>0</v>
      </c>
      <c r="S9" s="31">
        <v>0</v>
      </c>
      <c r="T9" s="32">
        <v>0</v>
      </c>
      <c r="U9" s="31">
        <v>0</v>
      </c>
      <c r="V9" s="32">
        <v>0</v>
      </c>
      <c r="W9" s="31">
        <v>0</v>
      </c>
      <c r="X9" s="32">
        <v>0</v>
      </c>
      <c r="Y9" s="31">
        <v>0</v>
      </c>
      <c r="Z9" s="34">
        <v>0</v>
      </c>
      <c r="AA9" s="31">
        <v>0</v>
      </c>
      <c r="AB9" s="32">
        <v>0</v>
      </c>
      <c r="AC9" s="31">
        <v>17</v>
      </c>
      <c r="AD9" s="32">
        <v>0.33333333333333331</v>
      </c>
      <c r="AE9" s="31">
        <v>0</v>
      </c>
      <c r="AF9" s="32">
        <v>0</v>
      </c>
      <c r="AG9" s="31">
        <v>10</v>
      </c>
      <c r="AH9" s="32">
        <v>0.58823529411764708</v>
      </c>
      <c r="AI9" s="35">
        <v>0</v>
      </c>
      <c r="AJ9" s="32">
        <v>0</v>
      </c>
      <c r="AK9" s="35">
        <v>0</v>
      </c>
      <c r="AL9" s="32">
        <v>0</v>
      </c>
      <c r="AM9" s="35">
        <v>0</v>
      </c>
      <c r="AN9" s="35">
        <v>0</v>
      </c>
      <c r="AO9" s="32">
        <v>0</v>
      </c>
      <c r="AP9" s="32">
        <v>0</v>
      </c>
      <c r="AQ9" s="33"/>
      <c r="AR9" s="33" t="s">
        <v>411</v>
      </c>
      <c r="AS9" s="33" t="s">
        <v>411</v>
      </c>
      <c r="AT9" s="35">
        <v>0</v>
      </c>
      <c r="AU9" s="35">
        <v>0</v>
      </c>
      <c r="AV9" s="35">
        <v>0</v>
      </c>
      <c r="AW9" s="35">
        <v>0</v>
      </c>
      <c r="AX9" s="35">
        <v>0</v>
      </c>
      <c r="AY9" s="35">
        <v>0</v>
      </c>
      <c r="AZ9" s="32">
        <v>0</v>
      </c>
      <c r="BA9" s="32">
        <v>0</v>
      </c>
      <c r="BB9" s="32">
        <v>0</v>
      </c>
      <c r="BC9" s="32">
        <v>0</v>
      </c>
      <c r="BD9" s="35">
        <v>0</v>
      </c>
      <c r="BE9" s="35">
        <v>0</v>
      </c>
      <c r="BF9" s="33" t="s">
        <v>412</v>
      </c>
      <c r="BG9" s="33" t="s">
        <v>412</v>
      </c>
      <c r="BH9" s="33" t="s">
        <v>412</v>
      </c>
    </row>
    <row r="10" spans="1:60" ht="19.5" customHeight="1">
      <c r="A10" s="36">
        <v>7</v>
      </c>
      <c r="B10" s="31" t="s">
        <v>410</v>
      </c>
      <c r="C10" s="37">
        <v>45840</v>
      </c>
      <c r="D10" s="31" t="s">
        <v>334</v>
      </c>
      <c r="E10" s="31">
        <v>5327</v>
      </c>
      <c r="F10" s="31">
        <v>4295</v>
      </c>
      <c r="G10" s="32">
        <v>0.80626994556035292</v>
      </c>
      <c r="H10" s="31">
        <v>2276</v>
      </c>
      <c r="I10" s="33">
        <v>0.42725736812464798</v>
      </c>
      <c r="J10" s="31">
        <v>4427</v>
      </c>
      <c r="K10" s="31">
        <v>4126</v>
      </c>
      <c r="L10" s="32">
        <v>0.93200000000000005</v>
      </c>
      <c r="M10" s="31">
        <v>5265</v>
      </c>
      <c r="N10" s="31">
        <v>0</v>
      </c>
      <c r="O10" s="31">
        <v>4857</v>
      </c>
      <c r="P10" s="32">
        <v>0.92250712250712252</v>
      </c>
      <c r="Q10" s="31">
        <v>50</v>
      </c>
      <c r="R10" s="31">
        <v>0</v>
      </c>
      <c r="S10" s="31">
        <v>0</v>
      </c>
      <c r="T10" s="32">
        <v>0</v>
      </c>
      <c r="U10" s="31">
        <v>0</v>
      </c>
      <c r="V10" s="32">
        <v>0</v>
      </c>
      <c r="W10" s="31">
        <v>671</v>
      </c>
      <c r="X10" s="32">
        <v>0.12596207996996431</v>
      </c>
      <c r="Y10" s="31">
        <v>892</v>
      </c>
      <c r="Z10" s="34">
        <v>0.16744884550403599</v>
      </c>
      <c r="AA10" s="31">
        <v>21</v>
      </c>
      <c r="AB10" s="32">
        <v>3.9421813403416554E-3</v>
      </c>
      <c r="AC10" s="31">
        <v>719</v>
      </c>
      <c r="AD10" s="32">
        <v>0.13497278017645961</v>
      </c>
      <c r="AE10" s="31">
        <v>13</v>
      </c>
      <c r="AF10" s="32">
        <v>1.8080667593880391E-2</v>
      </c>
      <c r="AG10" s="31">
        <v>260</v>
      </c>
      <c r="AH10" s="32">
        <v>0.36161335187760779</v>
      </c>
      <c r="AI10" s="35">
        <v>472</v>
      </c>
      <c r="AJ10" s="32">
        <v>8.8605218697202934E-2</v>
      </c>
      <c r="AK10" s="35">
        <v>6</v>
      </c>
      <c r="AL10" s="32">
        <v>0.53601694915254239</v>
      </c>
      <c r="AM10" s="35">
        <v>307</v>
      </c>
      <c r="AN10" s="35">
        <v>253</v>
      </c>
      <c r="AO10" s="32">
        <v>4.7493899005068521E-2</v>
      </c>
      <c r="AP10" s="32">
        <v>0.35187760778859528</v>
      </c>
      <c r="AQ10" s="33">
        <v>0</v>
      </c>
      <c r="AR10" s="33" t="s">
        <v>411</v>
      </c>
      <c r="AS10" s="33">
        <v>0</v>
      </c>
      <c r="AT10" s="35">
        <v>0</v>
      </c>
      <c r="AU10" s="35">
        <v>0</v>
      </c>
      <c r="AV10" s="35">
        <v>75</v>
      </c>
      <c r="AW10" s="35">
        <v>23</v>
      </c>
      <c r="AX10" s="35">
        <v>97</v>
      </c>
      <c r="AY10" s="35">
        <v>248</v>
      </c>
      <c r="AZ10" s="32">
        <v>4.3176271822789559E-3</v>
      </c>
      <c r="BA10" s="32">
        <v>1.820912333395908E-2</v>
      </c>
      <c r="BB10" s="32">
        <v>4.6555284400225258E-2</v>
      </c>
      <c r="BC10" s="32">
        <v>0.38339920948616601</v>
      </c>
      <c r="BD10" s="35">
        <v>0</v>
      </c>
      <c r="BE10" s="35">
        <v>4</v>
      </c>
      <c r="BF10" s="33">
        <v>0.91304347826086951</v>
      </c>
      <c r="BG10" s="33">
        <v>0.83333333333333337</v>
      </c>
      <c r="BH10" s="33">
        <v>0.93518518518518523</v>
      </c>
    </row>
    <row r="11" spans="1:60" ht="19.5" customHeight="1">
      <c r="A11" s="36">
        <v>8</v>
      </c>
      <c r="B11" s="31" t="s">
        <v>410</v>
      </c>
      <c r="C11" s="37">
        <v>45840</v>
      </c>
      <c r="D11" s="31" t="s">
        <v>337</v>
      </c>
      <c r="E11" s="31">
        <v>102</v>
      </c>
      <c r="F11" s="31">
        <v>96</v>
      </c>
      <c r="G11" s="32">
        <v>0.94117647058823528</v>
      </c>
      <c r="H11" s="31">
        <v>44</v>
      </c>
      <c r="I11" s="33">
        <v>0.43137254901960792</v>
      </c>
      <c r="J11" s="31">
        <v>34</v>
      </c>
      <c r="K11" s="31">
        <v>34</v>
      </c>
      <c r="L11" s="32">
        <v>1</v>
      </c>
      <c r="M11" s="31">
        <v>46</v>
      </c>
      <c r="N11" s="31">
        <v>0</v>
      </c>
      <c r="O11" s="31">
        <v>46</v>
      </c>
      <c r="P11" s="32">
        <v>1</v>
      </c>
      <c r="Q11" s="31">
        <v>0</v>
      </c>
      <c r="R11" s="31">
        <v>0</v>
      </c>
      <c r="S11" s="31">
        <v>0</v>
      </c>
      <c r="T11" s="32">
        <v>0</v>
      </c>
      <c r="U11" s="31">
        <v>0</v>
      </c>
      <c r="V11" s="32">
        <v>0</v>
      </c>
      <c r="W11" s="31">
        <v>0</v>
      </c>
      <c r="X11" s="32">
        <v>0</v>
      </c>
      <c r="Y11" s="31">
        <v>0</v>
      </c>
      <c r="Z11" s="34">
        <v>0</v>
      </c>
      <c r="AA11" s="31">
        <v>0</v>
      </c>
      <c r="AB11" s="32">
        <v>0</v>
      </c>
      <c r="AC11" s="31">
        <v>23</v>
      </c>
      <c r="AD11" s="32">
        <v>0.2254901960784314</v>
      </c>
      <c r="AE11" s="31">
        <v>0</v>
      </c>
      <c r="AF11" s="32">
        <v>0</v>
      </c>
      <c r="AG11" s="31">
        <v>18</v>
      </c>
      <c r="AH11" s="32">
        <v>0.78260869565217395</v>
      </c>
      <c r="AI11" s="35">
        <v>0</v>
      </c>
      <c r="AJ11" s="32">
        <v>0</v>
      </c>
      <c r="AK11" s="35">
        <v>0</v>
      </c>
      <c r="AL11" s="32">
        <v>0</v>
      </c>
      <c r="AM11" s="35">
        <v>0</v>
      </c>
      <c r="AN11" s="35">
        <v>0</v>
      </c>
      <c r="AO11" s="32">
        <v>0</v>
      </c>
      <c r="AP11" s="32">
        <v>0</v>
      </c>
      <c r="AQ11" s="33"/>
      <c r="AR11" s="33" t="s">
        <v>411</v>
      </c>
      <c r="AS11" s="33" t="s">
        <v>411</v>
      </c>
      <c r="AT11" s="35">
        <v>0</v>
      </c>
      <c r="AU11" s="35">
        <v>0</v>
      </c>
      <c r="AV11" s="35">
        <v>0</v>
      </c>
      <c r="AW11" s="35">
        <v>0</v>
      </c>
      <c r="AX11" s="35">
        <v>0</v>
      </c>
      <c r="AY11" s="35">
        <v>0</v>
      </c>
      <c r="AZ11" s="32">
        <v>0</v>
      </c>
      <c r="BA11" s="32">
        <v>0</v>
      </c>
      <c r="BB11" s="32">
        <v>0</v>
      </c>
      <c r="BC11" s="32">
        <v>0</v>
      </c>
      <c r="BD11" s="35">
        <v>0</v>
      </c>
      <c r="BE11" s="35">
        <v>0</v>
      </c>
      <c r="BF11" s="33" t="s">
        <v>412</v>
      </c>
      <c r="BG11" s="33" t="s">
        <v>412</v>
      </c>
      <c r="BH11" s="33" t="s">
        <v>412</v>
      </c>
    </row>
    <row r="12" spans="1:60" ht="19.5" customHeight="1">
      <c r="A12" s="36">
        <v>9</v>
      </c>
      <c r="B12" s="31" t="s">
        <v>410</v>
      </c>
      <c r="C12" s="37">
        <v>45840</v>
      </c>
      <c r="D12" s="31" t="s">
        <v>336</v>
      </c>
      <c r="E12" s="31">
        <v>51</v>
      </c>
      <c r="F12" s="31">
        <v>49</v>
      </c>
      <c r="G12" s="32">
        <v>0.96078431372549022</v>
      </c>
      <c r="H12" s="31">
        <v>37</v>
      </c>
      <c r="I12" s="33">
        <v>0.72549019607843135</v>
      </c>
      <c r="J12" s="31">
        <v>27</v>
      </c>
      <c r="K12" s="31">
        <v>24</v>
      </c>
      <c r="L12" s="32">
        <v>0.88900000000000001</v>
      </c>
      <c r="M12" s="31">
        <v>49</v>
      </c>
      <c r="N12" s="31">
        <v>0</v>
      </c>
      <c r="O12" s="31">
        <v>46</v>
      </c>
      <c r="P12" s="32">
        <v>0.93877551020408168</v>
      </c>
      <c r="Q12" s="31">
        <v>0</v>
      </c>
      <c r="R12" s="31">
        <v>0</v>
      </c>
      <c r="S12" s="31">
        <v>0</v>
      </c>
      <c r="T12" s="32">
        <v>0</v>
      </c>
      <c r="U12" s="31">
        <v>0</v>
      </c>
      <c r="V12" s="32">
        <v>0</v>
      </c>
      <c r="W12" s="31">
        <v>0</v>
      </c>
      <c r="X12" s="32">
        <v>0</v>
      </c>
      <c r="Y12" s="31">
        <v>0</v>
      </c>
      <c r="Z12" s="34">
        <v>0</v>
      </c>
      <c r="AA12" s="31">
        <v>0</v>
      </c>
      <c r="AB12" s="32">
        <v>0</v>
      </c>
      <c r="AC12" s="31">
        <v>12</v>
      </c>
      <c r="AD12" s="32">
        <v>0.23529411764705879</v>
      </c>
      <c r="AE12" s="31">
        <v>0</v>
      </c>
      <c r="AF12" s="32">
        <v>0</v>
      </c>
      <c r="AG12" s="31">
        <v>9</v>
      </c>
      <c r="AH12" s="32">
        <v>0.75</v>
      </c>
      <c r="AI12" s="35">
        <v>0</v>
      </c>
      <c r="AJ12" s="32">
        <v>0</v>
      </c>
      <c r="AK12" s="35">
        <v>0</v>
      </c>
      <c r="AL12" s="32">
        <v>0</v>
      </c>
      <c r="AM12" s="35">
        <v>0</v>
      </c>
      <c r="AN12" s="35">
        <v>0</v>
      </c>
      <c r="AO12" s="32">
        <v>0</v>
      </c>
      <c r="AP12" s="32">
        <v>0</v>
      </c>
      <c r="AQ12" s="33"/>
      <c r="AR12" s="33" t="s">
        <v>411</v>
      </c>
      <c r="AS12" s="33" t="s">
        <v>411</v>
      </c>
      <c r="AT12" s="35">
        <v>0</v>
      </c>
      <c r="AU12" s="35">
        <v>0</v>
      </c>
      <c r="AV12" s="35">
        <v>0</v>
      </c>
      <c r="AW12" s="35">
        <v>0</v>
      </c>
      <c r="AX12" s="35">
        <v>0</v>
      </c>
      <c r="AY12" s="35">
        <v>0</v>
      </c>
      <c r="AZ12" s="32">
        <v>0</v>
      </c>
      <c r="BA12" s="32">
        <v>0</v>
      </c>
      <c r="BB12" s="32">
        <v>0</v>
      </c>
      <c r="BC12" s="32">
        <v>0</v>
      </c>
      <c r="BD12" s="35">
        <v>0</v>
      </c>
      <c r="BE12" s="35">
        <v>0</v>
      </c>
      <c r="BF12" s="33" t="s">
        <v>412</v>
      </c>
      <c r="BG12" s="33" t="s">
        <v>412</v>
      </c>
      <c r="BH12" s="33" t="s">
        <v>412</v>
      </c>
    </row>
    <row r="13" spans="1:60" ht="19.5" customHeight="1">
      <c r="A13" s="36">
        <v>10</v>
      </c>
      <c r="B13" s="31" t="s">
        <v>410</v>
      </c>
      <c r="C13" s="37">
        <v>45841</v>
      </c>
      <c r="D13" s="31" t="s">
        <v>335</v>
      </c>
      <c r="E13" s="31">
        <v>59</v>
      </c>
      <c r="F13" s="31">
        <v>58</v>
      </c>
      <c r="G13" s="32">
        <v>0.98305084745762716</v>
      </c>
      <c r="H13" s="31">
        <v>33</v>
      </c>
      <c r="I13" s="33">
        <v>0.55932203389830504</v>
      </c>
      <c r="J13" s="31">
        <v>23</v>
      </c>
      <c r="K13" s="31">
        <v>23</v>
      </c>
      <c r="L13" s="32">
        <v>1</v>
      </c>
      <c r="M13" s="31">
        <v>40</v>
      </c>
      <c r="N13" s="31">
        <v>0</v>
      </c>
      <c r="O13" s="31">
        <v>40</v>
      </c>
      <c r="P13" s="32">
        <v>1</v>
      </c>
      <c r="Q13" s="31">
        <v>0</v>
      </c>
      <c r="R13" s="31">
        <v>0</v>
      </c>
      <c r="S13" s="31">
        <v>0</v>
      </c>
      <c r="T13" s="32">
        <v>0</v>
      </c>
      <c r="U13" s="31">
        <v>0</v>
      </c>
      <c r="V13" s="32">
        <v>0</v>
      </c>
      <c r="W13" s="31">
        <v>0</v>
      </c>
      <c r="X13" s="32">
        <v>0</v>
      </c>
      <c r="Y13" s="31">
        <v>0</v>
      </c>
      <c r="Z13" s="34">
        <v>0</v>
      </c>
      <c r="AA13" s="31">
        <v>0</v>
      </c>
      <c r="AB13" s="32">
        <v>0</v>
      </c>
      <c r="AC13" s="31">
        <v>13</v>
      </c>
      <c r="AD13" s="32">
        <v>0.22033898305084751</v>
      </c>
      <c r="AE13" s="31">
        <v>1</v>
      </c>
      <c r="AF13" s="32">
        <v>7.6923076923076927E-2</v>
      </c>
      <c r="AG13" s="31">
        <v>8</v>
      </c>
      <c r="AH13" s="32">
        <v>0.61538461538461542</v>
      </c>
      <c r="AI13" s="35">
        <v>0</v>
      </c>
      <c r="AJ13" s="32">
        <v>0</v>
      </c>
      <c r="AK13" s="35">
        <v>0</v>
      </c>
      <c r="AL13" s="32">
        <v>0</v>
      </c>
      <c r="AM13" s="35">
        <v>0</v>
      </c>
      <c r="AN13" s="35">
        <v>0</v>
      </c>
      <c r="AO13" s="32">
        <v>0</v>
      </c>
      <c r="AP13" s="32">
        <v>0</v>
      </c>
      <c r="AQ13" s="33"/>
      <c r="AR13" s="33" t="s">
        <v>411</v>
      </c>
      <c r="AS13" s="33" t="s">
        <v>411</v>
      </c>
      <c r="AT13" s="35">
        <v>0</v>
      </c>
      <c r="AU13" s="35">
        <v>0</v>
      </c>
      <c r="AV13" s="35">
        <v>0</v>
      </c>
      <c r="AW13" s="35">
        <v>0</v>
      </c>
      <c r="AX13" s="35">
        <v>0</v>
      </c>
      <c r="AY13" s="35">
        <v>0</v>
      </c>
      <c r="AZ13" s="32">
        <v>0</v>
      </c>
      <c r="BA13" s="32">
        <v>0</v>
      </c>
      <c r="BB13" s="32">
        <v>0</v>
      </c>
      <c r="BC13" s="32">
        <v>0</v>
      </c>
      <c r="BD13" s="35">
        <v>0</v>
      </c>
      <c r="BE13" s="35">
        <v>0</v>
      </c>
      <c r="BF13" s="33" t="s">
        <v>412</v>
      </c>
      <c r="BG13" s="33" t="s">
        <v>412</v>
      </c>
      <c r="BH13" s="33" t="s">
        <v>412</v>
      </c>
    </row>
    <row r="14" spans="1:60" ht="19.5" customHeight="1">
      <c r="A14" s="36">
        <v>11</v>
      </c>
      <c r="B14" s="31" t="s">
        <v>410</v>
      </c>
      <c r="C14" s="37">
        <v>45841</v>
      </c>
      <c r="D14" s="31" t="s">
        <v>334</v>
      </c>
      <c r="E14" s="31">
        <v>4960</v>
      </c>
      <c r="F14" s="31">
        <v>3897</v>
      </c>
      <c r="G14" s="32">
        <v>0.7856854838709677</v>
      </c>
      <c r="H14" s="31">
        <v>2269</v>
      </c>
      <c r="I14" s="33">
        <v>0.45745967741935478</v>
      </c>
      <c r="J14" s="31">
        <v>4028</v>
      </c>
      <c r="K14" s="31">
        <v>3751</v>
      </c>
      <c r="L14" s="32">
        <v>0.93100000000000005</v>
      </c>
      <c r="M14" s="31">
        <v>4762</v>
      </c>
      <c r="N14" s="31">
        <v>0</v>
      </c>
      <c r="O14" s="31">
        <v>4402</v>
      </c>
      <c r="P14" s="32">
        <v>0.92440151196976061</v>
      </c>
      <c r="Q14" s="31">
        <v>37</v>
      </c>
      <c r="R14" s="31">
        <v>0</v>
      </c>
      <c r="S14" s="31">
        <v>0</v>
      </c>
      <c r="T14" s="32">
        <v>0</v>
      </c>
      <c r="U14" s="31">
        <v>0</v>
      </c>
      <c r="V14" s="32">
        <v>0</v>
      </c>
      <c r="W14" s="31">
        <v>761</v>
      </c>
      <c r="X14" s="32">
        <v>0.1534274193548387</v>
      </c>
      <c r="Y14" s="31">
        <v>1280</v>
      </c>
      <c r="Z14" s="34">
        <v>0.25806451612903231</v>
      </c>
      <c r="AA14" s="31">
        <v>81</v>
      </c>
      <c r="AB14" s="32">
        <v>1.6330645161290319E-2</v>
      </c>
      <c r="AC14" s="31">
        <v>869</v>
      </c>
      <c r="AD14" s="32">
        <v>0.17520161290322581</v>
      </c>
      <c r="AE14" s="31">
        <v>23</v>
      </c>
      <c r="AF14" s="32">
        <v>2.646720368239356E-2</v>
      </c>
      <c r="AG14" s="31">
        <v>308</v>
      </c>
      <c r="AH14" s="32">
        <v>0.35443037974683539</v>
      </c>
      <c r="AI14" s="35">
        <v>749</v>
      </c>
      <c r="AJ14" s="32">
        <v>0.151008064516129</v>
      </c>
      <c r="AK14" s="35">
        <v>9</v>
      </c>
      <c r="AL14" s="32">
        <v>0.855807743658211</v>
      </c>
      <c r="AM14" s="35">
        <v>732</v>
      </c>
      <c r="AN14" s="35">
        <v>641</v>
      </c>
      <c r="AO14" s="32">
        <v>0.12923387096774189</v>
      </c>
      <c r="AP14" s="32">
        <v>0.73762945914844646</v>
      </c>
      <c r="AQ14" s="33">
        <v>0</v>
      </c>
      <c r="AR14" s="33" t="s">
        <v>411</v>
      </c>
      <c r="AS14" s="33">
        <v>0</v>
      </c>
      <c r="AT14" s="35">
        <v>0</v>
      </c>
      <c r="AU14" s="35">
        <v>0</v>
      </c>
      <c r="AV14" s="35">
        <v>65</v>
      </c>
      <c r="AW14" s="35">
        <v>6</v>
      </c>
      <c r="AX14" s="35">
        <v>126</v>
      </c>
      <c r="AY14" s="35">
        <v>209</v>
      </c>
      <c r="AZ14" s="32">
        <v>1.209677419354839E-3</v>
      </c>
      <c r="BA14" s="32">
        <v>2.5403225806451608E-2</v>
      </c>
      <c r="BB14" s="32">
        <v>4.2137096774193548E-2</v>
      </c>
      <c r="BC14" s="32">
        <v>0.1965678627145086</v>
      </c>
      <c r="BD14" s="35">
        <v>0</v>
      </c>
      <c r="BE14" s="35">
        <v>3</v>
      </c>
      <c r="BF14" s="33">
        <v>0.94285714285714284</v>
      </c>
      <c r="BG14" s="33">
        <v>1</v>
      </c>
      <c r="BH14" s="33">
        <v>0.94117647058823528</v>
      </c>
    </row>
    <row r="15" spans="1:60" ht="19.5" customHeight="1">
      <c r="A15" s="36">
        <v>12</v>
      </c>
      <c r="B15" s="31" t="s">
        <v>410</v>
      </c>
      <c r="C15" s="37">
        <v>45841</v>
      </c>
      <c r="D15" s="31" t="s">
        <v>337</v>
      </c>
      <c r="E15" s="31">
        <v>90</v>
      </c>
      <c r="F15" s="31">
        <v>83</v>
      </c>
      <c r="G15" s="32">
        <v>0.92222222222222228</v>
      </c>
      <c r="H15" s="31">
        <v>39</v>
      </c>
      <c r="I15" s="33">
        <v>0.43333333333333329</v>
      </c>
      <c r="J15" s="31">
        <v>27</v>
      </c>
      <c r="K15" s="31">
        <v>26</v>
      </c>
      <c r="L15" s="32">
        <v>0.96299999999999997</v>
      </c>
      <c r="M15" s="31">
        <v>40</v>
      </c>
      <c r="N15" s="31">
        <v>0</v>
      </c>
      <c r="O15" s="31">
        <v>39</v>
      </c>
      <c r="P15" s="32">
        <v>0.97499999999999998</v>
      </c>
      <c r="Q15" s="31">
        <v>0</v>
      </c>
      <c r="R15" s="31">
        <v>0</v>
      </c>
      <c r="S15" s="31">
        <v>0</v>
      </c>
      <c r="T15" s="32">
        <v>0</v>
      </c>
      <c r="U15" s="31">
        <v>0</v>
      </c>
      <c r="V15" s="32">
        <v>0</v>
      </c>
      <c r="W15" s="31">
        <v>0</v>
      </c>
      <c r="X15" s="32">
        <v>0</v>
      </c>
      <c r="Y15" s="31">
        <v>0</v>
      </c>
      <c r="Z15" s="34">
        <v>0</v>
      </c>
      <c r="AA15" s="31">
        <v>0</v>
      </c>
      <c r="AB15" s="32">
        <v>0</v>
      </c>
      <c r="AC15" s="31">
        <v>34</v>
      </c>
      <c r="AD15" s="32">
        <v>0.37777777777777782</v>
      </c>
      <c r="AE15" s="31">
        <v>0</v>
      </c>
      <c r="AF15" s="32">
        <v>0</v>
      </c>
      <c r="AG15" s="31">
        <v>17</v>
      </c>
      <c r="AH15" s="32">
        <v>0.5</v>
      </c>
      <c r="AI15" s="35">
        <v>0</v>
      </c>
      <c r="AJ15" s="32">
        <v>0</v>
      </c>
      <c r="AK15" s="35">
        <v>0</v>
      </c>
      <c r="AL15" s="32">
        <v>0</v>
      </c>
      <c r="AM15" s="35">
        <v>0</v>
      </c>
      <c r="AN15" s="35">
        <v>0</v>
      </c>
      <c r="AO15" s="32">
        <v>0</v>
      </c>
      <c r="AP15" s="32">
        <v>0</v>
      </c>
      <c r="AQ15" s="33"/>
      <c r="AR15" s="33" t="s">
        <v>411</v>
      </c>
      <c r="AS15" s="33" t="s">
        <v>411</v>
      </c>
      <c r="AT15" s="35">
        <v>0</v>
      </c>
      <c r="AU15" s="35">
        <v>0</v>
      </c>
      <c r="AV15" s="35">
        <v>0</v>
      </c>
      <c r="AW15" s="35">
        <v>0</v>
      </c>
      <c r="AX15" s="35">
        <v>0</v>
      </c>
      <c r="AY15" s="35">
        <v>0</v>
      </c>
      <c r="AZ15" s="32">
        <v>0</v>
      </c>
      <c r="BA15" s="32">
        <v>0</v>
      </c>
      <c r="BB15" s="32">
        <v>0</v>
      </c>
      <c r="BC15" s="32">
        <v>0</v>
      </c>
      <c r="BD15" s="35">
        <v>0</v>
      </c>
      <c r="BE15" s="35">
        <v>0</v>
      </c>
      <c r="BF15" s="33" t="s">
        <v>412</v>
      </c>
      <c r="BG15" s="33" t="s">
        <v>412</v>
      </c>
      <c r="BH15" s="33" t="s">
        <v>412</v>
      </c>
    </row>
    <row r="16" spans="1:60" ht="19.5" customHeight="1">
      <c r="A16" s="36">
        <v>13</v>
      </c>
      <c r="B16" s="31" t="s">
        <v>410</v>
      </c>
      <c r="C16" s="37">
        <v>45841</v>
      </c>
      <c r="D16" s="31" t="s">
        <v>336</v>
      </c>
      <c r="E16" s="31">
        <v>51</v>
      </c>
      <c r="F16" s="31">
        <v>49</v>
      </c>
      <c r="G16" s="32">
        <v>0.96078431372549022</v>
      </c>
      <c r="H16" s="31">
        <v>27</v>
      </c>
      <c r="I16" s="33">
        <v>0.52941176470588236</v>
      </c>
      <c r="J16" s="31">
        <v>21</v>
      </c>
      <c r="K16" s="31">
        <v>21</v>
      </c>
      <c r="L16" s="32">
        <v>1</v>
      </c>
      <c r="M16" s="31">
        <v>40</v>
      </c>
      <c r="N16" s="31">
        <v>0</v>
      </c>
      <c r="O16" s="31">
        <v>39</v>
      </c>
      <c r="P16" s="32">
        <v>0.97499999999999998</v>
      </c>
      <c r="Q16" s="31">
        <v>0</v>
      </c>
      <c r="R16" s="31">
        <v>0</v>
      </c>
      <c r="S16" s="31">
        <v>0</v>
      </c>
      <c r="T16" s="32">
        <v>0</v>
      </c>
      <c r="U16" s="31">
        <v>0</v>
      </c>
      <c r="V16" s="32">
        <v>0</v>
      </c>
      <c r="W16" s="31">
        <v>0</v>
      </c>
      <c r="X16" s="32">
        <v>0</v>
      </c>
      <c r="Y16" s="31">
        <v>0</v>
      </c>
      <c r="Z16" s="34">
        <v>0</v>
      </c>
      <c r="AA16" s="31">
        <v>0</v>
      </c>
      <c r="AB16" s="32">
        <v>0</v>
      </c>
      <c r="AC16" s="31">
        <v>19</v>
      </c>
      <c r="AD16" s="32">
        <v>0.37254901960784309</v>
      </c>
      <c r="AE16" s="31">
        <v>1</v>
      </c>
      <c r="AF16" s="32">
        <v>5.2631578947368418E-2</v>
      </c>
      <c r="AG16" s="31">
        <v>15</v>
      </c>
      <c r="AH16" s="32">
        <v>0.78947368421052633</v>
      </c>
      <c r="AI16" s="35">
        <v>0</v>
      </c>
      <c r="AJ16" s="32">
        <v>0</v>
      </c>
      <c r="AK16" s="35">
        <v>0</v>
      </c>
      <c r="AL16" s="32">
        <v>0</v>
      </c>
      <c r="AM16" s="35">
        <v>0</v>
      </c>
      <c r="AN16" s="35">
        <v>0</v>
      </c>
      <c r="AO16" s="32">
        <v>0</v>
      </c>
      <c r="AP16" s="32">
        <v>0</v>
      </c>
      <c r="AQ16" s="33"/>
      <c r="AR16" s="33" t="s">
        <v>411</v>
      </c>
      <c r="AS16" s="33" t="s">
        <v>411</v>
      </c>
      <c r="AT16" s="35">
        <v>0</v>
      </c>
      <c r="AU16" s="35">
        <v>0</v>
      </c>
      <c r="AV16" s="35">
        <v>0</v>
      </c>
      <c r="AW16" s="35">
        <v>0</v>
      </c>
      <c r="AX16" s="35">
        <v>0</v>
      </c>
      <c r="AY16" s="35">
        <v>0</v>
      </c>
      <c r="AZ16" s="32">
        <v>0</v>
      </c>
      <c r="BA16" s="32">
        <v>0</v>
      </c>
      <c r="BB16" s="32">
        <v>0</v>
      </c>
      <c r="BC16" s="32">
        <v>0</v>
      </c>
      <c r="BD16" s="35">
        <v>0</v>
      </c>
      <c r="BE16" s="35">
        <v>0</v>
      </c>
      <c r="BF16" s="33" t="s">
        <v>412</v>
      </c>
      <c r="BG16" s="33" t="s">
        <v>412</v>
      </c>
      <c r="BH16" s="33" t="s">
        <v>412</v>
      </c>
    </row>
    <row r="17" spans="1:60" ht="19.5" customHeight="1">
      <c r="A17" s="36">
        <v>14</v>
      </c>
      <c r="B17" s="31" t="s">
        <v>410</v>
      </c>
      <c r="C17" s="37">
        <v>45842</v>
      </c>
      <c r="D17" s="31" t="s">
        <v>413</v>
      </c>
      <c r="E17" s="31">
        <v>1</v>
      </c>
      <c r="F17" s="31">
        <v>1</v>
      </c>
      <c r="G17" s="32">
        <v>1</v>
      </c>
      <c r="H17" s="31">
        <v>0</v>
      </c>
      <c r="I17" s="33">
        <v>0</v>
      </c>
      <c r="J17" s="31">
        <v>0</v>
      </c>
      <c r="K17" s="31">
        <v>0</v>
      </c>
      <c r="L17" s="32">
        <v>0</v>
      </c>
      <c r="M17" s="31">
        <v>0</v>
      </c>
      <c r="N17" s="31">
        <v>0</v>
      </c>
      <c r="O17" s="31">
        <v>0</v>
      </c>
      <c r="P17" s="32">
        <v>0</v>
      </c>
      <c r="Q17" s="31">
        <v>0</v>
      </c>
      <c r="R17" s="31">
        <v>0</v>
      </c>
      <c r="S17" s="31">
        <v>0</v>
      </c>
      <c r="T17" s="32">
        <v>0</v>
      </c>
      <c r="U17" s="31">
        <v>0</v>
      </c>
      <c r="V17" s="32">
        <v>0</v>
      </c>
      <c r="W17" s="31">
        <v>0</v>
      </c>
      <c r="X17" s="32">
        <v>0</v>
      </c>
      <c r="Y17" s="31">
        <v>0</v>
      </c>
      <c r="Z17" s="34">
        <v>0</v>
      </c>
      <c r="AA17" s="31">
        <v>0</v>
      </c>
      <c r="AB17" s="32">
        <v>0</v>
      </c>
      <c r="AC17" s="31">
        <v>0</v>
      </c>
      <c r="AD17" s="32">
        <v>0</v>
      </c>
      <c r="AE17" s="31">
        <v>0</v>
      </c>
      <c r="AF17" s="32">
        <v>0</v>
      </c>
      <c r="AG17" s="31">
        <v>0</v>
      </c>
      <c r="AH17" s="32">
        <v>0</v>
      </c>
      <c r="AI17" s="35">
        <v>0</v>
      </c>
      <c r="AJ17" s="32">
        <v>0</v>
      </c>
      <c r="AK17" s="35">
        <v>0</v>
      </c>
      <c r="AL17" s="32">
        <v>0</v>
      </c>
      <c r="AM17" s="35">
        <v>0</v>
      </c>
      <c r="AN17" s="35">
        <v>0</v>
      </c>
      <c r="AO17" s="32">
        <v>0</v>
      </c>
      <c r="AP17" s="32">
        <v>0</v>
      </c>
      <c r="AQ17" s="33"/>
      <c r="AR17" s="33" t="s">
        <v>411</v>
      </c>
      <c r="AS17" s="33" t="s">
        <v>411</v>
      </c>
      <c r="AT17" s="35">
        <v>0</v>
      </c>
      <c r="AU17" s="35">
        <v>0</v>
      </c>
      <c r="AV17" s="35">
        <v>0</v>
      </c>
      <c r="AW17" s="35">
        <v>0</v>
      </c>
      <c r="AX17" s="35">
        <v>0</v>
      </c>
      <c r="AY17" s="35">
        <v>0</v>
      </c>
      <c r="AZ17" s="32">
        <v>0</v>
      </c>
      <c r="BA17" s="32">
        <v>0</v>
      </c>
      <c r="BB17" s="32">
        <v>0</v>
      </c>
      <c r="BC17" s="32">
        <v>0</v>
      </c>
      <c r="BD17" s="35">
        <v>0</v>
      </c>
      <c r="BE17" s="35">
        <v>0</v>
      </c>
      <c r="BF17" s="33" t="s">
        <v>412</v>
      </c>
      <c r="BG17" s="33" t="s">
        <v>412</v>
      </c>
      <c r="BH17" s="33" t="s">
        <v>412</v>
      </c>
    </row>
    <row r="18" spans="1:60" ht="19.5" customHeight="1">
      <c r="A18" s="36">
        <v>15</v>
      </c>
      <c r="B18" s="31" t="s">
        <v>410</v>
      </c>
      <c r="C18" s="37">
        <v>45842</v>
      </c>
      <c r="D18" s="31" t="s">
        <v>335</v>
      </c>
      <c r="E18" s="31">
        <v>58</v>
      </c>
      <c r="F18" s="31">
        <v>53</v>
      </c>
      <c r="G18" s="32">
        <v>0.91379310344827591</v>
      </c>
      <c r="H18" s="31">
        <v>31</v>
      </c>
      <c r="I18" s="33">
        <v>0.53448275862068961</v>
      </c>
      <c r="J18" s="31">
        <v>32</v>
      </c>
      <c r="K18" s="31">
        <v>30</v>
      </c>
      <c r="L18" s="32">
        <v>0.93799999999999994</v>
      </c>
      <c r="M18" s="31">
        <v>48</v>
      </c>
      <c r="N18" s="31">
        <v>0</v>
      </c>
      <c r="O18" s="31">
        <v>45</v>
      </c>
      <c r="P18" s="32">
        <v>0.9375</v>
      </c>
      <c r="Q18" s="31">
        <v>0</v>
      </c>
      <c r="R18" s="31">
        <v>0</v>
      </c>
      <c r="S18" s="31">
        <v>0</v>
      </c>
      <c r="T18" s="32">
        <v>0</v>
      </c>
      <c r="U18" s="31">
        <v>0</v>
      </c>
      <c r="V18" s="32">
        <v>0</v>
      </c>
      <c r="W18" s="31">
        <v>0</v>
      </c>
      <c r="X18" s="32">
        <v>0</v>
      </c>
      <c r="Y18" s="31">
        <v>0</v>
      </c>
      <c r="Z18" s="34">
        <v>0</v>
      </c>
      <c r="AA18" s="31">
        <v>0</v>
      </c>
      <c r="AB18" s="32">
        <v>0</v>
      </c>
      <c r="AC18" s="31">
        <v>10</v>
      </c>
      <c r="AD18" s="32">
        <v>0.17241379310344829</v>
      </c>
      <c r="AE18" s="31">
        <v>1</v>
      </c>
      <c r="AF18" s="32">
        <v>0.1</v>
      </c>
      <c r="AG18" s="31">
        <v>8</v>
      </c>
      <c r="AH18" s="32">
        <v>0.8</v>
      </c>
      <c r="AI18" s="35">
        <v>0</v>
      </c>
      <c r="AJ18" s="32">
        <v>0</v>
      </c>
      <c r="AK18" s="35">
        <v>0</v>
      </c>
      <c r="AL18" s="32">
        <v>0</v>
      </c>
      <c r="AM18" s="35">
        <v>0</v>
      </c>
      <c r="AN18" s="35">
        <v>0</v>
      </c>
      <c r="AO18" s="32">
        <v>0</v>
      </c>
      <c r="AP18" s="32">
        <v>0</v>
      </c>
      <c r="AQ18" s="33"/>
      <c r="AR18" s="33" t="s">
        <v>411</v>
      </c>
      <c r="AS18" s="33" t="s">
        <v>411</v>
      </c>
      <c r="AT18" s="35">
        <v>0</v>
      </c>
      <c r="AU18" s="35">
        <v>0</v>
      </c>
      <c r="AV18" s="35">
        <v>0</v>
      </c>
      <c r="AW18" s="35">
        <v>0</v>
      </c>
      <c r="AX18" s="35">
        <v>0</v>
      </c>
      <c r="AY18" s="35">
        <v>0</v>
      </c>
      <c r="AZ18" s="32">
        <v>0</v>
      </c>
      <c r="BA18" s="32">
        <v>0</v>
      </c>
      <c r="BB18" s="32">
        <v>0</v>
      </c>
      <c r="BC18" s="32">
        <v>0</v>
      </c>
      <c r="BD18" s="35">
        <v>0</v>
      </c>
      <c r="BE18" s="35">
        <v>0</v>
      </c>
      <c r="BF18" s="33" t="s">
        <v>412</v>
      </c>
      <c r="BG18" s="33" t="s">
        <v>412</v>
      </c>
      <c r="BH18" s="33" t="s">
        <v>412</v>
      </c>
    </row>
    <row r="19" spans="1:60" ht="19.5" customHeight="1">
      <c r="A19" s="36">
        <v>16</v>
      </c>
      <c r="B19" s="31" t="s">
        <v>410</v>
      </c>
      <c r="C19" s="37">
        <v>45842</v>
      </c>
      <c r="D19" s="31" t="s">
        <v>334</v>
      </c>
      <c r="E19" s="31">
        <v>5232</v>
      </c>
      <c r="F19" s="31">
        <v>4219</v>
      </c>
      <c r="G19" s="32">
        <v>0.80638379204892963</v>
      </c>
      <c r="H19" s="31">
        <v>2343</v>
      </c>
      <c r="I19" s="33">
        <v>0.44782110091743121</v>
      </c>
      <c r="J19" s="31">
        <v>4255</v>
      </c>
      <c r="K19" s="31">
        <v>4022</v>
      </c>
      <c r="L19" s="32">
        <v>0.94499999999999995</v>
      </c>
      <c r="M19" s="31">
        <v>4975</v>
      </c>
      <c r="N19" s="31">
        <v>0</v>
      </c>
      <c r="O19" s="31">
        <v>4664</v>
      </c>
      <c r="P19" s="32">
        <v>0.93748743718592964</v>
      </c>
      <c r="Q19" s="31">
        <v>17</v>
      </c>
      <c r="R19" s="31">
        <v>0</v>
      </c>
      <c r="S19" s="31">
        <v>0</v>
      </c>
      <c r="T19" s="32">
        <v>0</v>
      </c>
      <c r="U19" s="31">
        <v>0</v>
      </c>
      <c r="V19" s="32">
        <v>0</v>
      </c>
      <c r="W19" s="31">
        <v>648</v>
      </c>
      <c r="X19" s="32">
        <v>0.1238532110091743</v>
      </c>
      <c r="Y19" s="31">
        <v>807</v>
      </c>
      <c r="Z19" s="34">
        <v>0.15424311926605511</v>
      </c>
      <c r="AA19" s="31">
        <v>59</v>
      </c>
      <c r="AB19" s="32">
        <v>1.127675840978593E-2</v>
      </c>
      <c r="AC19" s="31">
        <v>907</v>
      </c>
      <c r="AD19" s="32">
        <v>0.17335626911314991</v>
      </c>
      <c r="AE19" s="31">
        <v>25</v>
      </c>
      <c r="AF19" s="32">
        <v>2.7563395810363839E-2</v>
      </c>
      <c r="AG19" s="31">
        <v>385</v>
      </c>
      <c r="AH19" s="32">
        <v>0.42447629547960308</v>
      </c>
      <c r="AI19" s="35">
        <v>818</v>
      </c>
      <c r="AJ19" s="32">
        <v>0.1563455657492355</v>
      </c>
      <c r="AK19" s="35">
        <v>8</v>
      </c>
      <c r="AL19" s="32">
        <v>0.85207823960880191</v>
      </c>
      <c r="AM19" s="35">
        <v>803</v>
      </c>
      <c r="AN19" s="35">
        <v>697</v>
      </c>
      <c r="AO19" s="32">
        <v>0.13321865443425079</v>
      </c>
      <c r="AP19" s="32">
        <v>0.76846747519294378</v>
      </c>
      <c r="AQ19" s="33">
        <v>0</v>
      </c>
      <c r="AR19" s="33" t="s">
        <v>411</v>
      </c>
      <c r="AS19" s="33">
        <v>0</v>
      </c>
      <c r="AT19" s="35">
        <v>0</v>
      </c>
      <c r="AU19" s="35">
        <v>0</v>
      </c>
      <c r="AV19" s="35">
        <v>101</v>
      </c>
      <c r="AW19" s="35">
        <v>89</v>
      </c>
      <c r="AX19" s="35">
        <v>82</v>
      </c>
      <c r="AY19" s="35">
        <v>238</v>
      </c>
      <c r="AZ19" s="32">
        <v>1.7010703363914369E-2</v>
      </c>
      <c r="BA19" s="32">
        <v>1.5672782874617739E-2</v>
      </c>
      <c r="BB19" s="32">
        <v>4.5489296636085627E-2</v>
      </c>
      <c r="BC19" s="32">
        <v>0.1176470588235294</v>
      </c>
      <c r="BD19" s="35">
        <v>0</v>
      </c>
      <c r="BE19" s="35">
        <v>1</v>
      </c>
      <c r="BF19" s="33">
        <v>1</v>
      </c>
      <c r="BG19" s="33">
        <v>0.5</v>
      </c>
      <c r="BH19" s="33">
        <v>0.97080291970802923</v>
      </c>
    </row>
    <row r="20" spans="1:60" ht="19.5" customHeight="1">
      <c r="A20" s="36">
        <v>17</v>
      </c>
      <c r="B20" s="31" t="s">
        <v>410</v>
      </c>
      <c r="C20" s="37">
        <v>45842</v>
      </c>
      <c r="D20" s="31" t="s">
        <v>337</v>
      </c>
      <c r="E20" s="31">
        <v>111</v>
      </c>
      <c r="F20" s="31">
        <v>102</v>
      </c>
      <c r="G20" s="32">
        <v>0.91891891891891897</v>
      </c>
      <c r="H20" s="31">
        <v>63</v>
      </c>
      <c r="I20" s="33">
        <v>0.56756756756756754</v>
      </c>
      <c r="J20" s="31">
        <v>34</v>
      </c>
      <c r="K20" s="31">
        <v>31</v>
      </c>
      <c r="L20" s="32">
        <v>0.91200000000000003</v>
      </c>
      <c r="M20" s="31">
        <v>46</v>
      </c>
      <c r="N20" s="31">
        <v>0</v>
      </c>
      <c r="O20" s="31">
        <v>42</v>
      </c>
      <c r="P20" s="32">
        <v>0.91304347826086951</v>
      </c>
      <c r="Q20" s="31">
        <v>0</v>
      </c>
      <c r="R20" s="31">
        <v>0</v>
      </c>
      <c r="S20" s="31">
        <v>0</v>
      </c>
      <c r="T20" s="32">
        <v>0</v>
      </c>
      <c r="U20" s="31">
        <v>0</v>
      </c>
      <c r="V20" s="32">
        <v>0</v>
      </c>
      <c r="W20" s="31">
        <v>0</v>
      </c>
      <c r="X20" s="32">
        <v>0</v>
      </c>
      <c r="Y20" s="31">
        <v>0</v>
      </c>
      <c r="Z20" s="34">
        <v>0</v>
      </c>
      <c r="AA20" s="31">
        <v>0</v>
      </c>
      <c r="AB20" s="32">
        <v>0</v>
      </c>
      <c r="AC20" s="31">
        <v>29</v>
      </c>
      <c r="AD20" s="32">
        <v>0.26126126126126131</v>
      </c>
      <c r="AE20" s="31">
        <v>1</v>
      </c>
      <c r="AF20" s="32">
        <v>3.4482758620689648E-2</v>
      </c>
      <c r="AG20" s="31">
        <v>20</v>
      </c>
      <c r="AH20" s="32">
        <v>0.68965517241379315</v>
      </c>
      <c r="AI20" s="35">
        <v>0</v>
      </c>
      <c r="AJ20" s="32">
        <v>0</v>
      </c>
      <c r="AK20" s="35">
        <v>0</v>
      </c>
      <c r="AL20" s="32">
        <v>0</v>
      </c>
      <c r="AM20" s="35">
        <v>0</v>
      </c>
      <c r="AN20" s="35">
        <v>0</v>
      </c>
      <c r="AO20" s="32">
        <v>0</v>
      </c>
      <c r="AP20" s="32">
        <v>0</v>
      </c>
      <c r="AQ20" s="33"/>
      <c r="AR20" s="33" t="s">
        <v>411</v>
      </c>
      <c r="AS20" s="33" t="s">
        <v>411</v>
      </c>
      <c r="AT20" s="35">
        <v>0</v>
      </c>
      <c r="AU20" s="35">
        <v>0</v>
      </c>
      <c r="AV20" s="35">
        <v>0</v>
      </c>
      <c r="AW20" s="35">
        <v>0</v>
      </c>
      <c r="AX20" s="35">
        <v>0</v>
      </c>
      <c r="AY20" s="35">
        <v>0</v>
      </c>
      <c r="AZ20" s="32">
        <v>0</v>
      </c>
      <c r="BA20" s="32">
        <v>0</v>
      </c>
      <c r="BB20" s="32">
        <v>0</v>
      </c>
      <c r="BC20" s="32">
        <v>0</v>
      </c>
      <c r="BD20" s="35">
        <v>0</v>
      </c>
      <c r="BE20" s="35">
        <v>0</v>
      </c>
      <c r="BF20" s="33" t="s">
        <v>412</v>
      </c>
      <c r="BG20" s="33" t="s">
        <v>412</v>
      </c>
      <c r="BH20" s="33" t="s">
        <v>412</v>
      </c>
    </row>
    <row r="21" spans="1:60" ht="19.5" customHeight="1">
      <c r="A21" s="36">
        <v>18</v>
      </c>
      <c r="B21" s="31" t="s">
        <v>410</v>
      </c>
      <c r="C21" s="37">
        <v>45842</v>
      </c>
      <c r="D21" s="31" t="s">
        <v>336</v>
      </c>
      <c r="E21" s="31">
        <v>40</v>
      </c>
      <c r="F21" s="31">
        <v>38</v>
      </c>
      <c r="G21" s="32">
        <v>0.95</v>
      </c>
      <c r="H21" s="31">
        <v>24</v>
      </c>
      <c r="I21" s="33">
        <v>0.6</v>
      </c>
      <c r="J21" s="31">
        <v>24</v>
      </c>
      <c r="K21" s="31">
        <v>24</v>
      </c>
      <c r="L21" s="32">
        <v>1</v>
      </c>
      <c r="M21" s="31">
        <v>48</v>
      </c>
      <c r="N21" s="31">
        <v>0</v>
      </c>
      <c r="O21" s="31">
        <v>48</v>
      </c>
      <c r="P21" s="32">
        <v>1</v>
      </c>
      <c r="Q21" s="31">
        <v>0</v>
      </c>
      <c r="R21" s="31">
        <v>0</v>
      </c>
      <c r="S21" s="31">
        <v>0</v>
      </c>
      <c r="T21" s="32">
        <v>0</v>
      </c>
      <c r="U21" s="31">
        <v>0</v>
      </c>
      <c r="V21" s="32">
        <v>0</v>
      </c>
      <c r="W21" s="31">
        <v>0</v>
      </c>
      <c r="X21" s="32">
        <v>0</v>
      </c>
      <c r="Y21" s="31">
        <v>0</v>
      </c>
      <c r="Z21" s="34">
        <v>0</v>
      </c>
      <c r="AA21" s="31">
        <v>0</v>
      </c>
      <c r="AB21" s="32">
        <v>0</v>
      </c>
      <c r="AC21" s="31">
        <v>14</v>
      </c>
      <c r="AD21" s="32">
        <v>0.35</v>
      </c>
      <c r="AE21" s="31">
        <v>0</v>
      </c>
      <c r="AF21" s="32">
        <v>0</v>
      </c>
      <c r="AG21" s="31">
        <v>8</v>
      </c>
      <c r="AH21" s="32">
        <v>0.5714285714285714</v>
      </c>
      <c r="AI21" s="35">
        <v>1</v>
      </c>
      <c r="AJ21" s="32">
        <v>2.5000000000000001E-2</v>
      </c>
      <c r="AK21" s="35">
        <v>0</v>
      </c>
      <c r="AL21" s="32">
        <v>0</v>
      </c>
      <c r="AM21" s="35">
        <v>0</v>
      </c>
      <c r="AN21" s="35">
        <v>0</v>
      </c>
      <c r="AO21" s="32">
        <v>0</v>
      </c>
      <c r="AP21" s="32">
        <v>0</v>
      </c>
      <c r="AQ21" s="33"/>
      <c r="AR21" s="33" t="s">
        <v>411</v>
      </c>
      <c r="AS21" s="33" t="s">
        <v>411</v>
      </c>
      <c r="AT21" s="35">
        <v>0</v>
      </c>
      <c r="AU21" s="35">
        <v>0</v>
      </c>
      <c r="AV21" s="35">
        <v>0</v>
      </c>
      <c r="AW21" s="35">
        <v>0</v>
      </c>
      <c r="AX21" s="35">
        <v>0</v>
      </c>
      <c r="AY21" s="35">
        <v>0</v>
      </c>
      <c r="AZ21" s="32">
        <v>0</v>
      </c>
      <c r="BA21" s="32">
        <v>0</v>
      </c>
      <c r="BB21" s="32">
        <v>0</v>
      </c>
      <c r="BC21" s="32">
        <v>0</v>
      </c>
      <c r="BD21" s="35">
        <v>0</v>
      </c>
      <c r="BE21" s="35">
        <v>0</v>
      </c>
      <c r="BF21" s="33" t="s">
        <v>412</v>
      </c>
      <c r="BG21" s="33" t="s">
        <v>412</v>
      </c>
      <c r="BH21" s="33" t="s">
        <v>412</v>
      </c>
    </row>
    <row r="22" spans="1:60" ht="19.5" customHeight="1">
      <c r="A22" s="36">
        <v>19</v>
      </c>
      <c r="B22" s="31" t="s">
        <v>410</v>
      </c>
      <c r="C22" s="37">
        <v>45843</v>
      </c>
      <c r="D22" s="31"/>
      <c r="E22" s="31">
        <v>0</v>
      </c>
      <c r="F22" s="31">
        <v>0</v>
      </c>
      <c r="G22" s="32">
        <v>0</v>
      </c>
      <c r="H22" s="31">
        <v>0</v>
      </c>
      <c r="I22" s="33">
        <v>0</v>
      </c>
      <c r="J22" s="31">
        <v>0</v>
      </c>
      <c r="K22" s="31">
        <v>0</v>
      </c>
      <c r="L22" s="32">
        <v>0</v>
      </c>
      <c r="M22" s="31">
        <v>0</v>
      </c>
      <c r="N22" s="31">
        <v>0</v>
      </c>
      <c r="O22" s="31">
        <v>0</v>
      </c>
      <c r="P22" s="32">
        <v>0</v>
      </c>
      <c r="Q22" s="31">
        <v>0</v>
      </c>
      <c r="R22" s="31">
        <v>0</v>
      </c>
      <c r="S22" s="31">
        <v>0</v>
      </c>
      <c r="T22" s="32">
        <v>0</v>
      </c>
      <c r="U22" s="31">
        <v>0</v>
      </c>
      <c r="V22" s="32">
        <v>0</v>
      </c>
      <c r="W22" s="31">
        <v>0</v>
      </c>
      <c r="X22" s="32">
        <v>0</v>
      </c>
      <c r="Y22" s="31">
        <v>0</v>
      </c>
      <c r="Z22" s="34">
        <v>0</v>
      </c>
      <c r="AA22" s="31">
        <v>0</v>
      </c>
      <c r="AB22" s="32">
        <v>0</v>
      </c>
      <c r="AC22" s="31">
        <v>0</v>
      </c>
      <c r="AD22" s="32">
        <v>0</v>
      </c>
      <c r="AE22" s="31">
        <v>0</v>
      </c>
      <c r="AF22" s="32">
        <v>0</v>
      </c>
      <c r="AG22" s="31">
        <v>0</v>
      </c>
      <c r="AH22" s="32">
        <v>0</v>
      </c>
      <c r="AI22" s="35">
        <v>0</v>
      </c>
      <c r="AJ22" s="32">
        <v>0</v>
      </c>
      <c r="AK22" s="35">
        <v>0</v>
      </c>
      <c r="AL22" s="32">
        <v>0</v>
      </c>
      <c r="AM22" s="35">
        <v>0</v>
      </c>
      <c r="AN22" s="35">
        <v>0</v>
      </c>
      <c r="AO22" s="32">
        <v>0</v>
      </c>
      <c r="AP22" s="32">
        <v>0</v>
      </c>
      <c r="AQ22" s="33"/>
      <c r="AR22" s="33" t="s">
        <v>411</v>
      </c>
      <c r="AS22" s="33" t="s">
        <v>411</v>
      </c>
      <c r="AT22" s="35">
        <v>0</v>
      </c>
      <c r="AU22" s="35">
        <v>0</v>
      </c>
      <c r="AV22" s="35">
        <v>0</v>
      </c>
      <c r="AW22" s="35">
        <v>0</v>
      </c>
      <c r="AX22" s="35">
        <v>0</v>
      </c>
      <c r="AY22" s="35">
        <v>0</v>
      </c>
      <c r="AZ22" s="32">
        <v>0</v>
      </c>
      <c r="BA22" s="32">
        <v>0</v>
      </c>
      <c r="BB22" s="32">
        <v>0</v>
      </c>
      <c r="BC22" s="32">
        <v>0</v>
      </c>
      <c r="BD22" s="35">
        <v>0</v>
      </c>
      <c r="BE22" s="35">
        <v>0</v>
      </c>
      <c r="BF22" s="33" t="s">
        <v>412</v>
      </c>
      <c r="BG22" s="33" t="s">
        <v>412</v>
      </c>
      <c r="BH22" s="33" t="s">
        <v>412</v>
      </c>
    </row>
    <row r="23" spans="1:60" ht="19.5" customHeight="1">
      <c r="A23" s="36">
        <v>20</v>
      </c>
      <c r="B23" s="31" t="s">
        <v>410</v>
      </c>
      <c r="C23" s="37">
        <v>45843</v>
      </c>
      <c r="D23" s="31" t="s">
        <v>335</v>
      </c>
      <c r="E23" s="31">
        <v>62</v>
      </c>
      <c r="F23" s="31">
        <v>59</v>
      </c>
      <c r="G23" s="32">
        <v>0.95161290322580649</v>
      </c>
      <c r="H23" s="31">
        <v>31</v>
      </c>
      <c r="I23" s="33">
        <v>0.5</v>
      </c>
      <c r="J23" s="31">
        <v>26</v>
      </c>
      <c r="K23" s="31">
        <v>26</v>
      </c>
      <c r="L23" s="32">
        <v>1</v>
      </c>
      <c r="M23" s="31">
        <v>48</v>
      </c>
      <c r="N23" s="31">
        <v>0</v>
      </c>
      <c r="O23" s="31">
        <v>48</v>
      </c>
      <c r="P23" s="32">
        <v>1</v>
      </c>
      <c r="Q23" s="31">
        <v>0</v>
      </c>
      <c r="R23" s="31">
        <v>0</v>
      </c>
      <c r="S23" s="31">
        <v>0</v>
      </c>
      <c r="T23" s="32">
        <v>0</v>
      </c>
      <c r="U23" s="31">
        <v>0</v>
      </c>
      <c r="V23" s="32">
        <v>0</v>
      </c>
      <c r="W23" s="31">
        <v>0</v>
      </c>
      <c r="X23" s="32">
        <v>0</v>
      </c>
      <c r="Y23" s="31">
        <v>0</v>
      </c>
      <c r="Z23" s="34">
        <v>0</v>
      </c>
      <c r="AA23" s="31">
        <v>0</v>
      </c>
      <c r="AB23" s="32">
        <v>0</v>
      </c>
      <c r="AC23" s="31">
        <v>29</v>
      </c>
      <c r="AD23" s="32">
        <v>0.46774193548387089</v>
      </c>
      <c r="AE23" s="31">
        <v>0</v>
      </c>
      <c r="AF23" s="32">
        <v>0</v>
      </c>
      <c r="AG23" s="31">
        <v>23</v>
      </c>
      <c r="AH23" s="32">
        <v>0.7931034482758621</v>
      </c>
      <c r="AI23" s="35">
        <v>0</v>
      </c>
      <c r="AJ23" s="32">
        <v>0</v>
      </c>
      <c r="AK23" s="35">
        <v>0</v>
      </c>
      <c r="AL23" s="32">
        <v>0</v>
      </c>
      <c r="AM23" s="35">
        <v>0</v>
      </c>
      <c r="AN23" s="35">
        <v>0</v>
      </c>
      <c r="AO23" s="32">
        <v>0</v>
      </c>
      <c r="AP23" s="32">
        <v>0</v>
      </c>
      <c r="AQ23" s="33"/>
      <c r="AR23" s="33" t="s">
        <v>411</v>
      </c>
      <c r="AS23" s="33" t="s">
        <v>411</v>
      </c>
      <c r="AT23" s="35">
        <v>0</v>
      </c>
      <c r="AU23" s="35">
        <v>0</v>
      </c>
      <c r="AV23" s="35">
        <v>0</v>
      </c>
      <c r="AW23" s="35">
        <v>0</v>
      </c>
      <c r="AX23" s="35">
        <v>0</v>
      </c>
      <c r="AY23" s="35">
        <v>0</v>
      </c>
      <c r="AZ23" s="32">
        <v>0</v>
      </c>
      <c r="BA23" s="32">
        <v>0</v>
      </c>
      <c r="BB23" s="32">
        <v>0</v>
      </c>
      <c r="BC23" s="32">
        <v>0</v>
      </c>
      <c r="BD23" s="35">
        <v>0</v>
      </c>
      <c r="BE23" s="35">
        <v>0</v>
      </c>
      <c r="BF23" s="33" t="s">
        <v>412</v>
      </c>
      <c r="BG23" s="33" t="s">
        <v>412</v>
      </c>
      <c r="BH23" s="33" t="s">
        <v>412</v>
      </c>
    </row>
    <row r="24" spans="1:60" ht="19.5" customHeight="1">
      <c r="A24" s="36">
        <v>21</v>
      </c>
      <c r="B24" s="31" t="s">
        <v>410</v>
      </c>
      <c r="C24" s="37">
        <v>45843</v>
      </c>
      <c r="D24" s="31" t="s">
        <v>334</v>
      </c>
      <c r="E24" s="31">
        <v>6589</v>
      </c>
      <c r="F24" s="31">
        <v>5108</v>
      </c>
      <c r="G24" s="32">
        <v>0.7752314463499772</v>
      </c>
      <c r="H24" s="31">
        <v>2991</v>
      </c>
      <c r="I24" s="33">
        <v>0.45393838215207172</v>
      </c>
      <c r="J24" s="31">
        <v>4239</v>
      </c>
      <c r="K24" s="31">
        <v>3995</v>
      </c>
      <c r="L24" s="32">
        <v>0.94199999999999995</v>
      </c>
      <c r="M24" s="31">
        <v>5043</v>
      </c>
      <c r="N24" s="31">
        <v>0</v>
      </c>
      <c r="O24" s="31">
        <v>4723</v>
      </c>
      <c r="P24" s="32">
        <v>0.93654570692048389</v>
      </c>
      <c r="Q24" s="31">
        <v>30</v>
      </c>
      <c r="R24" s="31">
        <v>0</v>
      </c>
      <c r="S24" s="31">
        <v>0</v>
      </c>
      <c r="T24" s="32">
        <v>0</v>
      </c>
      <c r="U24" s="31">
        <v>0</v>
      </c>
      <c r="V24" s="32">
        <v>0</v>
      </c>
      <c r="W24" s="31">
        <v>1368</v>
      </c>
      <c r="X24" s="32">
        <v>0.20761875853695549</v>
      </c>
      <c r="Y24" s="31">
        <v>764</v>
      </c>
      <c r="Z24" s="34">
        <v>0.115950827136136</v>
      </c>
      <c r="AA24" s="31">
        <v>45</v>
      </c>
      <c r="AB24" s="32">
        <v>6.8295644255577477E-3</v>
      </c>
      <c r="AC24" s="31">
        <v>1644</v>
      </c>
      <c r="AD24" s="32">
        <v>0.24950675368037639</v>
      </c>
      <c r="AE24" s="31">
        <v>55</v>
      </c>
      <c r="AF24" s="32">
        <v>3.3454987834549879E-2</v>
      </c>
      <c r="AG24" s="31">
        <v>716</v>
      </c>
      <c r="AH24" s="32">
        <v>0.43552311435523122</v>
      </c>
      <c r="AI24" s="35">
        <v>1526</v>
      </c>
      <c r="AJ24" s="32">
        <v>0.23159811807558051</v>
      </c>
      <c r="AK24" s="35">
        <v>21</v>
      </c>
      <c r="AL24" s="32">
        <v>0.86435124508519001</v>
      </c>
      <c r="AM24" s="35">
        <v>1486</v>
      </c>
      <c r="AN24" s="35">
        <v>1319</v>
      </c>
      <c r="AO24" s="32">
        <v>0.20018212171801489</v>
      </c>
      <c r="AP24" s="32">
        <v>0.80231143552311435</v>
      </c>
      <c r="AQ24" s="33">
        <v>0</v>
      </c>
      <c r="AR24" s="33" t="s">
        <v>411</v>
      </c>
      <c r="AS24" s="33">
        <v>0</v>
      </c>
      <c r="AT24" s="35">
        <v>0</v>
      </c>
      <c r="AU24" s="35">
        <v>0</v>
      </c>
      <c r="AV24" s="35">
        <v>131</v>
      </c>
      <c r="AW24" s="35">
        <v>119</v>
      </c>
      <c r="AX24" s="35">
        <v>106</v>
      </c>
      <c r="AY24" s="35">
        <v>187</v>
      </c>
      <c r="AZ24" s="32">
        <v>1.80604037031416E-2</v>
      </c>
      <c r="BA24" s="32">
        <v>1.608741842464714E-2</v>
      </c>
      <c r="BB24" s="32">
        <v>2.838063439065109E-2</v>
      </c>
      <c r="BC24" s="32">
        <v>8.0363912054586803E-2</v>
      </c>
      <c r="BD24" s="35">
        <v>0</v>
      </c>
      <c r="BE24" s="35">
        <v>1</v>
      </c>
      <c r="BF24" s="33">
        <v>0.94117647058823528</v>
      </c>
      <c r="BG24" s="33">
        <v>1</v>
      </c>
      <c r="BH24" s="33">
        <v>0.98620689655172411</v>
      </c>
    </row>
    <row r="25" spans="1:60" ht="19.5" customHeight="1">
      <c r="A25" s="36">
        <v>22</v>
      </c>
      <c r="B25" s="31" t="s">
        <v>410</v>
      </c>
      <c r="C25" s="37">
        <v>45843</v>
      </c>
      <c r="D25" s="31" t="s">
        <v>337</v>
      </c>
      <c r="E25" s="31">
        <v>132</v>
      </c>
      <c r="F25" s="31">
        <v>121</v>
      </c>
      <c r="G25" s="32">
        <v>0.91666666666666663</v>
      </c>
      <c r="H25" s="31">
        <v>51</v>
      </c>
      <c r="I25" s="33">
        <v>0.38636363636363641</v>
      </c>
      <c r="J25" s="31">
        <v>42</v>
      </c>
      <c r="K25" s="31">
        <v>41</v>
      </c>
      <c r="L25" s="32">
        <v>0.97599999999999998</v>
      </c>
      <c r="M25" s="31">
        <v>58</v>
      </c>
      <c r="N25" s="31">
        <v>0</v>
      </c>
      <c r="O25" s="31">
        <v>57</v>
      </c>
      <c r="P25" s="32">
        <v>0.98275862068965514</v>
      </c>
      <c r="Q25" s="31">
        <v>0</v>
      </c>
      <c r="R25" s="31">
        <v>0</v>
      </c>
      <c r="S25" s="31">
        <v>0</v>
      </c>
      <c r="T25" s="32">
        <v>0</v>
      </c>
      <c r="U25" s="31">
        <v>0</v>
      </c>
      <c r="V25" s="32">
        <v>0</v>
      </c>
      <c r="W25" s="31">
        <v>0</v>
      </c>
      <c r="X25" s="32">
        <v>0</v>
      </c>
      <c r="Y25" s="31">
        <v>0</v>
      </c>
      <c r="Z25" s="34">
        <v>0</v>
      </c>
      <c r="AA25" s="31">
        <v>0</v>
      </c>
      <c r="AB25" s="32">
        <v>0</v>
      </c>
      <c r="AC25" s="31">
        <v>54</v>
      </c>
      <c r="AD25" s="32">
        <v>0.40909090909090912</v>
      </c>
      <c r="AE25" s="31">
        <v>3</v>
      </c>
      <c r="AF25" s="32">
        <v>5.5555555555555552E-2</v>
      </c>
      <c r="AG25" s="31">
        <v>36</v>
      </c>
      <c r="AH25" s="32">
        <v>0.66666666666666663</v>
      </c>
      <c r="AI25" s="35">
        <v>0</v>
      </c>
      <c r="AJ25" s="32">
        <v>0</v>
      </c>
      <c r="AK25" s="35">
        <v>0</v>
      </c>
      <c r="AL25" s="32">
        <v>0</v>
      </c>
      <c r="AM25" s="35">
        <v>0</v>
      </c>
      <c r="AN25" s="35">
        <v>0</v>
      </c>
      <c r="AO25" s="32">
        <v>0</v>
      </c>
      <c r="AP25" s="32">
        <v>0</v>
      </c>
      <c r="AQ25" s="33"/>
      <c r="AR25" s="33" t="s">
        <v>411</v>
      </c>
      <c r="AS25" s="33" t="s">
        <v>411</v>
      </c>
      <c r="AT25" s="35">
        <v>0</v>
      </c>
      <c r="AU25" s="35">
        <v>0</v>
      </c>
      <c r="AV25" s="35">
        <v>0</v>
      </c>
      <c r="AW25" s="35">
        <v>0</v>
      </c>
      <c r="AX25" s="35">
        <v>0</v>
      </c>
      <c r="AY25" s="35">
        <v>0</v>
      </c>
      <c r="AZ25" s="32">
        <v>0</v>
      </c>
      <c r="BA25" s="32">
        <v>0</v>
      </c>
      <c r="BB25" s="32">
        <v>0</v>
      </c>
      <c r="BC25" s="32">
        <v>0</v>
      </c>
      <c r="BD25" s="35">
        <v>0</v>
      </c>
      <c r="BE25" s="35">
        <v>0</v>
      </c>
      <c r="BF25" s="33" t="s">
        <v>412</v>
      </c>
      <c r="BG25" s="33" t="s">
        <v>412</v>
      </c>
      <c r="BH25" s="33" t="s">
        <v>412</v>
      </c>
    </row>
    <row r="26" spans="1:60" ht="19.5" customHeight="1">
      <c r="A26" s="36">
        <v>23</v>
      </c>
      <c r="B26" s="31" t="s">
        <v>410</v>
      </c>
      <c r="C26" s="37">
        <v>45843</v>
      </c>
      <c r="D26" s="31" t="s">
        <v>336</v>
      </c>
      <c r="E26" s="31">
        <v>71</v>
      </c>
      <c r="F26" s="31">
        <v>65</v>
      </c>
      <c r="G26" s="32">
        <v>0.91549295774647887</v>
      </c>
      <c r="H26" s="31">
        <v>45</v>
      </c>
      <c r="I26" s="33">
        <v>0.63380281690140849</v>
      </c>
      <c r="J26" s="31">
        <v>32</v>
      </c>
      <c r="K26" s="31">
        <v>27</v>
      </c>
      <c r="L26" s="32">
        <v>0.84399999999999997</v>
      </c>
      <c r="M26" s="31">
        <v>53</v>
      </c>
      <c r="N26" s="31">
        <v>0</v>
      </c>
      <c r="O26" s="31">
        <v>47</v>
      </c>
      <c r="P26" s="32">
        <v>0.8867924528301887</v>
      </c>
      <c r="Q26" s="31">
        <v>0</v>
      </c>
      <c r="R26" s="31">
        <v>0</v>
      </c>
      <c r="S26" s="31">
        <v>0</v>
      </c>
      <c r="T26" s="32">
        <v>0</v>
      </c>
      <c r="U26" s="31">
        <v>0</v>
      </c>
      <c r="V26" s="32">
        <v>0</v>
      </c>
      <c r="W26" s="31">
        <v>0</v>
      </c>
      <c r="X26" s="32">
        <v>0</v>
      </c>
      <c r="Y26" s="31">
        <v>0</v>
      </c>
      <c r="Z26" s="34">
        <v>0</v>
      </c>
      <c r="AA26" s="31">
        <v>0</v>
      </c>
      <c r="AB26" s="32">
        <v>0</v>
      </c>
      <c r="AC26" s="31">
        <v>25</v>
      </c>
      <c r="AD26" s="32">
        <v>0.352112676056338</v>
      </c>
      <c r="AE26" s="31">
        <v>2</v>
      </c>
      <c r="AF26" s="32">
        <v>0.08</v>
      </c>
      <c r="AG26" s="31">
        <v>18</v>
      </c>
      <c r="AH26" s="32">
        <v>0.72</v>
      </c>
      <c r="AI26" s="35">
        <v>0</v>
      </c>
      <c r="AJ26" s="32">
        <v>0</v>
      </c>
      <c r="AK26" s="35">
        <v>0</v>
      </c>
      <c r="AL26" s="32">
        <v>0</v>
      </c>
      <c r="AM26" s="35">
        <v>0</v>
      </c>
      <c r="AN26" s="35">
        <v>0</v>
      </c>
      <c r="AO26" s="32">
        <v>0</v>
      </c>
      <c r="AP26" s="32">
        <v>0</v>
      </c>
      <c r="AQ26" s="33"/>
      <c r="AR26" s="33" t="s">
        <v>411</v>
      </c>
      <c r="AS26" s="33" t="s">
        <v>411</v>
      </c>
      <c r="AT26" s="35">
        <v>0</v>
      </c>
      <c r="AU26" s="35">
        <v>0</v>
      </c>
      <c r="AV26" s="35">
        <v>0</v>
      </c>
      <c r="AW26" s="35">
        <v>0</v>
      </c>
      <c r="AX26" s="35">
        <v>0</v>
      </c>
      <c r="AY26" s="35">
        <v>0</v>
      </c>
      <c r="AZ26" s="32">
        <v>0</v>
      </c>
      <c r="BA26" s="32">
        <v>0</v>
      </c>
      <c r="BB26" s="32">
        <v>0</v>
      </c>
      <c r="BC26" s="32">
        <v>0</v>
      </c>
      <c r="BD26" s="35">
        <v>0</v>
      </c>
      <c r="BE26" s="35">
        <v>0</v>
      </c>
      <c r="BF26" s="33" t="s">
        <v>412</v>
      </c>
      <c r="BG26" s="33" t="s">
        <v>412</v>
      </c>
      <c r="BH26" s="33" t="s">
        <v>412</v>
      </c>
    </row>
    <row r="27" spans="1:60" ht="19.5" customHeight="1">
      <c r="A27" s="36">
        <v>24</v>
      </c>
      <c r="B27" s="31" t="s">
        <v>410</v>
      </c>
      <c r="C27" s="37">
        <v>45844</v>
      </c>
      <c r="D27" s="31" t="s">
        <v>335</v>
      </c>
      <c r="E27" s="31">
        <v>59</v>
      </c>
      <c r="F27" s="31">
        <v>54</v>
      </c>
      <c r="G27" s="32">
        <v>0.9152542372881356</v>
      </c>
      <c r="H27" s="31">
        <v>35</v>
      </c>
      <c r="I27" s="33">
        <v>0.59322033898305082</v>
      </c>
      <c r="J27" s="31">
        <v>24</v>
      </c>
      <c r="K27" s="31">
        <v>24</v>
      </c>
      <c r="L27" s="32">
        <v>1</v>
      </c>
      <c r="M27" s="31">
        <v>44</v>
      </c>
      <c r="N27" s="31">
        <v>0</v>
      </c>
      <c r="O27" s="31">
        <v>44</v>
      </c>
      <c r="P27" s="32">
        <v>1</v>
      </c>
      <c r="Q27" s="31">
        <v>0</v>
      </c>
      <c r="R27" s="31">
        <v>0</v>
      </c>
      <c r="S27" s="31">
        <v>0</v>
      </c>
      <c r="T27" s="32">
        <v>0</v>
      </c>
      <c r="U27" s="31">
        <v>0</v>
      </c>
      <c r="V27" s="32">
        <v>0</v>
      </c>
      <c r="W27" s="31">
        <v>0</v>
      </c>
      <c r="X27" s="32">
        <v>0</v>
      </c>
      <c r="Y27" s="31">
        <v>0</v>
      </c>
      <c r="Z27" s="34">
        <v>0</v>
      </c>
      <c r="AA27" s="31">
        <v>0</v>
      </c>
      <c r="AB27" s="32">
        <v>0</v>
      </c>
      <c r="AC27" s="31">
        <v>24</v>
      </c>
      <c r="AD27" s="32">
        <v>0.40677966101694918</v>
      </c>
      <c r="AE27" s="31">
        <v>0</v>
      </c>
      <c r="AF27" s="32">
        <v>0</v>
      </c>
      <c r="AG27" s="31">
        <v>18</v>
      </c>
      <c r="AH27" s="32">
        <v>0.75</v>
      </c>
      <c r="AI27" s="35">
        <v>0</v>
      </c>
      <c r="AJ27" s="32">
        <v>0</v>
      </c>
      <c r="AK27" s="35">
        <v>0</v>
      </c>
      <c r="AL27" s="32">
        <v>0</v>
      </c>
      <c r="AM27" s="35">
        <v>0</v>
      </c>
      <c r="AN27" s="35">
        <v>0</v>
      </c>
      <c r="AO27" s="32">
        <v>0</v>
      </c>
      <c r="AP27" s="32">
        <v>0</v>
      </c>
      <c r="AQ27" s="33"/>
      <c r="AR27" s="33" t="s">
        <v>411</v>
      </c>
      <c r="AS27" s="33" t="s">
        <v>411</v>
      </c>
      <c r="AT27" s="35">
        <v>0</v>
      </c>
      <c r="AU27" s="35">
        <v>0</v>
      </c>
      <c r="AV27" s="35">
        <v>0</v>
      </c>
      <c r="AW27" s="35">
        <v>0</v>
      </c>
      <c r="AX27" s="35">
        <v>0</v>
      </c>
      <c r="AY27" s="35">
        <v>0</v>
      </c>
      <c r="AZ27" s="32">
        <v>0</v>
      </c>
      <c r="BA27" s="32">
        <v>0</v>
      </c>
      <c r="BB27" s="32">
        <v>0</v>
      </c>
      <c r="BC27" s="32">
        <v>0</v>
      </c>
      <c r="BD27" s="35">
        <v>0</v>
      </c>
      <c r="BE27" s="35">
        <v>0</v>
      </c>
      <c r="BF27" s="33" t="s">
        <v>412</v>
      </c>
      <c r="BG27" s="33" t="s">
        <v>412</v>
      </c>
      <c r="BH27" s="33" t="s">
        <v>412</v>
      </c>
    </row>
    <row r="28" spans="1:60" ht="19.5" customHeight="1">
      <c r="A28" s="36">
        <v>25</v>
      </c>
      <c r="B28" s="31" t="s">
        <v>410</v>
      </c>
      <c r="C28" s="37">
        <v>45844</v>
      </c>
      <c r="D28" s="31" t="s">
        <v>334</v>
      </c>
      <c r="E28" s="31">
        <v>5851</v>
      </c>
      <c r="F28" s="31">
        <v>4618</v>
      </c>
      <c r="G28" s="32">
        <v>0.78926679200136729</v>
      </c>
      <c r="H28" s="31">
        <v>3110</v>
      </c>
      <c r="I28" s="33">
        <v>0.53153307126986837</v>
      </c>
      <c r="J28" s="31">
        <v>4962</v>
      </c>
      <c r="K28" s="31">
        <v>4728</v>
      </c>
      <c r="L28" s="32">
        <v>0.95299999999999996</v>
      </c>
      <c r="M28" s="31">
        <v>6317</v>
      </c>
      <c r="N28" s="31">
        <v>0</v>
      </c>
      <c r="O28" s="31">
        <v>6015</v>
      </c>
      <c r="P28" s="32">
        <v>0.95219249643818271</v>
      </c>
      <c r="Q28" s="31">
        <v>25</v>
      </c>
      <c r="R28" s="31">
        <v>0</v>
      </c>
      <c r="S28" s="31">
        <v>0</v>
      </c>
      <c r="T28" s="32">
        <v>0</v>
      </c>
      <c r="U28" s="31">
        <v>0</v>
      </c>
      <c r="V28" s="32">
        <v>0</v>
      </c>
      <c r="W28" s="31">
        <v>740</v>
      </c>
      <c r="X28" s="32">
        <v>0.1264741069902581</v>
      </c>
      <c r="Y28" s="31">
        <v>1236</v>
      </c>
      <c r="Z28" s="34">
        <v>0.21124594086480941</v>
      </c>
      <c r="AA28" s="31">
        <v>27</v>
      </c>
      <c r="AB28" s="32">
        <v>4.6145957955904971E-3</v>
      </c>
      <c r="AC28" s="31">
        <v>1736</v>
      </c>
      <c r="AD28" s="32">
        <v>0.29670141856092969</v>
      </c>
      <c r="AE28" s="31">
        <v>78</v>
      </c>
      <c r="AF28" s="32">
        <v>4.4930875576036873E-2</v>
      </c>
      <c r="AG28" s="31">
        <v>791</v>
      </c>
      <c r="AH28" s="32">
        <v>0.45564516129032262</v>
      </c>
      <c r="AI28" s="35">
        <v>1594</v>
      </c>
      <c r="AJ28" s="32">
        <v>0.27243206289523159</v>
      </c>
      <c r="AK28" s="35">
        <v>33</v>
      </c>
      <c r="AL28" s="32">
        <v>0.87703889585947303</v>
      </c>
      <c r="AM28" s="35">
        <v>1554</v>
      </c>
      <c r="AN28" s="35">
        <v>1398</v>
      </c>
      <c r="AO28" s="32">
        <v>0.23893351563835241</v>
      </c>
      <c r="AP28" s="32">
        <v>0.8052995391705069</v>
      </c>
      <c r="AQ28" s="33">
        <v>0</v>
      </c>
      <c r="AR28" s="33" t="s">
        <v>411</v>
      </c>
      <c r="AS28" s="33">
        <v>0</v>
      </c>
      <c r="AT28" s="35">
        <v>0</v>
      </c>
      <c r="AU28" s="35">
        <v>0</v>
      </c>
      <c r="AV28" s="35">
        <v>219</v>
      </c>
      <c r="AW28" s="35">
        <v>205</v>
      </c>
      <c r="AX28" s="35">
        <v>171</v>
      </c>
      <c r="AY28" s="35">
        <v>105</v>
      </c>
      <c r="AZ28" s="32">
        <v>3.5036745855409328E-2</v>
      </c>
      <c r="BA28" s="32">
        <v>2.922577337207315E-2</v>
      </c>
      <c r="BB28" s="32">
        <v>1.7945650316185269E-2</v>
      </c>
      <c r="BC28" s="32">
        <v>0.12231759656652361</v>
      </c>
      <c r="BD28" s="35">
        <v>0</v>
      </c>
      <c r="BE28" s="35">
        <v>4</v>
      </c>
      <c r="BF28" s="33">
        <v>0.90909090909090906</v>
      </c>
      <c r="BG28" s="33">
        <v>1</v>
      </c>
      <c r="BH28" s="33">
        <v>0.97247706422018354</v>
      </c>
    </row>
    <row r="29" spans="1:60" ht="19.5" customHeight="1">
      <c r="A29" s="36">
        <v>26</v>
      </c>
      <c r="B29" s="31" t="s">
        <v>410</v>
      </c>
      <c r="C29" s="37">
        <v>45844</v>
      </c>
      <c r="D29" s="31" t="s">
        <v>337</v>
      </c>
      <c r="E29" s="31">
        <v>120</v>
      </c>
      <c r="F29" s="31">
        <v>105</v>
      </c>
      <c r="G29" s="32">
        <v>0.875</v>
      </c>
      <c r="H29" s="31">
        <v>53</v>
      </c>
      <c r="I29" s="33">
        <v>0.44166666666666671</v>
      </c>
      <c r="J29" s="31">
        <v>33</v>
      </c>
      <c r="K29" s="31">
        <v>31</v>
      </c>
      <c r="L29" s="32">
        <v>0.93899999999999995</v>
      </c>
      <c r="M29" s="31">
        <v>50</v>
      </c>
      <c r="N29" s="31">
        <v>0</v>
      </c>
      <c r="O29" s="31">
        <v>48</v>
      </c>
      <c r="P29" s="32">
        <v>0.96</v>
      </c>
      <c r="Q29" s="31">
        <v>0</v>
      </c>
      <c r="R29" s="31">
        <v>0</v>
      </c>
      <c r="S29" s="31">
        <v>0</v>
      </c>
      <c r="T29" s="32">
        <v>0</v>
      </c>
      <c r="U29" s="31">
        <v>0</v>
      </c>
      <c r="V29" s="32">
        <v>0</v>
      </c>
      <c r="W29" s="31">
        <v>0</v>
      </c>
      <c r="X29" s="32">
        <v>0</v>
      </c>
      <c r="Y29" s="31">
        <v>0</v>
      </c>
      <c r="Z29" s="34">
        <v>0</v>
      </c>
      <c r="AA29" s="31">
        <v>0</v>
      </c>
      <c r="AB29" s="32">
        <v>0</v>
      </c>
      <c r="AC29" s="31">
        <v>45</v>
      </c>
      <c r="AD29" s="32">
        <v>0.375</v>
      </c>
      <c r="AE29" s="31">
        <v>4</v>
      </c>
      <c r="AF29" s="32">
        <v>8.8888888888888892E-2</v>
      </c>
      <c r="AG29" s="31">
        <v>33</v>
      </c>
      <c r="AH29" s="32">
        <v>0.73333333333333328</v>
      </c>
      <c r="AI29" s="35">
        <v>0</v>
      </c>
      <c r="AJ29" s="32">
        <v>0</v>
      </c>
      <c r="AK29" s="35">
        <v>0</v>
      </c>
      <c r="AL29" s="32">
        <v>0</v>
      </c>
      <c r="AM29" s="35">
        <v>0</v>
      </c>
      <c r="AN29" s="35">
        <v>0</v>
      </c>
      <c r="AO29" s="32">
        <v>0</v>
      </c>
      <c r="AP29" s="32">
        <v>0</v>
      </c>
      <c r="AQ29" s="33"/>
      <c r="AR29" s="33" t="s">
        <v>411</v>
      </c>
      <c r="AS29" s="33" t="s">
        <v>411</v>
      </c>
      <c r="AT29" s="35">
        <v>0</v>
      </c>
      <c r="AU29" s="35">
        <v>0</v>
      </c>
      <c r="AV29" s="35">
        <v>0</v>
      </c>
      <c r="AW29" s="35">
        <v>0</v>
      </c>
      <c r="AX29" s="35">
        <v>0</v>
      </c>
      <c r="AY29" s="35">
        <v>0</v>
      </c>
      <c r="AZ29" s="32">
        <v>0</v>
      </c>
      <c r="BA29" s="32">
        <v>0</v>
      </c>
      <c r="BB29" s="32">
        <v>0</v>
      </c>
      <c r="BC29" s="32">
        <v>0</v>
      </c>
      <c r="BD29" s="35">
        <v>0</v>
      </c>
      <c r="BE29" s="35">
        <v>0</v>
      </c>
      <c r="BF29" s="33" t="s">
        <v>412</v>
      </c>
      <c r="BG29" s="33" t="s">
        <v>412</v>
      </c>
      <c r="BH29" s="33" t="s">
        <v>412</v>
      </c>
    </row>
    <row r="30" spans="1:60" ht="19.5" customHeight="1">
      <c r="A30" s="36">
        <v>27</v>
      </c>
      <c r="B30" s="31" t="s">
        <v>410</v>
      </c>
      <c r="C30" s="37">
        <v>45844</v>
      </c>
      <c r="D30" s="31" t="s">
        <v>336</v>
      </c>
      <c r="E30" s="31">
        <v>48</v>
      </c>
      <c r="F30" s="31">
        <v>46</v>
      </c>
      <c r="G30" s="32">
        <v>0.95833333333333337</v>
      </c>
      <c r="H30" s="31">
        <v>26</v>
      </c>
      <c r="I30" s="33">
        <v>0.54166666666666663</v>
      </c>
      <c r="J30" s="31">
        <v>29</v>
      </c>
      <c r="K30" s="31">
        <v>29</v>
      </c>
      <c r="L30" s="32">
        <v>1</v>
      </c>
      <c r="M30" s="31">
        <v>65</v>
      </c>
      <c r="N30" s="31">
        <v>0</v>
      </c>
      <c r="O30" s="31">
        <v>65</v>
      </c>
      <c r="P30" s="32">
        <v>1</v>
      </c>
      <c r="Q30" s="31">
        <v>0</v>
      </c>
      <c r="R30" s="31">
        <v>0</v>
      </c>
      <c r="S30" s="31">
        <v>0</v>
      </c>
      <c r="T30" s="32">
        <v>0</v>
      </c>
      <c r="U30" s="31">
        <v>0</v>
      </c>
      <c r="V30" s="32">
        <v>0</v>
      </c>
      <c r="W30" s="31">
        <v>0</v>
      </c>
      <c r="X30" s="32">
        <v>0</v>
      </c>
      <c r="Y30" s="31">
        <v>0</v>
      </c>
      <c r="Z30" s="34">
        <v>0</v>
      </c>
      <c r="AA30" s="31">
        <v>0</v>
      </c>
      <c r="AB30" s="32">
        <v>0</v>
      </c>
      <c r="AC30" s="31">
        <v>15</v>
      </c>
      <c r="AD30" s="32">
        <v>0.3125</v>
      </c>
      <c r="AE30" s="31">
        <v>1</v>
      </c>
      <c r="AF30" s="32">
        <v>6.6666666666666666E-2</v>
      </c>
      <c r="AG30" s="31">
        <v>13</v>
      </c>
      <c r="AH30" s="32">
        <v>0.8666666666666667</v>
      </c>
      <c r="AI30" s="35">
        <v>0</v>
      </c>
      <c r="AJ30" s="32">
        <v>0</v>
      </c>
      <c r="AK30" s="35">
        <v>0</v>
      </c>
      <c r="AL30" s="32">
        <v>0</v>
      </c>
      <c r="AM30" s="35">
        <v>0</v>
      </c>
      <c r="AN30" s="35">
        <v>0</v>
      </c>
      <c r="AO30" s="32">
        <v>0</v>
      </c>
      <c r="AP30" s="32">
        <v>0</v>
      </c>
      <c r="AQ30" s="33"/>
      <c r="AR30" s="33" t="s">
        <v>411</v>
      </c>
      <c r="AS30" s="33" t="s">
        <v>411</v>
      </c>
      <c r="AT30" s="35">
        <v>0</v>
      </c>
      <c r="AU30" s="35">
        <v>0</v>
      </c>
      <c r="AV30" s="35">
        <v>0</v>
      </c>
      <c r="AW30" s="35">
        <v>0</v>
      </c>
      <c r="AX30" s="35">
        <v>0</v>
      </c>
      <c r="AY30" s="35">
        <v>0</v>
      </c>
      <c r="AZ30" s="32">
        <v>0</v>
      </c>
      <c r="BA30" s="32">
        <v>0</v>
      </c>
      <c r="BB30" s="32">
        <v>0</v>
      </c>
      <c r="BC30" s="32">
        <v>0</v>
      </c>
      <c r="BD30" s="35">
        <v>0</v>
      </c>
      <c r="BE30" s="35">
        <v>0</v>
      </c>
      <c r="BF30" s="33" t="s">
        <v>412</v>
      </c>
      <c r="BG30" s="33" t="s">
        <v>412</v>
      </c>
      <c r="BH30" s="33" t="s">
        <v>412</v>
      </c>
    </row>
    <row r="31" spans="1:60" ht="19.5" customHeight="1">
      <c r="A31" s="36">
        <v>28</v>
      </c>
      <c r="B31" s="31" t="s">
        <v>410</v>
      </c>
      <c r="C31" s="37">
        <v>45845</v>
      </c>
      <c r="D31" s="31" t="s">
        <v>335</v>
      </c>
      <c r="E31" s="31">
        <v>44</v>
      </c>
      <c r="F31" s="31">
        <v>42</v>
      </c>
      <c r="G31" s="32">
        <v>0.95454545454545459</v>
      </c>
      <c r="H31" s="31">
        <v>27</v>
      </c>
      <c r="I31" s="33">
        <v>0.61363636363636365</v>
      </c>
      <c r="J31" s="31">
        <v>24</v>
      </c>
      <c r="K31" s="31">
        <v>24</v>
      </c>
      <c r="L31" s="32">
        <v>1</v>
      </c>
      <c r="M31" s="31">
        <v>42</v>
      </c>
      <c r="N31" s="31">
        <v>0</v>
      </c>
      <c r="O31" s="31">
        <v>42</v>
      </c>
      <c r="P31" s="32">
        <v>1</v>
      </c>
      <c r="Q31" s="31">
        <v>0</v>
      </c>
      <c r="R31" s="31">
        <v>0</v>
      </c>
      <c r="S31" s="31">
        <v>0</v>
      </c>
      <c r="T31" s="32">
        <v>0</v>
      </c>
      <c r="U31" s="31">
        <v>0</v>
      </c>
      <c r="V31" s="32">
        <v>0</v>
      </c>
      <c r="W31" s="31">
        <v>0</v>
      </c>
      <c r="X31" s="32">
        <v>0</v>
      </c>
      <c r="Y31" s="31">
        <v>0</v>
      </c>
      <c r="Z31" s="34">
        <v>0</v>
      </c>
      <c r="AA31" s="31">
        <v>0</v>
      </c>
      <c r="AB31" s="32">
        <v>0</v>
      </c>
      <c r="AC31" s="31">
        <v>8</v>
      </c>
      <c r="AD31" s="32">
        <v>0.1818181818181818</v>
      </c>
      <c r="AE31" s="31">
        <v>0</v>
      </c>
      <c r="AF31" s="32">
        <v>0</v>
      </c>
      <c r="AG31" s="31">
        <v>7</v>
      </c>
      <c r="AH31" s="32">
        <v>0.875</v>
      </c>
      <c r="AI31" s="35">
        <v>0</v>
      </c>
      <c r="AJ31" s="32">
        <v>0</v>
      </c>
      <c r="AK31" s="35">
        <v>0</v>
      </c>
      <c r="AL31" s="32">
        <v>0</v>
      </c>
      <c r="AM31" s="35">
        <v>0</v>
      </c>
      <c r="AN31" s="35">
        <v>0</v>
      </c>
      <c r="AO31" s="32">
        <v>0</v>
      </c>
      <c r="AP31" s="32">
        <v>0</v>
      </c>
      <c r="AQ31" s="33"/>
      <c r="AR31" s="33" t="s">
        <v>411</v>
      </c>
      <c r="AS31" s="33" t="s">
        <v>411</v>
      </c>
      <c r="AT31" s="35">
        <v>0</v>
      </c>
      <c r="AU31" s="35">
        <v>0</v>
      </c>
      <c r="AV31" s="35">
        <v>0</v>
      </c>
      <c r="AW31" s="35">
        <v>0</v>
      </c>
      <c r="AX31" s="35">
        <v>0</v>
      </c>
      <c r="AY31" s="35">
        <v>0</v>
      </c>
      <c r="AZ31" s="32">
        <v>0</v>
      </c>
      <c r="BA31" s="32">
        <v>0</v>
      </c>
      <c r="BB31" s="32">
        <v>0</v>
      </c>
      <c r="BC31" s="32">
        <v>0</v>
      </c>
      <c r="BD31" s="35">
        <v>0</v>
      </c>
      <c r="BE31" s="35">
        <v>0</v>
      </c>
      <c r="BF31" s="33" t="s">
        <v>412</v>
      </c>
      <c r="BG31" s="33" t="s">
        <v>412</v>
      </c>
      <c r="BH31" s="33" t="s">
        <v>412</v>
      </c>
    </row>
    <row r="32" spans="1:60" ht="19.5" customHeight="1">
      <c r="A32" s="36">
        <v>29</v>
      </c>
      <c r="B32" s="31" t="s">
        <v>410</v>
      </c>
      <c r="C32" s="37">
        <v>45845</v>
      </c>
      <c r="D32" s="31" t="s">
        <v>334</v>
      </c>
      <c r="E32" s="31">
        <v>5063</v>
      </c>
      <c r="F32" s="31">
        <v>4081</v>
      </c>
      <c r="G32" s="32">
        <v>0.80604384752123248</v>
      </c>
      <c r="H32" s="31">
        <v>2592</v>
      </c>
      <c r="I32" s="33">
        <v>0.51194943709263285</v>
      </c>
      <c r="J32" s="31">
        <v>4639</v>
      </c>
      <c r="K32" s="31">
        <v>4415</v>
      </c>
      <c r="L32" s="32">
        <v>0.95199999999999996</v>
      </c>
      <c r="M32" s="31">
        <v>6079</v>
      </c>
      <c r="N32" s="31">
        <v>0</v>
      </c>
      <c r="O32" s="31">
        <v>5751</v>
      </c>
      <c r="P32" s="32">
        <v>0.94604375719690736</v>
      </c>
      <c r="Q32" s="31">
        <v>35</v>
      </c>
      <c r="R32" s="31">
        <v>0</v>
      </c>
      <c r="S32" s="31">
        <v>0</v>
      </c>
      <c r="T32" s="32">
        <v>0</v>
      </c>
      <c r="U32" s="31">
        <v>0</v>
      </c>
      <c r="V32" s="32">
        <v>0</v>
      </c>
      <c r="W32" s="31">
        <v>742</v>
      </c>
      <c r="X32" s="32">
        <v>0.14655342682204231</v>
      </c>
      <c r="Y32" s="31">
        <v>773</v>
      </c>
      <c r="Z32" s="34">
        <v>0.15267627888603591</v>
      </c>
      <c r="AA32" s="31">
        <v>19</v>
      </c>
      <c r="AB32" s="32">
        <v>3.7527157811574172E-3</v>
      </c>
      <c r="AC32" s="31">
        <v>897</v>
      </c>
      <c r="AD32" s="32">
        <v>0.1771676871420107</v>
      </c>
      <c r="AE32" s="31">
        <v>35</v>
      </c>
      <c r="AF32" s="32">
        <v>3.901895206243032E-2</v>
      </c>
      <c r="AG32" s="31">
        <v>356</v>
      </c>
      <c r="AH32" s="32">
        <v>0.39687848383500562</v>
      </c>
      <c r="AI32" s="35">
        <v>833</v>
      </c>
      <c r="AJ32" s="32">
        <v>0.1645269603002173</v>
      </c>
      <c r="AK32" s="35">
        <v>12</v>
      </c>
      <c r="AL32" s="32">
        <v>0.8811524609843937</v>
      </c>
      <c r="AM32" s="35">
        <v>820</v>
      </c>
      <c r="AN32" s="35">
        <v>734</v>
      </c>
      <c r="AO32" s="32">
        <v>0.14497333596681811</v>
      </c>
      <c r="AP32" s="32">
        <v>0.81828316610925311</v>
      </c>
      <c r="AQ32" s="33">
        <v>0</v>
      </c>
      <c r="AR32" s="33" t="s">
        <v>411</v>
      </c>
      <c r="AS32" s="33">
        <v>0</v>
      </c>
      <c r="AT32" s="35">
        <v>0</v>
      </c>
      <c r="AU32" s="35">
        <v>0</v>
      </c>
      <c r="AV32" s="35">
        <v>143</v>
      </c>
      <c r="AW32" s="35">
        <v>108</v>
      </c>
      <c r="AX32" s="35">
        <v>124</v>
      </c>
      <c r="AY32" s="35">
        <v>169</v>
      </c>
      <c r="AZ32" s="32">
        <v>2.1331226545526369E-2</v>
      </c>
      <c r="BA32" s="32">
        <v>2.449140825597472E-2</v>
      </c>
      <c r="BB32" s="32">
        <v>3.3379419316610703E-2</v>
      </c>
      <c r="BC32" s="32">
        <v>0.1689373297002725</v>
      </c>
      <c r="BD32" s="35">
        <v>0</v>
      </c>
      <c r="BE32" s="35">
        <v>2</v>
      </c>
      <c r="BF32" s="33">
        <v>0.93103448275862066</v>
      </c>
      <c r="BG32" s="33">
        <v>1</v>
      </c>
      <c r="BH32" s="33">
        <v>0.98198198198198194</v>
      </c>
    </row>
    <row r="33" spans="1:60" ht="19.5" customHeight="1">
      <c r="A33" s="36">
        <v>30</v>
      </c>
      <c r="B33" s="31" t="s">
        <v>410</v>
      </c>
      <c r="C33" s="37">
        <v>45845</v>
      </c>
      <c r="D33" s="31" t="s">
        <v>337</v>
      </c>
      <c r="E33" s="31">
        <v>78</v>
      </c>
      <c r="F33" s="31">
        <v>76</v>
      </c>
      <c r="G33" s="32">
        <v>0.97435897435897434</v>
      </c>
      <c r="H33" s="31">
        <v>37</v>
      </c>
      <c r="I33" s="33">
        <v>0.47435897435897428</v>
      </c>
      <c r="J33" s="31">
        <v>25</v>
      </c>
      <c r="K33" s="31">
        <v>24</v>
      </c>
      <c r="L33" s="32">
        <v>0.96</v>
      </c>
      <c r="M33" s="31">
        <v>43</v>
      </c>
      <c r="N33" s="31">
        <v>0</v>
      </c>
      <c r="O33" s="31">
        <v>41</v>
      </c>
      <c r="P33" s="32">
        <v>0.95348837209302328</v>
      </c>
      <c r="Q33" s="31">
        <v>0</v>
      </c>
      <c r="R33" s="31">
        <v>0</v>
      </c>
      <c r="S33" s="31">
        <v>0</v>
      </c>
      <c r="T33" s="32">
        <v>0</v>
      </c>
      <c r="U33" s="31">
        <v>0</v>
      </c>
      <c r="V33" s="32">
        <v>0</v>
      </c>
      <c r="W33" s="31">
        <v>0</v>
      </c>
      <c r="X33" s="32">
        <v>0</v>
      </c>
      <c r="Y33" s="31">
        <v>0</v>
      </c>
      <c r="Z33" s="34">
        <v>0</v>
      </c>
      <c r="AA33" s="31">
        <v>0</v>
      </c>
      <c r="AB33" s="32">
        <v>0</v>
      </c>
      <c r="AC33" s="31">
        <v>28</v>
      </c>
      <c r="AD33" s="32">
        <v>0.35897435897435898</v>
      </c>
      <c r="AE33" s="31">
        <v>4</v>
      </c>
      <c r="AF33" s="32">
        <v>0.14285714285714279</v>
      </c>
      <c r="AG33" s="31">
        <v>19</v>
      </c>
      <c r="AH33" s="32">
        <v>0.6785714285714286</v>
      </c>
      <c r="AI33" s="35">
        <v>0</v>
      </c>
      <c r="AJ33" s="32">
        <v>0</v>
      </c>
      <c r="AK33" s="35">
        <v>0</v>
      </c>
      <c r="AL33" s="32">
        <v>0</v>
      </c>
      <c r="AM33" s="35">
        <v>0</v>
      </c>
      <c r="AN33" s="35">
        <v>0</v>
      </c>
      <c r="AO33" s="32">
        <v>0</v>
      </c>
      <c r="AP33" s="32">
        <v>0</v>
      </c>
      <c r="AQ33" s="33"/>
      <c r="AR33" s="33" t="s">
        <v>411</v>
      </c>
      <c r="AS33" s="33" t="s">
        <v>411</v>
      </c>
      <c r="AT33" s="35">
        <v>0</v>
      </c>
      <c r="AU33" s="35">
        <v>0</v>
      </c>
      <c r="AV33" s="35">
        <v>0</v>
      </c>
      <c r="AW33" s="35">
        <v>0</v>
      </c>
      <c r="AX33" s="35">
        <v>0</v>
      </c>
      <c r="AY33" s="35">
        <v>0</v>
      </c>
      <c r="AZ33" s="32">
        <v>0</v>
      </c>
      <c r="BA33" s="32">
        <v>0</v>
      </c>
      <c r="BB33" s="32">
        <v>0</v>
      </c>
      <c r="BC33" s="32">
        <v>0</v>
      </c>
      <c r="BD33" s="35">
        <v>0</v>
      </c>
      <c r="BE33" s="35">
        <v>0</v>
      </c>
      <c r="BF33" s="33" t="s">
        <v>412</v>
      </c>
      <c r="BG33" s="33" t="s">
        <v>412</v>
      </c>
      <c r="BH33" s="33" t="s">
        <v>412</v>
      </c>
    </row>
    <row r="34" spans="1:60" ht="19.5" customHeight="1">
      <c r="A34" s="36">
        <v>31</v>
      </c>
      <c r="B34" s="31" t="s">
        <v>410</v>
      </c>
      <c r="C34" s="37">
        <v>45845</v>
      </c>
      <c r="D34" s="31" t="s">
        <v>336</v>
      </c>
      <c r="E34" s="31">
        <v>45</v>
      </c>
      <c r="F34" s="31">
        <v>43</v>
      </c>
      <c r="G34" s="32">
        <v>0.9555555555555556</v>
      </c>
      <c r="H34" s="31">
        <v>34</v>
      </c>
      <c r="I34" s="33">
        <v>0.75555555555555554</v>
      </c>
      <c r="J34" s="31">
        <v>28</v>
      </c>
      <c r="K34" s="31">
        <v>25</v>
      </c>
      <c r="L34" s="32">
        <v>0.89300000000000002</v>
      </c>
      <c r="M34" s="31">
        <v>53</v>
      </c>
      <c r="N34" s="31">
        <v>0</v>
      </c>
      <c r="O34" s="31">
        <v>49</v>
      </c>
      <c r="P34" s="32">
        <v>0.92452830188679247</v>
      </c>
      <c r="Q34" s="31">
        <v>0</v>
      </c>
      <c r="R34" s="31">
        <v>0</v>
      </c>
      <c r="S34" s="31">
        <v>0</v>
      </c>
      <c r="T34" s="32">
        <v>0</v>
      </c>
      <c r="U34" s="31">
        <v>0</v>
      </c>
      <c r="V34" s="32">
        <v>0</v>
      </c>
      <c r="W34" s="31">
        <v>0</v>
      </c>
      <c r="X34" s="32">
        <v>0</v>
      </c>
      <c r="Y34" s="31">
        <v>0</v>
      </c>
      <c r="Z34" s="34">
        <v>0</v>
      </c>
      <c r="AA34" s="31">
        <v>0</v>
      </c>
      <c r="AB34" s="32">
        <v>0</v>
      </c>
      <c r="AC34" s="31">
        <v>19</v>
      </c>
      <c r="AD34" s="32">
        <v>0.42222222222222222</v>
      </c>
      <c r="AE34" s="31">
        <v>2</v>
      </c>
      <c r="AF34" s="32">
        <v>0.10526315789473679</v>
      </c>
      <c r="AG34" s="31">
        <v>16</v>
      </c>
      <c r="AH34" s="32">
        <v>0.84210526315789469</v>
      </c>
      <c r="AI34" s="35">
        <v>0</v>
      </c>
      <c r="AJ34" s="32">
        <v>0</v>
      </c>
      <c r="AK34" s="35">
        <v>0</v>
      </c>
      <c r="AL34" s="32">
        <v>0</v>
      </c>
      <c r="AM34" s="35">
        <v>0</v>
      </c>
      <c r="AN34" s="35">
        <v>0</v>
      </c>
      <c r="AO34" s="32">
        <v>0</v>
      </c>
      <c r="AP34" s="32">
        <v>0</v>
      </c>
      <c r="AQ34" s="33"/>
      <c r="AR34" s="33" t="s">
        <v>411</v>
      </c>
      <c r="AS34" s="33" t="s">
        <v>411</v>
      </c>
      <c r="AT34" s="35">
        <v>0</v>
      </c>
      <c r="AU34" s="35">
        <v>0</v>
      </c>
      <c r="AV34" s="35">
        <v>0</v>
      </c>
      <c r="AW34" s="35">
        <v>0</v>
      </c>
      <c r="AX34" s="35">
        <v>0</v>
      </c>
      <c r="AY34" s="35">
        <v>0</v>
      </c>
      <c r="AZ34" s="32">
        <v>0</v>
      </c>
      <c r="BA34" s="32">
        <v>0</v>
      </c>
      <c r="BB34" s="32">
        <v>0</v>
      </c>
      <c r="BC34" s="32">
        <v>0</v>
      </c>
      <c r="BD34" s="35">
        <v>0</v>
      </c>
      <c r="BE34" s="35">
        <v>0</v>
      </c>
      <c r="BF34" s="33" t="s">
        <v>412</v>
      </c>
      <c r="BG34" s="33" t="s">
        <v>412</v>
      </c>
      <c r="BH34" s="33" t="s">
        <v>412</v>
      </c>
    </row>
    <row r="35" spans="1:60" ht="19.5" customHeight="1">
      <c r="A35" s="36">
        <v>32</v>
      </c>
      <c r="B35" s="31" t="s">
        <v>410</v>
      </c>
      <c r="C35" s="37">
        <v>45846</v>
      </c>
      <c r="D35" s="31" t="s">
        <v>413</v>
      </c>
      <c r="E35" s="31">
        <v>1</v>
      </c>
      <c r="F35" s="31">
        <v>1</v>
      </c>
      <c r="G35" s="32">
        <v>1</v>
      </c>
      <c r="H35" s="31">
        <v>0</v>
      </c>
      <c r="I35" s="33">
        <v>0</v>
      </c>
      <c r="J35" s="31">
        <v>0</v>
      </c>
      <c r="K35" s="31">
        <v>0</v>
      </c>
      <c r="L35" s="32">
        <v>0</v>
      </c>
      <c r="M35" s="31">
        <v>0</v>
      </c>
      <c r="N35" s="31">
        <v>0</v>
      </c>
      <c r="O35" s="31">
        <v>0</v>
      </c>
      <c r="P35" s="32">
        <v>0</v>
      </c>
      <c r="Q35" s="31">
        <v>0</v>
      </c>
      <c r="R35" s="31">
        <v>0</v>
      </c>
      <c r="S35" s="31">
        <v>0</v>
      </c>
      <c r="T35" s="32">
        <v>0</v>
      </c>
      <c r="U35" s="31">
        <v>0</v>
      </c>
      <c r="V35" s="32">
        <v>0</v>
      </c>
      <c r="W35" s="31">
        <v>0</v>
      </c>
      <c r="X35" s="32">
        <v>0</v>
      </c>
      <c r="Y35" s="31">
        <v>0</v>
      </c>
      <c r="Z35" s="34">
        <v>0</v>
      </c>
      <c r="AA35" s="31">
        <v>0</v>
      </c>
      <c r="AB35" s="32">
        <v>0</v>
      </c>
      <c r="AC35" s="31">
        <v>0</v>
      </c>
      <c r="AD35" s="32">
        <v>0</v>
      </c>
      <c r="AE35" s="31">
        <v>0</v>
      </c>
      <c r="AF35" s="32">
        <v>0</v>
      </c>
      <c r="AG35" s="31">
        <v>0</v>
      </c>
      <c r="AH35" s="32">
        <v>0</v>
      </c>
      <c r="AI35" s="35">
        <v>0</v>
      </c>
      <c r="AJ35" s="32">
        <v>0</v>
      </c>
      <c r="AK35" s="35">
        <v>0</v>
      </c>
      <c r="AL35" s="32">
        <v>0</v>
      </c>
      <c r="AM35" s="35">
        <v>0</v>
      </c>
      <c r="AN35" s="35">
        <v>0</v>
      </c>
      <c r="AO35" s="32">
        <v>0</v>
      </c>
      <c r="AP35" s="32">
        <v>0</v>
      </c>
      <c r="AQ35" s="33"/>
      <c r="AR35" s="33" t="s">
        <v>411</v>
      </c>
      <c r="AS35" s="33" t="s">
        <v>411</v>
      </c>
      <c r="AT35" s="35">
        <v>0</v>
      </c>
      <c r="AU35" s="35">
        <v>0</v>
      </c>
      <c r="AV35" s="35">
        <v>0</v>
      </c>
      <c r="AW35" s="35">
        <v>0</v>
      </c>
      <c r="AX35" s="35">
        <v>0</v>
      </c>
      <c r="AY35" s="35">
        <v>0</v>
      </c>
      <c r="AZ35" s="32">
        <v>0</v>
      </c>
      <c r="BA35" s="32">
        <v>0</v>
      </c>
      <c r="BB35" s="32">
        <v>0</v>
      </c>
      <c r="BC35" s="32">
        <v>0</v>
      </c>
      <c r="BD35" s="35">
        <v>0</v>
      </c>
      <c r="BE35" s="35">
        <v>0</v>
      </c>
      <c r="BF35" s="33" t="s">
        <v>412</v>
      </c>
      <c r="BG35" s="33" t="s">
        <v>412</v>
      </c>
      <c r="BH35" s="33" t="s">
        <v>412</v>
      </c>
    </row>
    <row r="36" spans="1:60" ht="19.5" customHeight="1">
      <c r="A36" s="36">
        <v>33</v>
      </c>
      <c r="B36" s="31" t="s">
        <v>410</v>
      </c>
      <c r="C36" s="37">
        <v>45846</v>
      </c>
      <c r="D36" s="31" t="s">
        <v>335</v>
      </c>
      <c r="E36" s="31">
        <v>48</v>
      </c>
      <c r="F36" s="31">
        <v>47</v>
      </c>
      <c r="G36" s="32">
        <v>0.97916666666666663</v>
      </c>
      <c r="H36" s="31">
        <v>34</v>
      </c>
      <c r="I36" s="33">
        <v>0.70833333333333337</v>
      </c>
      <c r="J36" s="31">
        <v>17</v>
      </c>
      <c r="K36" s="31">
        <v>17</v>
      </c>
      <c r="L36" s="32">
        <v>1</v>
      </c>
      <c r="M36" s="31">
        <v>25</v>
      </c>
      <c r="N36" s="31">
        <v>0</v>
      </c>
      <c r="O36" s="31">
        <v>25</v>
      </c>
      <c r="P36" s="32">
        <v>1</v>
      </c>
      <c r="Q36" s="31">
        <v>0</v>
      </c>
      <c r="R36" s="31">
        <v>0</v>
      </c>
      <c r="S36" s="31">
        <v>0</v>
      </c>
      <c r="T36" s="32">
        <v>0</v>
      </c>
      <c r="U36" s="31">
        <v>0</v>
      </c>
      <c r="V36" s="32">
        <v>0</v>
      </c>
      <c r="W36" s="31">
        <v>0</v>
      </c>
      <c r="X36" s="32">
        <v>0</v>
      </c>
      <c r="Y36" s="31">
        <v>0</v>
      </c>
      <c r="Z36" s="34">
        <v>0</v>
      </c>
      <c r="AA36" s="31">
        <v>0</v>
      </c>
      <c r="AB36" s="32">
        <v>0</v>
      </c>
      <c r="AC36" s="31">
        <v>18</v>
      </c>
      <c r="AD36" s="32">
        <v>0.375</v>
      </c>
      <c r="AE36" s="31">
        <v>2</v>
      </c>
      <c r="AF36" s="32">
        <v>0.1111111111111111</v>
      </c>
      <c r="AG36" s="31">
        <v>13</v>
      </c>
      <c r="AH36" s="32">
        <v>0.72222222222222221</v>
      </c>
      <c r="AI36" s="35">
        <v>1</v>
      </c>
      <c r="AJ36" s="32">
        <v>2.0833333333333329E-2</v>
      </c>
      <c r="AK36" s="35">
        <v>0</v>
      </c>
      <c r="AL36" s="32">
        <v>0</v>
      </c>
      <c r="AM36" s="35">
        <v>0</v>
      </c>
      <c r="AN36" s="35">
        <v>0</v>
      </c>
      <c r="AO36" s="32">
        <v>0</v>
      </c>
      <c r="AP36" s="32">
        <v>0</v>
      </c>
      <c r="AQ36" s="33"/>
      <c r="AR36" s="33" t="s">
        <v>411</v>
      </c>
      <c r="AS36" s="33" t="s">
        <v>411</v>
      </c>
      <c r="AT36" s="35">
        <v>0</v>
      </c>
      <c r="AU36" s="35">
        <v>0</v>
      </c>
      <c r="AV36" s="35">
        <v>0</v>
      </c>
      <c r="AW36" s="35">
        <v>0</v>
      </c>
      <c r="AX36" s="35">
        <v>0</v>
      </c>
      <c r="AY36" s="35">
        <v>0</v>
      </c>
      <c r="AZ36" s="32">
        <v>0</v>
      </c>
      <c r="BA36" s="32">
        <v>0</v>
      </c>
      <c r="BB36" s="32">
        <v>0</v>
      </c>
      <c r="BC36" s="32">
        <v>0</v>
      </c>
      <c r="BD36" s="35">
        <v>0</v>
      </c>
      <c r="BE36" s="35">
        <v>0</v>
      </c>
      <c r="BF36" s="33" t="s">
        <v>412</v>
      </c>
      <c r="BG36" s="33" t="s">
        <v>412</v>
      </c>
      <c r="BH36" s="33" t="s">
        <v>412</v>
      </c>
    </row>
    <row r="37" spans="1:60" ht="19.5" customHeight="1">
      <c r="A37" s="36">
        <v>34</v>
      </c>
      <c r="B37" s="31" t="s">
        <v>410</v>
      </c>
      <c r="C37" s="37">
        <v>45846</v>
      </c>
      <c r="D37" s="31" t="s">
        <v>334</v>
      </c>
      <c r="E37" s="31">
        <v>4871</v>
      </c>
      <c r="F37" s="31">
        <v>3834</v>
      </c>
      <c r="G37" s="32">
        <v>0.78710737014986654</v>
      </c>
      <c r="H37" s="31">
        <v>2556</v>
      </c>
      <c r="I37" s="33">
        <v>0.52473824676657765</v>
      </c>
      <c r="J37" s="31">
        <v>3839</v>
      </c>
      <c r="K37" s="31">
        <v>3636</v>
      </c>
      <c r="L37" s="32">
        <v>0.94699999999999995</v>
      </c>
      <c r="M37" s="31">
        <v>4695</v>
      </c>
      <c r="N37" s="31">
        <v>0</v>
      </c>
      <c r="O37" s="31">
        <v>4422</v>
      </c>
      <c r="P37" s="32">
        <v>0.94185303514376995</v>
      </c>
      <c r="Q37" s="31">
        <v>22</v>
      </c>
      <c r="R37" s="31">
        <v>0</v>
      </c>
      <c r="S37" s="31">
        <v>0</v>
      </c>
      <c r="T37" s="32">
        <v>0</v>
      </c>
      <c r="U37" s="31">
        <v>0</v>
      </c>
      <c r="V37" s="32">
        <v>0</v>
      </c>
      <c r="W37" s="31">
        <v>829</v>
      </c>
      <c r="X37" s="32">
        <v>0.17019092588790799</v>
      </c>
      <c r="Y37" s="31">
        <v>436</v>
      </c>
      <c r="Z37" s="34">
        <v>8.9509340997741743E-2</v>
      </c>
      <c r="AA37" s="31">
        <v>20</v>
      </c>
      <c r="AB37" s="32">
        <v>4.1059330732909046E-3</v>
      </c>
      <c r="AC37" s="31">
        <v>921</v>
      </c>
      <c r="AD37" s="32">
        <v>0.18907821802504621</v>
      </c>
      <c r="AE37" s="31">
        <v>38</v>
      </c>
      <c r="AF37" s="32">
        <v>4.1259500542888163E-2</v>
      </c>
      <c r="AG37" s="31">
        <v>359</v>
      </c>
      <c r="AH37" s="32">
        <v>0.38979370249728562</v>
      </c>
      <c r="AI37" s="35">
        <v>841</v>
      </c>
      <c r="AJ37" s="32">
        <v>0.17265448573188261</v>
      </c>
      <c r="AK37" s="35">
        <v>9</v>
      </c>
      <c r="AL37" s="32">
        <v>0.85493460166468493</v>
      </c>
      <c r="AM37" s="35">
        <v>818</v>
      </c>
      <c r="AN37" s="35">
        <v>719</v>
      </c>
      <c r="AO37" s="32">
        <v>0.14760829398480799</v>
      </c>
      <c r="AP37" s="32">
        <v>0.78067318132464714</v>
      </c>
      <c r="AQ37" s="33">
        <v>0</v>
      </c>
      <c r="AR37" s="33" t="s">
        <v>411</v>
      </c>
      <c r="AS37" s="33">
        <v>0</v>
      </c>
      <c r="AT37" s="35">
        <v>0</v>
      </c>
      <c r="AU37" s="35">
        <v>0</v>
      </c>
      <c r="AV37" s="35">
        <v>130</v>
      </c>
      <c r="AW37" s="35">
        <v>101</v>
      </c>
      <c r="AX37" s="35">
        <v>121</v>
      </c>
      <c r="AY37" s="35">
        <v>211</v>
      </c>
      <c r="AZ37" s="32">
        <v>2.0734962020119069E-2</v>
      </c>
      <c r="BA37" s="32">
        <v>2.4840895093409979E-2</v>
      </c>
      <c r="BB37" s="32">
        <v>4.3317593923219051E-2</v>
      </c>
      <c r="BC37" s="32">
        <v>0.16828929068150211</v>
      </c>
      <c r="BD37" s="35">
        <v>0</v>
      </c>
      <c r="BE37" s="35">
        <v>3</v>
      </c>
      <c r="BF37" s="33">
        <v>0.82608695652173914</v>
      </c>
      <c r="BG37" s="33">
        <v>1</v>
      </c>
      <c r="BH37" s="33">
        <v>0.9907407407407407</v>
      </c>
    </row>
    <row r="38" spans="1:60" ht="19.5" customHeight="1">
      <c r="A38" s="36">
        <v>35</v>
      </c>
      <c r="B38" s="31" t="s">
        <v>410</v>
      </c>
      <c r="C38" s="37">
        <v>45846</v>
      </c>
      <c r="D38" s="31" t="s">
        <v>337</v>
      </c>
      <c r="E38" s="31">
        <v>72</v>
      </c>
      <c r="F38" s="31">
        <v>70</v>
      </c>
      <c r="G38" s="32">
        <v>0.97222222222222221</v>
      </c>
      <c r="H38" s="31">
        <v>22</v>
      </c>
      <c r="I38" s="33">
        <v>0.30555555555555558</v>
      </c>
      <c r="J38" s="31">
        <v>17</v>
      </c>
      <c r="K38" s="31">
        <v>15</v>
      </c>
      <c r="L38" s="32">
        <v>0.88200000000000001</v>
      </c>
      <c r="M38" s="31">
        <v>33</v>
      </c>
      <c r="N38" s="31">
        <v>0</v>
      </c>
      <c r="O38" s="31">
        <v>30</v>
      </c>
      <c r="P38" s="32">
        <v>0.90909090909090906</v>
      </c>
      <c r="Q38" s="31">
        <v>0</v>
      </c>
      <c r="R38" s="31">
        <v>0</v>
      </c>
      <c r="S38" s="31">
        <v>0</v>
      </c>
      <c r="T38" s="32">
        <v>0</v>
      </c>
      <c r="U38" s="31">
        <v>0</v>
      </c>
      <c r="V38" s="32">
        <v>0</v>
      </c>
      <c r="W38" s="31">
        <v>0</v>
      </c>
      <c r="X38" s="32">
        <v>0</v>
      </c>
      <c r="Y38" s="31">
        <v>0</v>
      </c>
      <c r="Z38" s="34">
        <v>0</v>
      </c>
      <c r="AA38" s="31">
        <v>0</v>
      </c>
      <c r="AB38" s="32">
        <v>0</v>
      </c>
      <c r="AC38" s="31">
        <v>27</v>
      </c>
      <c r="AD38" s="32">
        <v>0.375</v>
      </c>
      <c r="AE38" s="31">
        <v>1</v>
      </c>
      <c r="AF38" s="32">
        <v>3.7037037037037028E-2</v>
      </c>
      <c r="AG38" s="31">
        <v>17</v>
      </c>
      <c r="AH38" s="32">
        <v>0.62962962962962965</v>
      </c>
      <c r="AI38" s="35">
        <v>0</v>
      </c>
      <c r="AJ38" s="32">
        <v>0</v>
      </c>
      <c r="AK38" s="35">
        <v>0</v>
      </c>
      <c r="AL38" s="32">
        <v>0</v>
      </c>
      <c r="AM38" s="35">
        <v>0</v>
      </c>
      <c r="AN38" s="35">
        <v>0</v>
      </c>
      <c r="AO38" s="32">
        <v>0</v>
      </c>
      <c r="AP38" s="32">
        <v>0</v>
      </c>
      <c r="AQ38" s="33"/>
      <c r="AR38" s="33" t="s">
        <v>411</v>
      </c>
      <c r="AS38" s="33" t="s">
        <v>411</v>
      </c>
      <c r="AT38" s="35">
        <v>0</v>
      </c>
      <c r="AU38" s="35">
        <v>0</v>
      </c>
      <c r="AV38" s="35">
        <v>0</v>
      </c>
      <c r="AW38" s="35">
        <v>0</v>
      </c>
      <c r="AX38" s="35">
        <v>0</v>
      </c>
      <c r="AY38" s="35">
        <v>0</v>
      </c>
      <c r="AZ38" s="32">
        <v>0</v>
      </c>
      <c r="BA38" s="32">
        <v>0</v>
      </c>
      <c r="BB38" s="32">
        <v>0</v>
      </c>
      <c r="BC38" s="32">
        <v>0</v>
      </c>
      <c r="BD38" s="35">
        <v>0</v>
      </c>
      <c r="BE38" s="35">
        <v>0</v>
      </c>
      <c r="BF38" s="33" t="s">
        <v>412</v>
      </c>
      <c r="BG38" s="33" t="s">
        <v>412</v>
      </c>
      <c r="BH38" s="33" t="s">
        <v>412</v>
      </c>
    </row>
    <row r="39" spans="1:60" ht="19.5" customHeight="1">
      <c r="A39" s="36">
        <v>36</v>
      </c>
      <c r="B39" s="31" t="s">
        <v>410</v>
      </c>
      <c r="C39" s="37">
        <v>45846</v>
      </c>
      <c r="D39" s="31" t="s">
        <v>336</v>
      </c>
      <c r="E39" s="31">
        <v>51</v>
      </c>
      <c r="F39" s="31">
        <v>51</v>
      </c>
      <c r="G39" s="32">
        <v>1</v>
      </c>
      <c r="H39" s="31">
        <v>35</v>
      </c>
      <c r="I39" s="33">
        <v>0.68627450980392157</v>
      </c>
      <c r="J39" s="31">
        <v>32</v>
      </c>
      <c r="K39" s="31">
        <v>32</v>
      </c>
      <c r="L39" s="32">
        <v>1</v>
      </c>
      <c r="M39" s="31">
        <v>56</v>
      </c>
      <c r="N39" s="31">
        <v>0</v>
      </c>
      <c r="O39" s="31">
        <v>56</v>
      </c>
      <c r="P39" s="32">
        <v>1</v>
      </c>
      <c r="Q39" s="31">
        <v>0</v>
      </c>
      <c r="R39" s="31">
        <v>0</v>
      </c>
      <c r="S39" s="31">
        <v>0</v>
      </c>
      <c r="T39" s="32">
        <v>0</v>
      </c>
      <c r="U39" s="31">
        <v>0</v>
      </c>
      <c r="V39" s="32">
        <v>0</v>
      </c>
      <c r="W39" s="31">
        <v>0</v>
      </c>
      <c r="X39" s="32">
        <v>0</v>
      </c>
      <c r="Y39" s="31">
        <v>0</v>
      </c>
      <c r="Z39" s="34">
        <v>0</v>
      </c>
      <c r="AA39" s="31">
        <v>0</v>
      </c>
      <c r="AB39" s="32">
        <v>0</v>
      </c>
      <c r="AC39" s="31">
        <v>18</v>
      </c>
      <c r="AD39" s="32">
        <v>0.35294117647058831</v>
      </c>
      <c r="AE39" s="31">
        <v>3</v>
      </c>
      <c r="AF39" s="32">
        <v>0.16666666666666671</v>
      </c>
      <c r="AG39" s="31">
        <v>13</v>
      </c>
      <c r="AH39" s="32">
        <v>0.72222222222222221</v>
      </c>
      <c r="AI39" s="35">
        <v>0</v>
      </c>
      <c r="AJ39" s="32">
        <v>0</v>
      </c>
      <c r="AK39" s="35">
        <v>0</v>
      </c>
      <c r="AL39" s="32">
        <v>0</v>
      </c>
      <c r="AM39" s="35">
        <v>0</v>
      </c>
      <c r="AN39" s="35">
        <v>0</v>
      </c>
      <c r="AO39" s="32">
        <v>0</v>
      </c>
      <c r="AP39" s="32">
        <v>0</v>
      </c>
      <c r="AQ39" s="33"/>
      <c r="AR39" s="33" t="s">
        <v>411</v>
      </c>
      <c r="AS39" s="33" t="s">
        <v>411</v>
      </c>
      <c r="AT39" s="35">
        <v>0</v>
      </c>
      <c r="AU39" s="35">
        <v>0</v>
      </c>
      <c r="AV39" s="35">
        <v>0</v>
      </c>
      <c r="AW39" s="35">
        <v>0</v>
      </c>
      <c r="AX39" s="35">
        <v>0</v>
      </c>
      <c r="AY39" s="35">
        <v>0</v>
      </c>
      <c r="AZ39" s="32">
        <v>0</v>
      </c>
      <c r="BA39" s="32">
        <v>0</v>
      </c>
      <c r="BB39" s="32">
        <v>0</v>
      </c>
      <c r="BC39" s="32">
        <v>0</v>
      </c>
      <c r="BD39" s="35">
        <v>0</v>
      </c>
      <c r="BE39" s="35">
        <v>0</v>
      </c>
      <c r="BF39" s="33" t="s">
        <v>412</v>
      </c>
      <c r="BG39" s="33" t="s">
        <v>412</v>
      </c>
      <c r="BH39" s="33" t="s">
        <v>412</v>
      </c>
    </row>
    <row r="40" spans="1:60" ht="19.5" customHeight="1">
      <c r="A40" s="36">
        <v>37</v>
      </c>
      <c r="B40" s="31" t="s">
        <v>410</v>
      </c>
      <c r="C40" s="37">
        <v>45847</v>
      </c>
      <c r="D40" s="31" t="s">
        <v>413</v>
      </c>
      <c r="E40" s="31">
        <v>1</v>
      </c>
      <c r="F40" s="31">
        <v>1</v>
      </c>
      <c r="G40" s="32">
        <v>1</v>
      </c>
      <c r="H40" s="31">
        <v>0</v>
      </c>
      <c r="I40" s="33">
        <v>0</v>
      </c>
      <c r="J40" s="31">
        <v>1</v>
      </c>
      <c r="K40" s="31">
        <v>1</v>
      </c>
      <c r="L40" s="32">
        <v>1</v>
      </c>
      <c r="M40" s="31">
        <v>1</v>
      </c>
      <c r="N40" s="31">
        <v>0</v>
      </c>
      <c r="O40" s="31">
        <v>1</v>
      </c>
      <c r="P40" s="32">
        <v>1</v>
      </c>
      <c r="Q40" s="31">
        <v>0</v>
      </c>
      <c r="R40" s="31">
        <v>0</v>
      </c>
      <c r="S40" s="31">
        <v>0</v>
      </c>
      <c r="T40" s="32">
        <v>0</v>
      </c>
      <c r="U40" s="31">
        <v>0</v>
      </c>
      <c r="V40" s="32">
        <v>0</v>
      </c>
      <c r="W40" s="31">
        <v>0</v>
      </c>
      <c r="X40" s="32">
        <v>0</v>
      </c>
      <c r="Y40" s="31">
        <v>0</v>
      </c>
      <c r="Z40" s="34">
        <v>0</v>
      </c>
      <c r="AA40" s="31">
        <v>0</v>
      </c>
      <c r="AB40" s="32">
        <v>0</v>
      </c>
      <c r="AC40" s="31">
        <v>1</v>
      </c>
      <c r="AD40" s="32">
        <v>1</v>
      </c>
      <c r="AE40" s="31">
        <v>0</v>
      </c>
      <c r="AF40" s="32">
        <v>0</v>
      </c>
      <c r="AG40" s="31">
        <v>0</v>
      </c>
      <c r="AH40" s="32">
        <v>0</v>
      </c>
      <c r="AI40" s="35">
        <v>1</v>
      </c>
      <c r="AJ40" s="32">
        <v>1</v>
      </c>
      <c r="AK40" s="35">
        <v>0</v>
      </c>
      <c r="AL40" s="32">
        <v>0</v>
      </c>
      <c r="AM40" s="35">
        <v>0</v>
      </c>
      <c r="AN40" s="35">
        <v>0</v>
      </c>
      <c r="AO40" s="32">
        <v>0</v>
      </c>
      <c r="AP40" s="32">
        <v>0</v>
      </c>
      <c r="AQ40" s="33"/>
      <c r="AR40" s="33" t="s">
        <v>411</v>
      </c>
      <c r="AS40" s="33" t="s">
        <v>411</v>
      </c>
      <c r="AT40" s="35">
        <v>0</v>
      </c>
      <c r="AU40" s="35">
        <v>0</v>
      </c>
      <c r="AV40" s="35">
        <v>0</v>
      </c>
      <c r="AW40" s="35">
        <v>0</v>
      </c>
      <c r="AX40" s="35">
        <v>0</v>
      </c>
      <c r="AY40" s="35">
        <v>0</v>
      </c>
      <c r="AZ40" s="32">
        <v>0</v>
      </c>
      <c r="BA40" s="32">
        <v>0</v>
      </c>
      <c r="BB40" s="32">
        <v>0</v>
      </c>
      <c r="BC40" s="32">
        <v>0</v>
      </c>
      <c r="BD40" s="35">
        <v>0</v>
      </c>
      <c r="BE40" s="35">
        <v>0</v>
      </c>
      <c r="BF40" s="33" t="s">
        <v>412</v>
      </c>
      <c r="BG40" s="33" t="s">
        <v>412</v>
      </c>
      <c r="BH40" s="33" t="s">
        <v>412</v>
      </c>
    </row>
    <row r="41" spans="1:60" ht="19.5" customHeight="1">
      <c r="A41" s="36">
        <v>38</v>
      </c>
      <c r="B41" s="31" t="s">
        <v>410</v>
      </c>
      <c r="C41" s="37">
        <v>45847</v>
      </c>
      <c r="D41" s="31" t="s">
        <v>335</v>
      </c>
      <c r="E41" s="31">
        <v>40</v>
      </c>
      <c r="F41" s="31">
        <v>38</v>
      </c>
      <c r="G41" s="32">
        <v>0.95</v>
      </c>
      <c r="H41" s="31">
        <v>20</v>
      </c>
      <c r="I41" s="33">
        <v>0.5</v>
      </c>
      <c r="J41" s="31">
        <v>25</v>
      </c>
      <c r="K41" s="31">
        <v>24</v>
      </c>
      <c r="L41" s="32">
        <v>0.96</v>
      </c>
      <c r="M41" s="31">
        <v>43</v>
      </c>
      <c r="N41" s="31">
        <v>0</v>
      </c>
      <c r="O41" s="31">
        <v>41</v>
      </c>
      <c r="P41" s="32">
        <v>0.95348837209302328</v>
      </c>
      <c r="Q41" s="31">
        <v>0</v>
      </c>
      <c r="R41" s="31">
        <v>0</v>
      </c>
      <c r="S41" s="31">
        <v>0</v>
      </c>
      <c r="T41" s="32">
        <v>0</v>
      </c>
      <c r="U41" s="31">
        <v>0</v>
      </c>
      <c r="V41" s="32">
        <v>0</v>
      </c>
      <c r="W41" s="31">
        <v>0</v>
      </c>
      <c r="X41" s="32">
        <v>0</v>
      </c>
      <c r="Y41" s="31">
        <v>0</v>
      </c>
      <c r="Z41" s="34">
        <v>0</v>
      </c>
      <c r="AA41" s="31">
        <v>0</v>
      </c>
      <c r="AB41" s="32">
        <v>0</v>
      </c>
      <c r="AC41" s="31">
        <v>13</v>
      </c>
      <c r="AD41" s="32">
        <v>0.32500000000000001</v>
      </c>
      <c r="AE41" s="31">
        <v>0</v>
      </c>
      <c r="AF41" s="32">
        <v>0</v>
      </c>
      <c r="AG41" s="31">
        <v>9</v>
      </c>
      <c r="AH41" s="32">
        <v>0.69230769230769229</v>
      </c>
      <c r="AI41" s="35">
        <v>0</v>
      </c>
      <c r="AJ41" s="32">
        <v>0</v>
      </c>
      <c r="AK41" s="35">
        <v>0</v>
      </c>
      <c r="AL41" s="32">
        <v>0</v>
      </c>
      <c r="AM41" s="35">
        <v>0</v>
      </c>
      <c r="AN41" s="35">
        <v>0</v>
      </c>
      <c r="AO41" s="32">
        <v>0</v>
      </c>
      <c r="AP41" s="32">
        <v>0</v>
      </c>
      <c r="AQ41" s="33"/>
      <c r="AR41" s="33" t="s">
        <v>411</v>
      </c>
      <c r="AS41" s="33" t="s">
        <v>411</v>
      </c>
      <c r="AT41" s="35">
        <v>0</v>
      </c>
      <c r="AU41" s="35">
        <v>0</v>
      </c>
      <c r="AV41" s="35">
        <v>0</v>
      </c>
      <c r="AW41" s="35">
        <v>0</v>
      </c>
      <c r="AX41" s="35">
        <v>0</v>
      </c>
      <c r="AY41" s="35">
        <v>0</v>
      </c>
      <c r="AZ41" s="32">
        <v>0</v>
      </c>
      <c r="BA41" s="32">
        <v>0</v>
      </c>
      <c r="BB41" s="32">
        <v>0</v>
      </c>
      <c r="BC41" s="32">
        <v>0</v>
      </c>
      <c r="BD41" s="35">
        <v>0</v>
      </c>
      <c r="BE41" s="35">
        <v>0</v>
      </c>
      <c r="BF41" s="33" t="s">
        <v>412</v>
      </c>
      <c r="BG41" s="33" t="s">
        <v>412</v>
      </c>
      <c r="BH41" s="33" t="s">
        <v>412</v>
      </c>
    </row>
    <row r="42" spans="1:60" ht="19.5" customHeight="1">
      <c r="A42" s="36">
        <v>39</v>
      </c>
      <c r="B42" s="31" t="s">
        <v>410</v>
      </c>
      <c r="C42" s="37">
        <v>45847</v>
      </c>
      <c r="D42" s="31" t="s">
        <v>334</v>
      </c>
      <c r="E42" s="31">
        <v>4939</v>
      </c>
      <c r="F42" s="31">
        <v>3948</v>
      </c>
      <c r="G42" s="32">
        <v>0.79935209556590403</v>
      </c>
      <c r="H42" s="31">
        <v>2682</v>
      </c>
      <c r="I42" s="33">
        <v>0.54302490382668556</v>
      </c>
      <c r="J42" s="31">
        <v>3954</v>
      </c>
      <c r="K42" s="31">
        <v>3740</v>
      </c>
      <c r="L42" s="32">
        <v>0.94599999999999995</v>
      </c>
      <c r="M42" s="31">
        <v>4833</v>
      </c>
      <c r="N42" s="31">
        <v>0</v>
      </c>
      <c r="O42" s="31">
        <v>4497</v>
      </c>
      <c r="P42" s="32">
        <v>0.93047796399751703</v>
      </c>
      <c r="Q42" s="31">
        <v>24</v>
      </c>
      <c r="R42" s="31">
        <v>0</v>
      </c>
      <c r="S42" s="31">
        <v>0</v>
      </c>
      <c r="T42" s="32">
        <v>0</v>
      </c>
      <c r="U42" s="31">
        <v>0</v>
      </c>
      <c r="V42" s="32">
        <v>0</v>
      </c>
      <c r="W42" s="31">
        <v>498</v>
      </c>
      <c r="X42" s="32">
        <v>0.10083012755618551</v>
      </c>
      <c r="Y42" s="31">
        <v>542</v>
      </c>
      <c r="Z42" s="34">
        <v>0.1097388135250051</v>
      </c>
      <c r="AA42" s="31">
        <v>9</v>
      </c>
      <c r="AB42" s="32">
        <v>1.8222312208949179E-3</v>
      </c>
      <c r="AC42" s="31">
        <v>984</v>
      </c>
      <c r="AD42" s="32">
        <v>0.19923061348451099</v>
      </c>
      <c r="AE42" s="31">
        <v>35</v>
      </c>
      <c r="AF42" s="32">
        <v>3.556910569105691E-2</v>
      </c>
      <c r="AG42" s="31">
        <v>405</v>
      </c>
      <c r="AH42" s="32">
        <v>0.41158536585365851</v>
      </c>
      <c r="AI42" s="35">
        <v>934</v>
      </c>
      <c r="AJ42" s="32">
        <v>0.18910710670176151</v>
      </c>
      <c r="AK42" s="35">
        <v>12</v>
      </c>
      <c r="AL42" s="32">
        <v>0.75267665952890794</v>
      </c>
      <c r="AM42" s="35">
        <v>911</v>
      </c>
      <c r="AN42" s="35">
        <v>703</v>
      </c>
      <c r="AO42" s="32">
        <v>0.14233650536545861</v>
      </c>
      <c r="AP42" s="32">
        <v>0.71443089430894313</v>
      </c>
      <c r="AQ42" s="33">
        <v>0</v>
      </c>
      <c r="AR42" s="33" t="s">
        <v>411</v>
      </c>
      <c r="AS42" s="33">
        <v>0</v>
      </c>
      <c r="AT42" s="35">
        <v>0</v>
      </c>
      <c r="AU42" s="35">
        <v>0</v>
      </c>
      <c r="AV42" s="35">
        <v>121</v>
      </c>
      <c r="AW42" s="35">
        <v>109</v>
      </c>
      <c r="AX42" s="35">
        <v>113</v>
      </c>
      <c r="AY42" s="35">
        <v>233</v>
      </c>
      <c r="AZ42" s="32">
        <v>2.2069244786394011E-2</v>
      </c>
      <c r="BA42" s="32">
        <v>2.2879125329013969E-2</v>
      </c>
      <c r="BB42" s="32">
        <v>4.7175541607612878E-2</v>
      </c>
      <c r="BC42" s="32">
        <v>0.1607396870554765</v>
      </c>
      <c r="BD42" s="35">
        <v>0</v>
      </c>
      <c r="BE42" s="35">
        <v>0</v>
      </c>
      <c r="BF42" s="33">
        <v>1</v>
      </c>
      <c r="BG42" s="33">
        <v>1</v>
      </c>
      <c r="BH42" s="33">
        <v>0.99</v>
      </c>
    </row>
    <row r="43" spans="1:60" ht="19.5" customHeight="1">
      <c r="A43" s="36">
        <v>40</v>
      </c>
      <c r="B43" s="31" t="s">
        <v>410</v>
      </c>
      <c r="C43" s="37">
        <v>45847</v>
      </c>
      <c r="D43" s="31" t="s">
        <v>337</v>
      </c>
      <c r="E43" s="31">
        <v>82</v>
      </c>
      <c r="F43" s="31">
        <v>75</v>
      </c>
      <c r="G43" s="32">
        <v>0.91463414634146345</v>
      </c>
      <c r="H43" s="31">
        <v>31</v>
      </c>
      <c r="I43" s="33">
        <v>0.37804878048780488</v>
      </c>
      <c r="J43" s="31">
        <v>31</v>
      </c>
      <c r="K43" s="31">
        <v>31</v>
      </c>
      <c r="L43" s="32">
        <v>1</v>
      </c>
      <c r="M43" s="31">
        <v>42</v>
      </c>
      <c r="N43" s="31">
        <v>0</v>
      </c>
      <c r="O43" s="31">
        <v>41</v>
      </c>
      <c r="P43" s="32">
        <v>0.97619047619047616</v>
      </c>
      <c r="Q43" s="31">
        <v>0</v>
      </c>
      <c r="R43" s="31">
        <v>0</v>
      </c>
      <c r="S43" s="31">
        <v>0</v>
      </c>
      <c r="T43" s="32">
        <v>0</v>
      </c>
      <c r="U43" s="31">
        <v>0</v>
      </c>
      <c r="V43" s="32">
        <v>0</v>
      </c>
      <c r="W43" s="31">
        <v>0</v>
      </c>
      <c r="X43" s="32">
        <v>0</v>
      </c>
      <c r="Y43" s="31">
        <v>0</v>
      </c>
      <c r="Z43" s="34">
        <v>0</v>
      </c>
      <c r="AA43" s="31">
        <v>0</v>
      </c>
      <c r="AB43" s="32">
        <v>0</v>
      </c>
      <c r="AC43" s="31">
        <v>24</v>
      </c>
      <c r="AD43" s="32">
        <v>0.29268292682926828</v>
      </c>
      <c r="AE43" s="31">
        <v>1</v>
      </c>
      <c r="AF43" s="32">
        <v>4.1666666666666657E-2</v>
      </c>
      <c r="AG43" s="31">
        <v>16</v>
      </c>
      <c r="AH43" s="32">
        <v>0.66666666666666663</v>
      </c>
      <c r="AI43" s="35">
        <v>1</v>
      </c>
      <c r="AJ43" s="32">
        <v>1.2195121951219509E-2</v>
      </c>
      <c r="AK43" s="35">
        <v>0</v>
      </c>
      <c r="AL43" s="32">
        <v>0</v>
      </c>
      <c r="AM43" s="35">
        <v>0</v>
      </c>
      <c r="AN43" s="35">
        <v>0</v>
      </c>
      <c r="AO43" s="32">
        <v>0</v>
      </c>
      <c r="AP43" s="32">
        <v>0</v>
      </c>
      <c r="AQ43" s="33"/>
      <c r="AR43" s="33" t="s">
        <v>411</v>
      </c>
      <c r="AS43" s="33" t="s">
        <v>411</v>
      </c>
      <c r="AT43" s="35">
        <v>0</v>
      </c>
      <c r="AU43" s="35">
        <v>0</v>
      </c>
      <c r="AV43" s="35">
        <v>0</v>
      </c>
      <c r="AW43" s="35">
        <v>0</v>
      </c>
      <c r="AX43" s="35">
        <v>0</v>
      </c>
      <c r="AY43" s="35">
        <v>0</v>
      </c>
      <c r="AZ43" s="32">
        <v>0</v>
      </c>
      <c r="BA43" s="32">
        <v>0</v>
      </c>
      <c r="BB43" s="32">
        <v>0</v>
      </c>
      <c r="BC43" s="32">
        <v>0</v>
      </c>
      <c r="BD43" s="35">
        <v>0</v>
      </c>
      <c r="BE43" s="35">
        <v>0</v>
      </c>
      <c r="BF43" s="33" t="s">
        <v>412</v>
      </c>
      <c r="BG43" s="33" t="s">
        <v>412</v>
      </c>
      <c r="BH43" s="33" t="s">
        <v>412</v>
      </c>
    </row>
    <row r="44" spans="1:60" ht="19.5" customHeight="1">
      <c r="A44" s="36">
        <v>41</v>
      </c>
      <c r="B44" s="31" t="s">
        <v>410</v>
      </c>
      <c r="C44" s="37">
        <v>45847</v>
      </c>
      <c r="D44" s="31" t="s">
        <v>336</v>
      </c>
      <c r="E44" s="31">
        <v>41</v>
      </c>
      <c r="F44" s="31">
        <v>40</v>
      </c>
      <c r="G44" s="32">
        <v>0.97560975609756095</v>
      </c>
      <c r="H44" s="31">
        <v>27</v>
      </c>
      <c r="I44" s="33">
        <v>0.65853658536585369</v>
      </c>
      <c r="J44" s="31">
        <v>25</v>
      </c>
      <c r="K44" s="31">
        <v>24</v>
      </c>
      <c r="L44" s="32">
        <v>0.96</v>
      </c>
      <c r="M44" s="31">
        <v>54</v>
      </c>
      <c r="N44" s="31">
        <v>0</v>
      </c>
      <c r="O44" s="31">
        <v>52</v>
      </c>
      <c r="P44" s="32">
        <v>0.96296296296296291</v>
      </c>
      <c r="Q44" s="31">
        <v>0</v>
      </c>
      <c r="R44" s="31">
        <v>0</v>
      </c>
      <c r="S44" s="31">
        <v>0</v>
      </c>
      <c r="T44" s="32">
        <v>0</v>
      </c>
      <c r="U44" s="31">
        <v>0</v>
      </c>
      <c r="V44" s="32">
        <v>0</v>
      </c>
      <c r="W44" s="31">
        <v>0</v>
      </c>
      <c r="X44" s="32">
        <v>0</v>
      </c>
      <c r="Y44" s="31">
        <v>0</v>
      </c>
      <c r="Z44" s="34">
        <v>0</v>
      </c>
      <c r="AA44" s="31">
        <v>0</v>
      </c>
      <c r="AB44" s="32">
        <v>0</v>
      </c>
      <c r="AC44" s="31">
        <v>22</v>
      </c>
      <c r="AD44" s="32">
        <v>0.53658536585365857</v>
      </c>
      <c r="AE44" s="31">
        <v>0</v>
      </c>
      <c r="AF44" s="32">
        <v>0</v>
      </c>
      <c r="AG44" s="31">
        <v>16</v>
      </c>
      <c r="AH44" s="32">
        <v>0.72727272727272729</v>
      </c>
      <c r="AI44" s="35">
        <v>1</v>
      </c>
      <c r="AJ44" s="32">
        <v>2.4390243902439029E-2</v>
      </c>
      <c r="AK44" s="35">
        <v>0</v>
      </c>
      <c r="AL44" s="32">
        <v>0</v>
      </c>
      <c r="AM44" s="35">
        <v>0</v>
      </c>
      <c r="AN44" s="35">
        <v>0</v>
      </c>
      <c r="AO44" s="32">
        <v>0</v>
      </c>
      <c r="AP44" s="32">
        <v>0</v>
      </c>
      <c r="AQ44" s="33"/>
      <c r="AR44" s="33" t="s">
        <v>411</v>
      </c>
      <c r="AS44" s="33" t="s">
        <v>411</v>
      </c>
      <c r="AT44" s="35">
        <v>0</v>
      </c>
      <c r="AU44" s="35">
        <v>0</v>
      </c>
      <c r="AV44" s="35">
        <v>0</v>
      </c>
      <c r="AW44" s="35">
        <v>0</v>
      </c>
      <c r="AX44" s="35">
        <v>0</v>
      </c>
      <c r="AY44" s="35">
        <v>0</v>
      </c>
      <c r="AZ44" s="32">
        <v>0</v>
      </c>
      <c r="BA44" s="32">
        <v>0</v>
      </c>
      <c r="BB44" s="32">
        <v>0</v>
      </c>
      <c r="BC44" s="32">
        <v>0</v>
      </c>
      <c r="BD44" s="35">
        <v>0</v>
      </c>
      <c r="BE44" s="35">
        <v>0</v>
      </c>
      <c r="BF44" s="33" t="s">
        <v>412</v>
      </c>
      <c r="BG44" s="33" t="s">
        <v>412</v>
      </c>
      <c r="BH44" s="33" t="s">
        <v>412</v>
      </c>
    </row>
    <row r="45" spans="1:60" ht="19.5" customHeight="1">
      <c r="A45" s="36">
        <v>42</v>
      </c>
      <c r="B45" s="31" t="s">
        <v>410</v>
      </c>
      <c r="C45" s="37">
        <v>45848</v>
      </c>
      <c r="D45" s="31" t="s">
        <v>335</v>
      </c>
      <c r="E45" s="31">
        <v>45</v>
      </c>
      <c r="F45" s="31">
        <v>42</v>
      </c>
      <c r="G45" s="32">
        <v>0.93333333333333335</v>
      </c>
      <c r="H45" s="31">
        <v>23</v>
      </c>
      <c r="I45" s="33">
        <v>0.51111111111111107</v>
      </c>
      <c r="J45" s="31">
        <v>22</v>
      </c>
      <c r="K45" s="31">
        <v>21</v>
      </c>
      <c r="L45" s="32">
        <v>0.95499999999999996</v>
      </c>
      <c r="M45" s="31">
        <v>47</v>
      </c>
      <c r="N45" s="31">
        <v>7</v>
      </c>
      <c r="O45" s="31">
        <v>46</v>
      </c>
      <c r="P45" s="32">
        <v>0.97872340425531912</v>
      </c>
      <c r="Q45" s="31">
        <v>0</v>
      </c>
      <c r="R45" s="31">
        <v>0</v>
      </c>
      <c r="S45" s="31">
        <v>0</v>
      </c>
      <c r="T45" s="32">
        <v>0</v>
      </c>
      <c r="U45" s="31">
        <v>0</v>
      </c>
      <c r="V45" s="32">
        <v>0</v>
      </c>
      <c r="W45" s="31">
        <v>0</v>
      </c>
      <c r="X45" s="32">
        <v>0</v>
      </c>
      <c r="Y45" s="31">
        <v>0</v>
      </c>
      <c r="Z45" s="34">
        <v>0</v>
      </c>
      <c r="AA45" s="31">
        <v>0</v>
      </c>
      <c r="AB45" s="32">
        <v>0</v>
      </c>
      <c r="AC45" s="31">
        <v>8</v>
      </c>
      <c r="AD45" s="32">
        <v>0.17777777777777781</v>
      </c>
      <c r="AE45" s="31">
        <v>1</v>
      </c>
      <c r="AF45" s="32">
        <v>0.125</v>
      </c>
      <c r="AG45" s="31">
        <v>5</v>
      </c>
      <c r="AH45" s="32">
        <v>0.625</v>
      </c>
      <c r="AI45" s="35">
        <v>0</v>
      </c>
      <c r="AJ45" s="32">
        <v>0</v>
      </c>
      <c r="AK45" s="35">
        <v>0</v>
      </c>
      <c r="AL45" s="32">
        <v>0</v>
      </c>
      <c r="AM45" s="35">
        <v>0</v>
      </c>
      <c r="AN45" s="35">
        <v>0</v>
      </c>
      <c r="AO45" s="32">
        <v>0</v>
      </c>
      <c r="AP45" s="32">
        <v>0</v>
      </c>
      <c r="AQ45" s="33">
        <v>1</v>
      </c>
      <c r="AR45" s="33" t="s">
        <v>411</v>
      </c>
      <c r="AS45" s="33">
        <v>0</v>
      </c>
      <c r="AT45" s="35">
        <v>0</v>
      </c>
      <c r="AU45" s="35">
        <v>0</v>
      </c>
      <c r="AV45" s="35">
        <v>0</v>
      </c>
      <c r="AW45" s="35">
        <v>0</v>
      </c>
      <c r="AX45" s="35">
        <v>0</v>
      </c>
      <c r="AY45" s="35">
        <v>0</v>
      </c>
      <c r="AZ45" s="32">
        <v>0</v>
      </c>
      <c r="BA45" s="32">
        <v>0</v>
      </c>
      <c r="BB45" s="32">
        <v>0</v>
      </c>
      <c r="BC45" s="32">
        <v>0</v>
      </c>
      <c r="BD45" s="35">
        <v>0</v>
      </c>
      <c r="BE45" s="35">
        <v>0</v>
      </c>
      <c r="BF45" s="33" t="s">
        <v>412</v>
      </c>
      <c r="BG45" s="33" t="s">
        <v>412</v>
      </c>
      <c r="BH45" s="33" t="s">
        <v>412</v>
      </c>
    </row>
    <row r="46" spans="1:60" ht="19.5" customHeight="1">
      <c r="A46" s="36">
        <v>43</v>
      </c>
      <c r="B46" s="31" t="s">
        <v>410</v>
      </c>
      <c r="C46" s="37">
        <v>45848</v>
      </c>
      <c r="D46" s="31" t="s">
        <v>334</v>
      </c>
      <c r="E46" s="31">
        <v>5465</v>
      </c>
      <c r="F46" s="31">
        <v>4480</v>
      </c>
      <c r="G46" s="32">
        <v>0.81976212259835313</v>
      </c>
      <c r="H46" s="31">
        <v>2703</v>
      </c>
      <c r="I46" s="33">
        <v>0.49460201280878319</v>
      </c>
      <c r="J46" s="31">
        <v>3944</v>
      </c>
      <c r="K46" s="31">
        <v>3744</v>
      </c>
      <c r="L46" s="32">
        <v>0.94899999999999995</v>
      </c>
      <c r="M46" s="31">
        <v>5780</v>
      </c>
      <c r="N46" s="31">
        <v>1728</v>
      </c>
      <c r="O46" s="31">
        <v>5515</v>
      </c>
      <c r="P46" s="32">
        <v>0.95415224913494812</v>
      </c>
      <c r="Q46" s="31">
        <v>21</v>
      </c>
      <c r="R46" s="31">
        <v>0</v>
      </c>
      <c r="S46" s="31">
        <v>0</v>
      </c>
      <c r="T46" s="32">
        <v>0</v>
      </c>
      <c r="U46" s="31">
        <v>0</v>
      </c>
      <c r="V46" s="32">
        <v>0</v>
      </c>
      <c r="W46" s="31">
        <v>508</v>
      </c>
      <c r="X46" s="32">
        <v>9.2955169258920403E-2</v>
      </c>
      <c r="Y46" s="31">
        <v>943</v>
      </c>
      <c r="Z46" s="34">
        <v>0.17255260750228729</v>
      </c>
      <c r="AA46" s="31">
        <v>23</v>
      </c>
      <c r="AB46" s="32">
        <v>4.2086001829826167E-3</v>
      </c>
      <c r="AC46" s="31">
        <v>1152</v>
      </c>
      <c r="AD46" s="32">
        <v>0.21079597438243369</v>
      </c>
      <c r="AE46" s="31">
        <v>32</v>
      </c>
      <c r="AF46" s="32">
        <v>2.777777777777778E-2</v>
      </c>
      <c r="AG46" s="31">
        <v>400</v>
      </c>
      <c r="AH46" s="32">
        <v>0.34722222222222221</v>
      </c>
      <c r="AI46" s="35">
        <v>919</v>
      </c>
      <c r="AJ46" s="32">
        <v>0.16816102470265329</v>
      </c>
      <c r="AK46" s="35">
        <v>19</v>
      </c>
      <c r="AL46" s="32">
        <v>0.74537540805223068</v>
      </c>
      <c r="AM46" s="35">
        <v>880</v>
      </c>
      <c r="AN46" s="35">
        <v>685</v>
      </c>
      <c r="AO46" s="32">
        <v>0.12534309240622141</v>
      </c>
      <c r="AP46" s="32">
        <v>0.59461805555555558</v>
      </c>
      <c r="AQ46" s="33">
        <v>0.92920353982300885</v>
      </c>
      <c r="AR46" s="33" t="s">
        <v>411</v>
      </c>
      <c r="AS46" s="33">
        <v>0</v>
      </c>
      <c r="AT46" s="35">
        <v>0</v>
      </c>
      <c r="AU46" s="35">
        <v>0</v>
      </c>
      <c r="AV46" s="35">
        <v>149</v>
      </c>
      <c r="AW46" s="35">
        <v>134</v>
      </c>
      <c r="AX46" s="35">
        <v>130</v>
      </c>
      <c r="AY46" s="35">
        <v>189</v>
      </c>
      <c r="AZ46" s="32">
        <v>2.4519670631290031E-2</v>
      </c>
      <c r="BA46" s="32">
        <v>2.3787740164684351E-2</v>
      </c>
      <c r="BB46" s="32">
        <v>3.4583714547118033E-2</v>
      </c>
      <c r="BC46" s="32">
        <v>0.18978102189781021</v>
      </c>
      <c r="BD46" s="35">
        <v>0</v>
      </c>
      <c r="BE46" s="35">
        <v>1</v>
      </c>
      <c r="BF46" s="33">
        <v>1</v>
      </c>
      <c r="BG46" s="33">
        <v>1</v>
      </c>
      <c r="BH46" s="33">
        <v>0.94736842105263153</v>
      </c>
    </row>
    <row r="47" spans="1:60" ht="19.5" customHeight="1">
      <c r="A47" s="36">
        <v>44</v>
      </c>
      <c r="B47" s="31" t="s">
        <v>410</v>
      </c>
      <c r="C47" s="37">
        <v>45848</v>
      </c>
      <c r="D47" s="31" t="s">
        <v>337</v>
      </c>
      <c r="E47" s="31">
        <v>102</v>
      </c>
      <c r="F47" s="31">
        <v>96</v>
      </c>
      <c r="G47" s="32">
        <v>0.94117647058823528</v>
      </c>
      <c r="H47" s="31">
        <v>42</v>
      </c>
      <c r="I47" s="33">
        <v>0.41176470588235292</v>
      </c>
      <c r="J47" s="31">
        <v>30</v>
      </c>
      <c r="K47" s="31">
        <v>30</v>
      </c>
      <c r="L47" s="32">
        <v>1</v>
      </c>
      <c r="M47" s="31">
        <v>38</v>
      </c>
      <c r="N47" s="31">
        <v>0</v>
      </c>
      <c r="O47" s="31">
        <v>38</v>
      </c>
      <c r="P47" s="32">
        <v>1</v>
      </c>
      <c r="Q47" s="31">
        <v>0</v>
      </c>
      <c r="R47" s="31">
        <v>0</v>
      </c>
      <c r="S47" s="31">
        <v>0</v>
      </c>
      <c r="T47" s="32">
        <v>0</v>
      </c>
      <c r="U47" s="31">
        <v>0</v>
      </c>
      <c r="V47" s="32">
        <v>0</v>
      </c>
      <c r="W47" s="31">
        <v>0</v>
      </c>
      <c r="X47" s="32">
        <v>0</v>
      </c>
      <c r="Y47" s="31">
        <v>0</v>
      </c>
      <c r="Z47" s="34">
        <v>0</v>
      </c>
      <c r="AA47" s="31">
        <v>0</v>
      </c>
      <c r="AB47" s="32">
        <v>0</v>
      </c>
      <c r="AC47" s="31">
        <v>33</v>
      </c>
      <c r="AD47" s="32">
        <v>0.3235294117647059</v>
      </c>
      <c r="AE47" s="31">
        <v>1</v>
      </c>
      <c r="AF47" s="32">
        <v>3.03030303030303E-2</v>
      </c>
      <c r="AG47" s="31">
        <v>24</v>
      </c>
      <c r="AH47" s="32">
        <v>0.72727272727272729</v>
      </c>
      <c r="AI47" s="35">
        <v>0</v>
      </c>
      <c r="AJ47" s="32">
        <v>0</v>
      </c>
      <c r="AK47" s="35">
        <v>0</v>
      </c>
      <c r="AL47" s="32">
        <v>0</v>
      </c>
      <c r="AM47" s="35">
        <v>0</v>
      </c>
      <c r="AN47" s="35">
        <v>0</v>
      </c>
      <c r="AO47" s="32">
        <v>0</v>
      </c>
      <c r="AP47" s="32">
        <v>0</v>
      </c>
      <c r="AQ47" s="33"/>
      <c r="AR47" s="33" t="s">
        <v>411</v>
      </c>
      <c r="AS47" s="33" t="s">
        <v>411</v>
      </c>
      <c r="AT47" s="35">
        <v>0</v>
      </c>
      <c r="AU47" s="35">
        <v>0</v>
      </c>
      <c r="AV47" s="35">
        <v>0</v>
      </c>
      <c r="AW47" s="35">
        <v>0</v>
      </c>
      <c r="AX47" s="35">
        <v>0</v>
      </c>
      <c r="AY47" s="35">
        <v>0</v>
      </c>
      <c r="AZ47" s="32">
        <v>0</v>
      </c>
      <c r="BA47" s="32">
        <v>0</v>
      </c>
      <c r="BB47" s="32">
        <v>0</v>
      </c>
      <c r="BC47" s="32">
        <v>0</v>
      </c>
      <c r="BD47" s="35">
        <v>0</v>
      </c>
      <c r="BE47" s="35">
        <v>0</v>
      </c>
      <c r="BF47" s="33" t="s">
        <v>412</v>
      </c>
      <c r="BG47" s="33" t="s">
        <v>412</v>
      </c>
      <c r="BH47" s="33" t="s">
        <v>412</v>
      </c>
    </row>
    <row r="48" spans="1:60" ht="19.5" customHeight="1">
      <c r="A48" s="36">
        <v>45</v>
      </c>
      <c r="B48" s="31" t="s">
        <v>410</v>
      </c>
      <c r="C48" s="37">
        <v>45848</v>
      </c>
      <c r="D48" s="31" t="s">
        <v>336</v>
      </c>
      <c r="E48" s="31">
        <v>64</v>
      </c>
      <c r="F48" s="31">
        <v>57</v>
      </c>
      <c r="G48" s="32">
        <v>0.890625</v>
      </c>
      <c r="H48" s="31">
        <v>41</v>
      </c>
      <c r="I48" s="33">
        <v>0.640625</v>
      </c>
      <c r="J48" s="31">
        <v>23</v>
      </c>
      <c r="K48" s="31">
        <v>22</v>
      </c>
      <c r="L48" s="32">
        <v>0.95699999999999996</v>
      </c>
      <c r="M48" s="31">
        <v>43</v>
      </c>
      <c r="N48" s="31">
        <v>1</v>
      </c>
      <c r="O48" s="31">
        <v>42</v>
      </c>
      <c r="P48" s="32">
        <v>0.97674418604651159</v>
      </c>
      <c r="Q48" s="31">
        <v>0</v>
      </c>
      <c r="R48" s="31">
        <v>0</v>
      </c>
      <c r="S48" s="31">
        <v>0</v>
      </c>
      <c r="T48" s="32">
        <v>0</v>
      </c>
      <c r="U48" s="31">
        <v>0</v>
      </c>
      <c r="V48" s="32">
        <v>0</v>
      </c>
      <c r="W48" s="31">
        <v>0</v>
      </c>
      <c r="X48" s="32">
        <v>0</v>
      </c>
      <c r="Y48" s="31">
        <v>0</v>
      </c>
      <c r="Z48" s="34">
        <v>0</v>
      </c>
      <c r="AA48" s="31">
        <v>0</v>
      </c>
      <c r="AB48" s="32">
        <v>0</v>
      </c>
      <c r="AC48" s="31">
        <v>22</v>
      </c>
      <c r="AD48" s="32">
        <v>0.34375</v>
      </c>
      <c r="AE48" s="31">
        <v>0</v>
      </c>
      <c r="AF48" s="32">
        <v>0</v>
      </c>
      <c r="AG48" s="31">
        <v>14</v>
      </c>
      <c r="AH48" s="32">
        <v>0.63636363636363635</v>
      </c>
      <c r="AI48" s="35">
        <v>0</v>
      </c>
      <c r="AJ48" s="32">
        <v>0</v>
      </c>
      <c r="AK48" s="35">
        <v>0</v>
      </c>
      <c r="AL48" s="32">
        <v>0</v>
      </c>
      <c r="AM48" s="35">
        <v>0</v>
      </c>
      <c r="AN48" s="35">
        <v>0</v>
      </c>
      <c r="AO48" s="32">
        <v>0</v>
      </c>
      <c r="AP48" s="32">
        <v>0</v>
      </c>
      <c r="AQ48" s="33"/>
      <c r="AR48" s="33" t="s">
        <v>411</v>
      </c>
      <c r="AS48" s="33" t="s">
        <v>411</v>
      </c>
      <c r="AT48" s="35">
        <v>0</v>
      </c>
      <c r="AU48" s="35">
        <v>0</v>
      </c>
      <c r="AV48" s="35">
        <v>0</v>
      </c>
      <c r="AW48" s="35">
        <v>0</v>
      </c>
      <c r="AX48" s="35">
        <v>0</v>
      </c>
      <c r="AY48" s="35">
        <v>0</v>
      </c>
      <c r="AZ48" s="32">
        <v>0</v>
      </c>
      <c r="BA48" s="32">
        <v>0</v>
      </c>
      <c r="BB48" s="32">
        <v>0</v>
      </c>
      <c r="BC48" s="32">
        <v>0</v>
      </c>
      <c r="BD48" s="35">
        <v>0</v>
      </c>
      <c r="BE48" s="35">
        <v>0</v>
      </c>
      <c r="BF48" s="33" t="s">
        <v>412</v>
      </c>
      <c r="BG48" s="33" t="s">
        <v>412</v>
      </c>
      <c r="BH48" s="33" t="s">
        <v>412</v>
      </c>
    </row>
    <row r="49" spans="1:60" ht="19.5" customHeight="1">
      <c r="A49" s="36">
        <v>46</v>
      </c>
      <c r="B49" s="31" t="s">
        <v>410</v>
      </c>
      <c r="C49" s="37">
        <v>45849</v>
      </c>
      <c r="D49" s="31" t="s">
        <v>413</v>
      </c>
      <c r="E49" s="31">
        <v>1</v>
      </c>
      <c r="F49" s="31">
        <v>1</v>
      </c>
      <c r="G49" s="32">
        <v>1</v>
      </c>
      <c r="H49" s="31">
        <v>0</v>
      </c>
      <c r="I49" s="33">
        <v>0</v>
      </c>
      <c r="J49" s="31">
        <v>0</v>
      </c>
      <c r="K49" s="31">
        <v>0</v>
      </c>
      <c r="L49" s="32">
        <v>0</v>
      </c>
      <c r="M49" s="31">
        <v>0</v>
      </c>
      <c r="N49" s="31">
        <v>0</v>
      </c>
      <c r="O49" s="31">
        <v>0</v>
      </c>
      <c r="P49" s="32">
        <v>0</v>
      </c>
      <c r="Q49" s="31">
        <v>0</v>
      </c>
      <c r="R49" s="31">
        <v>0</v>
      </c>
      <c r="S49" s="31">
        <v>0</v>
      </c>
      <c r="T49" s="32">
        <v>0</v>
      </c>
      <c r="U49" s="31">
        <v>0</v>
      </c>
      <c r="V49" s="32">
        <v>0</v>
      </c>
      <c r="W49" s="31">
        <v>0</v>
      </c>
      <c r="X49" s="32">
        <v>0</v>
      </c>
      <c r="Y49" s="31">
        <v>0</v>
      </c>
      <c r="Z49" s="34">
        <v>0</v>
      </c>
      <c r="AA49" s="31">
        <v>0</v>
      </c>
      <c r="AB49" s="32">
        <v>0</v>
      </c>
      <c r="AC49" s="31">
        <v>0</v>
      </c>
      <c r="AD49" s="32">
        <v>0</v>
      </c>
      <c r="AE49" s="31">
        <v>0</v>
      </c>
      <c r="AF49" s="32">
        <v>0</v>
      </c>
      <c r="AG49" s="31">
        <v>0</v>
      </c>
      <c r="AH49" s="32">
        <v>0</v>
      </c>
      <c r="AI49" s="35">
        <v>0</v>
      </c>
      <c r="AJ49" s="32">
        <v>0</v>
      </c>
      <c r="AK49" s="35">
        <v>0</v>
      </c>
      <c r="AL49" s="32">
        <v>0</v>
      </c>
      <c r="AM49" s="35">
        <v>0</v>
      </c>
      <c r="AN49" s="35">
        <v>0</v>
      </c>
      <c r="AO49" s="32">
        <v>0</v>
      </c>
      <c r="AP49" s="32">
        <v>0</v>
      </c>
      <c r="AQ49" s="33"/>
      <c r="AR49" s="33" t="s">
        <v>411</v>
      </c>
      <c r="AS49" s="33" t="s">
        <v>411</v>
      </c>
      <c r="AT49" s="35">
        <v>0</v>
      </c>
      <c r="AU49" s="35">
        <v>0</v>
      </c>
      <c r="AV49" s="35">
        <v>0</v>
      </c>
      <c r="AW49" s="35">
        <v>0</v>
      </c>
      <c r="AX49" s="35">
        <v>0</v>
      </c>
      <c r="AY49" s="35">
        <v>0</v>
      </c>
      <c r="AZ49" s="32">
        <v>0</v>
      </c>
      <c r="BA49" s="32">
        <v>0</v>
      </c>
      <c r="BB49" s="32">
        <v>0</v>
      </c>
      <c r="BC49" s="32">
        <v>0</v>
      </c>
      <c r="BD49" s="35">
        <v>0</v>
      </c>
      <c r="BE49" s="35">
        <v>0</v>
      </c>
      <c r="BF49" s="33" t="s">
        <v>412</v>
      </c>
      <c r="BG49" s="33" t="s">
        <v>412</v>
      </c>
      <c r="BH49" s="33" t="s">
        <v>412</v>
      </c>
    </row>
    <row r="50" spans="1:60" ht="19.5" customHeight="1">
      <c r="A50" s="36">
        <v>47</v>
      </c>
      <c r="B50" s="31" t="s">
        <v>410</v>
      </c>
      <c r="C50" s="37">
        <v>45849</v>
      </c>
      <c r="D50" s="31" t="s">
        <v>335</v>
      </c>
      <c r="E50" s="31">
        <v>42</v>
      </c>
      <c r="F50" s="31">
        <v>39</v>
      </c>
      <c r="G50" s="32">
        <v>0.9285714285714286</v>
      </c>
      <c r="H50" s="31">
        <v>25</v>
      </c>
      <c r="I50" s="33">
        <v>0.59523809523809523</v>
      </c>
      <c r="J50" s="31">
        <v>22</v>
      </c>
      <c r="K50" s="31">
        <v>22</v>
      </c>
      <c r="L50" s="32">
        <v>1</v>
      </c>
      <c r="M50" s="31">
        <v>38</v>
      </c>
      <c r="N50" s="31">
        <v>0</v>
      </c>
      <c r="O50" s="31">
        <v>38</v>
      </c>
      <c r="P50" s="32">
        <v>1</v>
      </c>
      <c r="Q50" s="31">
        <v>0</v>
      </c>
      <c r="R50" s="31">
        <v>0</v>
      </c>
      <c r="S50" s="31">
        <v>0</v>
      </c>
      <c r="T50" s="32">
        <v>0</v>
      </c>
      <c r="U50" s="31">
        <v>0</v>
      </c>
      <c r="V50" s="32">
        <v>0</v>
      </c>
      <c r="W50" s="31">
        <v>0</v>
      </c>
      <c r="X50" s="32">
        <v>0</v>
      </c>
      <c r="Y50" s="31">
        <v>0</v>
      </c>
      <c r="Z50" s="34">
        <v>0</v>
      </c>
      <c r="AA50" s="31">
        <v>0</v>
      </c>
      <c r="AB50" s="32">
        <v>0</v>
      </c>
      <c r="AC50" s="31">
        <v>14</v>
      </c>
      <c r="AD50" s="32">
        <v>0.33333333333333331</v>
      </c>
      <c r="AE50" s="31">
        <v>1</v>
      </c>
      <c r="AF50" s="32">
        <v>7.1428571428571425E-2</v>
      </c>
      <c r="AG50" s="31">
        <v>5</v>
      </c>
      <c r="AH50" s="32">
        <v>0.35714285714285721</v>
      </c>
      <c r="AI50" s="35">
        <v>0</v>
      </c>
      <c r="AJ50" s="32">
        <v>0</v>
      </c>
      <c r="AK50" s="35">
        <v>0</v>
      </c>
      <c r="AL50" s="32">
        <v>0</v>
      </c>
      <c r="AM50" s="35">
        <v>0</v>
      </c>
      <c r="AN50" s="35">
        <v>0</v>
      </c>
      <c r="AO50" s="32">
        <v>0</v>
      </c>
      <c r="AP50" s="32">
        <v>0</v>
      </c>
      <c r="AQ50" s="33"/>
      <c r="AR50" s="33" t="s">
        <v>411</v>
      </c>
      <c r="AS50" s="33" t="s">
        <v>411</v>
      </c>
      <c r="AT50" s="35">
        <v>0</v>
      </c>
      <c r="AU50" s="35">
        <v>0</v>
      </c>
      <c r="AV50" s="35">
        <v>0</v>
      </c>
      <c r="AW50" s="35">
        <v>0</v>
      </c>
      <c r="AX50" s="35">
        <v>0</v>
      </c>
      <c r="AY50" s="35">
        <v>0</v>
      </c>
      <c r="AZ50" s="32">
        <v>0</v>
      </c>
      <c r="BA50" s="32">
        <v>0</v>
      </c>
      <c r="BB50" s="32">
        <v>0</v>
      </c>
      <c r="BC50" s="32">
        <v>0</v>
      </c>
      <c r="BD50" s="35">
        <v>0</v>
      </c>
      <c r="BE50" s="35">
        <v>0</v>
      </c>
      <c r="BF50" s="33" t="s">
        <v>412</v>
      </c>
      <c r="BG50" s="33" t="s">
        <v>412</v>
      </c>
      <c r="BH50" s="33" t="s">
        <v>412</v>
      </c>
    </row>
    <row r="51" spans="1:60" ht="19.5" customHeight="1">
      <c r="A51" s="36">
        <v>48</v>
      </c>
      <c r="B51" s="31" t="s">
        <v>410</v>
      </c>
      <c r="C51" s="37">
        <v>45849</v>
      </c>
      <c r="D51" s="31" t="s">
        <v>334</v>
      </c>
      <c r="E51" s="31">
        <v>6369</v>
      </c>
      <c r="F51" s="31">
        <v>5109</v>
      </c>
      <c r="G51" s="32">
        <v>0.80216674517192654</v>
      </c>
      <c r="H51" s="31">
        <v>2765</v>
      </c>
      <c r="I51" s="33">
        <v>0.43413408698382788</v>
      </c>
      <c r="J51" s="31">
        <v>4681</v>
      </c>
      <c r="K51" s="31">
        <v>4425</v>
      </c>
      <c r="L51" s="32">
        <v>0.94499999999999995</v>
      </c>
      <c r="M51" s="31">
        <v>5520</v>
      </c>
      <c r="N51" s="31">
        <v>0</v>
      </c>
      <c r="O51" s="31">
        <v>5195</v>
      </c>
      <c r="P51" s="32">
        <v>0.94112318840579712</v>
      </c>
      <c r="Q51" s="31">
        <v>22</v>
      </c>
      <c r="R51" s="31">
        <v>0</v>
      </c>
      <c r="S51" s="31">
        <v>0</v>
      </c>
      <c r="T51" s="32">
        <v>0</v>
      </c>
      <c r="U51" s="31">
        <v>0</v>
      </c>
      <c r="V51" s="32">
        <v>0</v>
      </c>
      <c r="W51" s="31">
        <v>696</v>
      </c>
      <c r="X51" s="32">
        <v>0.1092793217145549</v>
      </c>
      <c r="Y51" s="31">
        <v>1699</v>
      </c>
      <c r="Z51" s="34">
        <v>0.26676087297848949</v>
      </c>
      <c r="AA51" s="31">
        <v>32</v>
      </c>
      <c r="AB51" s="32">
        <v>5.0243366305542467E-3</v>
      </c>
      <c r="AC51" s="31">
        <v>1036</v>
      </c>
      <c r="AD51" s="32">
        <v>0.16266289841419379</v>
      </c>
      <c r="AE51" s="31">
        <v>36</v>
      </c>
      <c r="AF51" s="32">
        <v>3.4749034749034749E-2</v>
      </c>
      <c r="AG51" s="31">
        <v>483</v>
      </c>
      <c r="AH51" s="32">
        <v>0.46621621621621617</v>
      </c>
      <c r="AI51" s="35">
        <v>992</v>
      </c>
      <c r="AJ51" s="32">
        <v>0.15575443554718171</v>
      </c>
      <c r="AK51" s="35">
        <v>12</v>
      </c>
      <c r="AL51" s="32">
        <v>0.77217741935483875</v>
      </c>
      <c r="AM51" s="35">
        <v>971</v>
      </c>
      <c r="AN51" s="35">
        <v>766</v>
      </c>
      <c r="AO51" s="32">
        <v>0.1202700580938923</v>
      </c>
      <c r="AP51" s="32">
        <v>0.73938223938223935</v>
      </c>
      <c r="AQ51" s="33">
        <v>0</v>
      </c>
      <c r="AR51" s="33" t="s">
        <v>411</v>
      </c>
      <c r="AS51" s="33">
        <v>0</v>
      </c>
      <c r="AT51" s="35">
        <v>0</v>
      </c>
      <c r="AU51" s="35">
        <v>0</v>
      </c>
      <c r="AV51" s="35">
        <v>135</v>
      </c>
      <c r="AW51" s="35">
        <v>106</v>
      </c>
      <c r="AX51" s="35">
        <v>109</v>
      </c>
      <c r="AY51" s="35">
        <v>190</v>
      </c>
      <c r="AZ51" s="32">
        <v>1.6643115088710941E-2</v>
      </c>
      <c r="BA51" s="32">
        <v>1.7114146647825401E-2</v>
      </c>
      <c r="BB51" s="32">
        <v>2.9831998743915841E-2</v>
      </c>
      <c r="BC51" s="32">
        <v>0.14229765013054829</v>
      </c>
      <c r="BD51" s="35">
        <v>0</v>
      </c>
      <c r="BE51" s="35">
        <v>4</v>
      </c>
      <c r="BF51" s="33">
        <v>0.90163934426229508</v>
      </c>
      <c r="BG51" s="33">
        <v>1</v>
      </c>
      <c r="BH51" s="33">
        <v>0.97727272727272729</v>
      </c>
    </row>
    <row r="52" spans="1:60" ht="19.5" customHeight="1">
      <c r="A52" s="36">
        <v>49</v>
      </c>
      <c r="B52" s="31" t="s">
        <v>410</v>
      </c>
      <c r="C52" s="37">
        <v>45849</v>
      </c>
      <c r="D52" s="31" t="s">
        <v>337</v>
      </c>
      <c r="E52" s="31">
        <v>126</v>
      </c>
      <c r="F52" s="31">
        <v>112</v>
      </c>
      <c r="G52" s="32">
        <v>0.88888888888888884</v>
      </c>
      <c r="H52" s="31">
        <v>52</v>
      </c>
      <c r="I52" s="33">
        <v>0.41269841269841268</v>
      </c>
      <c r="J52" s="31">
        <v>38</v>
      </c>
      <c r="K52" s="31">
        <v>37</v>
      </c>
      <c r="L52" s="32">
        <v>0.97399999999999998</v>
      </c>
      <c r="M52" s="31">
        <v>57</v>
      </c>
      <c r="N52" s="31">
        <v>0</v>
      </c>
      <c r="O52" s="31">
        <v>53</v>
      </c>
      <c r="P52" s="32">
        <v>0.92982456140350878</v>
      </c>
      <c r="Q52" s="31">
        <v>0</v>
      </c>
      <c r="R52" s="31">
        <v>0</v>
      </c>
      <c r="S52" s="31">
        <v>0</v>
      </c>
      <c r="T52" s="32">
        <v>0</v>
      </c>
      <c r="U52" s="31">
        <v>0</v>
      </c>
      <c r="V52" s="32">
        <v>0</v>
      </c>
      <c r="W52" s="31">
        <v>0</v>
      </c>
      <c r="X52" s="32">
        <v>0</v>
      </c>
      <c r="Y52" s="31">
        <v>0</v>
      </c>
      <c r="Z52" s="34">
        <v>0</v>
      </c>
      <c r="AA52" s="31">
        <v>0</v>
      </c>
      <c r="AB52" s="32">
        <v>0</v>
      </c>
      <c r="AC52" s="31">
        <v>50</v>
      </c>
      <c r="AD52" s="32">
        <v>0.3968253968253968</v>
      </c>
      <c r="AE52" s="31">
        <v>3</v>
      </c>
      <c r="AF52" s="32">
        <v>0.06</v>
      </c>
      <c r="AG52" s="31">
        <v>31</v>
      </c>
      <c r="AH52" s="32">
        <v>0.62</v>
      </c>
      <c r="AI52" s="35">
        <v>0</v>
      </c>
      <c r="AJ52" s="32">
        <v>0</v>
      </c>
      <c r="AK52" s="35">
        <v>0</v>
      </c>
      <c r="AL52" s="32">
        <v>0</v>
      </c>
      <c r="AM52" s="35">
        <v>0</v>
      </c>
      <c r="AN52" s="35">
        <v>0</v>
      </c>
      <c r="AO52" s="32">
        <v>0</v>
      </c>
      <c r="AP52" s="32">
        <v>0</v>
      </c>
      <c r="AQ52" s="33"/>
      <c r="AR52" s="33" t="s">
        <v>411</v>
      </c>
      <c r="AS52" s="33" t="s">
        <v>411</v>
      </c>
      <c r="AT52" s="35">
        <v>0</v>
      </c>
      <c r="AU52" s="35">
        <v>0</v>
      </c>
      <c r="AV52" s="35">
        <v>0</v>
      </c>
      <c r="AW52" s="35">
        <v>0</v>
      </c>
      <c r="AX52" s="35">
        <v>0</v>
      </c>
      <c r="AY52" s="35">
        <v>0</v>
      </c>
      <c r="AZ52" s="32">
        <v>0</v>
      </c>
      <c r="BA52" s="32">
        <v>0</v>
      </c>
      <c r="BB52" s="32">
        <v>0</v>
      </c>
      <c r="BC52" s="32">
        <v>0</v>
      </c>
      <c r="BD52" s="35">
        <v>0</v>
      </c>
      <c r="BE52" s="35">
        <v>0</v>
      </c>
      <c r="BF52" s="33" t="s">
        <v>412</v>
      </c>
      <c r="BG52" s="33" t="s">
        <v>412</v>
      </c>
      <c r="BH52" s="33" t="s">
        <v>412</v>
      </c>
    </row>
    <row r="53" spans="1:60" ht="19.5" customHeight="1">
      <c r="A53" s="36">
        <v>50</v>
      </c>
      <c r="B53" s="31" t="s">
        <v>410</v>
      </c>
      <c r="C53" s="37">
        <v>45849</v>
      </c>
      <c r="D53" s="31" t="s">
        <v>336</v>
      </c>
      <c r="E53" s="31">
        <v>62</v>
      </c>
      <c r="F53" s="31">
        <v>61</v>
      </c>
      <c r="G53" s="32">
        <v>0.9838709677419355</v>
      </c>
      <c r="H53" s="31">
        <v>40</v>
      </c>
      <c r="I53" s="33">
        <v>0.64516129032258063</v>
      </c>
      <c r="J53" s="31">
        <v>29</v>
      </c>
      <c r="K53" s="31">
        <v>29</v>
      </c>
      <c r="L53" s="32">
        <v>1</v>
      </c>
      <c r="M53" s="31">
        <v>42</v>
      </c>
      <c r="N53" s="31">
        <v>0</v>
      </c>
      <c r="O53" s="31">
        <v>42</v>
      </c>
      <c r="P53" s="32">
        <v>1</v>
      </c>
      <c r="Q53" s="31">
        <v>0</v>
      </c>
      <c r="R53" s="31">
        <v>0</v>
      </c>
      <c r="S53" s="31">
        <v>0</v>
      </c>
      <c r="T53" s="32">
        <v>0</v>
      </c>
      <c r="U53" s="31">
        <v>0</v>
      </c>
      <c r="V53" s="32">
        <v>0</v>
      </c>
      <c r="W53" s="31">
        <v>0</v>
      </c>
      <c r="X53" s="32">
        <v>0</v>
      </c>
      <c r="Y53" s="31">
        <v>0</v>
      </c>
      <c r="Z53" s="34">
        <v>0</v>
      </c>
      <c r="AA53" s="31">
        <v>0</v>
      </c>
      <c r="AB53" s="32">
        <v>0</v>
      </c>
      <c r="AC53" s="31">
        <v>20</v>
      </c>
      <c r="AD53" s="32">
        <v>0.32258064516129031</v>
      </c>
      <c r="AE53" s="31">
        <v>0</v>
      </c>
      <c r="AF53" s="32">
        <v>0</v>
      </c>
      <c r="AG53" s="31">
        <v>16</v>
      </c>
      <c r="AH53" s="32">
        <v>0.8</v>
      </c>
      <c r="AI53" s="35">
        <v>0</v>
      </c>
      <c r="AJ53" s="32">
        <v>0</v>
      </c>
      <c r="AK53" s="35">
        <v>0</v>
      </c>
      <c r="AL53" s="32">
        <v>0</v>
      </c>
      <c r="AM53" s="35">
        <v>0</v>
      </c>
      <c r="AN53" s="35">
        <v>0</v>
      </c>
      <c r="AO53" s="32">
        <v>0</v>
      </c>
      <c r="AP53" s="32">
        <v>0</v>
      </c>
      <c r="AQ53" s="33"/>
      <c r="AR53" s="33" t="s">
        <v>411</v>
      </c>
      <c r="AS53" s="33" t="s">
        <v>411</v>
      </c>
      <c r="AT53" s="35">
        <v>0</v>
      </c>
      <c r="AU53" s="35">
        <v>0</v>
      </c>
      <c r="AV53" s="35">
        <v>0</v>
      </c>
      <c r="AW53" s="35">
        <v>0</v>
      </c>
      <c r="AX53" s="35">
        <v>0</v>
      </c>
      <c r="AY53" s="35">
        <v>0</v>
      </c>
      <c r="AZ53" s="32">
        <v>0</v>
      </c>
      <c r="BA53" s="32">
        <v>0</v>
      </c>
      <c r="BB53" s="32">
        <v>0</v>
      </c>
      <c r="BC53" s="32">
        <v>0</v>
      </c>
      <c r="BD53" s="35">
        <v>0</v>
      </c>
      <c r="BE53" s="35">
        <v>0</v>
      </c>
      <c r="BF53" s="33" t="s">
        <v>412</v>
      </c>
      <c r="BG53" s="33" t="s">
        <v>412</v>
      </c>
      <c r="BH53" s="33" t="s">
        <v>412</v>
      </c>
    </row>
    <row r="54" spans="1:60" ht="19.5" customHeight="1">
      <c r="A54" s="36">
        <v>51</v>
      </c>
      <c r="B54" s="31" t="s">
        <v>410</v>
      </c>
      <c r="C54" s="37">
        <v>45850</v>
      </c>
      <c r="D54" s="31" t="s">
        <v>413</v>
      </c>
      <c r="E54" s="31">
        <v>1</v>
      </c>
      <c r="F54" s="31">
        <v>1</v>
      </c>
      <c r="G54" s="32">
        <v>1</v>
      </c>
      <c r="H54" s="31">
        <v>1</v>
      </c>
      <c r="I54" s="33">
        <v>1</v>
      </c>
      <c r="J54" s="31">
        <v>1</v>
      </c>
      <c r="K54" s="31">
        <v>1</v>
      </c>
      <c r="L54" s="32">
        <v>1</v>
      </c>
      <c r="M54" s="31">
        <v>1</v>
      </c>
      <c r="N54" s="31">
        <v>0</v>
      </c>
      <c r="O54" s="31">
        <v>1</v>
      </c>
      <c r="P54" s="32">
        <v>1</v>
      </c>
      <c r="Q54" s="31">
        <v>0</v>
      </c>
      <c r="R54" s="31">
        <v>0</v>
      </c>
      <c r="S54" s="31">
        <v>0</v>
      </c>
      <c r="T54" s="32">
        <v>0</v>
      </c>
      <c r="U54" s="31">
        <v>0</v>
      </c>
      <c r="V54" s="32">
        <v>0</v>
      </c>
      <c r="W54" s="31">
        <v>0</v>
      </c>
      <c r="X54" s="32">
        <v>0</v>
      </c>
      <c r="Y54" s="31">
        <v>0</v>
      </c>
      <c r="Z54" s="34">
        <v>0</v>
      </c>
      <c r="AA54" s="31">
        <v>0</v>
      </c>
      <c r="AB54" s="32">
        <v>0</v>
      </c>
      <c r="AC54" s="31">
        <v>0</v>
      </c>
      <c r="AD54" s="32">
        <v>0</v>
      </c>
      <c r="AE54" s="31">
        <v>0</v>
      </c>
      <c r="AF54" s="32">
        <v>0</v>
      </c>
      <c r="AG54" s="31">
        <v>0</v>
      </c>
      <c r="AH54" s="32">
        <v>0</v>
      </c>
      <c r="AI54" s="35">
        <v>0</v>
      </c>
      <c r="AJ54" s="32">
        <v>0</v>
      </c>
      <c r="AK54" s="35">
        <v>0</v>
      </c>
      <c r="AL54" s="32">
        <v>0</v>
      </c>
      <c r="AM54" s="35">
        <v>0</v>
      </c>
      <c r="AN54" s="35">
        <v>0</v>
      </c>
      <c r="AO54" s="32">
        <v>0</v>
      </c>
      <c r="AP54" s="32">
        <v>0</v>
      </c>
      <c r="AQ54" s="33"/>
      <c r="AR54" s="33" t="s">
        <v>411</v>
      </c>
      <c r="AS54" s="33" t="s">
        <v>411</v>
      </c>
      <c r="AT54" s="35">
        <v>0</v>
      </c>
      <c r="AU54" s="35">
        <v>0</v>
      </c>
      <c r="AV54" s="35">
        <v>0</v>
      </c>
      <c r="AW54" s="35">
        <v>0</v>
      </c>
      <c r="AX54" s="35">
        <v>0</v>
      </c>
      <c r="AY54" s="35">
        <v>0</v>
      </c>
      <c r="AZ54" s="32">
        <v>0</v>
      </c>
      <c r="BA54" s="32">
        <v>0</v>
      </c>
      <c r="BB54" s="32">
        <v>0</v>
      </c>
      <c r="BC54" s="32">
        <v>0</v>
      </c>
      <c r="BD54" s="35">
        <v>0</v>
      </c>
      <c r="BE54" s="35">
        <v>0</v>
      </c>
      <c r="BF54" s="33" t="s">
        <v>412</v>
      </c>
      <c r="BG54" s="33" t="s">
        <v>412</v>
      </c>
      <c r="BH54" s="33" t="s">
        <v>412</v>
      </c>
    </row>
    <row r="55" spans="1:60" ht="19.5" customHeight="1">
      <c r="A55" s="36">
        <v>52</v>
      </c>
      <c r="B55" s="31" t="s">
        <v>410</v>
      </c>
      <c r="C55" s="37">
        <v>45850</v>
      </c>
      <c r="D55" s="31" t="s">
        <v>335</v>
      </c>
      <c r="E55" s="31">
        <v>62</v>
      </c>
      <c r="F55" s="31">
        <v>59</v>
      </c>
      <c r="G55" s="32">
        <v>0.95161290322580649</v>
      </c>
      <c r="H55" s="31">
        <v>38</v>
      </c>
      <c r="I55" s="33">
        <v>0.61290322580645162</v>
      </c>
      <c r="J55" s="31">
        <v>26</v>
      </c>
      <c r="K55" s="31">
        <v>25</v>
      </c>
      <c r="L55" s="32">
        <v>0.96199999999999997</v>
      </c>
      <c r="M55" s="31">
        <v>48</v>
      </c>
      <c r="N55" s="31">
        <v>0</v>
      </c>
      <c r="O55" s="31">
        <v>47</v>
      </c>
      <c r="P55" s="32">
        <v>0.97916666666666663</v>
      </c>
      <c r="Q55" s="31">
        <v>0</v>
      </c>
      <c r="R55" s="31">
        <v>0</v>
      </c>
      <c r="S55" s="31">
        <v>0</v>
      </c>
      <c r="T55" s="32">
        <v>0</v>
      </c>
      <c r="U55" s="31">
        <v>0</v>
      </c>
      <c r="V55" s="32">
        <v>0</v>
      </c>
      <c r="W55" s="31">
        <v>0</v>
      </c>
      <c r="X55" s="32">
        <v>0</v>
      </c>
      <c r="Y55" s="31">
        <v>0</v>
      </c>
      <c r="Z55" s="34">
        <v>0</v>
      </c>
      <c r="AA55" s="31">
        <v>0</v>
      </c>
      <c r="AB55" s="32">
        <v>0</v>
      </c>
      <c r="AC55" s="31">
        <v>23</v>
      </c>
      <c r="AD55" s="32">
        <v>0.37096774193548387</v>
      </c>
      <c r="AE55" s="31">
        <v>1</v>
      </c>
      <c r="AF55" s="32">
        <v>4.3478260869565223E-2</v>
      </c>
      <c r="AG55" s="31">
        <v>18</v>
      </c>
      <c r="AH55" s="32">
        <v>0.78260869565217395</v>
      </c>
      <c r="AI55" s="35">
        <v>0</v>
      </c>
      <c r="AJ55" s="32">
        <v>0</v>
      </c>
      <c r="AK55" s="35">
        <v>0</v>
      </c>
      <c r="AL55" s="32">
        <v>0</v>
      </c>
      <c r="AM55" s="35">
        <v>0</v>
      </c>
      <c r="AN55" s="35">
        <v>0</v>
      </c>
      <c r="AO55" s="32">
        <v>0</v>
      </c>
      <c r="AP55" s="32">
        <v>0</v>
      </c>
      <c r="AQ55" s="33"/>
      <c r="AR55" s="33" t="s">
        <v>411</v>
      </c>
      <c r="AS55" s="33" t="s">
        <v>411</v>
      </c>
      <c r="AT55" s="35">
        <v>0</v>
      </c>
      <c r="AU55" s="35">
        <v>0</v>
      </c>
      <c r="AV55" s="35">
        <v>0</v>
      </c>
      <c r="AW55" s="35">
        <v>0</v>
      </c>
      <c r="AX55" s="35">
        <v>0</v>
      </c>
      <c r="AY55" s="35">
        <v>0</v>
      </c>
      <c r="AZ55" s="32">
        <v>0</v>
      </c>
      <c r="BA55" s="32">
        <v>0</v>
      </c>
      <c r="BB55" s="32">
        <v>0</v>
      </c>
      <c r="BC55" s="32">
        <v>0</v>
      </c>
      <c r="BD55" s="35">
        <v>0</v>
      </c>
      <c r="BE55" s="35">
        <v>0</v>
      </c>
      <c r="BF55" s="33" t="s">
        <v>412</v>
      </c>
      <c r="BG55" s="33" t="s">
        <v>412</v>
      </c>
      <c r="BH55" s="33" t="s">
        <v>412</v>
      </c>
    </row>
    <row r="56" spans="1:60" ht="19.5" customHeight="1">
      <c r="A56" s="36">
        <v>53</v>
      </c>
      <c r="B56" s="31" t="s">
        <v>410</v>
      </c>
      <c r="C56" s="37">
        <v>45850</v>
      </c>
      <c r="D56" s="31" t="s">
        <v>334</v>
      </c>
      <c r="E56" s="31">
        <v>7614</v>
      </c>
      <c r="F56" s="31">
        <v>6199</v>
      </c>
      <c r="G56" s="32">
        <v>0.81415812976096669</v>
      </c>
      <c r="H56" s="31">
        <v>3476</v>
      </c>
      <c r="I56" s="33">
        <v>0.45652744943525092</v>
      </c>
      <c r="J56" s="31">
        <v>4992</v>
      </c>
      <c r="K56" s="31">
        <v>4760</v>
      </c>
      <c r="L56" s="32">
        <v>0.95399999999999996</v>
      </c>
      <c r="M56" s="31">
        <v>5927</v>
      </c>
      <c r="N56" s="31">
        <v>0</v>
      </c>
      <c r="O56" s="31">
        <v>5612</v>
      </c>
      <c r="P56" s="32">
        <v>0.94685338282436304</v>
      </c>
      <c r="Q56" s="31">
        <v>25</v>
      </c>
      <c r="R56" s="31">
        <v>0</v>
      </c>
      <c r="S56" s="31">
        <v>0</v>
      </c>
      <c r="T56" s="32">
        <v>0</v>
      </c>
      <c r="U56" s="31">
        <v>0</v>
      </c>
      <c r="V56" s="32">
        <v>0</v>
      </c>
      <c r="W56" s="31">
        <v>825</v>
      </c>
      <c r="X56" s="32">
        <v>0.1083530338849488</v>
      </c>
      <c r="Y56" s="31">
        <v>1768</v>
      </c>
      <c r="Z56" s="34">
        <v>0.23220383504071451</v>
      </c>
      <c r="AA56" s="31">
        <v>26</v>
      </c>
      <c r="AB56" s="32">
        <v>3.414762280010507E-3</v>
      </c>
      <c r="AC56" s="31">
        <v>1792</v>
      </c>
      <c r="AD56" s="32">
        <v>0.2353559232991857</v>
      </c>
      <c r="AE56" s="31">
        <v>57</v>
      </c>
      <c r="AF56" s="32">
        <v>3.1808035714285712E-2</v>
      </c>
      <c r="AG56" s="31">
        <v>912</v>
      </c>
      <c r="AH56" s="32">
        <v>0.5089285714285714</v>
      </c>
      <c r="AI56" s="35">
        <v>1705</v>
      </c>
      <c r="AJ56" s="32">
        <v>0.2239296033622275</v>
      </c>
      <c r="AK56" s="35">
        <v>37</v>
      </c>
      <c r="AL56" s="32">
        <v>0.79354838709677422</v>
      </c>
      <c r="AM56" s="35">
        <v>1673</v>
      </c>
      <c r="AN56" s="35">
        <v>1353</v>
      </c>
      <c r="AO56" s="32">
        <v>0.177698975571316</v>
      </c>
      <c r="AP56" s="32">
        <v>0.7550223214285714</v>
      </c>
      <c r="AQ56" s="33">
        <v>0</v>
      </c>
      <c r="AR56" s="33" t="s">
        <v>411</v>
      </c>
      <c r="AS56" s="33">
        <v>0</v>
      </c>
      <c r="AT56" s="35">
        <v>0</v>
      </c>
      <c r="AU56" s="35">
        <v>0</v>
      </c>
      <c r="AV56" s="35">
        <v>200</v>
      </c>
      <c r="AW56" s="35">
        <v>167</v>
      </c>
      <c r="AX56" s="35">
        <v>151</v>
      </c>
      <c r="AY56" s="35">
        <v>166</v>
      </c>
      <c r="AZ56" s="32">
        <v>2.1933280798529031E-2</v>
      </c>
      <c r="BA56" s="32">
        <v>1.9831888626214871E-2</v>
      </c>
      <c r="BB56" s="32">
        <v>2.180194378775939E-2</v>
      </c>
      <c r="BC56" s="32">
        <v>0.1116038433111604</v>
      </c>
      <c r="BD56" s="35">
        <v>0</v>
      </c>
      <c r="BE56" s="35">
        <v>3</v>
      </c>
      <c r="BF56" s="33">
        <v>0.96969696969696972</v>
      </c>
      <c r="BG56" s="33">
        <v>0.95454545454545459</v>
      </c>
      <c r="BH56" s="33">
        <v>0.95833333333333337</v>
      </c>
    </row>
    <row r="57" spans="1:60" ht="19.5" customHeight="1">
      <c r="A57" s="36">
        <v>54</v>
      </c>
      <c r="B57" s="31" t="s">
        <v>410</v>
      </c>
      <c r="C57" s="37">
        <v>45850</v>
      </c>
      <c r="D57" s="31" t="s">
        <v>337</v>
      </c>
      <c r="E57" s="31">
        <v>131</v>
      </c>
      <c r="F57" s="31">
        <v>121</v>
      </c>
      <c r="G57" s="32">
        <v>0.92366412213740456</v>
      </c>
      <c r="H57" s="31">
        <v>61</v>
      </c>
      <c r="I57" s="33">
        <v>0.46564885496183211</v>
      </c>
      <c r="J57" s="31">
        <v>36</v>
      </c>
      <c r="K57" s="31">
        <v>33</v>
      </c>
      <c r="L57" s="32">
        <v>0.91700000000000004</v>
      </c>
      <c r="M57" s="31">
        <v>45</v>
      </c>
      <c r="N57" s="31">
        <v>0</v>
      </c>
      <c r="O57" s="31">
        <v>41</v>
      </c>
      <c r="P57" s="32">
        <v>0.91111111111111109</v>
      </c>
      <c r="Q57" s="31">
        <v>0</v>
      </c>
      <c r="R57" s="31">
        <v>0</v>
      </c>
      <c r="S57" s="31">
        <v>0</v>
      </c>
      <c r="T57" s="32">
        <v>0</v>
      </c>
      <c r="U57" s="31">
        <v>0</v>
      </c>
      <c r="V57" s="32">
        <v>0</v>
      </c>
      <c r="W57" s="31">
        <v>0</v>
      </c>
      <c r="X57" s="32">
        <v>0</v>
      </c>
      <c r="Y57" s="31">
        <v>0</v>
      </c>
      <c r="Z57" s="34">
        <v>0</v>
      </c>
      <c r="AA57" s="31">
        <v>0</v>
      </c>
      <c r="AB57" s="32">
        <v>0</v>
      </c>
      <c r="AC57" s="31">
        <v>46</v>
      </c>
      <c r="AD57" s="32">
        <v>0.35114503816793891</v>
      </c>
      <c r="AE57" s="31">
        <v>2</v>
      </c>
      <c r="AF57" s="32">
        <v>4.3478260869565223E-2</v>
      </c>
      <c r="AG57" s="31">
        <v>38</v>
      </c>
      <c r="AH57" s="32">
        <v>0.82608695652173914</v>
      </c>
      <c r="AI57" s="35">
        <v>0</v>
      </c>
      <c r="AJ57" s="32">
        <v>0</v>
      </c>
      <c r="AK57" s="35">
        <v>0</v>
      </c>
      <c r="AL57" s="32">
        <v>0</v>
      </c>
      <c r="AM57" s="35">
        <v>0</v>
      </c>
      <c r="AN57" s="35">
        <v>0</v>
      </c>
      <c r="AO57" s="32">
        <v>0</v>
      </c>
      <c r="AP57" s="32">
        <v>0</v>
      </c>
      <c r="AQ57" s="33"/>
      <c r="AR57" s="33" t="s">
        <v>411</v>
      </c>
      <c r="AS57" s="33" t="s">
        <v>411</v>
      </c>
      <c r="AT57" s="35">
        <v>0</v>
      </c>
      <c r="AU57" s="35">
        <v>0</v>
      </c>
      <c r="AV57" s="35">
        <v>0</v>
      </c>
      <c r="AW57" s="35">
        <v>0</v>
      </c>
      <c r="AX57" s="35">
        <v>0</v>
      </c>
      <c r="AY57" s="35">
        <v>0</v>
      </c>
      <c r="AZ57" s="32">
        <v>0</v>
      </c>
      <c r="BA57" s="32">
        <v>0</v>
      </c>
      <c r="BB57" s="32">
        <v>0</v>
      </c>
      <c r="BC57" s="32">
        <v>0</v>
      </c>
      <c r="BD57" s="35">
        <v>0</v>
      </c>
      <c r="BE57" s="35">
        <v>0</v>
      </c>
      <c r="BF57" s="33" t="s">
        <v>412</v>
      </c>
      <c r="BG57" s="33" t="s">
        <v>412</v>
      </c>
      <c r="BH57" s="33" t="s">
        <v>412</v>
      </c>
    </row>
    <row r="58" spans="1:60" ht="19.5" customHeight="1">
      <c r="A58" s="36">
        <v>55</v>
      </c>
      <c r="B58" s="31" t="s">
        <v>410</v>
      </c>
      <c r="C58" s="37">
        <v>45850</v>
      </c>
      <c r="D58" s="31" t="s">
        <v>336</v>
      </c>
      <c r="E58" s="31">
        <v>60</v>
      </c>
      <c r="F58" s="31">
        <v>59</v>
      </c>
      <c r="G58" s="32">
        <v>0.98333333333333328</v>
      </c>
      <c r="H58" s="31">
        <v>42</v>
      </c>
      <c r="I58" s="33">
        <v>0.7</v>
      </c>
      <c r="J58" s="31">
        <v>23</v>
      </c>
      <c r="K58" s="31">
        <v>22</v>
      </c>
      <c r="L58" s="32">
        <v>0.95699999999999996</v>
      </c>
      <c r="M58" s="31">
        <v>46</v>
      </c>
      <c r="N58" s="31">
        <v>0</v>
      </c>
      <c r="O58" s="31">
        <v>45</v>
      </c>
      <c r="P58" s="32">
        <v>0.97826086956521741</v>
      </c>
      <c r="Q58" s="31">
        <v>0</v>
      </c>
      <c r="R58" s="31">
        <v>0</v>
      </c>
      <c r="S58" s="31">
        <v>0</v>
      </c>
      <c r="T58" s="32">
        <v>0</v>
      </c>
      <c r="U58" s="31">
        <v>0</v>
      </c>
      <c r="V58" s="32">
        <v>0</v>
      </c>
      <c r="W58" s="31">
        <v>0</v>
      </c>
      <c r="X58" s="32">
        <v>0</v>
      </c>
      <c r="Y58" s="31">
        <v>0</v>
      </c>
      <c r="Z58" s="34">
        <v>0</v>
      </c>
      <c r="AA58" s="31">
        <v>0</v>
      </c>
      <c r="AB58" s="32">
        <v>0</v>
      </c>
      <c r="AC58" s="31">
        <v>15</v>
      </c>
      <c r="AD58" s="32">
        <v>0.25</v>
      </c>
      <c r="AE58" s="31">
        <v>1</v>
      </c>
      <c r="AF58" s="32">
        <v>6.6666666666666666E-2</v>
      </c>
      <c r="AG58" s="31">
        <v>12</v>
      </c>
      <c r="AH58" s="32">
        <v>0.8</v>
      </c>
      <c r="AI58" s="35">
        <v>0</v>
      </c>
      <c r="AJ58" s="32">
        <v>0</v>
      </c>
      <c r="AK58" s="35">
        <v>0</v>
      </c>
      <c r="AL58" s="32">
        <v>0</v>
      </c>
      <c r="AM58" s="35">
        <v>0</v>
      </c>
      <c r="AN58" s="35">
        <v>0</v>
      </c>
      <c r="AO58" s="32">
        <v>0</v>
      </c>
      <c r="AP58" s="32">
        <v>0</v>
      </c>
      <c r="AQ58" s="33"/>
      <c r="AR58" s="33" t="s">
        <v>411</v>
      </c>
      <c r="AS58" s="33" t="s">
        <v>411</v>
      </c>
      <c r="AT58" s="35">
        <v>0</v>
      </c>
      <c r="AU58" s="35">
        <v>0</v>
      </c>
      <c r="AV58" s="35">
        <v>0</v>
      </c>
      <c r="AW58" s="35">
        <v>0</v>
      </c>
      <c r="AX58" s="35">
        <v>0</v>
      </c>
      <c r="AY58" s="35">
        <v>0</v>
      </c>
      <c r="AZ58" s="32">
        <v>0</v>
      </c>
      <c r="BA58" s="32">
        <v>0</v>
      </c>
      <c r="BB58" s="32">
        <v>0</v>
      </c>
      <c r="BC58" s="32">
        <v>0</v>
      </c>
      <c r="BD58" s="35">
        <v>0</v>
      </c>
      <c r="BE58" s="35">
        <v>0</v>
      </c>
      <c r="BF58" s="33" t="s">
        <v>412</v>
      </c>
      <c r="BG58" s="33" t="s">
        <v>412</v>
      </c>
      <c r="BH58" s="33" t="s">
        <v>412</v>
      </c>
    </row>
    <row r="59" spans="1:60" ht="19.5" customHeight="1">
      <c r="A59" s="36">
        <v>56</v>
      </c>
      <c r="B59" s="31" t="s">
        <v>410</v>
      </c>
      <c r="C59" s="37">
        <v>45851</v>
      </c>
      <c r="D59" s="31" t="s">
        <v>335</v>
      </c>
      <c r="E59" s="31">
        <v>58</v>
      </c>
      <c r="F59" s="31">
        <v>56</v>
      </c>
      <c r="G59" s="32">
        <v>0.96551724137931039</v>
      </c>
      <c r="H59" s="31">
        <v>37</v>
      </c>
      <c r="I59" s="33">
        <v>0.63793103448275867</v>
      </c>
      <c r="J59" s="31">
        <v>38</v>
      </c>
      <c r="K59" s="31">
        <v>37</v>
      </c>
      <c r="L59" s="32">
        <v>0.97399999999999998</v>
      </c>
      <c r="M59" s="31">
        <v>60</v>
      </c>
      <c r="N59" s="31">
        <v>0</v>
      </c>
      <c r="O59" s="31">
        <v>59</v>
      </c>
      <c r="P59" s="32">
        <v>0.98333333333333328</v>
      </c>
      <c r="Q59" s="31">
        <v>0</v>
      </c>
      <c r="R59" s="31">
        <v>0</v>
      </c>
      <c r="S59" s="31">
        <v>0</v>
      </c>
      <c r="T59" s="32">
        <v>0</v>
      </c>
      <c r="U59" s="31">
        <v>0</v>
      </c>
      <c r="V59" s="32">
        <v>0</v>
      </c>
      <c r="W59" s="31">
        <v>0</v>
      </c>
      <c r="X59" s="32">
        <v>0</v>
      </c>
      <c r="Y59" s="31">
        <v>0</v>
      </c>
      <c r="Z59" s="34">
        <v>0</v>
      </c>
      <c r="AA59" s="31">
        <v>0</v>
      </c>
      <c r="AB59" s="32">
        <v>0</v>
      </c>
      <c r="AC59" s="31">
        <v>22</v>
      </c>
      <c r="AD59" s="32">
        <v>0.37931034482758619</v>
      </c>
      <c r="AE59" s="31">
        <v>1</v>
      </c>
      <c r="AF59" s="32">
        <v>4.5454545454545463E-2</v>
      </c>
      <c r="AG59" s="31">
        <v>16</v>
      </c>
      <c r="AH59" s="32">
        <v>0.72727272727272729</v>
      </c>
      <c r="AI59" s="35">
        <v>0</v>
      </c>
      <c r="AJ59" s="32">
        <v>0</v>
      </c>
      <c r="AK59" s="35">
        <v>0</v>
      </c>
      <c r="AL59" s="32">
        <v>0</v>
      </c>
      <c r="AM59" s="35">
        <v>0</v>
      </c>
      <c r="AN59" s="35">
        <v>0</v>
      </c>
      <c r="AO59" s="32">
        <v>0</v>
      </c>
      <c r="AP59" s="32">
        <v>0</v>
      </c>
      <c r="AQ59" s="33"/>
      <c r="AR59" s="33" t="s">
        <v>411</v>
      </c>
      <c r="AS59" s="33" t="s">
        <v>411</v>
      </c>
      <c r="AT59" s="35">
        <v>0</v>
      </c>
      <c r="AU59" s="35">
        <v>0</v>
      </c>
      <c r="AV59" s="35">
        <v>0</v>
      </c>
      <c r="AW59" s="35">
        <v>0</v>
      </c>
      <c r="AX59" s="35">
        <v>0</v>
      </c>
      <c r="AY59" s="35">
        <v>0</v>
      </c>
      <c r="AZ59" s="32">
        <v>0</v>
      </c>
      <c r="BA59" s="32">
        <v>0</v>
      </c>
      <c r="BB59" s="32">
        <v>0</v>
      </c>
      <c r="BC59" s="32">
        <v>0</v>
      </c>
      <c r="BD59" s="35">
        <v>0</v>
      </c>
      <c r="BE59" s="35">
        <v>0</v>
      </c>
      <c r="BF59" s="33" t="s">
        <v>412</v>
      </c>
      <c r="BG59" s="33" t="s">
        <v>412</v>
      </c>
      <c r="BH59" s="33" t="s">
        <v>412</v>
      </c>
    </row>
    <row r="60" spans="1:60" ht="19.5" customHeight="1">
      <c r="A60" s="36">
        <v>57</v>
      </c>
      <c r="B60" s="31" t="s">
        <v>410</v>
      </c>
      <c r="C60" s="37">
        <v>45851</v>
      </c>
      <c r="D60" s="31" t="s">
        <v>334</v>
      </c>
      <c r="E60" s="31">
        <v>7409</v>
      </c>
      <c r="F60" s="31">
        <v>5824</v>
      </c>
      <c r="G60" s="32">
        <v>0.78607099473613173</v>
      </c>
      <c r="H60" s="31">
        <v>3510</v>
      </c>
      <c r="I60" s="33">
        <v>0.47374814414900801</v>
      </c>
      <c r="J60" s="31">
        <v>5357</v>
      </c>
      <c r="K60" s="31">
        <v>5050</v>
      </c>
      <c r="L60" s="32">
        <v>0.94299999999999995</v>
      </c>
      <c r="M60" s="31">
        <v>6923</v>
      </c>
      <c r="N60" s="31">
        <v>0</v>
      </c>
      <c r="O60" s="31">
        <v>6495</v>
      </c>
      <c r="P60" s="32">
        <v>0.93817709085656509</v>
      </c>
      <c r="Q60" s="31">
        <v>26</v>
      </c>
      <c r="R60" s="31">
        <v>0</v>
      </c>
      <c r="S60" s="31">
        <v>0</v>
      </c>
      <c r="T60" s="32">
        <v>0</v>
      </c>
      <c r="U60" s="31">
        <v>0</v>
      </c>
      <c r="V60" s="32">
        <v>0</v>
      </c>
      <c r="W60" s="31">
        <v>932</v>
      </c>
      <c r="X60" s="32">
        <v>0.12579295451477929</v>
      </c>
      <c r="Y60" s="31">
        <v>1318</v>
      </c>
      <c r="Z60" s="34">
        <v>0.17789175327304629</v>
      </c>
      <c r="AA60" s="31">
        <v>23</v>
      </c>
      <c r="AB60" s="32">
        <v>3.1043325684977732E-3</v>
      </c>
      <c r="AC60" s="31">
        <v>1864</v>
      </c>
      <c r="AD60" s="32">
        <v>0.25158590902955857</v>
      </c>
      <c r="AE60" s="31">
        <v>63</v>
      </c>
      <c r="AF60" s="32">
        <v>3.3798283261802578E-2</v>
      </c>
      <c r="AG60" s="31">
        <v>863</v>
      </c>
      <c r="AH60" s="32">
        <v>0.46298283261802581</v>
      </c>
      <c r="AI60" s="35">
        <v>1737</v>
      </c>
      <c r="AJ60" s="32">
        <v>0.23444459441220139</v>
      </c>
      <c r="AK60" s="35">
        <v>35</v>
      </c>
      <c r="AL60" s="32">
        <v>0.79274611398963735</v>
      </c>
      <c r="AM60" s="35">
        <v>1696</v>
      </c>
      <c r="AN60" s="35">
        <v>1377</v>
      </c>
      <c r="AO60" s="32">
        <v>0.18585504116614929</v>
      </c>
      <c r="AP60" s="32">
        <v>0.73873390557939911</v>
      </c>
      <c r="AQ60" s="33">
        <v>0</v>
      </c>
      <c r="AR60" s="33" t="s">
        <v>411</v>
      </c>
      <c r="AS60" s="33">
        <v>0</v>
      </c>
      <c r="AT60" s="35">
        <v>0</v>
      </c>
      <c r="AU60" s="35">
        <v>0</v>
      </c>
      <c r="AV60" s="35">
        <v>258</v>
      </c>
      <c r="AW60" s="35">
        <v>237</v>
      </c>
      <c r="AX60" s="35">
        <v>217</v>
      </c>
      <c r="AY60" s="35">
        <v>85</v>
      </c>
      <c r="AZ60" s="32">
        <v>3.1988122553650973E-2</v>
      </c>
      <c r="BA60" s="32">
        <v>2.928870292887029E-2</v>
      </c>
      <c r="BB60" s="32">
        <v>1.1472533405317859E-2</v>
      </c>
      <c r="BC60" s="32">
        <v>0.15758896151053009</v>
      </c>
      <c r="BD60" s="35">
        <v>0</v>
      </c>
      <c r="BE60" s="35">
        <v>2</v>
      </c>
      <c r="BF60" s="33">
        <v>0.95061728395061729</v>
      </c>
      <c r="BG60" s="33">
        <v>0.89473684210526316</v>
      </c>
      <c r="BH60" s="33">
        <v>1</v>
      </c>
    </row>
    <row r="61" spans="1:60" ht="19.5" customHeight="1">
      <c r="A61" s="36">
        <v>58</v>
      </c>
      <c r="B61" s="31" t="s">
        <v>410</v>
      </c>
      <c r="C61" s="37">
        <v>45851</v>
      </c>
      <c r="D61" s="31" t="s">
        <v>337</v>
      </c>
      <c r="E61" s="31">
        <v>157</v>
      </c>
      <c r="F61" s="31">
        <v>148</v>
      </c>
      <c r="G61" s="32">
        <v>0.9426751592356688</v>
      </c>
      <c r="H61" s="31">
        <v>56</v>
      </c>
      <c r="I61" s="33">
        <v>0.35668789808917201</v>
      </c>
      <c r="J61" s="31">
        <v>24</v>
      </c>
      <c r="K61" s="31">
        <v>24</v>
      </c>
      <c r="L61" s="32">
        <v>1</v>
      </c>
      <c r="M61" s="31">
        <v>47</v>
      </c>
      <c r="N61" s="31">
        <v>0</v>
      </c>
      <c r="O61" s="31">
        <v>47</v>
      </c>
      <c r="P61" s="32">
        <v>1</v>
      </c>
      <c r="Q61" s="31">
        <v>0</v>
      </c>
      <c r="R61" s="31">
        <v>0</v>
      </c>
      <c r="S61" s="31">
        <v>0</v>
      </c>
      <c r="T61" s="32">
        <v>0</v>
      </c>
      <c r="U61" s="31">
        <v>0</v>
      </c>
      <c r="V61" s="32">
        <v>0</v>
      </c>
      <c r="W61" s="31">
        <v>0</v>
      </c>
      <c r="X61" s="32">
        <v>0</v>
      </c>
      <c r="Y61" s="31">
        <v>0</v>
      </c>
      <c r="Z61" s="34">
        <v>0</v>
      </c>
      <c r="AA61" s="31">
        <v>0</v>
      </c>
      <c r="AB61" s="32">
        <v>0</v>
      </c>
      <c r="AC61" s="31">
        <v>43</v>
      </c>
      <c r="AD61" s="32">
        <v>0.27388535031847128</v>
      </c>
      <c r="AE61" s="31">
        <v>4</v>
      </c>
      <c r="AF61" s="32">
        <v>9.3023255813953487E-2</v>
      </c>
      <c r="AG61" s="31">
        <v>37</v>
      </c>
      <c r="AH61" s="32">
        <v>0.86046511627906974</v>
      </c>
      <c r="AI61" s="35">
        <v>0</v>
      </c>
      <c r="AJ61" s="32">
        <v>0</v>
      </c>
      <c r="AK61" s="35">
        <v>0</v>
      </c>
      <c r="AL61" s="32">
        <v>0</v>
      </c>
      <c r="AM61" s="35">
        <v>0</v>
      </c>
      <c r="AN61" s="35">
        <v>0</v>
      </c>
      <c r="AO61" s="32">
        <v>0</v>
      </c>
      <c r="AP61" s="32">
        <v>0</v>
      </c>
      <c r="AQ61" s="33"/>
      <c r="AR61" s="33" t="s">
        <v>411</v>
      </c>
      <c r="AS61" s="33" t="s">
        <v>411</v>
      </c>
      <c r="AT61" s="35">
        <v>0</v>
      </c>
      <c r="AU61" s="35">
        <v>0</v>
      </c>
      <c r="AV61" s="35">
        <v>0</v>
      </c>
      <c r="AW61" s="35">
        <v>0</v>
      </c>
      <c r="AX61" s="35">
        <v>0</v>
      </c>
      <c r="AY61" s="35">
        <v>0</v>
      </c>
      <c r="AZ61" s="32">
        <v>0</v>
      </c>
      <c r="BA61" s="32">
        <v>0</v>
      </c>
      <c r="BB61" s="32">
        <v>0</v>
      </c>
      <c r="BC61" s="32">
        <v>0</v>
      </c>
      <c r="BD61" s="35">
        <v>0</v>
      </c>
      <c r="BE61" s="35">
        <v>0</v>
      </c>
      <c r="BF61" s="33" t="s">
        <v>412</v>
      </c>
      <c r="BG61" s="33" t="s">
        <v>412</v>
      </c>
      <c r="BH61" s="33" t="s">
        <v>412</v>
      </c>
    </row>
    <row r="62" spans="1:60" ht="19.5" customHeight="1">
      <c r="A62" s="36">
        <v>59</v>
      </c>
      <c r="B62" s="31" t="s">
        <v>410</v>
      </c>
      <c r="C62" s="37">
        <v>45851</v>
      </c>
      <c r="D62" s="31" t="s">
        <v>336</v>
      </c>
      <c r="E62" s="31">
        <v>60</v>
      </c>
      <c r="F62" s="31">
        <v>56</v>
      </c>
      <c r="G62" s="32">
        <v>0.93333333333333335</v>
      </c>
      <c r="H62" s="31">
        <v>42</v>
      </c>
      <c r="I62" s="33">
        <v>0.7</v>
      </c>
      <c r="J62" s="31">
        <v>35</v>
      </c>
      <c r="K62" s="31">
        <v>35</v>
      </c>
      <c r="L62" s="32">
        <v>1</v>
      </c>
      <c r="M62" s="31">
        <v>57</v>
      </c>
      <c r="N62" s="31">
        <v>0</v>
      </c>
      <c r="O62" s="31">
        <v>56</v>
      </c>
      <c r="P62" s="32">
        <v>0.98245614035087714</v>
      </c>
      <c r="Q62" s="31">
        <v>0</v>
      </c>
      <c r="R62" s="31">
        <v>0</v>
      </c>
      <c r="S62" s="31">
        <v>0</v>
      </c>
      <c r="T62" s="32">
        <v>0</v>
      </c>
      <c r="U62" s="31">
        <v>0</v>
      </c>
      <c r="V62" s="32">
        <v>0</v>
      </c>
      <c r="W62" s="31">
        <v>0</v>
      </c>
      <c r="X62" s="32">
        <v>0</v>
      </c>
      <c r="Y62" s="31">
        <v>0</v>
      </c>
      <c r="Z62" s="34">
        <v>0</v>
      </c>
      <c r="AA62" s="31">
        <v>0</v>
      </c>
      <c r="AB62" s="32">
        <v>0</v>
      </c>
      <c r="AC62" s="31">
        <v>12</v>
      </c>
      <c r="AD62" s="32">
        <v>0.2</v>
      </c>
      <c r="AE62" s="31">
        <v>0</v>
      </c>
      <c r="AF62" s="32">
        <v>0</v>
      </c>
      <c r="AG62" s="31">
        <v>6</v>
      </c>
      <c r="AH62" s="32">
        <v>0.5</v>
      </c>
      <c r="AI62" s="35">
        <v>0</v>
      </c>
      <c r="AJ62" s="32">
        <v>0</v>
      </c>
      <c r="AK62" s="35">
        <v>0</v>
      </c>
      <c r="AL62" s="32">
        <v>0</v>
      </c>
      <c r="AM62" s="35">
        <v>0</v>
      </c>
      <c r="AN62" s="35">
        <v>0</v>
      </c>
      <c r="AO62" s="32">
        <v>0</v>
      </c>
      <c r="AP62" s="32">
        <v>0</v>
      </c>
      <c r="AQ62" s="33"/>
      <c r="AR62" s="33" t="s">
        <v>411</v>
      </c>
      <c r="AS62" s="33" t="s">
        <v>411</v>
      </c>
      <c r="AT62" s="35">
        <v>0</v>
      </c>
      <c r="AU62" s="35">
        <v>0</v>
      </c>
      <c r="AV62" s="35">
        <v>0</v>
      </c>
      <c r="AW62" s="35">
        <v>0</v>
      </c>
      <c r="AX62" s="35">
        <v>0</v>
      </c>
      <c r="AY62" s="35">
        <v>0</v>
      </c>
      <c r="AZ62" s="32">
        <v>0</v>
      </c>
      <c r="BA62" s="32">
        <v>0</v>
      </c>
      <c r="BB62" s="32">
        <v>0</v>
      </c>
      <c r="BC62" s="32">
        <v>0</v>
      </c>
      <c r="BD62" s="35">
        <v>0</v>
      </c>
      <c r="BE62" s="35">
        <v>0</v>
      </c>
      <c r="BF62" s="33" t="s">
        <v>412</v>
      </c>
      <c r="BG62" s="33" t="s">
        <v>412</v>
      </c>
      <c r="BH62" s="33" t="s">
        <v>412</v>
      </c>
    </row>
    <row r="63" spans="1:60" ht="19.5" customHeight="1">
      <c r="A63" s="36">
        <v>60</v>
      </c>
      <c r="B63" s="31" t="s">
        <v>410</v>
      </c>
      <c r="C63" s="37">
        <v>45852</v>
      </c>
      <c r="D63" s="31" t="s">
        <v>413</v>
      </c>
      <c r="E63" s="31">
        <v>1</v>
      </c>
      <c r="F63" s="31">
        <v>1</v>
      </c>
      <c r="G63" s="32">
        <v>1</v>
      </c>
      <c r="H63" s="31">
        <v>0</v>
      </c>
      <c r="I63" s="33">
        <v>0</v>
      </c>
      <c r="J63" s="31">
        <v>0</v>
      </c>
      <c r="K63" s="31">
        <v>0</v>
      </c>
      <c r="L63" s="32">
        <v>0</v>
      </c>
      <c r="M63" s="31">
        <v>0</v>
      </c>
      <c r="N63" s="31">
        <v>0</v>
      </c>
      <c r="O63" s="31">
        <v>0</v>
      </c>
      <c r="P63" s="32">
        <v>0</v>
      </c>
      <c r="Q63" s="31">
        <v>0</v>
      </c>
      <c r="R63" s="31">
        <v>0</v>
      </c>
      <c r="S63" s="31">
        <v>0</v>
      </c>
      <c r="T63" s="32">
        <v>0</v>
      </c>
      <c r="U63" s="31">
        <v>0</v>
      </c>
      <c r="V63" s="32">
        <v>0</v>
      </c>
      <c r="W63" s="31">
        <v>0</v>
      </c>
      <c r="X63" s="32">
        <v>0</v>
      </c>
      <c r="Y63" s="31">
        <v>0</v>
      </c>
      <c r="Z63" s="34">
        <v>0</v>
      </c>
      <c r="AA63" s="31">
        <v>0</v>
      </c>
      <c r="AB63" s="32">
        <v>0</v>
      </c>
      <c r="AC63" s="31">
        <v>0</v>
      </c>
      <c r="AD63" s="32">
        <v>0</v>
      </c>
      <c r="AE63" s="31">
        <v>0</v>
      </c>
      <c r="AF63" s="32">
        <v>0</v>
      </c>
      <c r="AG63" s="31">
        <v>0</v>
      </c>
      <c r="AH63" s="32">
        <v>0</v>
      </c>
      <c r="AI63" s="35">
        <v>0</v>
      </c>
      <c r="AJ63" s="32">
        <v>0</v>
      </c>
      <c r="AK63" s="35">
        <v>0</v>
      </c>
      <c r="AL63" s="32">
        <v>0</v>
      </c>
      <c r="AM63" s="35">
        <v>0</v>
      </c>
      <c r="AN63" s="35">
        <v>0</v>
      </c>
      <c r="AO63" s="32">
        <v>0</v>
      </c>
      <c r="AP63" s="32">
        <v>0</v>
      </c>
      <c r="AQ63" s="33"/>
      <c r="AR63" s="33" t="s">
        <v>411</v>
      </c>
      <c r="AS63" s="33" t="s">
        <v>411</v>
      </c>
      <c r="AT63" s="35">
        <v>0</v>
      </c>
      <c r="AU63" s="35">
        <v>0</v>
      </c>
      <c r="AV63" s="35">
        <v>0</v>
      </c>
      <c r="AW63" s="35">
        <v>0</v>
      </c>
      <c r="AX63" s="35">
        <v>0</v>
      </c>
      <c r="AY63" s="35">
        <v>0</v>
      </c>
      <c r="AZ63" s="32">
        <v>0</v>
      </c>
      <c r="BA63" s="32">
        <v>0</v>
      </c>
      <c r="BB63" s="32">
        <v>0</v>
      </c>
      <c r="BC63" s="32">
        <v>0</v>
      </c>
      <c r="BD63" s="35">
        <v>0</v>
      </c>
      <c r="BE63" s="35">
        <v>0</v>
      </c>
      <c r="BF63" s="33" t="s">
        <v>412</v>
      </c>
      <c r="BG63" s="33" t="s">
        <v>412</v>
      </c>
      <c r="BH63" s="33" t="s">
        <v>412</v>
      </c>
    </row>
    <row r="64" spans="1:60" ht="19.5" customHeight="1">
      <c r="A64" s="36">
        <v>61</v>
      </c>
      <c r="B64" s="31" t="s">
        <v>410</v>
      </c>
      <c r="C64" s="37">
        <v>45852</v>
      </c>
      <c r="D64" s="31" t="s">
        <v>335</v>
      </c>
      <c r="E64" s="31">
        <v>59</v>
      </c>
      <c r="F64" s="31">
        <v>56</v>
      </c>
      <c r="G64" s="32">
        <v>0.94915254237288138</v>
      </c>
      <c r="H64" s="31">
        <v>36</v>
      </c>
      <c r="I64" s="33">
        <v>0.61016949152542377</v>
      </c>
      <c r="J64" s="31">
        <v>27</v>
      </c>
      <c r="K64" s="31">
        <v>27</v>
      </c>
      <c r="L64" s="32">
        <v>1</v>
      </c>
      <c r="M64" s="31">
        <v>50</v>
      </c>
      <c r="N64" s="31">
        <v>0</v>
      </c>
      <c r="O64" s="31">
        <v>50</v>
      </c>
      <c r="P64" s="32">
        <v>1</v>
      </c>
      <c r="Q64" s="31">
        <v>0</v>
      </c>
      <c r="R64" s="31">
        <v>0</v>
      </c>
      <c r="S64" s="31">
        <v>0</v>
      </c>
      <c r="T64" s="32">
        <v>0</v>
      </c>
      <c r="U64" s="31">
        <v>0</v>
      </c>
      <c r="V64" s="32">
        <v>0</v>
      </c>
      <c r="W64" s="31">
        <v>0</v>
      </c>
      <c r="X64" s="32">
        <v>0</v>
      </c>
      <c r="Y64" s="31">
        <v>0</v>
      </c>
      <c r="Z64" s="34">
        <v>0</v>
      </c>
      <c r="AA64" s="31">
        <v>0</v>
      </c>
      <c r="AB64" s="32">
        <v>0</v>
      </c>
      <c r="AC64" s="31">
        <v>14</v>
      </c>
      <c r="AD64" s="32">
        <v>0.23728813559322029</v>
      </c>
      <c r="AE64" s="31">
        <v>2</v>
      </c>
      <c r="AF64" s="32">
        <v>0.14285714285714279</v>
      </c>
      <c r="AG64" s="31">
        <v>9</v>
      </c>
      <c r="AH64" s="32">
        <v>0.6428571428571429</v>
      </c>
      <c r="AI64" s="35">
        <v>0</v>
      </c>
      <c r="AJ64" s="32">
        <v>0</v>
      </c>
      <c r="AK64" s="35">
        <v>0</v>
      </c>
      <c r="AL64" s="32">
        <v>0</v>
      </c>
      <c r="AM64" s="35">
        <v>0</v>
      </c>
      <c r="AN64" s="35">
        <v>0</v>
      </c>
      <c r="AO64" s="32">
        <v>0</v>
      </c>
      <c r="AP64" s="32">
        <v>0</v>
      </c>
      <c r="AQ64" s="33"/>
      <c r="AR64" s="33" t="s">
        <v>411</v>
      </c>
      <c r="AS64" s="33" t="s">
        <v>411</v>
      </c>
      <c r="AT64" s="35">
        <v>0</v>
      </c>
      <c r="AU64" s="35">
        <v>0</v>
      </c>
      <c r="AV64" s="35">
        <v>0</v>
      </c>
      <c r="AW64" s="35">
        <v>0</v>
      </c>
      <c r="AX64" s="35">
        <v>0</v>
      </c>
      <c r="AY64" s="35">
        <v>0</v>
      </c>
      <c r="AZ64" s="32">
        <v>0</v>
      </c>
      <c r="BA64" s="32">
        <v>0</v>
      </c>
      <c r="BB64" s="32">
        <v>0</v>
      </c>
      <c r="BC64" s="32">
        <v>0</v>
      </c>
      <c r="BD64" s="35">
        <v>0</v>
      </c>
      <c r="BE64" s="35">
        <v>0</v>
      </c>
      <c r="BF64" s="33" t="s">
        <v>412</v>
      </c>
      <c r="BG64" s="33" t="s">
        <v>412</v>
      </c>
      <c r="BH64" s="33" t="s">
        <v>412</v>
      </c>
    </row>
    <row r="65" spans="1:60" ht="19.5" customHeight="1">
      <c r="A65" s="36">
        <v>62</v>
      </c>
      <c r="B65" s="31" t="s">
        <v>410</v>
      </c>
      <c r="C65" s="37">
        <v>45852</v>
      </c>
      <c r="D65" s="31" t="s">
        <v>334</v>
      </c>
      <c r="E65" s="31">
        <v>6314</v>
      </c>
      <c r="F65" s="31">
        <v>4947</v>
      </c>
      <c r="G65" s="32">
        <v>0.78349699081406399</v>
      </c>
      <c r="H65" s="31">
        <v>2957</v>
      </c>
      <c r="I65" s="33">
        <v>0.46832435856826099</v>
      </c>
      <c r="J65" s="31">
        <v>5236</v>
      </c>
      <c r="K65" s="31">
        <v>4964</v>
      </c>
      <c r="L65" s="32">
        <v>0.94799999999999995</v>
      </c>
      <c r="M65" s="31">
        <v>6868</v>
      </c>
      <c r="N65" s="31">
        <v>0</v>
      </c>
      <c r="O65" s="31">
        <v>6468</v>
      </c>
      <c r="P65" s="32">
        <v>0.94175888177053002</v>
      </c>
      <c r="Q65" s="31">
        <v>17</v>
      </c>
      <c r="R65" s="31">
        <v>0</v>
      </c>
      <c r="S65" s="31">
        <v>0</v>
      </c>
      <c r="T65" s="32">
        <v>0</v>
      </c>
      <c r="U65" s="31">
        <v>0</v>
      </c>
      <c r="V65" s="32">
        <v>0</v>
      </c>
      <c r="W65" s="31">
        <v>646</v>
      </c>
      <c r="X65" s="32">
        <v>0.10231232182451699</v>
      </c>
      <c r="Y65" s="31">
        <v>522</v>
      </c>
      <c r="Z65" s="34">
        <v>8.2673424136838772E-2</v>
      </c>
      <c r="AA65" s="31">
        <v>32</v>
      </c>
      <c r="AB65" s="32">
        <v>5.0681026290782388E-3</v>
      </c>
      <c r="AC65" s="31">
        <v>1010</v>
      </c>
      <c r="AD65" s="32">
        <v>0.1599619892302819</v>
      </c>
      <c r="AE65" s="31">
        <v>32</v>
      </c>
      <c r="AF65" s="32">
        <v>3.1683168316831677E-2</v>
      </c>
      <c r="AG65" s="31">
        <v>452</v>
      </c>
      <c r="AH65" s="32">
        <v>0.44752475247524748</v>
      </c>
      <c r="AI65" s="35">
        <v>944</v>
      </c>
      <c r="AJ65" s="32">
        <v>0.14950902755780801</v>
      </c>
      <c r="AK65" s="35">
        <v>16</v>
      </c>
      <c r="AL65" s="32">
        <v>0.79343220338983056</v>
      </c>
      <c r="AM65" s="35">
        <v>932</v>
      </c>
      <c r="AN65" s="35">
        <v>749</v>
      </c>
      <c r="AO65" s="32">
        <v>0.1186252771618625</v>
      </c>
      <c r="AP65" s="32">
        <v>0.74158415841584158</v>
      </c>
      <c r="AQ65" s="33">
        <v>0</v>
      </c>
      <c r="AR65" s="33" t="s">
        <v>411</v>
      </c>
      <c r="AS65" s="33">
        <v>0</v>
      </c>
      <c r="AT65" s="35">
        <v>0</v>
      </c>
      <c r="AU65" s="35">
        <v>0</v>
      </c>
      <c r="AV65" s="35">
        <v>139</v>
      </c>
      <c r="AW65" s="35">
        <v>109</v>
      </c>
      <c r="AX65" s="35">
        <v>116</v>
      </c>
      <c r="AY65" s="35">
        <v>190</v>
      </c>
      <c r="AZ65" s="32">
        <v>1.7263224580297751E-2</v>
      </c>
      <c r="BA65" s="32">
        <v>1.8371872030408621E-2</v>
      </c>
      <c r="BB65" s="32">
        <v>3.0091859360152039E-2</v>
      </c>
      <c r="BC65" s="32">
        <v>0.15487316421895861</v>
      </c>
      <c r="BD65" s="35">
        <v>0</v>
      </c>
      <c r="BE65" s="35">
        <v>2</v>
      </c>
      <c r="BF65" s="33">
        <v>0.9285714285714286</v>
      </c>
      <c r="BG65" s="33">
        <v>1</v>
      </c>
      <c r="BH65" s="33">
        <v>0.97</v>
      </c>
    </row>
    <row r="66" spans="1:60" ht="19.5" customHeight="1">
      <c r="A66" s="36">
        <v>63</v>
      </c>
      <c r="B66" s="31" t="s">
        <v>410</v>
      </c>
      <c r="C66" s="37">
        <v>45852</v>
      </c>
      <c r="D66" s="31" t="s">
        <v>337</v>
      </c>
      <c r="E66" s="31">
        <v>111</v>
      </c>
      <c r="F66" s="31">
        <v>102</v>
      </c>
      <c r="G66" s="32">
        <v>0.91891891891891897</v>
      </c>
      <c r="H66" s="31">
        <v>50</v>
      </c>
      <c r="I66" s="33">
        <v>0.45045045045045051</v>
      </c>
      <c r="J66" s="31">
        <v>39</v>
      </c>
      <c r="K66" s="31">
        <v>38</v>
      </c>
      <c r="L66" s="32">
        <v>0.97399999999999998</v>
      </c>
      <c r="M66" s="31">
        <v>58</v>
      </c>
      <c r="N66" s="31">
        <v>0</v>
      </c>
      <c r="O66" s="31">
        <v>56</v>
      </c>
      <c r="P66" s="32">
        <v>0.96551724137931039</v>
      </c>
      <c r="Q66" s="31">
        <v>0</v>
      </c>
      <c r="R66" s="31">
        <v>0</v>
      </c>
      <c r="S66" s="31">
        <v>0</v>
      </c>
      <c r="T66" s="32">
        <v>0</v>
      </c>
      <c r="U66" s="31">
        <v>0</v>
      </c>
      <c r="V66" s="32">
        <v>0</v>
      </c>
      <c r="W66" s="31">
        <v>0</v>
      </c>
      <c r="X66" s="32">
        <v>0</v>
      </c>
      <c r="Y66" s="31">
        <v>0</v>
      </c>
      <c r="Z66" s="34">
        <v>0</v>
      </c>
      <c r="AA66" s="31">
        <v>0</v>
      </c>
      <c r="AB66" s="32">
        <v>0</v>
      </c>
      <c r="AC66" s="31">
        <v>30</v>
      </c>
      <c r="AD66" s="32">
        <v>0.27027027027027029</v>
      </c>
      <c r="AE66" s="31">
        <v>1</v>
      </c>
      <c r="AF66" s="32">
        <v>3.3333333333333333E-2</v>
      </c>
      <c r="AG66" s="31">
        <v>19</v>
      </c>
      <c r="AH66" s="32">
        <v>0.6333333333333333</v>
      </c>
      <c r="AI66" s="35">
        <v>0</v>
      </c>
      <c r="AJ66" s="32">
        <v>0</v>
      </c>
      <c r="AK66" s="35">
        <v>0</v>
      </c>
      <c r="AL66" s="32">
        <v>0</v>
      </c>
      <c r="AM66" s="35">
        <v>0</v>
      </c>
      <c r="AN66" s="35">
        <v>0</v>
      </c>
      <c r="AO66" s="32">
        <v>0</v>
      </c>
      <c r="AP66" s="32">
        <v>0</v>
      </c>
      <c r="AQ66" s="33">
        <v>0</v>
      </c>
      <c r="AR66" s="33" t="s">
        <v>411</v>
      </c>
      <c r="AS66" s="33">
        <v>0</v>
      </c>
      <c r="AT66" s="35">
        <v>0</v>
      </c>
      <c r="AU66" s="35">
        <v>0</v>
      </c>
      <c r="AV66" s="35">
        <v>0</v>
      </c>
      <c r="AW66" s="35">
        <v>0</v>
      </c>
      <c r="AX66" s="35">
        <v>0</v>
      </c>
      <c r="AY66" s="35">
        <v>0</v>
      </c>
      <c r="AZ66" s="32">
        <v>0</v>
      </c>
      <c r="BA66" s="32">
        <v>0</v>
      </c>
      <c r="BB66" s="32">
        <v>0</v>
      </c>
      <c r="BC66" s="32">
        <v>0</v>
      </c>
      <c r="BD66" s="35">
        <v>0</v>
      </c>
      <c r="BE66" s="35">
        <v>0</v>
      </c>
      <c r="BF66" s="33" t="s">
        <v>412</v>
      </c>
      <c r="BG66" s="33" t="s">
        <v>412</v>
      </c>
      <c r="BH66" s="33" t="s">
        <v>412</v>
      </c>
    </row>
    <row r="67" spans="1:60" ht="19.5" customHeight="1">
      <c r="A67" s="36">
        <v>64</v>
      </c>
      <c r="B67" s="31" t="s">
        <v>410</v>
      </c>
      <c r="C67" s="37">
        <v>45852</v>
      </c>
      <c r="D67" s="31" t="s">
        <v>336</v>
      </c>
      <c r="E67" s="31">
        <v>65</v>
      </c>
      <c r="F67" s="31">
        <v>64</v>
      </c>
      <c r="G67" s="32">
        <v>0.98461538461538467</v>
      </c>
      <c r="H67" s="31">
        <v>43</v>
      </c>
      <c r="I67" s="33">
        <v>0.66153846153846152</v>
      </c>
      <c r="J67" s="31">
        <v>29</v>
      </c>
      <c r="K67" s="31">
        <v>27</v>
      </c>
      <c r="L67" s="32">
        <v>0.93100000000000005</v>
      </c>
      <c r="M67" s="31">
        <v>61</v>
      </c>
      <c r="N67" s="31">
        <v>0</v>
      </c>
      <c r="O67" s="31">
        <v>59</v>
      </c>
      <c r="P67" s="32">
        <v>0.96721311475409832</v>
      </c>
      <c r="Q67" s="31">
        <v>0</v>
      </c>
      <c r="R67" s="31">
        <v>0</v>
      </c>
      <c r="S67" s="31">
        <v>0</v>
      </c>
      <c r="T67" s="32">
        <v>0</v>
      </c>
      <c r="U67" s="31">
        <v>0</v>
      </c>
      <c r="V67" s="32">
        <v>0</v>
      </c>
      <c r="W67" s="31">
        <v>0</v>
      </c>
      <c r="X67" s="32">
        <v>0</v>
      </c>
      <c r="Y67" s="31">
        <v>0</v>
      </c>
      <c r="Z67" s="34">
        <v>0</v>
      </c>
      <c r="AA67" s="31">
        <v>0</v>
      </c>
      <c r="AB67" s="32">
        <v>0</v>
      </c>
      <c r="AC67" s="31">
        <v>18</v>
      </c>
      <c r="AD67" s="32">
        <v>0.27692307692307688</v>
      </c>
      <c r="AE67" s="31">
        <v>0</v>
      </c>
      <c r="AF67" s="32">
        <v>0</v>
      </c>
      <c r="AG67" s="31">
        <v>14</v>
      </c>
      <c r="AH67" s="32">
        <v>0.77777777777777779</v>
      </c>
      <c r="AI67" s="35">
        <v>0</v>
      </c>
      <c r="AJ67" s="32">
        <v>0</v>
      </c>
      <c r="AK67" s="35">
        <v>0</v>
      </c>
      <c r="AL67" s="32">
        <v>0</v>
      </c>
      <c r="AM67" s="35">
        <v>0</v>
      </c>
      <c r="AN67" s="35">
        <v>0</v>
      </c>
      <c r="AO67" s="32">
        <v>0</v>
      </c>
      <c r="AP67" s="32">
        <v>0</v>
      </c>
      <c r="AQ67" s="33"/>
      <c r="AR67" s="33" t="s">
        <v>411</v>
      </c>
      <c r="AS67" s="33" t="s">
        <v>411</v>
      </c>
      <c r="AT67" s="35">
        <v>0</v>
      </c>
      <c r="AU67" s="35">
        <v>0</v>
      </c>
      <c r="AV67" s="35">
        <v>0</v>
      </c>
      <c r="AW67" s="35">
        <v>0</v>
      </c>
      <c r="AX67" s="35">
        <v>0</v>
      </c>
      <c r="AY67" s="35">
        <v>0</v>
      </c>
      <c r="AZ67" s="32">
        <v>0</v>
      </c>
      <c r="BA67" s="32">
        <v>0</v>
      </c>
      <c r="BB67" s="32">
        <v>0</v>
      </c>
      <c r="BC67" s="32">
        <v>0</v>
      </c>
      <c r="BD67" s="35">
        <v>0</v>
      </c>
      <c r="BE67" s="35">
        <v>0</v>
      </c>
      <c r="BF67" s="33" t="s">
        <v>412</v>
      </c>
      <c r="BG67" s="33" t="s">
        <v>412</v>
      </c>
      <c r="BH67" s="33" t="s">
        <v>412</v>
      </c>
    </row>
    <row r="68" spans="1:60" ht="19.5" customHeight="1">
      <c r="A68" s="36">
        <v>65</v>
      </c>
      <c r="B68" s="31" t="s">
        <v>410</v>
      </c>
      <c r="C68" s="37">
        <v>45853</v>
      </c>
      <c r="D68" s="31" t="s">
        <v>335</v>
      </c>
      <c r="E68" s="31">
        <v>50</v>
      </c>
      <c r="F68" s="31">
        <v>47</v>
      </c>
      <c r="G68" s="32">
        <v>0.94</v>
      </c>
      <c r="H68" s="31">
        <v>32</v>
      </c>
      <c r="I68" s="33">
        <v>0.64</v>
      </c>
      <c r="J68" s="31">
        <v>32</v>
      </c>
      <c r="K68" s="31">
        <v>31</v>
      </c>
      <c r="L68" s="32">
        <v>0.96899999999999997</v>
      </c>
      <c r="M68" s="31">
        <v>50</v>
      </c>
      <c r="N68" s="31">
        <v>0</v>
      </c>
      <c r="O68" s="31">
        <v>49</v>
      </c>
      <c r="P68" s="32">
        <v>0.98</v>
      </c>
      <c r="Q68" s="31">
        <v>0</v>
      </c>
      <c r="R68" s="31">
        <v>0</v>
      </c>
      <c r="S68" s="31">
        <v>0</v>
      </c>
      <c r="T68" s="32">
        <v>0</v>
      </c>
      <c r="U68" s="31">
        <v>0</v>
      </c>
      <c r="V68" s="32">
        <v>0</v>
      </c>
      <c r="W68" s="31">
        <v>0</v>
      </c>
      <c r="X68" s="32">
        <v>0</v>
      </c>
      <c r="Y68" s="31">
        <v>0</v>
      </c>
      <c r="Z68" s="34">
        <v>0</v>
      </c>
      <c r="AA68" s="31">
        <v>0</v>
      </c>
      <c r="AB68" s="32">
        <v>0</v>
      </c>
      <c r="AC68" s="31">
        <v>9</v>
      </c>
      <c r="AD68" s="32">
        <v>0.18</v>
      </c>
      <c r="AE68" s="31">
        <v>0</v>
      </c>
      <c r="AF68" s="32">
        <v>0</v>
      </c>
      <c r="AG68" s="31">
        <v>6</v>
      </c>
      <c r="AH68" s="32">
        <v>0.66666666666666663</v>
      </c>
      <c r="AI68" s="35">
        <v>0</v>
      </c>
      <c r="AJ68" s="32">
        <v>0</v>
      </c>
      <c r="AK68" s="35">
        <v>0</v>
      </c>
      <c r="AL68" s="32">
        <v>0</v>
      </c>
      <c r="AM68" s="35">
        <v>0</v>
      </c>
      <c r="AN68" s="35">
        <v>0</v>
      </c>
      <c r="AO68" s="32">
        <v>0</v>
      </c>
      <c r="AP68" s="32">
        <v>0</v>
      </c>
      <c r="AQ68" s="33"/>
      <c r="AR68" s="33" t="s">
        <v>411</v>
      </c>
      <c r="AS68" s="33" t="s">
        <v>411</v>
      </c>
      <c r="AT68" s="35">
        <v>0</v>
      </c>
      <c r="AU68" s="35">
        <v>0</v>
      </c>
      <c r="AV68" s="35">
        <v>0</v>
      </c>
      <c r="AW68" s="35">
        <v>0</v>
      </c>
      <c r="AX68" s="35">
        <v>0</v>
      </c>
      <c r="AY68" s="35">
        <v>0</v>
      </c>
      <c r="AZ68" s="32">
        <v>0</v>
      </c>
      <c r="BA68" s="32">
        <v>0</v>
      </c>
      <c r="BB68" s="32">
        <v>0</v>
      </c>
      <c r="BC68" s="32">
        <v>0</v>
      </c>
      <c r="BD68" s="35">
        <v>0</v>
      </c>
      <c r="BE68" s="35">
        <v>0</v>
      </c>
      <c r="BF68" s="33" t="s">
        <v>412</v>
      </c>
      <c r="BG68" s="33" t="s">
        <v>412</v>
      </c>
      <c r="BH68" s="33" t="s">
        <v>412</v>
      </c>
    </row>
    <row r="69" spans="1:60" ht="19.5" customHeight="1">
      <c r="A69" s="36">
        <v>66</v>
      </c>
      <c r="B69" s="31" t="s">
        <v>410</v>
      </c>
      <c r="C69" s="37">
        <v>45853</v>
      </c>
      <c r="D69" s="31" t="s">
        <v>334</v>
      </c>
      <c r="E69" s="31">
        <v>6318</v>
      </c>
      <c r="F69" s="31">
        <v>5004</v>
      </c>
      <c r="G69" s="32">
        <v>0.79202279202279202</v>
      </c>
      <c r="H69" s="31">
        <v>2863</v>
      </c>
      <c r="I69" s="33">
        <v>0.45314973092750871</v>
      </c>
      <c r="J69" s="31">
        <v>4945</v>
      </c>
      <c r="K69" s="31">
        <v>4654</v>
      </c>
      <c r="L69" s="32">
        <v>0.94099999999999995</v>
      </c>
      <c r="M69" s="31">
        <v>5841</v>
      </c>
      <c r="N69" s="31">
        <v>0</v>
      </c>
      <c r="O69" s="31">
        <v>5463</v>
      </c>
      <c r="P69" s="32">
        <v>0.93528505392912176</v>
      </c>
      <c r="Q69" s="31">
        <v>23</v>
      </c>
      <c r="R69" s="31">
        <v>0</v>
      </c>
      <c r="S69" s="31">
        <v>0</v>
      </c>
      <c r="T69" s="32">
        <v>0</v>
      </c>
      <c r="U69" s="31">
        <v>0</v>
      </c>
      <c r="V69" s="32">
        <v>0</v>
      </c>
      <c r="W69" s="31">
        <v>955</v>
      </c>
      <c r="X69" s="32">
        <v>0.15115542893320669</v>
      </c>
      <c r="Y69" s="31">
        <v>887</v>
      </c>
      <c r="Z69" s="34">
        <v>0.14039252928141821</v>
      </c>
      <c r="AA69" s="31">
        <v>31</v>
      </c>
      <c r="AB69" s="32">
        <v>4.9066160177271287E-3</v>
      </c>
      <c r="AC69" s="31">
        <v>961</v>
      </c>
      <c r="AD69" s="32">
        <v>0.15210509654954099</v>
      </c>
      <c r="AE69" s="31">
        <v>37</v>
      </c>
      <c r="AF69" s="32">
        <v>3.8501560874089492E-2</v>
      </c>
      <c r="AG69" s="31">
        <v>419</v>
      </c>
      <c r="AH69" s="32">
        <v>0.43600416233090528</v>
      </c>
      <c r="AI69" s="35">
        <v>935</v>
      </c>
      <c r="AJ69" s="32">
        <v>0.14798987021209239</v>
      </c>
      <c r="AK69" s="35">
        <v>11</v>
      </c>
      <c r="AL69" s="32">
        <v>0.79358288770053476</v>
      </c>
      <c r="AM69" s="35">
        <v>911</v>
      </c>
      <c r="AN69" s="35">
        <v>742</v>
      </c>
      <c r="AO69" s="32">
        <v>0.1174422285533397</v>
      </c>
      <c r="AP69" s="32">
        <v>0.77211238293444329</v>
      </c>
      <c r="AQ69" s="33">
        <v>0</v>
      </c>
      <c r="AR69" s="33" t="s">
        <v>411</v>
      </c>
      <c r="AS69" s="33">
        <v>0</v>
      </c>
      <c r="AT69" s="35">
        <v>0</v>
      </c>
      <c r="AU69" s="35">
        <v>0</v>
      </c>
      <c r="AV69" s="35">
        <v>141</v>
      </c>
      <c r="AW69" s="35">
        <v>112</v>
      </c>
      <c r="AX69" s="35">
        <v>121</v>
      </c>
      <c r="AY69" s="35">
        <v>184</v>
      </c>
      <c r="AZ69" s="32">
        <v>1.7727128838239951E-2</v>
      </c>
      <c r="BA69" s="32">
        <v>1.915163026274137E-2</v>
      </c>
      <c r="BB69" s="32">
        <v>2.912314023425135E-2</v>
      </c>
      <c r="BC69" s="32">
        <v>0.16307277628032349</v>
      </c>
      <c r="BD69" s="35">
        <v>0</v>
      </c>
      <c r="BE69" s="35">
        <v>0</v>
      </c>
      <c r="BF69" s="33">
        <v>1</v>
      </c>
      <c r="BG69" s="33">
        <v>1</v>
      </c>
      <c r="BH69" s="33">
        <v>1</v>
      </c>
    </row>
    <row r="70" spans="1:60" ht="19.5" customHeight="1">
      <c r="A70" s="36">
        <v>67</v>
      </c>
      <c r="B70" s="31" t="s">
        <v>410</v>
      </c>
      <c r="C70" s="37">
        <v>45853</v>
      </c>
      <c r="D70" s="31" t="s">
        <v>337</v>
      </c>
      <c r="E70" s="31">
        <v>114</v>
      </c>
      <c r="F70" s="31">
        <v>104</v>
      </c>
      <c r="G70" s="32">
        <v>0.91228070175438591</v>
      </c>
      <c r="H70" s="31">
        <v>47</v>
      </c>
      <c r="I70" s="33">
        <v>0.41228070175438603</v>
      </c>
      <c r="J70" s="31">
        <v>34</v>
      </c>
      <c r="K70" s="31">
        <v>33</v>
      </c>
      <c r="L70" s="32">
        <v>0.97099999999999997</v>
      </c>
      <c r="M70" s="31">
        <v>40</v>
      </c>
      <c r="N70" s="31">
        <v>0</v>
      </c>
      <c r="O70" s="31">
        <v>39</v>
      </c>
      <c r="P70" s="32">
        <v>0.97499999999999998</v>
      </c>
      <c r="Q70" s="31">
        <v>0</v>
      </c>
      <c r="R70" s="31">
        <v>0</v>
      </c>
      <c r="S70" s="31">
        <v>0</v>
      </c>
      <c r="T70" s="32">
        <v>0</v>
      </c>
      <c r="U70" s="31">
        <v>0</v>
      </c>
      <c r="V70" s="32">
        <v>0</v>
      </c>
      <c r="W70" s="31">
        <v>0</v>
      </c>
      <c r="X70" s="32">
        <v>0</v>
      </c>
      <c r="Y70" s="31">
        <v>0</v>
      </c>
      <c r="Z70" s="34">
        <v>0</v>
      </c>
      <c r="AA70" s="31">
        <v>0</v>
      </c>
      <c r="AB70" s="32">
        <v>0</v>
      </c>
      <c r="AC70" s="31">
        <v>29</v>
      </c>
      <c r="AD70" s="32">
        <v>0.25438596491228072</v>
      </c>
      <c r="AE70" s="31">
        <v>0</v>
      </c>
      <c r="AF70" s="32">
        <v>0</v>
      </c>
      <c r="AG70" s="31">
        <v>23</v>
      </c>
      <c r="AH70" s="32">
        <v>0.7931034482758621</v>
      </c>
      <c r="AI70" s="35">
        <v>0</v>
      </c>
      <c r="AJ70" s="32">
        <v>0</v>
      </c>
      <c r="AK70" s="35">
        <v>0</v>
      </c>
      <c r="AL70" s="32">
        <v>0</v>
      </c>
      <c r="AM70" s="35">
        <v>0</v>
      </c>
      <c r="AN70" s="35">
        <v>0</v>
      </c>
      <c r="AO70" s="32">
        <v>0</v>
      </c>
      <c r="AP70" s="32">
        <v>0</v>
      </c>
      <c r="AQ70" s="33"/>
      <c r="AR70" s="33" t="s">
        <v>411</v>
      </c>
      <c r="AS70" s="33" t="s">
        <v>411</v>
      </c>
      <c r="AT70" s="35">
        <v>0</v>
      </c>
      <c r="AU70" s="35">
        <v>0</v>
      </c>
      <c r="AV70" s="35">
        <v>0</v>
      </c>
      <c r="AW70" s="35">
        <v>0</v>
      </c>
      <c r="AX70" s="35">
        <v>0</v>
      </c>
      <c r="AY70" s="35">
        <v>0</v>
      </c>
      <c r="AZ70" s="32">
        <v>0</v>
      </c>
      <c r="BA70" s="32">
        <v>0</v>
      </c>
      <c r="BB70" s="32">
        <v>0</v>
      </c>
      <c r="BC70" s="32">
        <v>0</v>
      </c>
      <c r="BD70" s="35">
        <v>0</v>
      </c>
      <c r="BE70" s="35">
        <v>0</v>
      </c>
      <c r="BF70" s="33" t="s">
        <v>412</v>
      </c>
      <c r="BG70" s="33" t="s">
        <v>412</v>
      </c>
      <c r="BH70" s="33" t="s">
        <v>412</v>
      </c>
    </row>
    <row r="71" spans="1:60" ht="19.5" customHeight="1">
      <c r="A71" s="36">
        <v>68</v>
      </c>
      <c r="B71" s="31" t="s">
        <v>410</v>
      </c>
      <c r="C71" s="37">
        <v>45853</v>
      </c>
      <c r="D71" s="31" t="s">
        <v>336</v>
      </c>
      <c r="E71" s="31">
        <v>59</v>
      </c>
      <c r="F71" s="31">
        <v>56</v>
      </c>
      <c r="G71" s="32">
        <v>0.94915254237288138</v>
      </c>
      <c r="H71" s="31">
        <v>44</v>
      </c>
      <c r="I71" s="33">
        <v>0.74576271186440679</v>
      </c>
      <c r="J71" s="31">
        <v>32</v>
      </c>
      <c r="K71" s="31">
        <v>32</v>
      </c>
      <c r="L71" s="32">
        <v>1</v>
      </c>
      <c r="M71" s="31">
        <v>58</v>
      </c>
      <c r="N71" s="31">
        <v>0</v>
      </c>
      <c r="O71" s="31">
        <v>57</v>
      </c>
      <c r="P71" s="32">
        <v>0.98275862068965514</v>
      </c>
      <c r="Q71" s="31">
        <v>0</v>
      </c>
      <c r="R71" s="31">
        <v>0</v>
      </c>
      <c r="S71" s="31">
        <v>0</v>
      </c>
      <c r="T71" s="32">
        <v>0</v>
      </c>
      <c r="U71" s="31">
        <v>0</v>
      </c>
      <c r="V71" s="32">
        <v>0</v>
      </c>
      <c r="W71" s="31">
        <v>0</v>
      </c>
      <c r="X71" s="32">
        <v>0</v>
      </c>
      <c r="Y71" s="31">
        <v>0</v>
      </c>
      <c r="Z71" s="34">
        <v>0</v>
      </c>
      <c r="AA71" s="31">
        <v>0</v>
      </c>
      <c r="AB71" s="32">
        <v>0</v>
      </c>
      <c r="AC71" s="31">
        <v>27</v>
      </c>
      <c r="AD71" s="32">
        <v>0.4576271186440678</v>
      </c>
      <c r="AE71" s="31">
        <v>1</v>
      </c>
      <c r="AF71" s="32">
        <v>3.7037037037037028E-2</v>
      </c>
      <c r="AG71" s="31">
        <v>22</v>
      </c>
      <c r="AH71" s="32">
        <v>0.81481481481481477</v>
      </c>
      <c r="AI71" s="35">
        <v>0</v>
      </c>
      <c r="AJ71" s="32">
        <v>0</v>
      </c>
      <c r="AK71" s="35">
        <v>0</v>
      </c>
      <c r="AL71" s="32">
        <v>0</v>
      </c>
      <c r="AM71" s="35">
        <v>0</v>
      </c>
      <c r="AN71" s="35">
        <v>0</v>
      </c>
      <c r="AO71" s="32">
        <v>0</v>
      </c>
      <c r="AP71" s="32">
        <v>0</v>
      </c>
      <c r="AQ71" s="33"/>
      <c r="AR71" s="33" t="s">
        <v>411</v>
      </c>
      <c r="AS71" s="33" t="s">
        <v>411</v>
      </c>
      <c r="AT71" s="35">
        <v>0</v>
      </c>
      <c r="AU71" s="35">
        <v>0</v>
      </c>
      <c r="AV71" s="35">
        <v>0</v>
      </c>
      <c r="AW71" s="35">
        <v>0</v>
      </c>
      <c r="AX71" s="35">
        <v>0</v>
      </c>
      <c r="AY71" s="35">
        <v>0</v>
      </c>
      <c r="AZ71" s="32">
        <v>0</v>
      </c>
      <c r="BA71" s="32">
        <v>0</v>
      </c>
      <c r="BB71" s="32">
        <v>0</v>
      </c>
      <c r="BC71" s="32">
        <v>0</v>
      </c>
      <c r="BD71" s="35">
        <v>0</v>
      </c>
      <c r="BE71" s="35">
        <v>0</v>
      </c>
      <c r="BF71" s="33" t="s">
        <v>412</v>
      </c>
      <c r="BG71" s="33" t="s">
        <v>412</v>
      </c>
      <c r="BH71" s="33" t="s">
        <v>412</v>
      </c>
    </row>
    <row r="72" spans="1:60" ht="19.5" customHeight="1">
      <c r="A72" s="36">
        <v>69</v>
      </c>
      <c r="B72" s="31" t="s">
        <v>410</v>
      </c>
      <c r="C72" s="37">
        <v>45854</v>
      </c>
      <c r="D72" s="31"/>
      <c r="E72" s="31">
        <v>0</v>
      </c>
      <c r="F72" s="31">
        <v>0</v>
      </c>
      <c r="G72" s="32">
        <v>0</v>
      </c>
      <c r="H72" s="31">
        <v>0</v>
      </c>
      <c r="I72" s="33">
        <v>0</v>
      </c>
      <c r="J72" s="31">
        <v>0</v>
      </c>
      <c r="K72" s="31">
        <v>0</v>
      </c>
      <c r="L72" s="32">
        <v>0</v>
      </c>
      <c r="M72" s="31">
        <v>0</v>
      </c>
      <c r="N72" s="31">
        <v>0</v>
      </c>
      <c r="O72" s="31">
        <v>0</v>
      </c>
      <c r="P72" s="32">
        <v>0</v>
      </c>
      <c r="Q72" s="31">
        <v>0</v>
      </c>
      <c r="R72" s="31">
        <v>0</v>
      </c>
      <c r="S72" s="31">
        <v>0</v>
      </c>
      <c r="T72" s="32">
        <v>0</v>
      </c>
      <c r="U72" s="31">
        <v>0</v>
      </c>
      <c r="V72" s="32">
        <v>0</v>
      </c>
      <c r="W72" s="31">
        <v>0</v>
      </c>
      <c r="X72" s="32">
        <v>0</v>
      </c>
      <c r="Y72" s="31">
        <v>0</v>
      </c>
      <c r="Z72" s="34">
        <v>0</v>
      </c>
      <c r="AA72" s="31">
        <v>0</v>
      </c>
      <c r="AB72" s="32">
        <v>0</v>
      </c>
      <c r="AC72" s="31">
        <v>0</v>
      </c>
      <c r="AD72" s="32">
        <v>0</v>
      </c>
      <c r="AE72" s="31">
        <v>0</v>
      </c>
      <c r="AF72" s="32">
        <v>0</v>
      </c>
      <c r="AG72" s="31">
        <v>0</v>
      </c>
      <c r="AH72" s="32">
        <v>0</v>
      </c>
      <c r="AI72" s="35">
        <v>0</v>
      </c>
      <c r="AJ72" s="32">
        <v>0</v>
      </c>
      <c r="AK72" s="35">
        <v>0</v>
      </c>
      <c r="AL72" s="32">
        <v>0</v>
      </c>
      <c r="AM72" s="35">
        <v>0</v>
      </c>
      <c r="AN72" s="35">
        <v>0</v>
      </c>
      <c r="AO72" s="32">
        <v>0</v>
      </c>
      <c r="AP72" s="32">
        <v>0</v>
      </c>
      <c r="AQ72" s="33"/>
      <c r="AR72" s="33" t="s">
        <v>411</v>
      </c>
      <c r="AS72" s="33" t="s">
        <v>411</v>
      </c>
      <c r="AT72" s="35">
        <v>0</v>
      </c>
      <c r="AU72" s="35">
        <v>0</v>
      </c>
      <c r="AV72" s="35">
        <v>0</v>
      </c>
      <c r="AW72" s="35">
        <v>0</v>
      </c>
      <c r="AX72" s="35">
        <v>0</v>
      </c>
      <c r="AY72" s="35">
        <v>0</v>
      </c>
      <c r="AZ72" s="32">
        <v>0</v>
      </c>
      <c r="BA72" s="32">
        <v>0</v>
      </c>
      <c r="BB72" s="32">
        <v>0</v>
      </c>
      <c r="BC72" s="32">
        <v>0</v>
      </c>
      <c r="BD72" s="35">
        <v>0</v>
      </c>
      <c r="BE72" s="35">
        <v>0</v>
      </c>
      <c r="BF72" s="33" t="s">
        <v>412</v>
      </c>
      <c r="BG72" s="33" t="s">
        <v>412</v>
      </c>
      <c r="BH72" s="33" t="s">
        <v>412</v>
      </c>
    </row>
    <row r="73" spans="1:60" ht="19.5" customHeight="1">
      <c r="A73" s="36">
        <v>70</v>
      </c>
      <c r="B73" s="31" t="s">
        <v>410</v>
      </c>
      <c r="C73" s="37">
        <v>45854</v>
      </c>
      <c r="D73" s="31" t="s">
        <v>413</v>
      </c>
      <c r="E73" s="31">
        <v>1</v>
      </c>
      <c r="F73" s="31">
        <v>1</v>
      </c>
      <c r="G73" s="32">
        <v>1</v>
      </c>
      <c r="H73" s="31">
        <v>0</v>
      </c>
      <c r="I73" s="33">
        <v>0</v>
      </c>
      <c r="J73" s="31">
        <v>0</v>
      </c>
      <c r="K73" s="31">
        <v>0</v>
      </c>
      <c r="L73" s="32">
        <v>0</v>
      </c>
      <c r="M73" s="31">
        <v>0</v>
      </c>
      <c r="N73" s="31">
        <v>0</v>
      </c>
      <c r="O73" s="31">
        <v>0</v>
      </c>
      <c r="P73" s="32">
        <v>0</v>
      </c>
      <c r="Q73" s="31">
        <v>0</v>
      </c>
      <c r="R73" s="31">
        <v>0</v>
      </c>
      <c r="S73" s="31">
        <v>0</v>
      </c>
      <c r="T73" s="32">
        <v>0</v>
      </c>
      <c r="U73" s="31">
        <v>0</v>
      </c>
      <c r="V73" s="32">
        <v>0</v>
      </c>
      <c r="W73" s="31">
        <v>0</v>
      </c>
      <c r="X73" s="32">
        <v>0</v>
      </c>
      <c r="Y73" s="31">
        <v>0</v>
      </c>
      <c r="Z73" s="34">
        <v>0</v>
      </c>
      <c r="AA73" s="31">
        <v>0</v>
      </c>
      <c r="AB73" s="32">
        <v>0</v>
      </c>
      <c r="AC73" s="31">
        <v>0</v>
      </c>
      <c r="AD73" s="32">
        <v>0</v>
      </c>
      <c r="AE73" s="31">
        <v>0</v>
      </c>
      <c r="AF73" s="32">
        <v>0</v>
      </c>
      <c r="AG73" s="31">
        <v>0</v>
      </c>
      <c r="AH73" s="32">
        <v>0</v>
      </c>
      <c r="AI73" s="35">
        <v>0</v>
      </c>
      <c r="AJ73" s="32">
        <v>0</v>
      </c>
      <c r="AK73" s="35">
        <v>0</v>
      </c>
      <c r="AL73" s="32">
        <v>0</v>
      </c>
      <c r="AM73" s="35">
        <v>0</v>
      </c>
      <c r="AN73" s="35">
        <v>0</v>
      </c>
      <c r="AO73" s="32">
        <v>0</v>
      </c>
      <c r="AP73" s="32">
        <v>0</v>
      </c>
      <c r="AQ73" s="33"/>
      <c r="AR73" s="33" t="s">
        <v>411</v>
      </c>
      <c r="AS73" s="33" t="s">
        <v>411</v>
      </c>
      <c r="AT73" s="35">
        <v>0</v>
      </c>
      <c r="AU73" s="35">
        <v>0</v>
      </c>
      <c r="AV73" s="35">
        <v>0</v>
      </c>
      <c r="AW73" s="35">
        <v>0</v>
      </c>
      <c r="AX73" s="35">
        <v>0</v>
      </c>
      <c r="AY73" s="35">
        <v>0</v>
      </c>
      <c r="AZ73" s="32">
        <v>0</v>
      </c>
      <c r="BA73" s="32">
        <v>0</v>
      </c>
      <c r="BB73" s="32">
        <v>0</v>
      </c>
      <c r="BC73" s="32">
        <v>0</v>
      </c>
      <c r="BD73" s="35">
        <v>0</v>
      </c>
      <c r="BE73" s="35">
        <v>0</v>
      </c>
      <c r="BF73" s="33" t="s">
        <v>412</v>
      </c>
      <c r="BG73" s="33" t="s">
        <v>412</v>
      </c>
      <c r="BH73" s="33" t="s">
        <v>412</v>
      </c>
    </row>
    <row r="74" spans="1:60" ht="19.5" customHeight="1">
      <c r="A74" s="36">
        <v>71</v>
      </c>
      <c r="B74" s="31" t="s">
        <v>410</v>
      </c>
      <c r="C74" s="37">
        <v>45854</v>
      </c>
      <c r="D74" s="31" t="s">
        <v>335</v>
      </c>
      <c r="E74" s="31">
        <v>57</v>
      </c>
      <c r="F74" s="31">
        <v>55</v>
      </c>
      <c r="G74" s="32">
        <v>0.96491228070175439</v>
      </c>
      <c r="H74" s="31">
        <v>33</v>
      </c>
      <c r="I74" s="33">
        <v>0.57894736842105265</v>
      </c>
      <c r="J74" s="31">
        <v>30</v>
      </c>
      <c r="K74" s="31">
        <v>29</v>
      </c>
      <c r="L74" s="32">
        <v>0.96699999999999997</v>
      </c>
      <c r="M74" s="31">
        <v>49</v>
      </c>
      <c r="N74" s="31">
        <v>0</v>
      </c>
      <c r="O74" s="31">
        <v>48</v>
      </c>
      <c r="P74" s="32">
        <v>0.97959183673469385</v>
      </c>
      <c r="Q74" s="31">
        <v>0</v>
      </c>
      <c r="R74" s="31">
        <v>0</v>
      </c>
      <c r="S74" s="31">
        <v>0</v>
      </c>
      <c r="T74" s="32">
        <v>0</v>
      </c>
      <c r="U74" s="31">
        <v>0</v>
      </c>
      <c r="V74" s="32">
        <v>0</v>
      </c>
      <c r="W74" s="31">
        <v>0</v>
      </c>
      <c r="X74" s="32">
        <v>0</v>
      </c>
      <c r="Y74" s="31">
        <v>0</v>
      </c>
      <c r="Z74" s="34">
        <v>0</v>
      </c>
      <c r="AA74" s="31">
        <v>0</v>
      </c>
      <c r="AB74" s="32">
        <v>0</v>
      </c>
      <c r="AC74" s="31">
        <v>20</v>
      </c>
      <c r="AD74" s="32">
        <v>0.35087719298245612</v>
      </c>
      <c r="AE74" s="31">
        <v>0</v>
      </c>
      <c r="AF74" s="32">
        <v>0</v>
      </c>
      <c r="AG74" s="31">
        <v>18</v>
      </c>
      <c r="AH74" s="32">
        <v>0.9</v>
      </c>
      <c r="AI74" s="35">
        <v>0</v>
      </c>
      <c r="AJ74" s="32">
        <v>0</v>
      </c>
      <c r="AK74" s="35">
        <v>0</v>
      </c>
      <c r="AL74" s="32">
        <v>0</v>
      </c>
      <c r="AM74" s="35">
        <v>0</v>
      </c>
      <c r="AN74" s="35">
        <v>0</v>
      </c>
      <c r="AO74" s="32">
        <v>0</v>
      </c>
      <c r="AP74" s="32">
        <v>0</v>
      </c>
      <c r="AQ74" s="33"/>
      <c r="AR74" s="33" t="s">
        <v>411</v>
      </c>
      <c r="AS74" s="33" t="s">
        <v>411</v>
      </c>
      <c r="AT74" s="35">
        <v>0</v>
      </c>
      <c r="AU74" s="35">
        <v>0</v>
      </c>
      <c r="AV74" s="35">
        <v>0</v>
      </c>
      <c r="AW74" s="35">
        <v>0</v>
      </c>
      <c r="AX74" s="35">
        <v>0</v>
      </c>
      <c r="AY74" s="35">
        <v>0</v>
      </c>
      <c r="AZ74" s="32">
        <v>0</v>
      </c>
      <c r="BA74" s="32">
        <v>0</v>
      </c>
      <c r="BB74" s="32">
        <v>0</v>
      </c>
      <c r="BC74" s="32">
        <v>0</v>
      </c>
      <c r="BD74" s="35">
        <v>0</v>
      </c>
      <c r="BE74" s="35">
        <v>0</v>
      </c>
      <c r="BF74" s="33" t="s">
        <v>412</v>
      </c>
      <c r="BG74" s="33" t="s">
        <v>412</v>
      </c>
      <c r="BH74" s="33" t="s">
        <v>412</v>
      </c>
    </row>
    <row r="75" spans="1:60" ht="19.5" customHeight="1">
      <c r="A75" s="36">
        <v>72</v>
      </c>
      <c r="B75" s="31" t="s">
        <v>410</v>
      </c>
      <c r="C75" s="37">
        <v>45854</v>
      </c>
      <c r="D75" s="31" t="s">
        <v>334</v>
      </c>
      <c r="E75" s="31">
        <v>6662</v>
      </c>
      <c r="F75" s="31">
        <v>5158</v>
      </c>
      <c r="G75" s="32">
        <v>0.77424196937856504</v>
      </c>
      <c r="H75" s="31">
        <v>2937</v>
      </c>
      <c r="I75" s="33">
        <v>0.4408586010207145</v>
      </c>
      <c r="J75" s="31">
        <v>4960</v>
      </c>
      <c r="K75" s="31">
        <v>4687</v>
      </c>
      <c r="L75" s="32">
        <v>0.94499999999999995</v>
      </c>
      <c r="M75" s="31">
        <v>5889</v>
      </c>
      <c r="N75" s="31">
        <v>0</v>
      </c>
      <c r="O75" s="31">
        <v>5497</v>
      </c>
      <c r="P75" s="32">
        <v>0.93343521820343012</v>
      </c>
      <c r="Q75" s="31">
        <v>18</v>
      </c>
      <c r="R75" s="31">
        <v>0</v>
      </c>
      <c r="S75" s="31">
        <v>0</v>
      </c>
      <c r="T75" s="32">
        <v>0</v>
      </c>
      <c r="U75" s="31">
        <v>0</v>
      </c>
      <c r="V75" s="32">
        <v>0</v>
      </c>
      <c r="W75" s="31">
        <v>705</v>
      </c>
      <c r="X75" s="32">
        <v>0.1058240768537977</v>
      </c>
      <c r="Y75" s="31">
        <v>794</v>
      </c>
      <c r="Z75" s="34">
        <v>0.1191834283998799</v>
      </c>
      <c r="AA75" s="31">
        <v>38</v>
      </c>
      <c r="AB75" s="32">
        <v>5.7039927949564693E-3</v>
      </c>
      <c r="AC75" s="31">
        <v>1074</v>
      </c>
      <c r="AD75" s="32">
        <v>0.161212848994296</v>
      </c>
      <c r="AE75" s="31">
        <v>46</v>
      </c>
      <c r="AF75" s="32">
        <v>4.2830540037243951E-2</v>
      </c>
      <c r="AG75" s="31">
        <v>429</v>
      </c>
      <c r="AH75" s="32">
        <v>0.3994413407821229</v>
      </c>
      <c r="AI75" s="35">
        <v>1042</v>
      </c>
      <c r="AJ75" s="32">
        <v>0.15640948664064849</v>
      </c>
      <c r="AK75" s="35">
        <v>18</v>
      </c>
      <c r="AL75" s="32">
        <v>0.79558541266794625</v>
      </c>
      <c r="AM75" s="35">
        <v>1019</v>
      </c>
      <c r="AN75" s="35">
        <v>829</v>
      </c>
      <c r="AO75" s="32">
        <v>0.12443710597418189</v>
      </c>
      <c r="AP75" s="32">
        <v>0.77188081936685293</v>
      </c>
      <c r="AQ75" s="33">
        <v>0</v>
      </c>
      <c r="AR75" s="33" t="s">
        <v>411</v>
      </c>
      <c r="AS75" s="33">
        <v>0</v>
      </c>
      <c r="AT75" s="35">
        <v>0</v>
      </c>
      <c r="AU75" s="35">
        <v>0</v>
      </c>
      <c r="AV75" s="35">
        <v>133</v>
      </c>
      <c r="AW75" s="35">
        <v>111</v>
      </c>
      <c r="AX75" s="35">
        <v>122</v>
      </c>
      <c r="AY75" s="35">
        <v>222</v>
      </c>
      <c r="AZ75" s="32">
        <v>1.6661663164214951E-2</v>
      </c>
      <c r="BA75" s="32">
        <v>1.8312818973281301E-2</v>
      </c>
      <c r="BB75" s="32">
        <v>3.3323326328429902E-2</v>
      </c>
      <c r="BC75" s="32">
        <v>0.1471652593486128</v>
      </c>
      <c r="BD75" s="35">
        <v>0</v>
      </c>
      <c r="BE75" s="35">
        <v>2</v>
      </c>
      <c r="BF75" s="33">
        <v>0.96721311475409832</v>
      </c>
      <c r="BG75" s="33">
        <v>1</v>
      </c>
      <c r="BH75" s="33">
        <v>0.97701149425287359</v>
      </c>
    </row>
    <row r="76" spans="1:60" ht="19.5" customHeight="1">
      <c r="A76" s="36">
        <v>73</v>
      </c>
      <c r="B76" s="31" t="s">
        <v>410</v>
      </c>
      <c r="C76" s="37">
        <v>45854</v>
      </c>
      <c r="D76" s="31" t="s">
        <v>337</v>
      </c>
      <c r="E76" s="31">
        <v>121</v>
      </c>
      <c r="F76" s="31">
        <v>115</v>
      </c>
      <c r="G76" s="32">
        <v>0.95041322314049592</v>
      </c>
      <c r="H76" s="31">
        <v>55</v>
      </c>
      <c r="I76" s="33">
        <v>0.45454545454545447</v>
      </c>
      <c r="J76" s="31">
        <v>31</v>
      </c>
      <c r="K76" s="31">
        <v>30</v>
      </c>
      <c r="L76" s="32">
        <v>0.96799999999999997</v>
      </c>
      <c r="M76" s="31">
        <v>50</v>
      </c>
      <c r="N76" s="31">
        <v>0</v>
      </c>
      <c r="O76" s="31">
        <v>49</v>
      </c>
      <c r="P76" s="32">
        <v>0.98</v>
      </c>
      <c r="Q76" s="31">
        <v>0</v>
      </c>
      <c r="R76" s="31">
        <v>0</v>
      </c>
      <c r="S76" s="31">
        <v>0</v>
      </c>
      <c r="T76" s="32">
        <v>0</v>
      </c>
      <c r="U76" s="31">
        <v>0</v>
      </c>
      <c r="V76" s="32">
        <v>0</v>
      </c>
      <c r="W76" s="31">
        <v>0</v>
      </c>
      <c r="X76" s="32">
        <v>0</v>
      </c>
      <c r="Y76" s="31">
        <v>0</v>
      </c>
      <c r="Z76" s="34">
        <v>0</v>
      </c>
      <c r="AA76" s="31">
        <v>0</v>
      </c>
      <c r="AB76" s="32">
        <v>0</v>
      </c>
      <c r="AC76" s="31">
        <v>34</v>
      </c>
      <c r="AD76" s="32">
        <v>0.28099173553719009</v>
      </c>
      <c r="AE76" s="31">
        <v>2</v>
      </c>
      <c r="AF76" s="32">
        <v>5.8823529411764712E-2</v>
      </c>
      <c r="AG76" s="31">
        <v>25</v>
      </c>
      <c r="AH76" s="32">
        <v>0.73529411764705888</v>
      </c>
      <c r="AI76" s="35">
        <v>0</v>
      </c>
      <c r="AJ76" s="32">
        <v>0</v>
      </c>
      <c r="AK76" s="35">
        <v>0</v>
      </c>
      <c r="AL76" s="32">
        <v>0</v>
      </c>
      <c r="AM76" s="35">
        <v>0</v>
      </c>
      <c r="AN76" s="35">
        <v>0</v>
      </c>
      <c r="AO76" s="32">
        <v>0</v>
      </c>
      <c r="AP76" s="32">
        <v>0</v>
      </c>
      <c r="AQ76" s="33"/>
      <c r="AR76" s="33" t="s">
        <v>411</v>
      </c>
      <c r="AS76" s="33" t="s">
        <v>411</v>
      </c>
      <c r="AT76" s="35">
        <v>0</v>
      </c>
      <c r="AU76" s="35">
        <v>0</v>
      </c>
      <c r="AV76" s="35">
        <v>0</v>
      </c>
      <c r="AW76" s="35">
        <v>0</v>
      </c>
      <c r="AX76" s="35">
        <v>0</v>
      </c>
      <c r="AY76" s="35">
        <v>0</v>
      </c>
      <c r="AZ76" s="32">
        <v>0</v>
      </c>
      <c r="BA76" s="32">
        <v>0</v>
      </c>
      <c r="BB76" s="32">
        <v>0</v>
      </c>
      <c r="BC76" s="32">
        <v>0</v>
      </c>
      <c r="BD76" s="35">
        <v>0</v>
      </c>
      <c r="BE76" s="35">
        <v>0</v>
      </c>
      <c r="BF76" s="33" t="s">
        <v>412</v>
      </c>
      <c r="BG76" s="33" t="s">
        <v>412</v>
      </c>
      <c r="BH76" s="33" t="s">
        <v>412</v>
      </c>
    </row>
    <row r="77" spans="1:60" ht="19.5" customHeight="1">
      <c r="A77" s="36">
        <v>74</v>
      </c>
      <c r="B77" s="31" t="s">
        <v>410</v>
      </c>
      <c r="C77" s="37">
        <v>45854</v>
      </c>
      <c r="D77" s="31" t="s">
        <v>336</v>
      </c>
      <c r="E77" s="31">
        <v>71</v>
      </c>
      <c r="F77" s="31">
        <v>69</v>
      </c>
      <c r="G77" s="32">
        <v>0.971830985915493</v>
      </c>
      <c r="H77" s="31">
        <v>51</v>
      </c>
      <c r="I77" s="33">
        <v>0.71830985915492962</v>
      </c>
      <c r="J77" s="31">
        <v>27</v>
      </c>
      <c r="K77" s="31">
        <v>26</v>
      </c>
      <c r="L77" s="32">
        <v>0.96299999999999997</v>
      </c>
      <c r="M77" s="31">
        <v>51</v>
      </c>
      <c r="N77" s="31">
        <v>0</v>
      </c>
      <c r="O77" s="31">
        <v>48</v>
      </c>
      <c r="P77" s="32">
        <v>0.94117647058823528</v>
      </c>
      <c r="Q77" s="31">
        <v>0</v>
      </c>
      <c r="R77" s="31">
        <v>0</v>
      </c>
      <c r="S77" s="31">
        <v>0</v>
      </c>
      <c r="T77" s="32">
        <v>0</v>
      </c>
      <c r="U77" s="31">
        <v>0</v>
      </c>
      <c r="V77" s="32">
        <v>0</v>
      </c>
      <c r="W77" s="31">
        <v>0</v>
      </c>
      <c r="X77" s="32">
        <v>0</v>
      </c>
      <c r="Y77" s="31">
        <v>0</v>
      </c>
      <c r="Z77" s="34">
        <v>0</v>
      </c>
      <c r="AA77" s="31">
        <v>0</v>
      </c>
      <c r="AB77" s="32">
        <v>0</v>
      </c>
      <c r="AC77" s="31">
        <v>20</v>
      </c>
      <c r="AD77" s="32">
        <v>0.28169014084507038</v>
      </c>
      <c r="AE77" s="31">
        <v>1</v>
      </c>
      <c r="AF77" s="32">
        <v>0.05</v>
      </c>
      <c r="AG77" s="31">
        <v>13</v>
      </c>
      <c r="AH77" s="32">
        <v>0.65</v>
      </c>
      <c r="AI77" s="35">
        <v>0</v>
      </c>
      <c r="AJ77" s="32">
        <v>0</v>
      </c>
      <c r="AK77" s="35">
        <v>0</v>
      </c>
      <c r="AL77" s="32">
        <v>0</v>
      </c>
      <c r="AM77" s="35">
        <v>0</v>
      </c>
      <c r="AN77" s="35">
        <v>0</v>
      </c>
      <c r="AO77" s="32">
        <v>0</v>
      </c>
      <c r="AP77" s="32">
        <v>0</v>
      </c>
      <c r="AQ77" s="33"/>
      <c r="AR77" s="33" t="s">
        <v>411</v>
      </c>
      <c r="AS77" s="33" t="s">
        <v>411</v>
      </c>
      <c r="AT77" s="35">
        <v>0</v>
      </c>
      <c r="AU77" s="35">
        <v>0</v>
      </c>
      <c r="AV77" s="35">
        <v>0</v>
      </c>
      <c r="AW77" s="35">
        <v>0</v>
      </c>
      <c r="AX77" s="35">
        <v>0</v>
      </c>
      <c r="AY77" s="35">
        <v>0</v>
      </c>
      <c r="AZ77" s="32">
        <v>0</v>
      </c>
      <c r="BA77" s="32">
        <v>0</v>
      </c>
      <c r="BB77" s="32">
        <v>0</v>
      </c>
      <c r="BC77" s="32">
        <v>0</v>
      </c>
      <c r="BD77" s="35">
        <v>0</v>
      </c>
      <c r="BE77" s="35">
        <v>0</v>
      </c>
      <c r="BF77" s="33" t="s">
        <v>412</v>
      </c>
      <c r="BG77" s="33" t="s">
        <v>412</v>
      </c>
      <c r="BH77" s="33" t="s">
        <v>412</v>
      </c>
    </row>
    <row r="78" spans="1:60" ht="19.5" customHeight="1">
      <c r="A78" s="36">
        <v>75</v>
      </c>
      <c r="B78" s="31" t="s">
        <v>410</v>
      </c>
      <c r="C78" s="37">
        <v>45855</v>
      </c>
      <c r="D78" s="31" t="s">
        <v>335</v>
      </c>
      <c r="E78" s="31">
        <v>78</v>
      </c>
      <c r="F78" s="31">
        <v>73</v>
      </c>
      <c r="G78" s="32">
        <v>0.9358974358974359</v>
      </c>
      <c r="H78" s="31">
        <v>40</v>
      </c>
      <c r="I78" s="33">
        <v>0.51282051282051277</v>
      </c>
      <c r="J78" s="31">
        <v>26</v>
      </c>
      <c r="K78" s="31">
        <v>26</v>
      </c>
      <c r="L78" s="32">
        <v>1</v>
      </c>
      <c r="M78" s="31">
        <v>50</v>
      </c>
      <c r="N78" s="31">
        <v>0</v>
      </c>
      <c r="O78" s="31">
        <v>49</v>
      </c>
      <c r="P78" s="32">
        <v>0.98</v>
      </c>
      <c r="Q78" s="31">
        <v>0</v>
      </c>
      <c r="R78" s="31">
        <v>0</v>
      </c>
      <c r="S78" s="31">
        <v>0</v>
      </c>
      <c r="T78" s="32">
        <v>0</v>
      </c>
      <c r="U78" s="31">
        <v>0</v>
      </c>
      <c r="V78" s="32">
        <v>0</v>
      </c>
      <c r="W78" s="31">
        <v>0</v>
      </c>
      <c r="X78" s="32">
        <v>0</v>
      </c>
      <c r="Y78" s="31">
        <v>0</v>
      </c>
      <c r="Z78" s="34">
        <v>0</v>
      </c>
      <c r="AA78" s="31">
        <v>0</v>
      </c>
      <c r="AB78" s="32">
        <v>0</v>
      </c>
      <c r="AC78" s="31">
        <v>21</v>
      </c>
      <c r="AD78" s="32">
        <v>0.26923076923076922</v>
      </c>
      <c r="AE78" s="31">
        <v>2</v>
      </c>
      <c r="AF78" s="32">
        <v>9.5238095238095233E-2</v>
      </c>
      <c r="AG78" s="31">
        <v>13</v>
      </c>
      <c r="AH78" s="32">
        <v>0.61904761904761907</v>
      </c>
      <c r="AI78" s="35">
        <v>0</v>
      </c>
      <c r="AJ78" s="32">
        <v>0</v>
      </c>
      <c r="AK78" s="35">
        <v>0</v>
      </c>
      <c r="AL78" s="32">
        <v>0</v>
      </c>
      <c r="AM78" s="35">
        <v>0</v>
      </c>
      <c r="AN78" s="35">
        <v>0</v>
      </c>
      <c r="AO78" s="32">
        <v>0</v>
      </c>
      <c r="AP78" s="32">
        <v>0</v>
      </c>
      <c r="AQ78" s="33"/>
      <c r="AR78" s="33" t="s">
        <v>411</v>
      </c>
      <c r="AS78" s="33" t="s">
        <v>411</v>
      </c>
      <c r="AT78" s="35">
        <v>0</v>
      </c>
      <c r="AU78" s="35">
        <v>0</v>
      </c>
      <c r="AV78" s="35">
        <v>0</v>
      </c>
      <c r="AW78" s="35">
        <v>0</v>
      </c>
      <c r="AX78" s="35">
        <v>0</v>
      </c>
      <c r="AY78" s="35">
        <v>0</v>
      </c>
      <c r="AZ78" s="32">
        <v>0</v>
      </c>
      <c r="BA78" s="32">
        <v>0</v>
      </c>
      <c r="BB78" s="32">
        <v>0</v>
      </c>
      <c r="BC78" s="32">
        <v>0</v>
      </c>
      <c r="BD78" s="35">
        <v>0</v>
      </c>
      <c r="BE78" s="35">
        <v>0</v>
      </c>
      <c r="BF78" s="33" t="s">
        <v>412</v>
      </c>
      <c r="BG78" s="33" t="s">
        <v>412</v>
      </c>
      <c r="BH78" s="33" t="s">
        <v>412</v>
      </c>
    </row>
    <row r="79" spans="1:60" ht="19.5" customHeight="1">
      <c r="A79" s="36">
        <v>76</v>
      </c>
      <c r="B79" s="31" t="s">
        <v>410</v>
      </c>
      <c r="C79" s="37">
        <v>45855</v>
      </c>
      <c r="D79" s="31" t="s">
        <v>334</v>
      </c>
      <c r="E79" s="31">
        <v>6651</v>
      </c>
      <c r="F79" s="31">
        <v>5287</v>
      </c>
      <c r="G79" s="32">
        <v>0.79491805743497224</v>
      </c>
      <c r="H79" s="31">
        <v>3102</v>
      </c>
      <c r="I79" s="33">
        <v>0.46639603067207941</v>
      </c>
      <c r="J79" s="31">
        <v>5293</v>
      </c>
      <c r="K79" s="31">
        <v>4877</v>
      </c>
      <c r="L79" s="32">
        <v>0.92100000000000004</v>
      </c>
      <c r="M79" s="31">
        <v>6272</v>
      </c>
      <c r="N79" s="31">
        <v>0</v>
      </c>
      <c r="O79" s="31">
        <v>5738</v>
      </c>
      <c r="P79" s="32">
        <v>0.91485969387755106</v>
      </c>
      <c r="Q79" s="31">
        <v>18</v>
      </c>
      <c r="R79" s="31">
        <v>0</v>
      </c>
      <c r="S79" s="31">
        <v>0</v>
      </c>
      <c r="T79" s="32">
        <v>0</v>
      </c>
      <c r="U79" s="31">
        <v>0</v>
      </c>
      <c r="V79" s="32">
        <v>0</v>
      </c>
      <c r="W79" s="31">
        <v>747</v>
      </c>
      <c r="X79" s="32">
        <v>0.1123139377537212</v>
      </c>
      <c r="Y79" s="31">
        <v>975</v>
      </c>
      <c r="Z79" s="34">
        <v>0.14659449706811009</v>
      </c>
      <c r="AA79" s="31">
        <v>35</v>
      </c>
      <c r="AB79" s="32">
        <v>5.2623665614193356E-3</v>
      </c>
      <c r="AC79" s="31">
        <v>1034</v>
      </c>
      <c r="AD79" s="32">
        <v>0.1554653435573598</v>
      </c>
      <c r="AE79" s="31">
        <v>44</v>
      </c>
      <c r="AF79" s="32">
        <v>4.2553191489361701E-2</v>
      </c>
      <c r="AG79" s="31">
        <v>428</v>
      </c>
      <c r="AH79" s="32">
        <v>0.41392649903288198</v>
      </c>
      <c r="AI79" s="35">
        <v>1022</v>
      </c>
      <c r="AJ79" s="32">
        <v>0.15366110359344459</v>
      </c>
      <c r="AK79" s="35">
        <v>16</v>
      </c>
      <c r="AL79" s="32">
        <v>0.79060665362035221</v>
      </c>
      <c r="AM79" s="35">
        <v>993</v>
      </c>
      <c r="AN79" s="35">
        <v>808</v>
      </c>
      <c r="AO79" s="32">
        <v>0.1214854909036235</v>
      </c>
      <c r="AP79" s="32">
        <v>0.78143133462282399</v>
      </c>
      <c r="AQ79" s="33">
        <v>0</v>
      </c>
      <c r="AR79" s="33" t="s">
        <v>411</v>
      </c>
      <c r="AS79" s="33">
        <v>0</v>
      </c>
      <c r="AT79" s="35">
        <v>0</v>
      </c>
      <c r="AU79" s="35">
        <v>0</v>
      </c>
      <c r="AV79" s="35">
        <v>164</v>
      </c>
      <c r="AW79" s="35">
        <v>145</v>
      </c>
      <c r="AX79" s="35">
        <v>144</v>
      </c>
      <c r="AY79" s="35">
        <v>214</v>
      </c>
      <c r="AZ79" s="32">
        <v>2.1801232897308679E-2</v>
      </c>
      <c r="BA79" s="32">
        <v>2.165087956698241E-2</v>
      </c>
      <c r="BB79" s="32">
        <v>3.2175612689821081E-2</v>
      </c>
      <c r="BC79" s="32">
        <v>0.17821782178217821</v>
      </c>
      <c r="BD79" s="35">
        <v>0</v>
      </c>
      <c r="BE79" s="35">
        <v>2</v>
      </c>
      <c r="BF79" s="33">
        <v>0.87272727272727268</v>
      </c>
      <c r="BG79" s="33">
        <v>1</v>
      </c>
      <c r="BH79" s="33">
        <v>0.98076923076923073</v>
      </c>
    </row>
    <row r="80" spans="1:60" ht="19.5" customHeight="1">
      <c r="A80" s="36">
        <v>77</v>
      </c>
      <c r="B80" s="31" t="s">
        <v>410</v>
      </c>
      <c r="C80" s="37">
        <v>45855</v>
      </c>
      <c r="D80" s="31" t="s">
        <v>337</v>
      </c>
      <c r="E80" s="31">
        <v>133</v>
      </c>
      <c r="F80" s="31">
        <v>118</v>
      </c>
      <c r="G80" s="32">
        <v>0.88721804511278191</v>
      </c>
      <c r="H80" s="31">
        <v>64</v>
      </c>
      <c r="I80" s="33">
        <v>0.48120300751879702</v>
      </c>
      <c r="J80" s="31">
        <v>40</v>
      </c>
      <c r="K80" s="31">
        <v>35</v>
      </c>
      <c r="L80" s="32">
        <v>0.875</v>
      </c>
      <c r="M80" s="31">
        <v>59</v>
      </c>
      <c r="N80" s="31">
        <v>0</v>
      </c>
      <c r="O80" s="31">
        <v>53</v>
      </c>
      <c r="P80" s="32">
        <v>0.89830508474576276</v>
      </c>
      <c r="Q80" s="31">
        <v>0</v>
      </c>
      <c r="R80" s="31">
        <v>0</v>
      </c>
      <c r="S80" s="31">
        <v>0</v>
      </c>
      <c r="T80" s="32">
        <v>0</v>
      </c>
      <c r="U80" s="31">
        <v>0</v>
      </c>
      <c r="V80" s="32">
        <v>0</v>
      </c>
      <c r="W80" s="31">
        <v>0</v>
      </c>
      <c r="X80" s="32">
        <v>0</v>
      </c>
      <c r="Y80" s="31">
        <v>0</v>
      </c>
      <c r="Z80" s="34">
        <v>0</v>
      </c>
      <c r="AA80" s="31">
        <v>0</v>
      </c>
      <c r="AB80" s="32">
        <v>0</v>
      </c>
      <c r="AC80" s="31">
        <v>64</v>
      </c>
      <c r="AD80" s="32">
        <v>0.48120300751879702</v>
      </c>
      <c r="AE80" s="31">
        <v>7</v>
      </c>
      <c r="AF80" s="32">
        <v>0.109375</v>
      </c>
      <c r="AG80" s="31">
        <v>37</v>
      </c>
      <c r="AH80" s="32">
        <v>0.578125</v>
      </c>
      <c r="AI80" s="35">
        <v>0</v>
      </c>
      <c r="AJ80" s="32">
        <v>0</v>
      </c>
      <c r="AK80" s="35">
        <v>0</v>
      </c>
      <c r="AL80" s="32">
        <v>0</v>
      </c>
      <c r="AM80" s="35">
        <v>0</v>
      </c>
      <c r="AN80" s="35">
        <v>0</v>
      </c>
      <c r="AO80" s="32">
        <v>0</v>
      </c>
      <c r="AP80" s="32">
        <v>0</v>
      </c>
      <c r="AQ80" s="33">
        <v>0</v>
      </c>
      <c r="AR80" s="33" t="s">
        <v>411</v>
      </c>
      <c r="AS80" s="33">
        <v>0</v>
      </c>
      <c r="AT80" s="35">
        <v>0</v>
      </c>
      <c r="AU80" s="35">
        <v>0</v>
      </c>
      <c r="AV80" s="35">
        <v>0</v>
      </c>
      <c r="AW80" s="35">
        <v>0</v>
      </c>
      <c r="AX80" s="35">
        <v>0</v>
      </c>
      <c r="AY80" s="35">
        <v>0</v>
      </c>
      <c r="AZ80" s="32">
        <v>0</v>
      </c>
      <c r="BA80" s="32">
        <v>0</v>
      </c>
      <c r="BB80" s="32">
        <v>0</v>
      </c>
      <c r="BC80" s="32">
        <v>0</v>
      </c>
      <c r="BD80" s="35">
        <v>0</v>
      </c>
      <c r="BE80" s="35">
        <v>0</v>
      </c>
      <c r="BF80" s="33" t="s">
        <v>412</v>
      </c>
      <c r="BG80" s="33" t="s">
        <v>412</v>
      </c>
      <c r="BH80" s="33" t="s">
        <v>412</v>
      </c>
    </row>
    <row r="81" spans="1:60" ht="19.5" customHeight="1">
      <c r="A81" s="36">
        <v>78</v>
      </c>
      <c r="B81" s="31" t="s">
        <v>410</v>
      </c>
      <c r="C81" s="37">
        <v>45855</v>
      </c>
      <c r="D81" s="31" t="s">
        <v>336</v>
      </c>
      <c r="E81" s="31">
        <v>53</v>
      </c>
      <c r="F81" s="31">
        <v>50</v>
      </c>
      <c r="G81" s="32">
        <v>0.94339622641509435</v>
      </c>
      <c r="H81" s="31">
        <v>38</v>
      </c>
      <c r="I81" s="33">
        <v>0.71698113207547165</v>
      </c>
      <c r="J81" s="31">
        <v>32</v>
      </c>
      <c r="K81" s="31">
        <v>30</v>
      </c>
      <c r="L81" s="32">
        <v>0.93799999999999994</v>
      </c>
      <c r="M81" s="31">
        <v>61</v>
      </c>
      <c r="N81" s="31">
        <v>0</v>
      </c>
      <c r="O81" s="31">
        <v>59</v>
      </c>
      <c r="P81" s="32">
        <v>0.96721311475409832</v>
      </c>
      <c r="Q81" s="31">
        <v>0</v>
      </c>
      <c r="R81" s="31">
        <v>0</v>
      </c>
      <c r="S81" s="31">
        <v>0</v>
      </c>
      <c r="T81" s="32">
        <v>0</v>
      </c>
      <c r="U81" s="31">
        <v>0</v>
      </c>
      <c r="V81" s="32">
        <v>0</v>
      </c>
      <c r="W81" s="31">
        <v>0</v>
      </c>
      <c r="X81" s="32">
        <v>0</v>
      </c>
      <c r="Y81" s="31">
        <v>0</v>
      </c>
      <c r="Z81" s="34">
        <v>0</v>
      </c>
      <c r="AA81" s="31">
        <v>0</v>
      </c>
      <c r="AB81" s="32">
        <v>0</v>
      </c>
      <c r="AC81" s="31">
        <v>26</v>
      </c>
      <c r="AD81" s="32">
        <v>0.49056603773584911</v>
      </c>
      <c r="AE81" s="31">
        <v>0</v>
      </c>
      <c r="AF81" s="32">
        <v>0</v>
      </c>
      <c r="AG81" s="31">
        <v>16</v>
      </c>
      <c r="AH81" s="32">
        <v>0.61538461538461542</v>
      </c>
      <c r="AI81" s="35">
        <v>0</v>
      </c>
      <c r="AJ81" s="32">
        <v>0</v>
      </c>
      <c r="AK81" s="35">
        <v>0</v>
      </c>
      <c r="AL81" s="32">
        <v>0</v>
      </c>
      <c r="AM81" s="35">
        <v>0</v>
      </c>
      <c r="AN81" s="35">
        <v>0</v>
      </c>
      <c r="AO81" s="32">
        <v>0</v>
      </c>
      <c r="AP81" s="32">
        <v>0</v>
      </c>
      <c r="AQ81" s="33"/>
      <c r="AR81" s="33" t="s">
        <v>411</v>
      </c>
      <c r="AS81" s="33" t="s">
        <v>411</v>
      </c>
      <c r="AT81" s="35">
        <v>0</v>
      </c>
      <c r="AU81" s="35">
        <v>0</v>
      </c>
      <c r="AV81" s="35">
        <v>0</v>
      </c>
      <c r="AW81" s="35">
        <v>0</v>
      </c>
      <c r="AX81" s="35">
        <v>0</v>
      </c>
      <c r="AY81" s="35">
        <v>0</v>
      </c>
      <c r="AZ81" s="32">
        <v>0</v>
      </c>
      <c r="BA81" s="32">
        <v>0</v>
      </c>
      <c r="BB81" s="32">
        <v>0</v>
      </c>
      <c r="BC81" s="32">
        <v>0</v>
      </c>
      <c r="BD81" s="35">
        <v>0</v>
      </c>
      <c r="BE81" s="35">
        <v>0</v>
      </c>
      <c r="BF81" s="33" t="s">
        <v>412</v>
      </c>
      <c r="BG81" s="33" t="s">
        <v>412</v>
      </c>
      <c r="BH81" s="33" t="s">
        <v>412</v>
      </c>
    </row>
    <row r="82" spans="1:60" ht="19.5" customHeight="1">
      <c r="A82" s="36">
        <v>79</v>
      </c>
      <c r="B82" s="31" t="s">
        <v>410</v>
      </c>
      <c r="C82" s="37">
        <v>45856</v>
      </c>
      <c r="D82" s="31"/>
      <c r="E82" s="31">
        <v>0</v>
      </c>
      <c r="F82" s="31">
        <v>0</v>
      </c>
      <c r="G82" s="32">
        <v>0</v>
      </c>
      <c r="H82" s="31">
        <v>0</v>
      </c>
      <c r="I82" s="33">
        <v>0</v>
      </c>
      <c r="J82" s="31">
        <v>0</v>
      </c>
      <c r="K82" s="31">
        <v>0</v>
      </c>
      <c r="L82" s="32">
        <v>0</v>
      </c>
      <c r="M82" s="31">
        <v>1</v>
      </c>
      <c r="N82" s="31">
        <v>0</v>
      </c>
      <c r="O82" s="31">
        <v>0</v>
      </c>
      <c r="P82" s="32">
        <v>0</v>
      </c>
      <c r="Q82" s="31">
        <v>0</v>
      </c>
      <c r="R82" s="31">
        <v>0</v>
      </c>
      <c r="S82" s="31">
        <v>0</v>
      </c>
      <c r="T82" s="32">
        <v>0</v>
      </c>
      <c r="U82" s="31">
        <v>0</v>
      </c>
      <c r="V82" s="32">
        <v>0</v>
      </c>
      <c r="W82" s="31">
        <v>0</v>
      </c>
      <c r="X82" s="32">
        <v>0</v>
      </c>
      <c r="Y82" s="31">
        <v>0</v>
      </c>
      <c r="Z82" s="34">
        <v>0</v>
      </c>
      <c r="AA82" s="31">
        <v>0</v>
      </c>
      <c r="AB82" s="32">
        <v>0</v>
      </c>
      <c r="AC82" s="31">
        <v>0</v>
      </c>
      <c r="AD82" s="32">
        <v>0</v>
      </c>
      <c r="AE82" s="31">
        <v>0</v>
      </c>
      <c r="AF82" s="32">
        <v>0</v>
      </c>
      <c r="AG82" s="31">
        <v>0</v>
      </c>
      <c r="AH82" s="32">
        <v>0</v>
      </c>
      <c r="AI82" s="35">
        <v>0</v>
      </c>
      <c r="AJ82" s="32">
        <v>0</v>
      </c>
      <c r="AK82" s="35">
        <v>0</v>
      </c>
      <c r="AL82" s="32">
        <v>0</v>
      </c>
      <c r="AM82" s="35">
        <v>0</v>
      </c>
      <c r="AN82" s="35">
        <v>0</v>
      </c>
      <c r="AO82" s="32">
        <v>0</v>
      </c>
      <c r="AP82" s="32">
        <v>0</v>
      </c>
      <c r="AQ82" s="33"/>
      <c r="AR82" s="33" t="s">
        <v>411</v>
      </c>
      <c r="AS82" s="33" t="s">
        <v>411</v>
      </c>
      <c r="AT82" s="35">
        <v>0</v>
      </c>
      <c r="AU82" s="35">
        <v>0</v>
      </c>
      <c r="AV82" s="35">
        <v>0</v>
      </c>
      <c r="AW82" s="35">
        <v>0</v>
      </c>
      <c r="AX82" s="35">
        <v>0</v>
      </c>
      <c r="AY82" s="35">
        <v>0</v>
      </c>
      <c r="AZ82" s="32">
        <v>0</v>
      </c>
      <c r="BA82" s="32">
        <v>0</v>
      </c>
      <c r="BB82" s="32">
        <v>0</v>
      </c>
      <c r="BC82" s="32">
        <v>0</v>
      </c>
      <c r="BD82" s="35">
        <v>0</v>
      </c>
      <c r="BE82" s="35">
        <v>0</v>
      </c>
      <c r="BF82" s="33" t="s">
        <v>412</v>
      </c>
      <c r="BG82" s="33" t="s">
        <v>412</v>
      </c>
      <c r="BH82" s="33" t="s">
        <v>412</v>
      </c>
    </row>
    <row r="83" spans="1:60" ht="19.5" customHeight="1">
      <c r="A83" s="36">
        <v>80</v>
      </c>
      <c r="B83" s="31" t="s">
        <v>410</v>
      </c>
      <c r="C83" s="37">
        <v>45856</v>
      </c>
      <c r="D83" s="31" t="s">
        <v>335</v>
      </c>
      <c r="E83" s="31">
        <v>81</v>
      </c>
      <c r="F83" s="31">
        <v>74</v>
      </c>
      <c r="G83" s="32">
        <v>0.9135802469135802</v>
      </c>
      <c r="H83" s="31">
        <v>41</v>
      </c>
      <c r="I83" s="33">
        <v>0.50617283950617287</v>
      </c>
      <c r="J83" s="31">
        <v>32</v>
      </c>
      <c r="K83" s="31">
        <v>29</v>
      </c>
      <c r="L83" s="32">
        <v>0.90600000000000003</v>
      </c>
      <c r="M83" s="31">
        <v>48</v>
      </c>
      <c r="N83" s="31">
        <v>0</v>
      </c>
      <c r="O83" s="31">
        <v>44</v>
      </c>
      <c r="P83" s="32">
        <v>0.91666666666666663</v>
      </c>
      <c r="Q83" s="31">
        <v>0</v>
      </c>
      <c r="R83" s="31">
        <v>0</v>
      </c>
      <c r="S83" s="31">
        <v>0</v>
      </c>
      <c r="T83" s="32">
        <v>0</v>
      </c>
      <c r="U83" s="31">
        <v>0</v>
      </c>
      <c r="V83" s="32">
        <v>0</v>
      </c>
      <c r="W83" s="31">
        <v>0</v>
      </c>
      <c r="X83" s="32">
        <v>0</v>
      </c>
      <c r="Y83" s="31">
        <v>0</v>
      </c>
      <c r="Z83" s="34">
        <v>0</v>
      </c>
      <c r="AA83" s="31">
        <v>0</v>
      </c>
      <c r="AB83" s="32">
        <v>0</v>
      </c>
      <c r="AC83" s="31">
        <v>20</v>
      </c>
      <c r="AD83" s="32">
        <v>0.24691358024691359</v>
      </c>
      <c r="AE83" s="31">
        <v>0</v>
      </c>
      <c r="AF83" s="32">
        <v>0</v>
      </c>
      <c r="AG83" s="31">
        <v>17</v>
      </c>
      <c r="AH83" s="32">
        <v>0.85</v>
      </c>
      <c r="AI83" s="35">
        <v>0</v>
      </c>
      <c r="AJ83" s="32">
        <v>0</v>
      </c>
      <c r="AK83" s="35">
        <v>0</v>
      </c>
      <c r="AL83" s="32">
        <v>0</v>
      </c>
      <c r="AM83" s="35">
        <v>0</v>
      </c>
      <c r="AN83" s="35">
        <v>0</v>
      </c>
      <c r="AO83" s="32">
        <v>0</v>
      </c>
      <c r="AP83" s="32">
        <v>0</v>
      </c>
      <c r="AQ83" s="33"/>
      <c r="AR83" s="33" t="s">
        <v>411</v>
      </c>
      <c r="AS83" s="33" t="s">
        <v>411</v>
      </c>
      <c r="AT83" s="35">
        <v>0</v>
      </c>
      <c r="AU83" s="35">
        <v>0</v>
      </c>
      <c r="AV83" s="35">
        <v>0</v>
      </c>
      <c r="AW83" s="35">
        <v>0</v>
      </c>
      <c r="AX83" s="35">
        <v>0</v>
      </c>
      <c r="AY83" s="35">
        <v>0</v>
      </c>
      <c r="AZ83" s="32">
        <v>0</v>
      </c>
      <c r="BA83" s="32">
        <v>0</v>
      </c>
      <c r="BB83" s="32">
        <v>0</v>
      </c>
      <c r="BC83" s="32">
        <v>0</v>
      </c>
      <c r="BD83" s="35">
        <v>0</v>
      </c>
      <c r="BE83" s="35">
        <v>0</v>
      </c>
      <c r="BF83" s="33" t="s">
        <v>412</v>
      </c>
      <c r="BG83" s="33" t="s">
        <v>412</v>
      </c>
      <c r="BH83" s="33" t="s">
        <v>412</v>
      </c>
    </row>
    <row r="84" spans="1:60" ht="19.5" customHeight="1">
      <c r="A84" s="36">
        <v>81</v>
      </c>
      <c r="B84" s="31" t="s">
        <v>410</v>
      </c>
      <c r="C84" s="37">
        <v>45856</v>
      </c>
      <c r="D84" s="31" t="s">
        <v>334</v>
      </c>
      <c r="E84" s="31">
        <v>8324</v>
      </c>
      <c r="F84" s="31">
        <v>6345</v>
      </c>
      <c r="G84" s="32">
        <v>0.76225372417107162</v>
      </c>
      <c r="H84" s="31">
        <v>2890</v>
      </c>
      <c r="I84" s="33">
        <v>0.34718885151369527</v>
      </c>
      <c r="J84" s="31">
        <v>5813</v>
      </c>
      <c r="K84" s="31">
        <v>5440</v>
      </c>
      <c r="L84" s="32">
        <v>0.93600000000000005</v>
      </c>
      <c r="M84" s="31">
        <v>6749</v>
      </c>
      <c r="N84" s="31">
        <v>0</v>
      </c>
      <c r="O84" s="31">
        <v>6244</v>
      </c>
      <c r="P84" s="32">
        <v>0.92517409986664689</v>
      </c>
      <c r="Q84" s="31">
        <v>24</v>
      </c>
      <c r="R84" s="31">
        <v>0</v>
      </c>
      <c r="S84" s="31">
        <v>0</v>
      </c>
      <c r="T84" s="32">
        <v>0</v>
      </c>
      <c r="U84" s="31">
        <v>0</v>
      </c>
      <c r="V84" s="32">
        <v>0</v>
      </c>
      <c r="W84" s="31">
        <v>694</v>
      </c>
      <c r="X84" s="32">
        <v>8.3373378183565591E-2</v>
      </c>
      <c r="Y84" s="31">
        <v>1245</v>
      </c>
      <c r="Z84" s="34">
        <v>0.1495675156174916</v>
      </c>
      <c r="AA84" s="31">
        <v>39</v>
      </c>
      <c r="AB84" s="32">
        <v>4.6852474771744354E-3</v>
      </c>
      <c r="AC84" s="31">
        <v>1122</v>
      </c>
      <c r="AD84" s="32">
        <v>0.1347909658817876</v>
      </c>
      <c r="AE84" s="31">
        <v>51</v>
      </c>
      <c r="AF84" s="32">
        <v>4.5454545454545463E-2</v>
      </c>
      <c r="AG84" s="31">
        <v>453</v>
      </c>
      <c r="AH84" s="32">
        <v>0.40374331550802139</v>
      </c>
      <c r="AI84" s="35">
        <v>1064</v>
      </c>
      <c r="AJ84" s="32">
        <v>0.1278231619413743</v>
      </c>
      <c r="AK84" s="35">
        <v>22</v>
      </c>
      <c r="AL84" s="32">
        <v>0.81015037593984962</v>
      </c>
      <c r="AM84" s="35">
        <v>1034</v>
      </c>
      <c r="AN84" s="35">
        <v>862</v>
      </c>
      <c r="AO84" s="32">
        <v>0.1035559827006247</v>
      </c>
      <c r="AP84" s="32">
        <v>0.76827094474153301</v>
      </c>
      <c r="AQ84" s="33">
        <v>0</v>
      </c>
      <c r="AR84" s="33" t="s">
        <v>411</v>
      </c>
      <c r="AS84" s="33">
        <v>0</v>
      </c>
      <c r="AT84" s="35">
        <v>0</v>
      </c>
      <c r="AU84" s="35">
        <v>0</v>
      </c>
      <c r="AV84" s="35">
        <v>150</v>
      </c>
      <c r="AW84" s="35">
        <v>123</v>
      </c>
      <c r="AX84" s="35">
        <v>116</v>
      </c>
      <c r="AY84" s="35">
        <v>234</v>
      </c>
      <c r="AZ84" s="32">
        <v>1.4776549735703991E-2</v>
      </c>
      <c r="BA84" s="32">
        <v>1.3935607880826531E-2</v>
      </c>
      <c r="BB84" s="32">
        <v>2.8111484863046609E-2</v>
      </c>
      <c r="BC84" s="32">
        <v>0.13457076566125289</v>
      </c>
      <c r="BD84" s="35">
        <v>0</v>
      </c>
      <c r="BE84" s="35">
        <v>2</v>
      </c>
      <c r="BF84" s="33">
        <v>0.88888888888888884</v>
      </c>
      <c r="BG84" s="33">
        <v>1</v>
      </c>
      <c r="BH84" s="33">
        <v>0.99122807017543857</v>
      </c>
    </row>
    <row r="85" spans="1:60" ht="19.5" customHeight="1">
      <c r="A85" s="36">
        <v>82</v>
      </c>
      <c r="B85" s="31" t="s">
        <v>410</v>
      </c>
      <c r="C85" s="37">
        <v>45856</v>
      </c>
      <c r="D85" s="31" t="s">
        <v>337</v>
      </c>
      <c r="E85" s="31">
        <v>165</v>
      </c>
      <c r="F85" s="31">
        <v>148</v>
      </c>
      <c r="G85" s="32">
        <v>0.89696969696969697</v>
      </c>
      <c r="H85" s="31">
        <v>58</v>
      </c>
      <c r="I85" s="33">
        <v>0.3515151515151515</v>
      </c>
      <c r="J85" s="31">
        <v>42</v>
      </c>
      <c r="K85" s="31">
        <v>37</v>
      </c>
      <c r="L85" s="32">
        <v>0.88100000000000001</v>
      </c>
      <c r="M85" s="31">
        <v>59</v>
      </c>
      <c r="N85" s="31">
        <v>0</v>
      </c>
      <c r="O85" s="31">
        <v>54</v>
      </c>
      <c r="P85" s="32">
        <v>0.9152542372881356</v>
      </c>
      <c r="Q85" s="31">
        <v>0</v>
      </c>
      <c r="R85" s="31">
        <v>0</v>
      </c>
      <c r="S85" s="31">
        <v>0</v>
      </c>
      <c r="T85" s="32">
        <v>0</v>
      </c>
      <c r="U85" s="31">
        <v>0</v>
      </c>
      <c r="V85" s="32">
        <v>0</v>
      </c>
      <c r="W85" s="31">
        <v>0</v>
      </c>
      <c r="X85" s="32">
        <v>0</v>
      </c>
      <c r="Y85" s="31">
        <v>0</v>
      </c>
      <c r="Z85" s="34">
        <v>0</v>
      </c>
      <c r="AA85" s="31">
        <v>0</v>
      </c>
      <c r="AB85" s="32">
        <v>0</v>
      </c>
      <c r="AC85" s="31">
        <v>37</v>
      </c>
      <c r="AD85" s="32">
        <v>0.22424242424242419</v>
      </c>
      <c r="AE85" s="31">
        <v>1</v>
      </c>
      <c r="AF85" s="32">
        <v>2.7027027027027029E-2</v>
      </c>
      <c r="AG85" s="31">
        <v>23</v>
      </c>
      <c r="AH85" s="32">
        <v>0.6216216216216216</v>
      </c>
      <c r="AI85" s="35">
        <v>1</v>
      </c>
      <c r="AJ85" s="32">
        <v>6.0606060606060606E-3</v>
      </c>
      <c r="AK85" s="35">
        <v>0</v>
      </c>
      <c r="AL85" s="32">
        <v>0</v>
      </c>
      <c r="AM85" s="35">
        <v>0</v>
      </c>
      <c r="AN85" s="35">
        <v>0</v>
      </c>
      <c r="AO85" s="32">
        <v>0</v>
      </c>
      <c r="AP85" s="32">
        <v>0</v>
      </c>
      <c r="AQ85" s="33"/>
      <c r="AR85" s="33" t="s">
        <v>411</v>
      </c>
      <c r="AS85" s="33" t="s">
        <v>411</v>
      </c>
      <c r="AT85" s="35">
        <v>0</v>
      </c>
      <c r="AU85" s="35">
        <v>0</v>
      </c>
      <c r="AV85" s="35">
        <v>0</v>
      </c>
      <c r="AW85" s="35">
        <v>0</v>
      </c>
      <c r="AX85" s="35">
        <v>0</v>
      </c>
      <c r="AY85" s="35">
        <v>0</v>
      </c>
      <c r="AZ85" s="32">
        <v>0</v>
      </c>
      <c r="BA85" s="32">
        <v>0</v>
      </c>
      <c r="BB85" s="32">
        <v>0</v>
      </c>
      <c r="BC85" s="32">
        <v>0</v>
      </c>
      <c r="BD85" s="35">
        <v>0</v>
      </c>
      <c r="BE85" s="35">
        <v>0</v>
      </c>
      <c r="BF85" s="33" t="s">
        <v>412</v>
      </c>
      <c r="BG85" s="33" t="s">
        <v>412</v>
      </c>
      <c r="BH85" s="33" t="s">
        <v>412</v>
      </c>
    </row>
    <row r="86" spans="1:60" ht="19.5" customHeight="1">
      <c r="A86" s="36">
        <v>83</v>
      </c>
      <c r="B86" s="31" t="s">
        <v>410</v>
      </c>
      <c r="C86" s="37">
        <v>45856</v>
      </c>
      <c r="D86" s="31" t="s">
        <v>336</v>
      </c>
      <c r="E86" s="31">
        <v>60</v>
      </c>
      <c r="F86" s="31">
        <v>58</v>
      </c>
      <c r="G86" s="32">
        <v>0.96666666666666667</v>
      </c>
      <c r="H86" s="31">
        <v>35</v>
      </c>
      <c r="I86" s="33">
        <v>0.58333333333333337</v>
      </c>
      <c r="J86" s="31">
        <v>34</v>
      </c>
      <c r="K86" s="31">
        <v>33</v>
      </c>
      <c r="L86" s="32">
        <v>0.97099999999999997</v>
      </c>
      <c r="M86" s="31">
        <v>48</v>
      </c>
      <c r="N86" s="31">
        <v>0</v>
      </c>
      <c r="O86" s="31">
        <v>47</v>
      </c>
      <c r="P86" s="32">
        <v>0.97916666666666663</v>
      </c>
      <c r="Q86" s="31">
        <v>0</v>
      </c>
      <c r="R86" s="31">
        <v>0</v>
      </c>
      <c r="S86" s="31">
        <v>0</v>
      </c>
      <c r="T86" s="32">
        <v>0</v>
      </c>
      <c r="U86" s="31">
        <v>0</v>
      </c>
      <c r="V86" s="32">
        <v>0</v>
      </c>
      <c r="W86" s="31">
        <v>0</v>
      </c>
      <c r="X86" s="32">
        <v>0</v>
      </c>
      <c r="Y86" s="31">
        <v>0</v>
      </c>
      <c r="Z86" s="34">
        <v>0</v>
      </c>
      <c r="AA86" s="31">
        <v>0</v>
      </c>
      <c r="AB86" s="32">
        <v>0</v>
      </c>
      <c r="AC86" s="31">
        <v>17</v>
      </c>
      <c r="AD86" s="32">
        <v>0.28333333333333333</v>
      </c>
      <c r="AE86" s="31">
        <v>0</v>
      </c>
      <c r="AF86" s="32">
        <v>0</v>
      </c>
      <c r="AG86" s="31">
        <v>13</v>
      </c>
      <c r="AH86" s="32">
        <v>0.76470588235294112</v>
      </c>
      <c r="AI86" s="35">
        <v>0</v>
      </c>
      <c r="AJ86" s="32">
        <v>0</v>
      </c>
      <c r="AK86" s="35">
        <v>0</v>
      </c>
      <c r="AL86" s="32">
        <v>0</v>
      </c>
      <c r="AM86" s="35">
        <v>0</v>
      </c>
      <c r="AN86" s="35">
        <v>0</v>
      </c>
      <c r="AO86" s="32">
        <v>0</v>
      </c>
      <c r="AP86" s="32">
        <v>0</v>
      </c>
      <c r="AQ86" s="33"/>
      <c r="AR86" s="33" t="s">
        <v>411</v>
      </c>
      <c r="AS86" s="33" t="s">
        <v>411</v>
      </c>
      <c r="AT86" s="35">
        <v>0</v>
      </c>
      <c r="AU86" s="35">
        <v>0</v>
      </c>
      <c r="AV86" s="35">
        <v>0</v>
      </c>
      <c r="AW86" s="35">
        <v>0</v>
      </c>
      <c r="AX86" s="35">
        <v>0</v>
      </c>
      <c r="AY86" s="35">
        <v>0</v>
      </c>
      <c r="AZ86" s="32">
        <v>0</v>
      </c>
      <c r="BA86" s="32">
        <v>0</v>
      </c>
      <c r="BB86" s="32">
        <v>0</v>
      </c>
      <c r="BC86" s="32">
        <v>0</v>
      </c>
      <c r="BD86" s="35">
        <v>0</v>
      </c>
      <c r="BE86" s="35">
        <v>0</v>
      </c>
      <c r="BF86" s="33" t="s">
        <v>412</v>
      </c>
      <c r="BG86" s="33" t="s">
        <v>412</v>
      </c>
      <c r="BH86" s="33" t="s">
        <v>412</v>
      </c>
    </row>
    <row r="87" spans="1:60" ht="19.5" customHeight="1">
      <c r="A87" s="36">
        <v>84</v>
      </c>
      <c r="B87" s="31" t="s">
        <v>410</v>
      </c>
      <c r="C87" s="37">
        <v>45857</v>
      </c>
      <c r="D87" s="31"/>
      <c r="E87" s="31">
        <v>0</v>
      </c>
      <c r="F87" s="31">
        <v>0</v>
      </c>
      <c r="G87" s="32">
        <v>0</v>
      </c>
      <c r="H87" s="31">
        <v>0</v>
      </c>
      <c r="I87" s="33">
        <v>0</v>
      </c>
      <c r="J87" s="31">
        <v>0</v>
      </c>
      <c r="K87" s="31">
        <v>0</v>
      </c>
      <c r="L87" s="32">
        <v>0</v>
      </c>
      <c r="M87" s="31">
        <v>1</v>
      </c>
      <c r="N87" s="31">
        <v>0</v>
      </c>
      <c r="O87" s="31">
        <v>1</v>
      </c>
      <c r="P87" s="32">
        <v>1</v>
      </c>
      <c r="Q87" s="31">
        <v>0</v>
      </c>
      <c r="R87" s="31">
        <v>0</v>
      </c>
      <c r="S87" s="31">
        <v>0</v>
      </c>
      <c r="T87" s="32">
        <v>0</v>
      </c>
      <c r="U87" s="31">
        <v>0</v>
      </c>
      <c r="V87" s="32">
        <v>0</v>
      </c>
      <c r="W87" s="31">
        <v>0</v>
      </c>
      <c r="X87" s="32">
        <v>0</v>
      </c>
      <c r="Y87" s="31">
        <v>0</v>
      </c>
      <c r="Z87" s="34">
        <v>0</v>
      </c>
      <c r="AA87" s="31">
        <v>0</v>
      </c>
      <c r="AB87" s="32">
        <v>0</v>
      </c>
      <c r="AC87" s="31">
        <v>0</v>
      </c>
      <c r="AD87" s="32">
        <v>0</v>
      </c>
      <c r="AE87" s="31">
        <v>0</v>
      </c>
      <c r="AF87" s="32">
        <v>0</v>
      </c>
      <c r="AG87" s="31">
        <v>0</v>
      </c>
      <c r="AH87" s="32">
        <v>0</v>
      </c>
      <c r="AI87" s="35">
        <v>0</v>
      </c>
      <c r="AJ87" s="32">
        <v>0</v>
      </c>
      <c r="AK87" s="35">
        <v>0</v>
      </c>
      <c r="AL87" s="32">
        <v>0</v>
      </c>
      <c r="AM87" s="35">
        <v>0</v>
      </c>
      <c r="AN87" s="35">
        <v>0</v>
      </c>
      <c r="AO87" s="32">
        <v>0</v>
      </c>
      <c r="AP87" s="32">
        <v>0</v>
      </c>
      <c r="AQ87" s="33"/>
      <c r="AR87" s="33" t="s">
        <v>411</v>
      </c>
      <c r="AS87" s="33" t="s">
        <v>411</v>
      </c>
      <c r="AT87" s="35">
        <v>0</v>
      </c>
      <c r="AU87" s="35">
        <v>0</v>
      </c>
      <c r="AV87" s="35">
        <v>0</v>
      </c>
      <c r="AW87" s="35">
        <v>0</v>
      </c>
      <c r="AX87" s="35">
        <v>0</v>
      </c>
      <c r="AY87" s="35">
        <v>0</v>
      </c>
      <c r="AZ87" s="32">
        <v>0</v>
      </c>
      <c r="BA87" s="32">
        <v>0</v>
      </c>
      <c r="BB87" s="32">
        <v>0</v>
      </c>
      <c r="BC87" s="32">
        <v>0</v>
      </c>
      <c r="BD87" s="35">
        <v>0</v>
      </c>
      <c r="BE87" s="35">
        <v>0</v>
      </c>
      <c r="BF87" s="33" t="s">
        <v>412</v>
      </c>
      <c r="BG87" s="33" t="s">
        <v>412</v>
      </c>
      <c r="BH87" s="33" t="s">
        <v>412</v>
      </c>
    </row>
    <row r="88" spans="1:60" ht="19.5" customHeight="1">
      <c r="A88" s="36">
        <v>85</v>
      </c>
      <c r="B88" s="31" t="s">
        <v>410</v>
      </c>
      <c r="C88" s="37">
        <v>45857</v>
      </c>
      <c r="D88" s="31" t="s">
        <v>335</v>
      </c>
      <c r="E88" s="31">
        <v>84</v>
      </c>
      <c r="F88" s="31">
        <v>80</v>
      </c>
      <c r="G88" s="32">
        <v>0.95238095238095233</v>
      </c>
      <c r="H88" s="31">
        <v>39</v>
      </c>
      <c r="I88" s="33">
        <v>0.4642857142857143</v>
      </c>
      <c r="J88" s="31">
        <v>44</v>
      </c>
      <c r="K88" s="31">
        <v>41</v>
      </c>
      <c r="L88" s="32">
        <v>0.93200000000000005</v>
      </c>
      <c r="M88" s="31">
        <v>70</v>
      </c>
      <c r="N88" s="31">
        <v>0</v>
      </c>
      <c r="O88" s="31">
        <v>66</v>
      </c>
      <c r="P88" s="32">
        <v>0.94285714285714284</v>
      </c>
      <c r="Q88" s="31">
        <v>0</v>
      </c>
      <c r="R88" s="31">
        <v>0</v>
      </c>
      <c r="S88" s="31">
        <v>0</v>
      </c>
      <c r="T88" s="32">
        <v>0</v>
      </c>
      <c r="U88" s="31">
        <v>0</v>
      </c>
      <c r="V88" s="32">
        <v>0</v>
      </c>
      <c r="W88" s="31">
        <v>0</v>
      </c>
      <c r="X88" s="32">
        <v>0</v>
      </c>
      <c r="Y88" s="31">
        <v>0</v>
      </c>
      <c r="Z88" s="34">
        <v>0</v>
      </c>
      <c r="AA88" s="31">
        <v>0</v>
      </c>
      <c r="AB88" s="32">
        <v>0</v>
      </c>
      <c r="AC88" s="31">
        <v>24</v>
      </c>
      <c r="AD88" s="32">
        <v>0.2857142857142857</v>
      </c>
      <c r="AE88" s="31">
        <v>0</v>
      </c>
      <c r="AF88" s="32">
        <v>0</v>
      </c>
      <c r="AG88" s="31">
        <v>20</v>
      </c>
      <c r="AH88" s="32">
        <v>0.83333333333333337</v>
      </c>
      <c r="AI88" s="35">
        <v>0</v>
      </c>
      <c r="AJ88" s="32">
        <v>0</v>
      </c>
      <c r="AK88" s="35">
        <v>0</v>
      </c>
      <c r="AL88" s="32">
        <v>0</v>
      </c>
      <c r="AM88" s="35">
        <v>0</v>
      </c>
      <c r="AN88" s="35">
        <v>0</v>
      </c>
      <c r="AO88" s="32">
        <v>0</v>
      </c>
      <c r="AP88" s="32">
        <v>0</v>
      </c>
      <c r="AQ88" s="33"/>
      <c r="AR88" s="33" t="s">
        <v>411</v>
      </c>
      <c r="AS88" s="33" t="s">
        <v>411</v>
      </c>
      <c r="AT88" s="35">
        <v>0</v>
      </c>
      <c r="AU88" s="35">
        <v>0</v>
      </c>
      <c r="AV88" s="35">
        <v>0</v>
      </c>
      <c r="AW88" s="35">
        <v>0</v>
      </c>
      <c r="AX88" s="35">
        <v>0</v>
      </c>
      <c r="AY88" s="35">
        <v>0</v>
      </c>
      <c r="AZ88" s="32">
        <v>0</v>
      </c>
      <c r="BA88" s="32">
        <v>0</v>
      </c>
      <c r="BB88" s="32">
        <v>0</v>
      </c>
      <c r="BC88" s="32">
        <v>0</v>
      </c>
      <c r="BD88" s="35">
        <v>0</v>
      </c>
      <c r="BE88" s="35">
        <v>0</v>
      </c>
      <c r="BF88" s="33" t="s">
        <v>412</v>
      </c>
      <c r="BG88" s="33" t="s">
        <v>412</v>
      </c>
      <c r="BH88" s="33" t="s">
        <v>412</v>
      </c>
    </row>
    <row r="89" spans="1:60" ht="19.5" customHeight="1">
      <c r="A89" s="36">
        <v>86</v>
      </c>
      <c r="B89" s="31" t="s">
        <v>410</v>
      </c>
      <c r="C89" s="37">
        <v>45857</v>
      </c>
      <c r="D89" s="31" t="s">
        <v>334</v>
      </c>
      <c r="E89" s="31">
        <v>8905</v>
      </c>
      <c r="F89" s="31">
        <v>6693</v>
      </c>
      <c r="G89" s="32">
        <v>0.7516002245929253</v>
      </c>
      <c r="H89" s="31">
        <v>3488</v>
      </c>
      <c r="I89" s="33">
        <v>0.39169006176305449</v>
      </c>
      <c r="J89" s="31">
        <v>6581</v>
      </c>
      <c r="K89" s="31">
        <v>6245</v>
      </c>
      <c r="L89" s="32">
        <v>0.94899999999999995</v>
      </c>
      <c r="M89" s="31">
        <v>7583</v>
      </c>
      <c r="N89" s="31">
        <v>0</v>
      </c>
      <c r="O89" s="31">
        <v>7106</v>
      </c>
      <c r="P89" s="32">
        <v>0.93709613609389419</v>
      </c>
      <c r="Q89" s="31">
        <v>26</v>
      </c>
      <c r="R89" s="31">
        <v>0</v>
      </c>
      <c r="S89" s="31">
        <v>0</v>
      </c>
      <c r="T89" s="32">
        <v>0</v>
      </c>
      <c r="U89" s="31">
        <v>0</v>
      </c>
      <c r="V89" s="32">
        <v>0</v>
      </c>
      <c r="W89" s="31">
        <v>1093</v>
      </c>
      <c r="X89" s="32">
        <v>0.12274003368893879</v>
      </c>
      <c r="Y89" s="31">
        <v>700</v>
      </c>
      <c r="Z89" s="34">
        <v>7.860752386299831E-2</v>
      </c>
      <c r="AA89" s="31">
        <v>45</v>
      </c>
      <c r="AB89" s="32">
        <v>5.0533408197641766E-3</v>
      </c>
      <c r="AC89" s="31">
        <v>1760</v>
      </c>
      <c r="AD89" s="32">
        <v>0.19764177428411009</v>
      </c>
      <c r="AE89" s="31">
        <v>69</v>
      </c>
      <c r="AF89" s="32">
        <v>3.9204545454545457E-2</v>
      </c>
      <c r="AG89" s="31">
        <v>844</v>
      </c>
      <c r="AH89" s="32">
        <v>0.47954545454545461</v>
      </c>
      <c r="AI89" s="35">
        <v>1721</v>
      </c>
      <c r="AJ89" s="32">
        <v>0.1932622122403144</v>
      </c>
      <c r="AK89" s="35">
        <v>42</v>
      </c>
      <c r="AL89" s="32">
        <v>0.80476467170249855</v>
      </c>
      <c r="AM89" s="35">
        <v>1655</v>
      </c>
      <c r="AN89" s="35">
        <v>1385</v>
      </c>
      <c r="AO89" s="32">
        <v>0.15553060078607531</v>
      </c>
      <c r="AP89" s="32">
        <v>0.78693181818181823</v>
      </c>
      <c r="AQ89" s="33">
        <v>0</v>
      </c>
      <c r="AR89" s="33" t="s">
        <v>411</v>
      </c>
      <c r="AS89" s="33">
        <v>0</v>
      </c>
      <c r="AT89" s="35">
        <v>0</v>
      </c>
      <c r="AU89" s="35">
        <v>0</v>
      </c>
      <c r="AV89" s="35">
        <v>248</v>
      </c>
      <c r="AW89" s="35">
        <v>216</v>
      </c>
      <c r="AX89" s="35">
        <v>189</v>
      </c>
      <c r="AY89" s="35">
        <v>169</v>
      </c>
      <c r="AZ89" s="32">
        <v>2.425603593486805E-2</v>
      </c>
      <c r="BA89" s="32">
        <v>2.122403144300955E-2</v>
      </c>
      <c r="BB89" s="32">
        <v>1.8978102189781021E-2</v>
      </c>
      <c r="BC89" s="32">
        <v>0.13646209386281591</v>
      </c>
      <c r="BD89" s="35">
        <v>0</v>
      </c>
      <c r="BE89" s="35">
        <v>3</v>
      </c>
      <c r="BF89" s="33">
        <v>0.91860465116279066</v>
      </c>
      <c r="BG89" s="33">
        <v>1</v>
      </c>
      <c r="BH89" s="33">
        <v>0.98130841121495327</v>
      </c>
    </row>
    <row r="90" spans="1:60" ht="19.5" customHeight="1">
      <c r="A90" s="36">
        <v>87</v>
      </c>
      <c r="B90" s="31" t="s">
        <v>410</v>
      </c>
      <c r="C90" s="37">
        <v>45857</v>
      </c>
      <c r="D90" s="31" t="s">
        <v>337</v>
      </c>
      <c r="E90" s="31">
        <v>147</v>
      </c>
      <c r="F90" s="31">
        <v>129</v>
      </c>
      <c r="G90" s="32">
        <v>0.87755102040816324</v>
      </c>
      <c r="H90" s="31">
        <v>65</v>
      </c>
      <c r="I90" s="33">
        <v>0.44217687074829931</v>
      </c>
      <c r="J90" s="31">
        <v>36</v>
      </c>
      <c r="K90" s="31">
        <v>36</v>
      </c>
      <c r="L90" s="32">
        <v>1</v>
      </c>
      <c r="M90" s="31">
        <v>54</v>
      </c>
      <c r="N90" s="31">
        <v>0</v>
      </c>
      <c r="O90" s="31">
        <v>54</v>
      </c>
      <c r="P90" s="32">
        <v>1</v>
      </c>
      <c r="Q90" s="31">
        <v>0</v>
      </c>
      <c r="R90" s="31">
        <v>0</v>
      </c>
      <c r="S90" s="31">
        <v>0</v>
      </c>
      <c r="T90" s="32">
        <v>0</v>
      </c>
      <c r="U90" s="31">
        <v>0</v>
      </c>
      <c r="V90" s="32">
        <v>0</v>
      </c>
      <c r="W90" s="31">
        <v>0</v>
      </c>
      <c r="X90" s="32">
        <v>0</v>
      </c>
      <c r="Y90" s="31">
        <v>0</v>
      </c>
      <c r="Z90" s="34">
        <v>0</v>
      </c>
      <c r="AA90" s="31">
        <v>0</v>
      </c>
      <c r="AB90" s="32">
        <v>0</v>
      </c>
      <c r="AC90" s="31">
        <v>54</v>
      </c>
      <c r="AD90" s="32">
        <v>0.36734693877551022</v>
      </c>
      <c r="AE90" s="31">
        <v>2</v>
      </c>
      <c r="AF90" s="32">
        <v>3.7037037037037028E-2</v>
      </c>
      <c r="AG90" s="31">
        <v>39</v>
      </c>
      <c r="AH90" s="32">
        <v>0.72222222222222221</v>
      </c>
      <c r="AI90" s="35">
        <v>0</v>
      </c>
      <c r="AJ90" s="32">
        <v>0</v>
      </c>
      <c r="AK90" s="35">
        <v>0</v>
      </c>
      <c r="AL90" s="32">
        <v>0</v>
      </c>
      <c r="AM90" s="35">
        <v>0</v>
      </c>
      <c r="AN90" s="35">
        <v>0</v>
      </c>
      <c r="AO90" s="32">
        <v>0</v>
      </c>
      <c r="AP90" s="32">
        <v>0</v>
      </c>
      <c r="AQ90" s="33"/>
      <c r="AR90" s="33" t="s">
        <v>411</v>
      </c>
      <c r="AS90" s="33" t="s">
        <v>411</v>
      </c>
      <c r="AT90" s="35">
        <v>0</v>
      </c>
      <c r="AU90" s="35">
        <v>0</v>
      </c>
      <c r="AV90" s="35">
        <v>0</v>
      </c>
      <c r="AW90" s="35">
        <v>0</v>
      </c>
      <c r="AX90" s="35">
        <v>0</v>
      </c>
      <c r="AY90" s="35">
        <v>0</v>
      </c>
      <c r="AZ90" s="32">
        <v>0</v>
      </c>
      <c r="BA90" s="32">
        <v>0</v>
      </c>
      <c r="BB90" s="32">
        <v>0</v>
      </c>
      <c r="BC90" s="32">
        <v>0</v>
      </c>
      <c r="BD90" s="35">
        <v>0</v>
      </c>
      <c r="BE90" s="35">
        <v>0</v>
      </c>
      <c r="BF90" s="33" t="s">
        <v>412</v>
      </c>
      <c r="BG90" s="33" t="s">
        <v>412</v>
      </c>
      <c r="BH90" s="33" t="s">
        <v>412</v>
      </c>
    </row>
    <row r="91" spans="1:60" ht="19.5" customHeight="1">
      <c r="A91" s="36">
        <v>88</v>
      </c>
      <c r="B91" s="31" t="s">
        <v>410</v>
      </c>
      <c r="C91" s="37">
        <v>45857</v>
      </c>
      <c r="D91" s="31" t="s">
        <v>336</v>
      </c>
      <c r="E91" s="31">
        <v>67</v>
      </c>
      <c r="F91" s="31">
        <v>64</v>
      </c>
      <c r="G91" s="32">
        <v>0.95522388059701491</v>
      </c>
      <c r="H91" s="31">
        <v>44</v>
      </c>
      <c r="I91" s="33">
        <v>0.65671641791044777</v>
      </c>
      <c r="J91" s="31">
        <v>35</v>
      </c>
      <c r="K91" s="31">
        <v>34</v>
      </c>
      <c r="L91" s="32">
        <v>0.97099999999999997</v>
      </c>
      <c r="M91" s="31">
        <v>72</v>
      </c>
      <c r="N91" s="31">
        <v>0</v>
      </c>
      <c r="O91" s="31">
        <v>71</v>
      </c>
      <c r="P91" s="32">
        <v>0.98611111111111116</v>
      </c>
      <c r="Q91" s="31">
        <v>0</v>
      </c>
      <c r="R91" s="31">
        <v>0</v>
      </c>
      <c r="S91" s="31">
        <v>0</v>
      </c>
      <c r="T91" s="32">
        <v>0</v>
      </c>
      <c r="U91" s="31">
        <v>0</v>
      </c>
      <c r="V91" s="32">
        <v>0</v>
      </c>
      <c r="W91" s="31">
        <v>0</v>
      </c>
      <c r="X91" s="32">
        <v>0</v>
      </c>
      <c r="Y91" s="31">
        <v>0</v>
      </c>
      <c r="Z91" s="34">
        <v>0</v>
      </c>
      <c r="AA91" s="31">
        <v>0</v>
      </c>
      <c r="AB91" s="32">
        <v>0</v>
      </c>
      <c r="AC91" s="31">
        <v>29</v>
      </c>
      <c r="AD91" s="32">
        <v>0.43283582089552242</v>
      </c>
      <c r="AE91" s="31">
        <v>1</v>
      </c>
      <c r="AF91" s="32">
        <v>3.4482758620689648E-2</v>
      </c>
      <c r="AG91" s="31">
        <v>21</v>
      </c>
      <c r="AH91" s="32">
        <v>0.72413793103448276</v>
      </c>
      <c r="AI91" s="35">
        <v>0</v>
      </c>
      <c r="AJ91" s="32">
        <v>0</v>
      </c>
      <c r="AK91" s="35">
        <v>0</v>
      </c>
      <c r="AL91" s="32">
        <v>0</v>
      </c>
      <c r="AM91" s="35">
        <v>0</v>
      </c>
      <c r="AN91" s="35">
        <v>0</v>
      </c>
      <c r="AO91" s="32">
        <v>0</v>
      </c>
      <c r="AP91" s="32">
        <v>0</v>
      </c>
      <c r="AQ91" s="33"/>
      <c r="AR91" s="33" t="s">
        <v>411</v>
      </c>
      <c r="AS91" s="33" t="s">
        <v>411</v>
      </c>
      <c r="AT91" s="35">
        <v>0</v>
      </c>
      <c r="AU91" s="35">
        <v>0</v>
      </c>
      <c r="AV91" s="35">
        <v>0</v>
      </c>
      <c r="AW91" s="35">
        <v>0</v>
      </c>
      <c r="AX91" s="35">
        <v>0</v>
      </c>
      <c r="AY91" s="35">
        <v>0</v>
      </c>
      <c r="AZ91" s="32">
        <v>0</v>
      </c>
      <c r="BA91" s="32">
        <v>0</v>
      </c>
      <c r="BB91" s="32">
        <v>0</v>
      </c>
      <c r="BC91" s="32">
        <v>0</v>
      </c>
      <c r="BD91" s="35">
        <v>0</v>
      </c>
      <c r="BE91" s="35">
        <v>0</v>
      </c>
      <c r="BF91" s="33" t="s">
        <v>412</v>
      </c>
      <c r="BG91" s="33" t="s">
        <v>412</v>
      </c>
      <c r="BH91" s="33" t="s">
        <v>412</v>
      </c>
    </row>
    <row r="92" spans="1:60" ht="19.5" customHeight="1">
      <c r="A92" s="36">
        <v>89</v>
      </c>
      <c r="B92" s="31" t="s">
        <v>410</v>
      </c>
      <c r="C92" s="37">
        <v>45858</v>
      </c>
      <c r="D92" s="31"/>
      <c r="E92" s="31">
        <v>0</v>
      </c>
      <c r="F92" s="31">
        <v>0</v>
      </c>
      <c r="G92" s="32">
        <v>0</v>
      </c>
      <c r="H92" s="31">
        <v>0</v>
      </c>
      <c r="I92" s="33">
        <v>0</v>
      </c>
      <c r="J92" s="31">
        <v>0</v>
      </c>
      <c r="K92" s="31">
        <v>0</v>
      </c>
      <c r="L92" s="32">
        <v>0</v>
      </c>
      <c r="M92" s="31">
        <v>0</v>
      </c>
      <c r="N92" s="31">
        <v>0</v>
      </c>
      <c r="O92" s="31">
        <v>0</v>
      </c>
      <c r="P92" s="32">
        <v>0</v>
      </c>
      <c r="Q92" s="31">
        <v>0</v>
      </c>
      <c r="R92" s="31">
        <v>0</v>
      </c>
      <c r="S92" s="31">
        <v>0</v>
      </c>
      <c r="T92" s="32">
        <v>0</v>
      </c>
      <c r="U92" s="31">
        <v>0</v>
      </c>
      <c r="V92" s="32">
        <v>0</v>
      </c>
      <c r="W92" s="31">
        <v>0</v>
      </c>
      <c r="X92" s="32">
        <v>0</v>
      </c>
      <c r="Y92" s="31">
        <v>0</v>
      </c>
      <c r="Z92" s="34">
        <v>0</v>
      </c>
      <c r="AA92" s="31">
        <v>0</v>
      </c>
      <c r="AB92" s="32">
        <v>0</v>
      </c>
      <c r="AC92" s="31">
        <v>0</v>
      </c>
      <c r="AD92" s="32">
        <v>0</v>
      </c>
      <c r="AE92" s="31">
        <v>0</v>
      </c>
      <c r="AF92" s="32">
        <v>0</v>
      </c>
      <c r="AG92" s="31">
        <v>0</v>
      </c>
      <c r="AH92" s="32">
        <v>0</v>
      </c>
      <c r="AI92" s="35">
        <v>0</v>
      </c>
      <c r="AJ92" s="32">
        <v>0</v>
      </c>
      <c r="AK92" s="35">
        <v>0</v>
      </c>
      <c r="AL92" s="32">
        <v>0</v>
      </c>
      <c r="AM92" s="35">
        <v>0</v>
      </c>
      <c r="AN92" s="35">
        <v>0</v>
      </c>
      <c r="AO92" s="32">
        <v>0</v>
      </c>
      <c r="AP92" s="32">
        <v>0</v>
      </c>
      <c r="AQ92" s="33"/>
      <c r="AR92" s="33" t="s">
        <v>411</v>
      </c>
      <c r="AS92" s="33" t="s">
        <v>411</v>
      </c>
      <c r="AT92" s="35">
        <v>0</v>
      </c>
      <c r="AU92" s="35">
        <v>0</v>
      </c>
      <c r="AV92" s="35">
        <v>0</v>
      </c>
      <c r="AW92" s="35">
        <v>0</v>
      </c>
      <c r="AX92" s="35">
        <v>0</v>
      </c>
      <c r="AY92" s="35">
        <v>0</v>
      </c>
      <c r="AZ92" s="32">
        <v>0</v>
      </c>
      <c r="BA92" s="32">
        <v>0</v>
      </c>
      <c r="BB92" s="32">
        <v>0</v>
      </c>
      <c r="BC92" s="32">
        <v>0</v>
      </c>
      <c r="BD92" s="35">
        <v>0</v>
      </c>
      <c r="BE92" s="35">
        <v>0</v>
      </c>
      <c r="BF92" s="33" t="s">
        <v>412</v>
      </c>
      <c r="BG92" s="33" t="s">
        <v>412</v>
      </c>
      <c r="BH92" s="33" t="s">
        <v>412</v>
      </c>
    </row>
    <row r="93" spans="1:60" ht="19.5" customHeight="1">
      <c r="A93" s="36">
        <v>90</v>
      </c>
      <c r="B93" s="31" t="s">
        <v>410</v>
      </c>
      <c r="C93" s="37">
        <v>45858</v>
      </c>
      <c r="D93" s="31" t="s">
        <v>413</v>
      </c>
      <c r="E93" s="31">
        <v>0</v>
      </c>
      <c r="F93" s="31">
        <v>0</v>
      </c>
      <c r="G93" s="32">
        <v>0</v>
      </c>
      <c r="H93" s="31">
        <v>0</v>
      </c>
      <c r="I93" s="33">
        <v>0</v>
      </c>
      <c r="J93" s="31">
        <v>1</v>
      </c>
      <c r="K93" s="31">
        <v>1</v>
      </c>
      <c r="L93" s="32">
        <v>1</v>
      </c>
      <c r="M93" s="31">
        <v>1</v>
      </c>
      <c r="N93" s="31">
        <v>0</v>
      </c>
      <c r="O93" s="31">
        <v>1</v>
      </c>
      <c r="P93" s="32">
        <v>1</v>
      </c>
      <c r="Q93" s="31">
        <v>0</v>
      </c>
      <c r="R93" s="31">
        <v>0</v>
      </c>
      <c r="S93" s="31">
        <v>0</v>
      </c>
      <c r="T93" s="32">
        <v>0</v>
      </c>
      <c r="U93" s="31">
        <v>0</v>
      </c>
      <c r="V93" s="32">
        <v>0</v>
      </c>
      <c r="W93" s="31">
        <v>0</v>
      </c>
      <c r="X93" s="32">
        <v>0</v>
      </c>
      <c r="Y93" s="31">
        <v>0</v>
      </c>
      <c r="Z93" s="34">
        <v>0</v>
      </c>
      <c r="AA93" s="31">
        <v>0</v>
      </c>
      <c r="AB93" s="32">
        <v>0</v>
      </c>
      <c r="AC93" s="31">
        <v>0</v>
      </c>
      <c r="AD93" s="32">
        <v>0</v>
      </c>
      <c r="AE93" s="31">
        <v>0</v>
      </c>
      <c r="AF93" s="32">
        <v>0</v>
      </c>
      <c r="AG93" s="31">
        <v>0</v>
      </c>
      <c r="AH93" s="32">
        <v>0</v>
      </c>
      <c r="AI93" s="35">
        <v>0</v>
      </c>
      <c r="AJ93" s="32">
        <v>0</v>
      </c>
      <c r="AK93" s="35">
        <v>0</v>
      </c>
      <c r="AL93" s="32">
        <v>0</v>
      </c>
      <c r="AM93" s="35">
        <v>0</v>
      </c>
      <c r="AN93" s="35">
        <v>0</v>
      </c>
      <c r="AO93" s="32">
        <v>0</v>
      </c>
      <c r="AP93" s="32">
        <v>0</v>
      </c>
      <c r="AQ93" s="33"/>
      <c r="AR93" s="33" t="s">
        <v>411</v>
      </c>
      <c r="AS93" s="33" t="s">
        <v>411</v>
      </c>
      <c r="AT93" s="35">
        <v>0</v>
      </c>
      <c r="AU93" s="35">
        <v>0</v>
      </c>
      <c r="AV93" s="35">
        <v>0</v>
      </c>
      <c r="AW93" s="35">
        <v>0</v>
      </c>
      <c r="AX93" s="35">
        <v>0</v>
      </c>
      <c r="AY93" s="35">
        <v>0</v>
      </c>
      <c r="AZ93" s="32">
        <v>0</v>
      </c>
      <c r="BA93" s="32">
        <v>0</v>
      </c>
      <c r="BB93" s="32">
        <v>0</v>
      </c>
      <c r="BC93" s="32">
        <v>0</v>
      </c>
      <c r="BD93" s="35">
        <v>0</v>
      </c>
      <c r="BE93" s="35">
        <v>0</v>
      </c>
      <c r="BF93" s="33" t="s">
        <v>412</v>
      </c>
      <c r="BG93" s="33" t="s">
        <v>412</v>
      </c>
      <c r="BH93" s="33" t="s">
        <v>412</v>
      </c>
    </row>
    <row r="94" spans="1:60" ht="19.5" customHeight="1">
      <c r="A94" s="36">
        <v>91</v>
      </c>
      <c r="B94" s="31" t="s">
        <v>410</v>
      </c>
      <c r="C94" s="37">
        <v>45858</v>
      </c>
      <c r="D94" s="31" t="s">
        <v>335</v>
      </c>
      <c r="E94" s="31">
        <v>71</v>
      </c>
      <c r="F94" s="31">
        <v>68</v>
      </c>
      <c r="G94" s="32">
        <v>0.95774647887323938</v>
      </c>
      <c r="H94" s="31">
        <v>44</v>
      </c>
      <c r="I94" s="33">
        <v>0.61971830985915488</v>
      </c>
      <c r="J94" s="31">
        <v>38</v>
      </c>
      <c r="K94" s="31">
        <v>38</v>
      </c>
      <c r="L94" s="32">
        <v>1</v>
      </c>
      <c r="M94" s="31">
        <v>68</v>
      </c>
      <c r="N94" s="31">
        <v>0</v>
      </c>
      <c r="O94" s="31">
        <v>67</v>
      </c>
      <c r="P94" s="32">
        <v>0.98529411764705888</v>
      </c>
      <c r="Q94" s="31">
        <v>0</v>
      </c>
      <c r="R94" s="31">
        <v>0</v>
      </c>
      <c r="S94" s="31">
        <v>0</v>
      </c>
      <c r="T94" s="32">
        <v>0</v>
      </c>
      <c r="U94" s="31">
        <v>0</v>
      </c>
      <c r="V94" s="32">
        <v>0</v>
      </c>
      <c r="W94" s="31">
        <v>0</v>
      </c>
      <c r="X94" s="32">
        <v>0</v>
      </c>
      <c r="Y94" s="31">
        <v>0</v>
      </c>
      <c r="Z94" s="34">
        <v>0</v>
      </c>
      <c r="AA94" s="31">
        <v>0</v>
      </c>
      <c r="AB94" s="32">
        <v>0</v>
      </c>
      <c r="AC94" s="31">
        <v>27</v>
      </c>
      <c r="AD94" s="32">
        <v>0.38028169014084512</v>
      </c>
      <c r="AE94" s="31">
        <v>0</v>
      </c>
      <c r="AF94" s="32">
        <v>0</v>
      </c>
      <c r="AG94" s="31">
        <v>22</v>
      </c>
      <c r="AH94" s="32">
        <v>0.81481481481481477</v>
      </c>
      <c r="AI94" s="35">
        <v>0</v>
      </c>
      <c r="AJ94" s="32">
        <v>0</v>
      </c>
      <c r="AK94" s="35">
        <v>0</v>
      </c>
      <c r="AL94" s="32">
        <v>0</v>
      </c>
      <c r="AM94" s="35">
        <v>0</v>
      </c>
      <c r="AN94" s="35">
        <v>0</v>
      </c>
      <c r="AO94" s="32">
        <v>0</v>
      </c>
      <c r="AP94" s="32">
        <v>0</v>
      </c>
      <c r="AQ94" s="33">
        <v>0</v>
      </c>
      <c r="AR94" s="33" t="s">
        <v>411</v>
      </c>
      <c r="AS94" s="33">
        <v>0</v>
      </c>
      <c r="AT94" s="35">
        <v>0</v>
      </c>
      <c r="AU94" s="35">
        <v>0</v>
      </c>
      <c r="AV94" s="35">
        <v>0</v>
      </c>
      <c r="AW94" s="35">
        <v>0</v>
      </c>
      <c r="AX94" s="35">
        <v>0</v>
      </c>
      <c r="AY94" s="35">
        <v>0</v>
      </c>
      <c r="AZ94" s="32">
        <v>0</v>
      </c>
      <c r="BA94" s="32">
        <v>0</v>
      </c>
      <c r="BB94" s="32">
        <v>0</v>
      </c>
      <c r="BC94" s="32">
        <v>0</v>
      </c>
      <c r="BD94" s="35">
        <v>0</v>
      </c>
      <c r="BE94" s="35">
        <v>0</v>
      </c>
      <c r="BF94" s="33" t="s">
        <v>412</v>
      </c>
      <c r="BG94" s="33" t="s">
        <v>412</v>
      </c>
      <c r="BH94" s="33" t="s">
        <v>412</v>
      </c>
    </row>
    <row r="95" spans="1:60" ht="19.5" customHeight="1">
      <c r="A95" s="36">
        <v>92</v>
      </c>
      <c r="B95" s="31" t="s">
        <v>410</v>
      </c>
      <c r="C95" s="37">
        <v>45858</v>
      </c>
      <c r="D95" s="31" t="s">
        <v>334</v>
      </c>
      <c r="E95" s="31">
        <v>8818</v>
      </c>
      <c r="F95" s="31">
        <v>6617</v>
      </c>
      <c r="G95" s="32">
        <v>0.7503969154003175</v>
      </c>
      <c r="H95" s="31">
        <v>3549</v>
      </c>
      <c r="I95" s="33">
        <v>0.40247221592197779</v>
      </c>
      <c r="J95" s="31">
        <v>7362</v>
      </c>
      <c r="K95" s="31">
        <v>7043</v>
      </c>
      <c r="L95" s="32">
        <v>0.95699999999999996</v>
      </c>
      <c r="M95" s="31">
        <v>8948</v>
      </c>
      <c r="N95" s="31">
        <v>0</v>
      </c>
      <c r="O95" s="31">
        <v>8463</v>
      </c>
      <c r="P95" s="32">
        <v>0.94579794367456416</v>
      </c>
      <c r="Q95" s="31">
        <v>50</v>
      </c>
      <c r="R95" s="31">
        <v>0</v>
      </c>
      <c r="S95" s="31">
        <v>0</v>
      </c>
      <c r="T95" s="32">
        <v>0</v>
      </c>
      <c r="U95" s="31">
        <v>0</v>
      </c>
      <c r="V95" s="32">
        <v>0</v>
      </c>
      <c r="W95" s="31">
        <v>734</v>
      </c>
      <c r="X95" s="32">
        <v>8.323882966659106E-2</v>
      </c>
      <c r="Y95" s="31">
        <v>883</v>
      </c>
      <c r="Z95" s="34">
        <v>0.10013608528010889</v>
      </c>
      <c r="AA95" s="31">
        <v>46</v>
      </c>
      <c r="AB95" s="32">
        <v>5.2166024041732824E-3</v>
      </c>
      <c r="AC95" s="31">
        <v>1652</v>
      </c>
      <c r="AD95" s="32">
        <v>0.18734406894987529</v>
      </c>
      <c r="AE95" s="31">
        <v>70</v>
      </c>
      <c r="AF95" s="32">
        <v>4.2372881355932202E-2</v>
      </c>
      <c r="AG95" s="31">
        <v>785</v>
      </c>
      <c r="AH95" s="32">
        <v>0.47518159806295401</v>
      </c>
      <c r="AI95" s="35">
        <v>1592</v>
      </c>
      <c r="AJ95" s="32">
        <v>0.18053980494443181</v>
      </c>
      <c r="AK95" s="35">
        <v>33</v>
      </c>
      <c r="AL95" s="32">
        <v>0.81721105527638194</v>
      </c>
      <c r="AM95" s="35">
        <v>1528</v>
      </c>
      <c r="AN95" s="35">
        <v>1301</v>
      </c>
      <c r="AO95" s="32">
        <v>0.14753912451803131</v>
      </c>
      <c r="AP95" s="32">
        <v>0.78753026634382561</v>
      </c>
      <c r="AQ95" s="33">
        <v>0</v>
      </c>
      <c r="AR95" s="33" t="s">
        <v>411</v>
      </c>
      <c r="AS95" s="33">
        <v>0</v>
      </c>
      <c r="AT95" s="35">
        <v>0</v>
      </c>
      <c r="AU95" s="35">
        <v>0</v>
      </c>
      <c r="AV95" s="35">
        <v>242</v>
      </c>
      <c r="AW95" s="35">
        <v>219</v>
      </c>
      <c r="AX95" s="35">
        <v>224</v>
      </c>
      <c r="AY95" s="35">
        <v>159</v>
      </c>
      <c r="AZ95" s="32">
        <v>2.483556361986845E-2</v>
      </c>
      <c r="BA95" s="32">
        <v>2.540258562032207E-2</v>
      </c>
      <c r="BB95" s="32">
        <v>1.8031299614425039E-2</v>
      </c>
      <c r="BC95" s="32">
        <v>0.1721752498078401</v>
      </c>
      <c r="BD95" s="35">
        <v>0</v>
      </c>
      <c r="BE95" s="35">
        <v>2</v>
      </c>
      <c r="BF95" s="33">
        <v>0.96202531645569622</v>
      </c>
      <c r="BG95" s="33">
        <v>0.94444444444444442</v>
      </c>
      <c r="BH95" s="33">
        <v>0.96875</v>
      </c>
    </row>
    <row r="96" spans="1:60" ht="19.5" customHeight="1">
      <c r="A96" s="36">
        <v>93</v>
      </c>
      <c r="B96" s="31" t="s">
        <v>410</v>
      </c>
      <c r="C96" s="37">
        <v>45858</v>
      </c>
      <c r="D96" s="31" t="s">
        <v>337</v>
      </c>
      <c r="E96" s="31">
        <v>149</v>
      </c>
      <c r="F96" s="31">
        <v>135</v>
      </c>
      <c r="G96" s="32">
        <v>0.90604026845637586</v>
      </c>
      <c r="H96" s="31">
        <v>66</v>
      </c>
      <c r="I96" s="33">
        <v>0.44295302013422821</v>
      </c>
      <c r="J96" s="31">
        <v>47</v>
      </c>
      <c r="K96" s="31">
        <v>46</v>
      </c>
      <c r="L96" s="32">
        <v>0.97899999999999998</v>
      </c>
      <c r="M96" s="31">
        <v>68</v>
      </c>
      <c r="N96" s="31">
        <v>0</v>
      </c>
      <c r="O96" s="31">
        <v>65</v>
      </c>
      <c r="P96" s="32">
        <v>0.95588235294117652</v>
      </c>
      <c r="Q96" s="31">
        <v>0</v>
      </c>
      <c r="R96" s="31">
        <v>0</v>
      </c>
      <c r="S96" s="31">
        <v>0</v>
      </c>
      <c r="T96" s="32">
        <v>0</v>
      </c>
      <c r="U96" s="31">
        <v>0</v>
      </c>
      <c r="V96" s="32">
        <v>0</v>
      </c>
      <c r="W96" s="31">
        <v>0</v>
      </c>
      <c r="X96" s="32">
        <v>0</v>
      </c>
      <c r="Y96" s="31">
        <v>0</v>
      </c>
      <c r="Z96" s="34">
        <v>0</v>
      </c>
      <c r="AA96" s="31">
        <v>0</v>
      </c>
      <c r="AB96" s="32">
        <v>0</v>
      </c>
      <c r="AC96" s="31">
        <v>38</v>
      </c>
      <c r="AD96" s="32">
        <v>0.25503355704697989</v>
      </c>
      <c r="AE96" s="31">
        <v>2</v>
      </c>
      <c r="AF96" s="32">
        <v>5.2631578947368418E-2</v>
      </c>
      <c r="AG96" s="31">
        <v>27</v>
      </c>
      <c r="AH96" s="32">
        <v>0.71052631578947367</v>
      </c>
      <c r="AI96" s="35">
        <v>1</v>
      </c>
      <c r="AJ96" s="32">
        <v>6.7114093959731542E-3</v>
      </c>
      <c r="AK96" s="35">
        <v>0</v>
      </c>
      <c r="AL96" s="32">
        <v>0</v>
      </c>
      <c r="AM96" s="35">
        <v>0</v>
      </c>
      <c r="AN96" s="35">
        <v>0</v>
      </c>
      <c r="AO96" s="32">
        <v>0</v>
      </c>
      <c r="AP96" s="32">
        <v>0</v>
      </c>
      <c r="AQ96" s="33"/>
      <c r="AR96" s="33" t="s">
        <v>411</v>
      </c>
      <c r="AS96" s="33" t="s">
        <v>411</v>
      </c>
      <c r="AT96" s="35">
        <v>0</v>
      </c>
      <c r="AU96" s="35">
        <v>0</v>
      </c>
      <c r="AV96" s="35">
        <v>0</v>
      </c>
      <c r="AW96" s="35">
        <v>0</v>
      </c>
      <c r="AX96" s="35">
        <v>0</v>
      </c>
      <c r="AY96" s="35">
        <v>0</v>
      </c>
      <c r="AZ96" s="32">
        <v>0</v>
      </c>
      <c r="BA96" s="32">
        <v>0</v>
      </c>
      <c r="BB96" s="32">
        <v>0</v>
      </c>
      <c r="BC96" s="32">
        <v>0</v>
      </c>
      <c r="BD96" s="35">
        <v>0</v>
      </c>
      <c r="BE96" s="35">
        <v>0</v>
      </c>
      <c r="BF96" s="33" t="s">
        <v>412</v>
      </c>
      <c r="BG96" s="33" t="s">
        <v>412</v>
      </c>
      <c r="BH96" s="33" t="s">
        <v>412</v>
      </c>
    </row>
    <row r="97" spans="1:60" ht="19.5" customHeight="1">
      <c r="A97" s="36">
        <v>94</v>
      </c>
      <c r="B97" s="31" t="s">
        <v>410</v>
      </c>
      <c r="C97" s="37">
        <v>45858</v>
      </c>
      <c r="D97" s="31" t="s">
        <v>336</v>
      </c>
      <c r="E97" s="31">
        <v>66</v>
      </c>
      <c r="F97" s="31">
        <v>62</v>
      </c>
      <c r="G97" s="32">
        <v>0.93939393939393945</v>
      </c>
      <c r="H97" s="31">
        <v>42</v>
      </c>
      <c r="I97" s="33">
        <v>0.63636363636363635</v>
      </c>
      <c r="J97" s="31">
        <v>40</v>
      </c>
      <c r="K97" s="31">
        <v>40</v>
      </c>
      <c r="L97" s="32">
        <v>1</v>
      </c>
      <c r="M97" s="31">
        <v>72</v>
      </c>
      <c r="N97" s="31">
        <v>0</v>
      </c>
      <c r="O97" s="31">
        <v>70</v>
      </c>
      <c r="P97" s="32">
        <v>0.97222222222222221</v>
      </c>
      <c r="Q97" s="31">
        <v>0</v>
      </c>
      <c r="R97" s="31">
        <v>0</v>
      </c>
      <c r="S97" s="31">
        <v>0</v>
      </c>
      <c r="T97" s="32">
        <v>0</v>
      </c>
      <c r="U97" s="31">
        <v>0</v>
      </c>
      <c r="V97" s="32">
        <v>0</v>
      </c>
      <c r="W97" s="31">
        <v>0</v>
      </c>
      <c r="X97" s="32">
        <v>0</v>
      </c>
      <c r="Y97" s="31">
        <v>0</v>
      </c>
      <c r="Z97" s="34">
        <v>0</v>
      </c>
      <c r="AA97" s="31">
        <v>0</v>
      </c>
      <c r="AB97" s="32">
        <v>0</v>
      </c>
      <c r="AC97" s="31">
        <v>18</v>
      </c>
      <c r="AD97" s="32">
        <v>0.27272727272727271</v>
      </c>
      <c r="AE97" s="31">
        <v>1</v>
      </c>
      <c r="AF97" s="32">
        <v>5.5555555555555552E-2</v>
      </c>
      <c r="AG97" s="31">
        <v>14</v>
      </c>
      <c r="AH97" s="32">
        <v>0.77777777777777779</v>
      </c>
      <c r="AI97" s="35">
        <v>0</v>
      </c>
      <c r="AJ97" s="32">
        <v>0</v>
      </c>
      <c r="AK97" s="35">
        <v>0</v>
      </c>
      <c r="AL97" s="32">
        <v>0</v>
      </c>
      <c r="AM97" s="35">
        <v>0</v>
      </c>
      <c r="AN97" s="35">
        <v>0</v>
      </c>
      <c r="AO97" s="32">
        <v>0</v>
      </c>
      <c r="AP97" s="32">
        <v>0</v>
      </c>
      <c r="AQ97" s="33"/>
      <c r="AR97" s="33" t="s">
        <v>411</v>
      </c>
      <c r="AS97" s="33" t="s">
        <v>411</v>
      </c>
      <c r="AT97" s="35">
        <v>0</v>
      </c>
      <c r="AU97" s="35">
        <v>0</v>
      </c>
      <c r="AV97" s="35">
        <v>0</v>
      </c>
      <c r="AW97" s="35">
        <v>0</v>
      </c>
      <c r="AX97" s="35">
        <v>0</v>
      </c>
      <c r="AY97" s="35">
        <v>0</v>
      </c>
      <c r="AZ97" s="32">
        <v>0</v>
      </c>
      <c r="BA97" s="32">
        <v>0</v>
      </c>
      <c r="BB97" s="32">
        <v>0</v>
      </c>
      <c r="BC97" s="32">
        <v>0</v>
      </c>
      <c r="BD97" s="35">
        <v>0</v>
      </c>
      <c r="BE97" s="35">
        <v>0</v>
      </c>
      <c r="BF97" s="33" t="s">
        <v>412</v>
      </c>
      <c r="BG97" s="33" t="s">
        <v>412</v>
      </c>
      <c r="BH97" s="33" t="s">
        <v>412</v>
      </c>
    </row>
    <row r="98" spans="1:60" ht="19.5" customHeight="1">
      <c r="A98" s="36">
        <v>95</v>
      </c>
      <c r="B98" s="31" t="s">
        <v>410</v>
      </c>
      <c r="C98" s="37">
        <v>45859</v>
      </c>
      <c r="D98" s="31"/>
      <c r="E98" s="31">
        <v>0</v>
      </c>
      <c r="F98" s="31">
        <v>0</v>
      </c>
      <c r="G98" s="32">
        <v>0</v>
      </c>
      <c r="H98" s="31">
        <v>0</v>
      </c>
      <c r="I98" s="33">
        <v>0</v>
      </c>
      <c r="J98" s="31">
        <v>0</v>
      </c>
      <c r="K98" s="31">
        <v>0</v>
      </c>
      <c r="L98" s="32">
        <v>0</v>
      </c>
      <c r="M98" s="31">
        <v>1</v>
      </c>
      <c r="N98" s="31">
        <v>0</v>
      </c>
      <c r="O98" s="31">
        <v>1</v>
      </c>
      <c r="P98" s="32">
        <v>1</v>
      </c>
      <c r="Q98" s="31">
        <v>0</v>
      </c>
      <c r="R98" s="31">
        <v>0</v>
      </c>
      <c r="S98" s="31">
        <v>0</v>
      </c>
      <c r="T98" s="32">
        <v>0</v>
      </c>
      <c r="U98" s="31">
        <v>0</v>
      </c>
      <c r="V98" s="32">
        <v>0</v>
      </c>
      <c r="W98" s="31">
        <v>0</v>
      </c>
      <c r="X98" s="32">
        <v>0</v>
      </c>
      <c r="Y98" s="31">
        <v>0</v>
      </c>
      <c r="Z98" s="34">
        <v>0</v>
      </c>
      <c r="AA98" s="31">
        <v>0</v>
      </c>
      <c r="AB98" s="32">
        <v>0</v>
      </c>
      <c r="AC98" s="31">
        <v>0</v>
      </c>
      <c r="AD98" s="32">
        <v>0</v>
      </c>
      <c r="AE98" s="31">
        <v>0</v>
      </c>
      <c r="AF98" s="32">
        <v>0</v>
      </c>
      <c r="AG98" s="31">
        <v>0</v>
      </c>
      <c r="AH98" s="32">
        <v>0</v>
      </c>
      <c r="AI98" s="35">
        <v>0</v>
      </c>
      <c r="AJ98" s="32">
        <v>0</v>
      </c>
      <c r="AK98" s="35">
        <v>0</v>
      </c>
      <c r="AL98" s="32">
        <v>0</v>
      </c>
      <c r="AM98" s="35">
        <v>0</v>
      </c>
      <c r="AN98" s="35">
        <v>0</v>
      </c>
      <c r="AO98" s="32">
        <v>0</v>
      </c>
      <c r="AP98" s="32">
        <v>0</v>
      </c>
      <c r="AQ98" s="33"/>
      <c r="AR98" s="33" t="s">
        <v>411</v>
      </c>
      <c r="AS98" s="33" t="s">
        <v>411</v>
      </c>
      <c r="AT98" s="35">
        <v>0</v>
      </c>
      <c r="AU98" s="35">
        <v>0</v>
      </c>
      <c r="AV98" s="35">
        <v>0</v>
      </c>
      <c r="AW98" s="35">
        <v>0</v>
      </c>
      <c r="AX98" s="35">
        <v>0</v>
      </c>
      <c r="AY98" s="35">
        <v>0</v>
      </c>
      <c r="AZ98" s="32">
        <v>0</v>
      </c>
      <c r="BA98" s="32">
        <v>0</v>
      </c>
      <c r="BB98" s="32">
        <v>0</v>
      </c>
      <c r="BC98" s="32">
        <v>0</v>
      </c>
      <c r="BD98" s="35">
        <v>0</v>
      </c>
      <c r="BE98" s="35">
        <v>0</v>
      </c>
      <c r="BF98" s="33" t="s">
        <v>412</v>
      </c>
      <c r="BG98" s="33" t="s">
        <v>412</v>
      </c>
      <c r="BH98" s="33" t="s">
        <v>412</v>
      </c>
    </row>
    <row r="99" spans="1:60" ht="19.5" customHeight="1">
      <c r="A99" s="36">
        <v>96</v>
      </c>
      <c r="B99" s="31" t="s">
        <v>410</v>
      </c>
      <c r="C99" s="37">
        <v>45859</v>
      </c>
      <c r="D99" s="31" t="s">
        <v>335</v>
      </c>
      <c r="E99" s="31">
        <v>73</v>
      </c>
      <c r="F99" s="31">
        <v>65</v>
      </c>
      <c r="G99" s="32">
        <v>0.8904109589041096</v>
      </c>
      <c r="H99" s="31">
        <v>39</v>
      </c>
      <c r="I99" s="33">
        <v>0.53424657534246578</v>
      </c>
      <c r="J99" s="31">
        <v>39</v>
      </c>
      <c r="K99" s="31">
        <v>38</v>
      </c>
      <c r="L99" s="32">
        <v>0.97399999999999998</v>
      </c>
      <c r="M99" s="31">
        <v>82</v>
      </c>
      <c r="N99" s="31">
        <v>0</v>
      </c>
      <c r="O99" s="31">
        <v>76</v>
      </c>
      <c r="P99" s="32">
        <v>0.92682926829268297</v>
      </c>
      <c r="Q99" s="31">
        <v>0</v>
      </c>
      <c r="R99" s="31">
        <v>0</v>
      </c>
      <c r="S99" s="31">
        <v>0</v>
      </c>
      <c r="T99" s="32">
        <v>0</v>
      </c>
      <c r="U99" s="31">
        <v>0</v>
      </c>
      <c r="V99" s="32">
        <v>0</v>
      </c>
      <c r="W99" s="31">
        <v>0</v>
      </c>
      <c r="X99" s="32">
        <v>0</v>
      </c>
      <c r="Y99" s="31">
        <v>0</v>
      </c>
      <c r="Z99" s="34">
        <v>0</v>
      </c>
      <c r="AA99" s="31">
        <v>0</v>
      </c>
      <c r="AB99" s="32">
        <v>0</v>
      </c>
      <c r="AC99" s="31">
        <v>20</v>
      </c>
      <c r="AD99" s="32">
        <v>0.27397260273972601</v>
      </c>
      <c r="AE99" s="31">
        <v>0</v>
      </c>
      <c r="AF99" s="32">
        <v>0</v>
      </c>
      <c r="AG99" s="31">
        <v>14</v>
      </c>
      <c r="AH99" s="32">
        <v>0.7</v>
      </c>
      <c r="AI99" s="35">
        <v>0</v>
      </c>
      <c r="AJ99" s="32">
        <v>0</v>
      </c>
      <c r="AK99" s="35">
        <v>0</v>
      </c>
      <c r="AL99" s="32">
        <v>0</v>
      </c>
      <c r="AM99" s="35">
        <v>0</v>
      </c>
      <c r="AN99" s="35">
        <v>0</v>
      </c>
      <c r="AO99" s="32">
        <v>0</v>
      </c>
      <c r="AP99" s="32">
        <v>0</v>
      </c>
      <c r="AQ99" s="33">
        <v>0</v>
      </c>
      <c r="AR99" s="33" t="s">
        <v>411</v>
      </c>
      <c r="AS99" s="33">
        <v>0</v>
      </c>
      <c r="AT99" s="35">
        <v>0</v>
      </c>
      <c r="AU99" s="35">
        <v>0</v>
      </c>
      <c r="AV99" s="35">
        <v>0</v>
      </c>
      <c r="AW99" s="35">
        <v>0</v>
      </c>
      <c r="AX99" s="35">
        <v>0</v>
      </c>
      <c r="AY99" s="35">
        <v>0</v>
      </c>
      <c r="AZ99" s="32">
        <v>0</v>
      </c>
      <c r="BA99" s="32">
        <v>0</v>
      </c>
      <c r="BB99" s="32">
        <v>0</v>
      </c>
      <c r="BC99" s="32">
        <v>0</v>
      </c>
      <c r="BD99" s="35">
        <v>0</v>
      </c>
      <c r="BE99" s="35">
        <v>0</v>
      </c>
      <c r="BF99" s="33" t="s">
        <v>412</v>
      </c>
      <c r="BG99" s="33" t="s">
        <v>412</v>
      </c>
      <c r="BH99" s="33" t="s">
        <v>412</v>
      </c>
    </row>
    <row r="100" spans="1:60" ht="19.5" customHeight="1">
      <c r="A100" s="36">
        <v>97</v>
      </c>
      <c r="B100" s="31" t="s">
        <v>410</v>
      </c>
      <c r="C100" s="37">
        <v>45859</v>
      </c>
      <c r="D100" s="31" t="s">
        <v>334</v>
      </c>
      <c r="E100" s="31">
        <v>7628</v>
      </c>
      <c r="F100" s="31">
        <v>5811</v>
      </c>
      <c r="G100" s="32">
        <v>0.76179863660199265</v>
      </c>
      <c r="H100" s="31">
        <v>2987</v>
      </c>
      <c r="I100" s="33">
        <v>0.39158363922391187</v>
      </c>
      <c r="J100" s="31">
        <v>7133</v>
      </c>
      <c r="K100" s="31">
        <v>6788</v>
      </c>
      <c r="L100" s="32">
        <v>0.95199999999999996</v>
      </c>
      <c r="M100" s="31">
        <v>8679</v>
      </c>
      <c r="N100" s="31">
        <v>0</v>
      </c>
      <c r="O100" s="31">
        <v>8165</v>
      </c>
      <c r="P100" s="32">
        <v>0.94077658716441981</v>
      </c>
      <c r="Q100" s="31">
        <v>36</v>
      </c>
      <c r="R100" s="31">
        <v>0</v>
      </c>
      <c r="S100" s="31">
        <v>0</v>
      </c>
      <c r="T100" s="32">
        <v>0</v>
      </c>
      <c r="U100" s="31">
        <v>0</v>
      </c>
      <c r="V100" s="32">
        <v>0</v>
      </c>
      <c r="W100" s="31">
        <v>760</v>
      </c>
      <c r="X100" s="32">
        <v>9.963293130571578E-2</v>
      </c>
      <c r="Y100" s="31">
        <v>1109</v>
      </c>
      <c r="Z100" s="34">
        <v>0.14538542212899841</v>
      </c>
      <c r="AA100" s="31">
        <v>50</v>
      </c>
      <c r="AB100" s="32">
        <v>6.5547981122181433E-3</v>
      </c>
      <c r="AC100" s="31">
        <v>1047</v>
      </c>
      <c r="AD100" s="32">
        <v>0.1372574724698479</v>
      </c>
      <c r="AE100" s="31">
        <v>49</v>
      </c>
      <c r="AF100" s="32">
        <v>4.6800382043935052E-2</v>
      </c>
      <c r="AG100" s="31">
        <v>382</v>
      </c>
      <c r="AH100" s="32">
        <v>0.36485195797516712</v>
      </c>
      <c r="AI100" s="35">
        <v>1015</v>
      </c>
      <c r="AJ100" s="32">
        <v>0.1330624016780283</v>
      </c>
      <c r="AK100" s="35">
        <v>24</v>
      </c>
      <c r="AL100" s="32">
        <v>0.82068965517241377</v>
      </c>
      <c r="AM100" s="35">
        <v>993</v>
      </c>
      <c r="AN100" s="35">
        <v>833</v>
      </c>
      <c r="AO100" s="32">
        <v>0.10920293654955431</v>
      </c>
      <c r="AP100" s="32">
        <v>0.79560649474689593</v>
      </c>
      <c r="AQ100" s="33">
        <v>0</v>
      </c>
      <c r="AR100" s="33" t="s">
        <v>411</v>
      </c>
      <c r="AS100" s="33">
        <v>0</v>
      </c>
      <c r="AT100" s="35">
        <v>0</v>
      </c>
      <c r="AU100" s="35">
        <v>0</v>
      </c>
      <c r="AV100" s="35">
        <v>164</v>
      </c>
      <c r="AW100" s="35">
        <v>135</v>
      </c>
      <c r="AX100" s="35">
        <v>136</v>
      </c>
      <c r="AY100" s="35">
        <v>255</v>
      </c>
      <c r="AZ100" s="32">
        <v>1.7697954902988991E-2</v>
      </c>
      <c r="BA100" s="32">
        <v>1.7829050865233349E-2</v>
      </c>
      <c r="BB100" s="32">
        <v>3.3429470372312531E-2</v>
      </c>
      <c r="BC100" s="32">
        <v>0.16326530612244899</v>
      </c>
      <c r="BD100" s="35">
        <v>0</v>
      </c>
      <c r="BE100" s="35">
        <v>1</v>
      </c>
      <c r="BF100" s="33">
        <v>1</v>
      </c>
      <c r="BG100" s="33">
        <v>1</v>
      </c>
      <c r="BH100" s="33">
        <v>0.97478991596638653</v>
      </c>
    </row>
    <row r="101" spans="1:60" ht="19.5" customHeight="1">
      <c r="A101" s="36">
        <v>98</v>
      </c>
      <c r="B101" s="31" t="s">
        <v>410</v>
      </c>
      <c r="C101" s="37">
        <v>45859</v>
      </c>
      <c r="D101" s="31" t="s">
        <v>337</v>
      </c>
      <c r="E101" s="31">
        <v>138</v>
      </c>
      <c r="F101" s="31">
        <v>129</v>
      </c>
      <c r="G101" s="32">
        <v>0.93478260869565222</v>
      </c>
      <c r="H101" s="31">
        <v>57</v>
      </c>
      <c r="I101" s="33">
        <v>0.41304347826086962</v>
      </c>
      <c r="J101" s="31">
        <v>39</v>
      </c>
      <c r="K101" s="31">
        <v>39</v>
      </c>
      <c r="L101" s="32">
        <v>1</v>
      </c>
      <c r="M101" s="31">
        <v>63</v>
      </c>
      <c r="N101" s="31">
        <v>0</v>
      </c>
      <c r="O101" s="31">
        <v>61</v>
      </c>
      <c r="P101" s="32">
        <v>0.96825396825396826</v>
      </c>
      <c r="Q101" s="31">
        <v>0</v>
      </c>
      <c r="R101" s="31">
        <v>0</v>
      </c>
      <c r="S101" s="31">
        <v>0</v>
      </c>
      <c r="T101" s="32">
        <v>0</v>
      </c>
      <c r="U101" s="31">
        <v>0</v>
      </c>
      <c r="V101" s="32">
        <v>0</v>
      </c>
      <c r="W101" s="31">
        <v>0</v>
      </c>
      <c r="X101" s="32">
        <v>0</v>
      </c>
      <c r="Y101" s="31">
        <v>0</v>
      </c>
      <c r="Z101" s="34">
        <v>0</v>
      </c>
      <c r="AA101" s="31">
        <v>0</v>
      </c>
      <c r="AB101" s="32">
        <v>0</v>
      </c>
      <c r="AC101" s="31">
        <v>39</v>
      </c>
      <c r="AD101" s="32">
        <v>0.28260869565217389</v>
      </c>
      <c r="AE101" s="31">
        <v>2</v>
      </c>
      <c r="AF101" s="32">
        <v>5.128205128205128E-2</v>
      </c>
      <c r="AG101" s="31">
        <v>27</v>
      </c>
      <c r="AH101" s="32">
        <v>0.69230769230769229</v>
      </c>
      <c r="AI101" s="35">
        <v>0</v>
      </c>
      <c r="AJ101" s="32">
        <v>0</v>
      </c>
      <c r="AK101" s="35">
        <v>0</v>
      </c>
      <c r="AL101" s="32">
        <v>0</v>
      </c>
      <c r="AM101" s="35">
        <v>0</v>
      </c>
      <c r="AN101" s="35">
        <v>0</v>
      </c>
      <c r="AO101" s="32">
        <v>0</v>
      </c>
      <c r="AP101" s="32">
        <v>0</v>
      </c>
      <c r="AQ101" s="33"/>
      <c r="AR101" s="33" t="s">
        <v>411</v>
      </c>
      <c r="AS101" s="33" t="s">
        <v>411</v>
      </c>
      <c r="AT101" s="35">
        <v>0</v>
      </c>
      <c r="AU101" s="35">
        <v>0</v>
      </c>
      <c r="AV101" s="35">
        <v>0</v>
      </c>
      <c r="AW101" s="35">
        <v>0</v>
      </c>
      <c r="AX101" s="35">
        <v>0</v>
      </c>
      <c r="AY101" s="35">
        <v>0</v>
      </c>
      <c r="AZ101" s="32">
        <v>0</v>
      </c>
      <c r="BA101" s="32">
        <v>0</v>
      </c>
      <c r="BB101" s="32">
        <v>0</v>
      </c>
      <c r="BC101" s="32">
        <v>0</v>
      </c>
      <c r="BD101" s="35">
        <v>0</v>
      </c>
      <c r="BE101" s="35">
        <v>0</v>
      </c>
      <c r="BF101" s="33" t="s">
        <v>412</v>
      </c>
      <c r="BG101" s="33" t="s">
        <v>412</v>
      </c>
      <c r="BH101" s="33" t="s">
        <v>412</v>
      </c>
    </row>
    <row r="102" spans="1:60" ht="19.5" customHeight="1">
      <c r="A102" s="36">
        <v>99</v>
      </c>
      <c r="B102" s="31" t="s">
        <v>410</v>
      </c>
      <c r="C102" s="37">
        <v>45859</v>
      </c>
      <c r="D102" s="31" t="s">
        <v>336</v>
      </c>
      <c r="E102" s="31">
        <v>54</v>
      </c>
      <c r="F102" s="31">
        <v>50</v>
      </c>
      <c r="G102" s="32">
        <v>0.92592592592592593</v>
      </c>
      <c r="H102" s="31">
        <v>30</v>
      </c>
      <c r="I102" s="33">
        <v>0.55555555555555558</v>
      </c>
      <c r="J102" s="31">
        <v>46</v>
      </c>
      <c r="K102" s="31">
        <v>45</v>
      </c>
      <c r="L102" s="32">
        <v>0.97799999999999998</v>
      </c>
      <c r="M102" s="31">
        <v>76</v>
      </c>
      <c r="N102" s="31">
        <v>0</v>
      </c>
      <c r="O102" s="31">
        <v>74</v>
      </c>
      <c r="P102" s="32">
        <v>0.97368421052631582</v>
      </c>
      <c r="Q102" s="31">
        <v>0</v>
      </c>
      <c r="R102" s="31">
        <v>0</v>
      </c>
      <c r="S102" s="31">
        <v>0</v>
      </c>
      <c r="T102" s="32">
        <v>0</v>
      </c>
      <c r="U102" s="31">
        <v>0</v>
      </c>
      <c r="V102" s="32">
        <v>0</v>
      </c>
      <c r="W102" s="31">
        <v>0</v>
      </c>
      <c r="X102" s="32">
        <v>0</v>
      </c>
      <c r="Y102" s="31">
        <v>0</v>
      </c>
      <c r="Z102" s="34">
        <v>0</v>
      </c>
      <c r="AA102" s="31">
        <v>0</v>
      </c>
      <c r="AB102" s="32">
        <v>0</v>
      </c>
      <c r="AC102" s="31">
        <v>12</v>
      </c>
      <c r="AD102" s="32">
        <v>0.22222222222222221</v>
      </c>
      <c r="AE102" s="31">
        <v>1</v>
      </c>
      <c r="AF102" s="32">
        <v>8.3333333333333329E-2</v>
      </c>
      <c r="AG102" s="31">
        <v>11</v>
      </c>
      <c r="AH102" s="32">
        <v>0.91666666666666663</v>
      </c>
      <c r="AI102" s="35">
        <v>0</v>
      </c>
      <c r="AJ102" s="32">
        <v>0</v>
      </c>
      <c r="AK102" s="35">
        <v>0</v>
      </c>
      <c r="AL102" s="32">
        <v>0</v>
      </c>
      <c r="AM102" s="35">
        <v>0</v>
      </c>
      <c r="AN102" s="35">
        <v>0</v>
      </c>
      <c r="AO102" s="32">
        <v>0</v>
      </c>
      <c r="AP102" s="32">
        <v>0</v>
      </c>
      <c r="AQ102" s="33"/>
      <c r="AR102" s="33" t="s">
        <v>411</v>
      </c>
      <c r="AS102" s="33" t="s">
        <v>411</v>
      </c>
      <c r="AT102" s="35">
        <v>0</v>
      </c>
      <c r="AU102" s="35">
        <v>0</v>
      </c>
      <c r="AV102" s="35">
        <v>0</v>
      </c>
      <c r="AW102" s="35">
        <v>0</v>
      </c>
      <c r="AX102" s="35">
        <v>0</v>
      </c>
      <c r="AY102" s="35">
        <v>0</v>
      </c>
      <c r="AZ102" s="32">
        <v>0</v>
      </c>
      <c r="BA102" s="32">
        <v>0</v>
      </c>
      <c r="BB102" s="32">
        <v>0</v>
      </c>
      <c r="BC102" s="32">
        <v>0</v>
      </c>
      <c r="BD102" s="35">
        <v>0</v>
      </c>
      <c r="BE102" s="35">
        <v>0</v>
      </c>
      <c r="BF102" s="33" t="s">
        <v>412</v>
      </c>
      <c r="BG102" s="33" t="s">
        <v>412</v>
      </c>
      <c r="BH102" s="33" t="s">
        <v>412</v>
      </c>
    </row>
    <row r="103" spans="1:60" ht="19.5" customHeight="1">
      <c r="A103" s="36">
        <v>100</v>
      </c>
      <c r="B103" s="31" t="s">
        <v>410</v>
      </c>
      <c r="C103" s="37">
        <v>45860</v>
      </c>
      <c r="D103" s="31" t="s">
        <v>335</v>
      </c>
      <c r="E103" s="31">
        <v>70</v>
      </c>
      <c r="F103" s="31">
        <v>68</v>
      </c>
      <c r="G103" s="32">
        <v>0.97142857142857142</v>
      </c>
      <c r="H103" s="31">
        <v>38</v>
      </c>
      <c r="I103" s="33">
        <v>0.54285714285714282</v>
      </c>
      <c r="J103" s="31">
        <v>36</v>
      </c>
      <c r="K103" s="31">
        <v>34</v>
      </c>
      <c r="L103" s="32">
        <v>0.94399999999999995</v>
      </c>
      <c r="M103" s="31">
        <v>57</v>
      </c>
      <c r="N103" s="31">
        <v>0</v>
      </c>
      <c r="O103" s="31">
        <v>52</v>
      </c>
      <c r="P103" s="32">
        <v>0.91228070175438591</v>
      </c>
      <c r="Q103" s="31">
        <v>0</v>
      </c>
      <c r="R103" s="31">
        <v>0</v>
      </c>
      <c r="S103" s="31">
        <v>0</v>
      </c>
      <c r="T103" s="32">
        <v>0</v>
      </c>
      <c r="U103" s="31">
        <v>0</v>
      </c>
      <c r="V103" s="32">
        <v>0</v>
      </c>
      <c r="W103" s="31">
        <v>0</v>
      </c>
      <c r="X103" s="32">
        <v>0</v>
      </c>
      <c r="Y103" s="31">
        <v>0</v>
      </c>
      <c r="Z103" s="34">
        <v>0</v>
      </c>
      <c r="AA103" s="31">
        <v>0</v>
      </c>
      <c r="AB103" s="32">
        <v>0</v>
      </c>
      <c r="AC103" s="31">
        <v>16</v>
      </c>
      <c r="AD103" s="32">
        <v>0.22857142857142859</v>
      </c>
      <c r="AE103" s="31">
        <v>0</v>
      </c>
      <c r="AF103" s="32">
        <v>0</v>
      </c>
      <c r="AG103" s="31">
        <v>12</v>
      </c>
      <c r="AH103" s="32">
        <v>0.75</v>
      </c>
      <c r="AI103" s="35">
        <v>0</v>
      </c>
      <c r="AJ103" s="32">
        <v>0</v>
      </c>
      <c r="AK103" s="35">
        <v>0</v>
      </c>
      <c r="AL103" s="32">
        <v>0</v>
      </c>
      <c r="AM103" s="35">
        <v>0</v>
      </c>
      <c r="AN103" s="35">
        <v>0</v>
      </c>
      <c r="AO103" s="32">
        <v>0</v>
      </c>
      <c r="AP103" s="32">
        <v>0</v>
      </c>
      <c r="AQ103" s="33"/>
      <c r="AR103" s="33" t="s">
        <v>411</v>
      </c>
      <c r="AS103" s="33" t="s">
        <v>411</v>
      </c>
      <c r="AT103" s="35">
        <v>0</v>
      </c>
      <c r="AU103" s="35">
        <v>0</v>
      </c>
      <c r="AV103" s="35">
        <v>0</v>
      </c>
      <c r="AW103" s="35">
        <v>0</v>
      </c>
      <c r="AX103" s="35">
        <v>0</v>
      </c>
      <c r="AY103" s="35">
        <v>0</v>
      </c>
      <c r="AZ103" s="32">
        <v>0</v>
      </c>
      <c r="BA103" s="32">
        <v>0</v>
      </c>
      <c r="BB103" s="32">
        <v>0</v>
      </c>
      <c r="BC103" s="32">
        <v>0</v>
      </c>
      <c r="BD103" s="35">
        <v>0</v>
      </c>
      <c r="BE103" s="35">
        <v>0</v>
      </c>
      <c r="BF103" s="33" t="s">
        <v>412</v>
      </c>
      <c r="BG103" s="33" t="s">
        <v>412</v>
      </c>
      <c r="BH103" s="33" t="s">
        <v>412</v>
      </c>
    </row>
    <row r="104" spans="1:60" ht="19.5" customHeight="1">
      <c r="A104" s="36">
        <v>101</v>
      </c>
      <c r="B104" s="31" t="s">
        <v>410</v>
      </c>
      <c r="C104" s="37">
        <v>45860</v>
      </c>
      <c r="D104" s="31" t="s">
        <v>334</v>
      </c>
      <c r="E104" s="31">
        <v>7804</v>
      </c>
      <c r="F104" s="31">
        <v>6008</v>
      </c>
      <c r="G104" s="32">
        <v>0.76986160943106097</v>
      </c>
      <c r="H104" s="31">
        <v>2969</v>
      </c>
      <c r="I104" s="33">
        <v>0.38044592516658132</v>
      </c>
      <c r="J104" s="31">
        <v>6143</v>
      </c>
      <c r="K104" s="31">
        <v>5780</v>
      </c>
      <c r="L104" s="32">
        <v>0.94099999999999995</v>
      </c>
      <c r="M104" s="31">
        <v>6950</v>
      </c>
      <c r="N104" s="31">
        <v>0</v>
      </c>
      <c r="O104" s="31">
        <v>6525</v>
      </c>
      <c r="P104" s="32">
        <v>0.9388489208633094</v>
      </c>
      <c r="Q104" s="31">
        <v>16</v>
      </c>
      <c r="R104" s="31">
        <v>0</v>
      </c>
      <c r="S104" s="31">
        <v>0</v>
      </c>
      <c r="T104" s="32">
        <v>0</v>
      </c>
      <c r="U104" s="31">
        <v>0</v>
      </c>
      <c r="V104" s="32">
        <v>0</v>
      </c>
      <c r="W104" s="31">
        <v>1125</v>
      </c>
      <c r="X104" s="32">
        <v>0.1441568426447975</v>
      </c>
      <c r="Y104" s="31">
        <v>985</v>
      </c>
      <c r="Z104" s="34">
        <v>0.1262173244490005</v>
      </c>
      <c r="AA104" s="31">
        <v>36</v>
      </c>
      <c r="AB104" s="32">
        <v>4.6130189646335206E-3</v>
      </c>
      <c r="AC104" s="31">
        <v>1050</v>
      </c>
      <c r="AD104" s="32">
        <v>0.13454638646847769</v>
      </c>
      <c r="AE104" s="31">
        <v>33</v>
      </c>
      <c r="AF104" s="32">
        <v>3.1428571428571431E-2</v>
      </c>
      <c r="AG104" s="31">
        <v>382</v>
      </c>
      <c r="AH104" s="32">
        <v>0.3638095238095238</v>
      </c>
      <c r="AI104" s="35">
        <v>1040</v>
      </c>
      <c r="AJ104" s="32">
        <v>0.13326499231163499</v>
      </c>
      <c r="AK104" s="35">
        <v>19</v>
      </c>
      <c r="AL104" s="32">
        <v>0.79519230769230764</v>
      </c>
      <c r="AM104" s="35">
        <v>1004</v>
      </c>
      <c r="AN104" s="35">
        <v>827</v>
      </c>
      <c r="AO104" s="32">
        <v>0.10597129677088669</v>
      </c>
      <c r="AP104" s="32">
        <v>0.78761904761904766</v>
      </c>
      <c r="AQ104" s="33">
        <v>0</v>
      </c>
      <c r="AR104" s="33" t="s">
        <v>411</v>
      </c>
      <c r="AS104" s="33">
        <v>0</v>
      </c>
      <c r="AT104" s="35">
        <v>0</v>
      </c>
      <c r="AU104" s="35">
        <v>0</v>
      </c>
      <c r="AV104" s="35">
        <v>135</v>
      </c>
      <c r="AW104" s="35">
        <v>103</v>
      </c>
      <c r="AX104" s="35">
        <v>119</v>
      </c>
      <c r="AY104" s="35">
        <v>217</v>
      </c>
      <c r="AZ104" s="32">
        <v>1.3198359815479239E-2</v>
      </c>
      <c r="BA104" s="32">
        <v>1.5248590466427471E-2</v>
      </c>
      <c r="BB104" s="32">
        <v>2.7806253203485391E-2</v>
      </c>
      <c r="BC104" s="32">
        <v>0.14389359129383311</v>
      </c>
      <c r="BD104" s="35">
        <v>0</v>
      </c>
      <c r="BE104" s="35">
        <v>2</v>
      </c>
      <c r="BF104" s="33">
        <v>0.89130434782608692</v>
      </c>
      <c r="BG104" s="33">
        <v>1</v>
      </c>
      <c r="BH104" s="33">
        <v>0.970873786407767</v>
      </c>
    </row>
    <row r="105" spans="1:60" ht="19.5" customHeight="1">
      <c r="A105" s="36">
        <v>102</v>
      </c>
      <c r="B105" s="31" t="s">
        <v>410</v>
      </c>
      <c r="C105" s="37">
        <v>45860</v>
      </c>
      <c r="D105" s="31" t="s">
        <v>337</v>
      </c>
      <c r="E105" s="31">
        <v>135</v>
      </c>
      <c r="F105" s="31">
        <v>118</v>
      </c>
      <c r="G105" s="32">
        <v>0.87407407407407411</v>
      </c>
      <c r="H105" s="31">
        <v>49</v>
      </c>
      <c r="I105" s="33">
        <v>0.36296296296296299</v>
      </c>
      <c r="J105" s="31">
        <v>44</v>
      </c>
      <c r="K105" s="31">
        <v>42</v>
      </c>
      <c r="L105" s="32">
        <v>0.95499999999999996</v>
      </c>
      <c r="M105" s="31">
        <v>57</v>
      </c>
      <c r="N105" s="31">
        <v>0</v>
      </c>
      <c r="O105" s="31">
        <v>55</v>
      </c>
      <c r="P105" s="32">
        <v>0.96491228070175439</v>
      </c>
      <c r="Q105" s="31">
        <v>0</v>
      </c>
      <c r="R105" s="31">
        <v>0</v>
      </c>
      <c r="S105" s="31">
        <v>0</v>
      </c>
      <c r="T105" s="32">
        <v>0</v>
      </c>
      <c r="U105" s="31">
        <v>0</v>
      </c>
      <c r="V105" s="32">
        <v>0</v>
      </c>
      <c r="W105" s="31">
        <v>0</v>
      </c>
      <c r="X105" s="32">
        <v>0</v>
      </c>
      <c r="Y105" s="31">
        <v>0</v>
      </c>
      <c r="Z105" s="34">
        <v>0</v>
      </c>
      <c r="AA105" s="31">
        <v>0</v>
      </c>
      <c r="AB105" s="32">
        <v>0</v>
      </c>
      <c r="AC105" s="31">
        <v>40</v>
      </c>
      <c r="AD105" s="32">
        <v>0.29629629629629628</v>
      </c>
      <c r="AE105" s="31">
        <v>2</v>
      </c>
      <c r="AF105" s="32">
        <v>0.05</v>
      </c>
      <c r="AG105" s="31">
        <v>27</v>
      </c>
      <c r="AH105" s="32">
        <v>0.67500000000000004</v>
      </c>
      <c r="AI105" s="35">
        <v>0</v>
      </c>
      <c r="AJ105" s="32">
        <v>0</v>
      </c>
      <c r="AK105" s="35">
        <v>0</v>
      </c>
      <c r="AL105" s="32">
        <v>0</v>
      </c>
      <c r="AM105" s="35">
        <v>0</v>
      </c>
      <c r="AN105" s="35">
        <v>0</v>
      </c>
      <c r="AO105" s="32">
        <v>0</v>
      </c>
      <c r="AP105" s="32">
        <v>0</v>
      </c>
      <c r="AQ105" s="33"/>
      <c r="AR105" s="33" t="s">
        <v>411</v>
      </c>
      <c r="AS105" s="33" t="s">
        <v>411</v>
      </c>
      <c r="AT105" s="35">
        <v>0</v>
      </c>
      <c r="AU105" s="35">
        <v>0</v>
      </c>
      <c r="AV105" s="35">
        <v>0</v>
      </c>
      <c r="AW105" s="35">
        <v>0</v>
      </c>
      <c r="AX105" s="35">
        <v>0</v>
      </c>
      <c r="AY105" s="35">
        <v>0</v>
      </c>
      <c r="AZ105" s="32">
        <v>0</v>
      </c>
      <c r="BA105" s="32">
        <v>0</v>
      </c>
      <c r="BB105" s="32">
        <v>0</v>
      </c>
      <c r="BC105" s="32">
        <v>0</v>
      </c>
      <c r="BD105" s="35">
        <v>0</v>
      </c>
      <c r="BE105" s="35">
        <v>0</v>
      </c>
      <c r="BF105" s="33" t="s">
        <v>412</v>
      </c>
      <c r="BG105" s="33" t="s">
        <v>412</v>
      </c>
      <c r="BH105" s="33" t="s">
        <v>412</v>
      </c>
    </row>
    <row r="106" spans="1:60" ht="19.5" customHeight="1">
      <c r="A106" s="36">
        <v>103</v>
      </c>
      <c r="B106" s="31" t="s">
        <v>410</v>
      </c>
      <c r="C106" s="37">
        <v>45860</v>
      </c>
      <c r="D106" s="31" t="s">
        <v>336</v>
      </c>
      <c r="E106" s="31">
        <v>73</v>
      </c>
      <c r="F106" s="31">
        <v>68</v>
      </c>
      <c r="G106" s="32">
        <v>0.93150684931506844</v>
      </c>
      <c r="H106" s="31">
        <v>44</v>
      </c>
      <c r="I106" s="33">
        <v>0.60273972602739723</v>
      </c>
      <c r="J106" s="31">
        <v>39</v>
      </c>
      <c r="K106" s="31">
        <v>36</v>
      </c>
      <c r="L106" s="32">
        <v>0.92300000000000004</v>
      </c>
      <c r="M106" s="31">
        <v>63</v>
      </c>
      <c r="N106" s="31">
        <v>0</v>
      </c>
      <c r="O106" s="31">
        <v>59</v>
      </c>
      <c r="P106" s="32">
        <v>0.93650793650793651</v>
      </c>
      <c r="Q106" s="31">
        <v>0</v>
      </c>
      <c r="R106" s="31">
        <v>0</v>
      </c>
      <c r="S106" s="31">
        <v>0</v>
      </c>
      <c r="T106" s="32">
        <v>0</v>
      </c>
      <c r="U106" s="31">
        <v>0</v>
      </c>
      <c r="V106" s="32">
        <v>0</v>
      </c>
      <c r="W106" s="31">
        <v>0</v>
      </c>
      <c r="X106" s="32">
        <v>0</v>
      </c>
      <c r="Y106" s="31">
        <v>0</v>
      </c>
      <c r="Z106" s="34">
        <v>0</v>
      </c>
      <c r="AA106" s="31">
        <v>0</v>
      </c>
      <c r="AB106" s="32">
        <v>0</v>
      </c>
      <c r="AC106" s="31">
        <v>20</v>
      </c>
      <c r="AD106" s="32">
        <v>0.27397260273972601</v>
      </c>
      <c r="AE106" s="31">
        <v>4</v>
      </c>
      <c r="AF106" s="32">
        <v>0.2</v>
      </c>
      <c r="AG106" s="31">
        <v>10</v>
      </c>
      <c r="AH106" s="32">
        <v>0.5</v>
      </c>
      <c r="AI106" s="35">
        <v>1</v>
      </c>
      <c r="AJ106" s="32">
        <v>1.3698630136986301E-2</v>
      </c>
      <c r="AK106" s="35">
        <v>0</v>
      </c>
      <c r="AL106" s="32">
        <v>0</v>
      </c>
      <c r="AM106" s="35">
        <v>0</v>
      </c>
      <c r="AN106" s="35">
        <v>0</v>
      </c>
      <c r="AO106" s="32">
        <v>0</v>
      </c>
      <c r="AP106" s="32">
        <v>0</v>
      </c>
      <c r="AQ106" s="33"/>
      <c r="AR106" s="33" t="s">
        <v>411</v>
      </c>
      <c r="AS106" s="33" t="s">
        <v>411</v>
      </c>
      <c r="AT106" s="35">
        <v>0</v>
      </c>
      <c r="AU106" s="35">
        <v>0</v>
      </c>
      <c r="AV106" s="35">
        <v>0</v>
      </c>
      <c r="AW106" s="35">
        <v>0</v>
      </c>
      <c r="AX106" s="35">
        <v>0</v>
      </c>
      <c r="AY106" s="35">
        <v>0</v>
      </c>
      <c r="AZ106" s="32">
        <v>0</v>
      </c>
      <c r="BA106" s="32">
        <v>0</v>
      </c>
      <c r="BB106" s="32">
        <v>0</v>
      </c>
      <c r="BC106" s="32">
        <v>0</v>
      </c>
      <c r="BD106" s="35">
        <v>0</v>
      </c>
      <c r="BE106" s="35">
        <v>0</v>
      </c>
      <c r="BF106" s="33" t="s">
        <v>412</v>
      </c>
      <c r="BG106" s="33" t="s">
        <v>412</v>
      </c>
      <c r="BH106" s="33" t="s">
        <v>412</v>
      </c>
    </row>
    <row r="107" spans="1:60" ht="19.5" customHeight="1">
      <c r="A107" s="36">
        <v>104</v>
      </c>
      <c r="B107" s="31" t="s">
        <v>410</v>
      </c>
      <c r="C107" s="37">
        <v>45861</v>
      </c>
      <c r="D107" s="31" t="s">
        <v>335</v>
      </c>
      <c r="E107" s="31">
        <v>80</v>
      </c>
      <c r="F107" s="31">
        <v>73</v>
      </c>
      <c r="G107" s="32">
        <v>0.91249999999999998</v>
      </c>
      <c r="H107" s="31">
        <v>41</v>
      </c>
      <c r="I107" s="33">
        <v>0.51249999999999996</v>
      </c>
      <c r="J107" s="31">
        <v>29</v>
      </c>
      <c r="K107" s="31">
        <v>28</v>
      </c>
      <c r="L107" s="32">
        <v>0.96599999999999997</v>
      </c>
      <c r="M107" s="31">
        <v>49</v>
      </c>
      <c r="N107" s="31">
        <v>0</v>
      </c>
      <c r="O107" s="31">
        <v>47</v>
      </c>
      <c r="P107" s="32">
        <v>0.95918367346938771</v>
      </c>
      <c r="Q107" s="31">
        <v>0</v>
      </c>
      <c r="R107" s="31">
        <v>0</v>
      </c>
      <c r="S107" s="31">
        <v>0</v>
      </c>
      <c r="T107" s="32">
        <v>0</v>
      </c>
      <c r="U107" s="31">
        <v>0</v>
      </c>
      <c r="V107" s="32">
        <v>0</v>
      </c>
      <c r="W107" s="31">
        <v>0</v>
      </c>
      <c r="X107" s="32">
        <v>0</v>
      </c>
      <c r="Y107" s="31">
        <v>0</v>
      </c>
      <c r="Z107" s="34">
        <v>0</v>
      </c>
      <c r="AA107" s="31">
        <v>0</v>
      </c>
      <c r="AB107" s="32">
        <v>0</v>
      </c>
      <c r="AC107" s="31">
        <v>23</v>
      </c>
      <c r="AD107" s="32">
        <v>0.28749999999999998</v>
      </c>
      <c r="AE107" s="31">
        <v>0</v>
      </c>
      <c r="AF107" s="32">
        <v>0</v>
      </c>
      <c r="AG107" s="31">
        <v>16</v>
      </c>
      <c r="AH107" s="32">
        <v>0.69565217391304346</v>
      </c>
      <c r="AI107" s="35">
        <v>0</v>
      </c>
      <c r="AJ107" s="32">
        <v>0</v>
      </c>
      <c r="AK107" s="35">
        <v>0</v>
      </c>
      <c r="AL107" s="32">
        <v>0</v>
      </c>
      <c r="AM107" s="35">
        <v>0</v>
      </c>
      <c r="AN107" s="35">
        <v>0</v>
      </c>
      <c r="AO107" s="32">
        <v>0</v>
      </c>
      <c r="AP107" s="32">
        <v>0</v>
      </c>
      <c r="AQ107" s="33"/>
      <c r="AR107" s="33" t="s">
        <v>411</v>
      </c>
      <c r="AS107" s="33" t="s">
        <v>411</v>
      </c>
      <c r="AT107" s="35">
        <v>0</v>
      </c>
      <c r="AU107" s="35">
        <v>0</v>
      </c>
      <c r="AV107" s="35">
        <v>0</v>
      </c>
      <c r="AW107" s="35">
        <v>0</v>
      </c>
      <c r="AX107" s="35">
        <v>0</v>
      </c>
      <c r="AY107" s="35">
        <v>0</v>
      </c>
      <c r="AZ107" s="32">
        <v>0</v>
      </c>
      <c r="BA107" s="32">
        <v>0</v>
      </c>
      <c r="BB107" s="32">
        <v>0</v>
      </c>
      <c r="BC107" s="32">
        <v>0</v>
      </c>
      <c r="BD107" s="35">
        <v>0</v>
      </c>
      <c r="BE107" s="35">
        <v>0</v>
      </c>
      <c r="BF107" s="33" t="s">
        <v>412</v>
      </c>
      <c r="BG107" s="33" t="s">
        <v>412</v>
      </c>
      <c r="BH107" s="33" t="s">
        <v>412</v>
      </c>
    </row>
    <row r="108" spans="1:60" ht="19.5" customHeight="1">
      <c r="A108" s="36">
        <v>105</v>
      </c>
      <c r="B108" s="31" t="s">
        <v>410</v>
      </c>
      <c r="C108" s="37">
        <v>45861</v>
      </c>
      <c r="D108" s="31" t="s">
        <v>334</v>
      </c>
      <c r="E108" s="31">
        <v>7442</v>
      </c>
      <c r="F108" s="31">
        <v>5752</v>
      </c>
      <c r="G108" s="32">
        <v>0.77291050792797633</v>
      </c>
      <c r="H108" s="31">
        <v>3079</v>
      </c>
      <c r="I108" s="33">
        <v>0.41373286750873423</v>
      </c>
      <c r="J108" s="31">
        <v>6099</v>
      </c>
      <c r="K108" s="31">
        <v>5734</v>
      </c>
      <c r="L108" s="32">
        <v>0.94</v>
      </c>
      <c r="M108" s="31">
        <v>7033</v>
      </c>
      <c r="N108" s="31">
        <v>0</v>
      </c>
      <c r="O108" s="31">
        <v>6515</v>
      </c>
      <c r="P108" s="32">
        <v>0.92634722024740512</v>
      </c>
      <c r="Q108" s="31">
        <v>21</v>
      </c>
      <c r="R108" s="31">
        <v>0</v>
      </c>
      <c r="S108" s="31">
        <v>0</v>
      </c>
      <c r="T108" s="32">
        <v>0</v>
      </c>
      <c r="U108" s="31">
        <v>0</v>
      </c>
      <c r="V108" s="32">
        <v>0</v>
      </c>
      <c r="W108" s="31">
        <v>1099</v>
      </c>
      <c r="X108" s="32">
        <v>0.14767535608707341</v>
      </c>
      <c r="Y108" s="31">
        <v>604</v>
      </c>
      <c r="Z108" s="34">
        <v>8.116097823165816E-2</v>
      </c>
      <c r="AA108" s="31">
        <v>66</v>
      </c>
      <c r="AB108" s="32">
        <v>8.868583714055361E-3</v>
      </c>
      <c r="AC108" s="31">
        <v>1126</v>
      </c>
      <c r="AD108" s="32">
        <v>0.15130341306100509</v>
      </c>
      <c r="AE108" s="31">
        <v>40</v>
      </c>
      <c r="AF108" s="32">
        <v>3.5523978685612793E-2</v>
      </c>
      <c r="AG108" s="31">
        <v>403</v>
      </c>
      <c r="AH108" s="32">
        <v>0.35790408525754891</v>
      </c>
      <c r="AI108" s="35">
        <v>1089</v>
      </c>
      <c r="AJ108" s="32">
        <v>0.14633163128191351</v>
      </c>
      <c r="AK108" s="35">
        <v>14</v>
      </c>
      <c r="AL108" s="32">
        <v>0.81450872359963267</v>
      </c>
      <c r="AM108" s="35">
        <v>1063</v>
      </c>
      <c r="AN108" s="35">
        <v>887</v>
      </c>
      <c r="AO108" s="32">
        <v>0.1191883902176834</v>
      </c>
      <c r="AP108" s="32">
        <v>0.78774422735346361</v>
      </c>
      <c r="AQ108" s="33">
        <v>0</v>
      </c>
      <c r="AR108" s="33" t="s">
        <v>411</v>
      </c>
      <c r="AS108" s="33">
        <v>0</v>
      </c>
      <c r="AT108" s="35">
        <v>0</v>
      </c>
      <c r="AU108" s="35">
        <v>0</v>
      </c>
      <c r="AV108" s="35">
        <v>153</v>
      </c>
      <c r="AW108" s="35">
        <v>122</v>
      </c>
      <c r="AX108" s="35">
        <v>124</v>
      </c>
      <c r="AY108" s="35">
        <v>273</v>
      </c>
      <c r="AZ108" s="32">
        <v>1.6393442622950821E-2</v>
      </c>
      <c r="BA108" s="32">
        <v>1.6662187583982802E-2</v>
      </c>
      <c r="BB108" s="32">
        <v>3.6683687180865357E-2</v>
      </c>
      <c r="BC108" s="32">
        <v>0.13979706877113871</v>
      </c>
      <c r="BD108" s="35">
        <v>0</v>
      </c>
      <c r="BE108" s="35">
        <v>3</v>
      </c>
      <c r="BF108" s="33">
        <v>0.91176470588235292</v>
      </c>
      <c r="BG108" s="33">
        <v>1</v>
      </c>
      <c r="BH108" s="33">
        <v>0.99224806201550386</v>
      </c>
    </row>
    <row r="109" spans="1:60" ht="19.5" customHeight="1">
      <c r="A109" s="36">
        <v>106</v>
      </c>
      <c r="B109" s="31" t="s">
        <v>410</v>
      </c>
      <c r="C109" s="37">
        <v>45861</v>
      </c>
      <c r="D109" s="31" t="s">
        <v>337</v>
      </c>
      <c r="E109" s="31">
        <v>131</v>
      </c>
      <c r="F109" s="31">
        <v>112</v>
      </c>
      <c r="G109" s="32">
        <v>0.85496183206106868</v>
      </c>
      <c r="H109" s="31">
        <v>44</v>
      </c>
      <c r="I109" s="33">
        <v>0.33587786259541991</v>
      </c>
      <c r="J109" s="31">
        <v>39</v>
      </c>
      <c r="K109" s="31">
        <v>37</v>
      </c>
      <c r="L109" s="32">
        <v>0.94899999999999995</v>
      </c>
      <c r="M109" s="31">
        <v>51</v>
      </c>
      <c r="N109" s="31">
        <v>0</v>
      </c>
      <c r="O109" s="31">
        <v>49</v>
      </c>
      <c r="P109" s="32">
        <v>0.96078431372549022</v>
      </c>
      <c r="Q109" s="31">
        <v>0</v>
      </c>
      <c r="R109" s="31">
        <v>0</v>
      </c>
      <c r="S109" s="31">
        <v>0</v>
      </c>
      <c r="T109" s="32">
        <v>0</v>
      </c>
      <c r="U109" s="31">
        <v>0</v>
      </c>
      <c r="V109" s="32">
        <v>0</v>
      </c>
      <c r="W109" s="31">
        <v>0</v>
      </c>
      <c r="X109" s="32">
        <v>0</v>
      </c>
      <c r="Y109" s="31">
        <v>0</v>
      </c>
      <c r="Z109" s="34">
        <v>0</v>
      </c>
      <c r="AA109" s="31">
        <v>0</v>
      </c>
      <c r="AB109" s="32">
        <v>0</v>
      </c>
      <c r="AC109" s="31">
        <v>46</v>
      </c>
      <c r="AD109" s="32">
        <v>0.35114503816793891</v>
      </c>
      <c r="AE109" s="31">
        <v>5</v>
      </c>
      <c r="AF109" s="32">
        <v>0.108695652173913</v>
      </c>
      <c r="AG109" s="31">
        <v>29</v>
      </c>
      <c r="AH109" s="32">
        <v>0.63043478260869568</v>
      </c>
      <c r="AI109" s="35">
        <v>0</v>
      </c>
      <c r="AJ109" s="32">
        <v>0</v>
      </c>
      <c r="AK109" s="35">
        <v>0</v>
      </c>
      <c r="AL109" s="32">
        <v>0</v>
      </c>
      <c r="AM109" s="35">
        <v>0</v>
      </c>
      <c r="AN109" s="35">
        <v>0</v>
      </c>
      <c r="AO109" s="32">
        <v>0</v>
      </c>
      <c r="AP109" s="32">
        <v>0</v>
      </c>
      <c r="AQ109" s="33"/>
      <c r="AR109" s="33" t="s">
        <v>411</v>
      </c>
      <c r="AS109" s="33" t="s">
        <v>411</v>
      </c>
      <c r="AT109" s="35">
        <v>0</v>
      </c>
      <c r="AU109" s="35">
        <v>0</v>
      </c>
      <c r="AV109" s="35">
        <v>0</v>
      </c>
      <c r="AW109" s="35">
        <v>0</v>
      </c>
      <c r="AX109" s="35">
        <v>0</v>
      </c>
      <c r="AY109" s="35">
        <v>0</v>
      </c>
      <c r="AZ109" s="32">
        <v>0</v>
      </c>
      <c r="BA109" s="32">
        <v>0</v>
      </c>
      <c r="BB109" s="32">
        <v>0</v>
      </c>
      <c r="BC109" s="32">
        <v>0</v>
      </c>
      <c r="BD109" s="35">
        <v>0</v>
      </c>
      <c r="BE109" s="35">
        <v>0</v>
      </c>
      <c r="BF109" s="33" t="s">
        <v>412</v>
      </c>
      <c r="BG109" s="33" t="s">
        <v>412</v>
      </c>
      <c r="BH109" s="33" t="s">
        <v>412</v>
      </c>
    </row>
    <row r="110" spans="1:60" ht="19.5" customHeight="1">
      <c r="A110" s="36">
        <v>107</v>
      </c>
      <c r="B110" s="31" t="s">
        <v>410</v>
      </c>
      <c r="C110" s="37">
        <v>45861</v>
      </c>
      <c r="D110" s="31" t="s">
        <v>336</v>
      </c>
      <c r="E110" s="31">
        <v>67</v>
      </c>
      <c r="F110" s="31">
        <v>63</v>
      </c>
      <c r="G110" s="32">
        <v>0.94029850746268662</v>
      </c>
      <c r="H110" s="31">
        <v>45</v>
      </c>
      <c r="I110" s="33">
        <v>0.67164179104477617</v>
      </c>
      <c r="J110" s="31">
        <v>38</v>
      </c>
      <c r="K110" s="31">
        <v>35</v>
      </c>
      <c r="L110" s="32">
        <v>0.92100000000000004</v>
      </c>
      <c r="M110" s="31">
        <v>67</v>
      </c>
      <c r="N110" s="31">
        <v>0</v>
      </c>
      <c r="O110" s="31">
        <v>64</v>
      </c>
      <c r="P110" s="32">
        <v>0.95522388059701491</v>
      </c>
      <c r="Q110" s="31">
        <v>0</v>
      </c>
      <c r="R110" s="31">
        <v>0</v>
      </c>
      <c r="S110" s="31">
        <v>0</v>
      </c>
      <c r="T110" s="32">
        <v>0</v>
      </c>
      <c r="U110" s="31">
        <v>0</v>
      </c>
      <c r="V110" s="32">
        <v>0</v>
      </c>
      <c r="W110" s="31">
        <v>0</v>
      </c>
      <c r="X110" s="32">
        <v>0</v>
      </c>
      <c r="Y110" s="31">
        <v>0</v>
      </c>
      <c r="Z110" s="34">
        <v>0</v>
      </c>
      <c r="AA110" s="31">
        <v>0</v>
      </c>
      <c r="AB110" s="32">
        <v>0</v>
      </c>
      <c r="AC110" s="31">
        <v>23</v>
      </c>
      <c r="AD110" s="32">
        <v>0.34328358208955218</v>
      </c>
      <c r="AE110" s="31">
        <v>0</v>
      </c>
      <c r="AF110" s="32">
        <v>0</v>
      </c>
      <c r="AG110" s="31">
        <v>15</v>
      </c>
      <c r="AH110" s="32">
        <v>0.65217391304347827</v>
      </c>
      <c r="AI110" s="35">
        <v>0</v>
      </c>
      <c r="AJ110" s="32">
        <v>0</v>
      </c>
      <c r="AK110" s="35">
        <v>0</v>
      </c>
      <c r="AL110" s="32">
        <v>0</v>
      </c>
      <c r="AM110" s="35">
        <v>0</v>
      </c>
      <c r="AN110" s="35">
        <v>0</v>
      </c>
      <c r="AO110" s="32">
        <v>0</v>
      </c>
      <c r="AP110" s="32">
        <v>0</v>
      </c>
      <c r="AQ110" s="33"/>
      <c r="AR110" s="33" t="s">
        <v>411</v>
      </c>
      <c r="AS110" s="33" t="s">
        <v>411</v>
      </c>
      <c r="AT110" s="35">
        <v>0</v>
      </c>
      <c r="AU110" s="35">
        <v>0</v>
      </c>
      <c r="AV110" s="35">
        <v>0</v>
      </c>
      <c r="AW110" s="35">
        <v>0</v>
      </c>
      <c r="AX110" s="35">
        <v>0</v>
      </c>
      <c r="AY110" s="35">
        <v>0</v>
      </c>
      <c r="AZ110" s="32">
        <v>0</v>
      </c>
      <c r="BA110" s="32">
        <v>0</v>
      </c>
      <c r="BB110" s="32">
        <v>0</v>
      </c>
      <c r="BC110" s="32">
        <v>0</v>
      </c>
      <c r="BD110" s="35">
        <v>0</v>
      </c>
      <c r="BE110" s="35">
        <v>0</v>
      </c>
      <c r="BF110" s="33" t="s">
        <v>412</v>
      </c>
      <c r="BG110" s="33" t="s">
        <v>412</v>
      </c>
      <c r="BH110" s="33" t="s">
        <v>412</v>
      </c>
    </row>
    <row r="111" spans="1:60" ht="19.5" customHeight="1">
      <c r="A111" s="36">
        <v>108</v>
      </c>
      <c r="B111" s="31" t="s">
        <v>410</v>
      </c>
      <c r="C111" s="37">
        <v>45862</v>
      </c>
      <c r="D111" s="31" t="s">
        <v>335</v>
      </c>
      <c r="E111" s="31">
        <v>65</v>
      </c>
      <c r="F111" s="31">
        <v>63</v>
      </c>
      <c r="G111" s="32">
        <v>0.96923076923076923</v>
      </c>
      <c r="H111" s="31">
        <v>31</v>
      </c>
      <c r="I111" s="33">
        <v>0.47692307692307689</v>
      </c>
      <c r="J111" s="31">
        <v>34</v>
      </c>
      <c r="K111" s="31">
        <v>34</v>
      </c>
      <c r="L111" s="32">
        <v>1</v>
      </c>
      <c r="M111" s="31">
        <v>51</v>
      </c>
      <c r="N111" s="31">
        <v>0</v>
      </c>
      <c r="O111" s="31">
        <v>50</v>
      </c>
      <c r="P111" s="32">
        <v>0.98039215686274506</v>
      </c>
      <c r="Q111" s="31">
        <v>0</v>
      </c>
      <c r="R111" s="31">
        <v>0</v>
      </c>
      <c r="S111" s="31">
        <v>0</v>
      </c>
      <c r="T111" s="32">
        <v>0</v>
      </c>
      <c r="U111" s="31">
        <v>0</v>
      </c>
      <c r="V111" s="32">
        <v>0</v>
      </c>
      <c r="W111" s="31">
        <v>0</v>
      </c>
      <c r="X111" s="32">
        <v>0</v>
      </c>
      <c r="Y111" s="31">
        <v>0</v>
      </c>
      <c r="Z111" s="34">
        <v>0</v>
      </c>
      <c r="AA111" s="31">
        <v>0</v>
      </c>
      <c r="AB111" s="32">
        <v>0</v>
      </c>
      <c r="AC111" s="31">
        <v>24</v>
      </c>
      <c r="AD111" s="32">
        <v>0.36923076923076931</v>
      </c>
      <c r="AE111" s="31">
        <v>2</v>
      </c>
      <c r="AF111" s="32">
        <v>8.3333333333333329E-2</v>
      </c>
      <c r="AG111" s="31">
        <v>13</v>
      </c>
      <c r="AH111" s="32">
        <v>0.54166666666666663</v>
      </c>
      <c r="AI111" s="35">
        <v>0</v>
      </c>
      <c r="AJ111" s="32">
        <v>0</v>
      </c>
      <c r="AK111" s="35">
        <v>0</v>
      </c>
      <c r="AL111" s="32">
        <v>0</v>
      </c>
      <c r="AM111" s="35">
        <v>0</v>
      </c>
      <c r="AN111" s="35">
        <v>0</v>
      </c>
      <c r="AO111" s="32">
        <v>0</v>
      </c>
      <c r="AP111" s="32">
        <v>0</v>
      </c>
      <c r="AQ111" s="33"/>
      <c r="AR111" s="33" t="s">
        <v>411</v>
      </c>
      <c r="AS111" s="33" t="s">
        <v>411</v>
      </c>
      <c r="AT111" s="35">
        <v>0</v>
      </c>
      <c r="AU111" s="35">
        <v>0</v>
      </c>
      <c r="AV111" s="35">
        <v>0</v>
      </c>
      <c r="AW111" s="35">
        <v>0</v>
      </c>
      <c r="AX111" s="35">
        <v>0</v>
      </c>
      <c r="AY111" s="35">
        <v>0</v>
      </c>
      <c r="AZ111" s="32">
        <v>0</v>
      </c>
      <c r="BA111" s="32">
        <v>0</v>
      </c>
      <c r="BB111" s="32">
        <v>0</v>
      </c>
      <c r="BC111" s="32">
        <v>0</v>
      </c>
      <c r="BD111" s="35">
        <v>0</v>
      </c>
      <c r="BE111" s="35">
        <v>0</v>
      </c>
      <c r="BF111" s="33" t="s">
        <v>412</v>
      </c>
      <c r="BG111" s="33" t="s">
        <v>412</v>
      </c>
      <c r="BH111" s="33" t="s">
        <v>412</v>
      </c>
    </row>
    <row r="112" spans="1:60" ht="19.5" customHeight="1">
      <c r="A112" s="36">
        <v>109</v>
      </c>
      <c r="B112" s="31" t="s">
        <v>410</v>
      </c>
      <c r="C112" s="37">
        <v>45862</v>
      </c>
      <c r="D112" s="31" t="s">
        <v>334</v>
      </c>
      <c r="E112" s="31">
        <v>7279</v>
      </c>
      <c r="F112" s="31">
        <v>5618</v>
      </c>
      <c r="G112" s="32">
        <v>0.77180931446627288</v>
      </c>
      <c r="H112" s="31">
        <v>2925</v>
      </c>
      <c r="I112" s="33">
        <v>0.40184091221321611</v>
      </c>
      <c r="J112" s="31">
        <v>5840</v>
      </c>
      <c r="K112" s="31">
        <v>5546</v>
      </c>
      <c r="L112" s="32">
        <v>0.95</v>
      </c>
      <c r="M112" s="31">
        <v>6771</v>
      </c>
      <c r="N112" s="31">
        <v>0</v>
      </c>
      <c r="O112" s="31">
        <v>6378</v>
      </c>
      <c r="P112" s="32">
        <v>0.94195835179441734</v>
      </c>
      <c r="Q112" s="31">
        <v>12</v>
      </c>
      <c r="R112" s="31">
        <v>0</v>
      </c>
      <c r="S112" s="31">
        <v>0</v>
      </c>
      <c r="T112" s="32">
        <v>0</v>
      </c>
      <c r="U112" s="31">
        <v>0</v>
      </c>
      <c r="V112" s="32">
        <v>0</v>
      </c>
      <c r="W112" s="31">
        <v>993</v>
      </c>
      <c r="X112" s="32">
        <v>0.13641983788982001</v>
      </c>
      <c r="Y112" s="31">
        <v>1091</v>
      </c>
      <c r="Z112" s="34">
        <v>0.1498832257178184</v>
      </c>
      <c r="AA112" s="31">
        <v>69</v>
      </c>
      <c r="AB112" s="32">
        <v>9.4793240829784305E-3</v>
      </c>
      <c r="AC112" s="31">
        <v>1109</v>
      </c>
      <c r="AD112" s="32">
        <v>0.15235609286989971</v>
      </c>
      <c r="AE112" s="31">
        <v>43</v>
      </c>
      <c r="AF112" s="32">
        <v>3.87736699729486E-2</v>
      </c>
      <c r="AG112" s="31">
        <v>394</v>
      </c>
      <c r="AH112" s="32">
        <v>0.35527502254283139</v>
      </c>
      <c r="AI112" s="35">
        <v>1092</v>
      </c>
      <c r="AJ112" s="32">
        <v>0.15002060722626731</v>
      </c>
      <c r="AK112" s="35">
        <v>28</v>
      </c>
      <c r="AL112" s="32">
        <v>0.81776556776556775</v>
      </c>
      <c r="AM112" s="35">
        <v>1064</v>
      </c>
      <c r="AN112" s="35">
        <v>893</v>
      </c>
      <c r="AO112" s="32">
        <v>0.1226816870449238</v>
      </c>
      <c r="AP112" s="32">
        <v>0.80522993688007216</v>
      </c>
      <c r="AQ112" s="33">
        <v>0</v>
      </c>
      <c r="AR112" s="33" t="s">
        <v>411</v>
      </c>
      <c r="AS112" s="33">
        <v>0</v>
      </c>
      <c r="AT112" s="35">
        <v>0</v>
      </c>
      <c r="AU112" s="35">
        <v>0</v>
      </c>
      <c r="AV112" s="35">
        <v>141</v>
      </c>
      <c r="AW112" s="35">
        <v>96</v>
      </c>
      <c r="AX112" s="35">
        <v>101</v>
      </c>
      <c r="AY112" s="35">
        <v>225</v>
      </c>
      <c r="AZ112" s="32">
        <v>1.3188624811100429E-2</v>
      </c>
      <c r="BA112" s="32">
        <v>1.387553235334524E-2</v>
      </c>
      <c r="BB112" s="32">
        <v>3.0910839401016622E-2</v>
      </c>
      <c r="BC112" s="32">
        <v>0.11310190369540871</v>
      </c>
      <c r="BD112" s="35">
        <v>0</v>
      </c>
      <c r="BE112" s="35">
        <v>2</v>
      </c>
      <c r="BF112" s="33">
        <v>0.98461538461538467</v>
      </c>
      <c r="BG112" s="33">
        <v>1</v>
      </c>
      <c r="BH112" s="33">
        <v>0.95199999999999996</v>
      </c>
    </row>
    <row r="113" spans="1:60" ht="19.5" customHeight="1">
      <c r="A113" s="36">
        <v>110</v>
      </c>
      <c r="B113" s="31" t="s">
        <v>410</v>
      </c>
      <c r="C113" s="37">
        <v>45862</v>
      </c>
      <c r="D113" s="31" t="s">
        <v>337</v>
      </c>
      <c r="E113" s="31">
        <v>137</v>
      </c>
      <c r="F113" s="31">
        <v>129</v>
      </c>
      <c r="G113" s="32">
        <v>0.94160583941605835</v>
      </c>
      <c r="H113" s="31">
        <v>53</v>
      </c>
      <c r="I113" s="33">
        <v>0.38686131386861322</v>
      </c>
      <c r="J113" s="31">
        <v>35</v>
      </c>
      <c r="K113" s="31">
        <v>34</v>
      </c>
      <c r="L113" s="32">
        <v>0.97099999999999997</v>
      </c>
      <c r="M113" s="31">
        <v>48</v>
      </c>
      <c r="N113" s="31">
        <v>0</v>
      </c>
      <c r="O113" s="31">
        <v>47</v>
      </c>
      <c r="P113" s="32">
        <v>0.97916666666666663</v>
      </c>
      <c r="Q113" s="31">
        <v>0</v>
      </c>
      <c r="R113" s="31">
        <v>0</v>
      </c>
      <c r="S113" s="31">
        <v>0</v>
      </c>
      <c r="T113" s="32">
        <v>0</v>
      </c>
      <c r="U113" s="31">
        <v>0</v>
      </c>
      <c r="V113" s="32">
        <v>0</v>
      </c>
      <c r="W113" s="31">
        <v>0</v>
      </c>
      <c r="X113" s="32">
        <v>0</v>
      </c>
      <c r="Y113" s="31">
        <v>0</v>
      </c>
      <c r="Z113" s="34">
        <v>0</v>
      </c>
      <c r="AA113" s="31">
        <v>0</v>
      </c>
      <c r="AB113" s="32">
        <v>0</v>
      </c>
      <c r="AC113" s="31">
        <v>38</v>
      </c>
      <c r="AD113" s="32">
        <v>0.27737226277372262</v>
      </c>
      <c r="AE113" s="31">
        <v>3</v>
      </c>
      <c r="AF113" s="32">
        <v>7.8947368421052627E-2</v>
      </c>
      <c r="AG113" s="31">
        <v>28</v>
      </c>
      <c r="AH113" s="32">
        <v>0.73684210526315785</v>
      </c>
      <c r="AI113" s="35">
        <v>0</v>
      </c>
      <c r="AJ113" s="32">
        <v>0</v>
      </c>
      <c r="AK113" s="35">
        <v>0</v>
      </c>
      <c r="AL113" s="32">
        <v>0</v>
      </c>
      <c r="AM113" s="35">
        <v>0</v>
      </c>
      <c r="AN113" s="35">
        <v>0</v>
      </c>
      <c r="AO113" s="32">
        <v>0</v>
      </c>
      <c r="AP113" s="32">
        <v>0</v>
      </c>
      <c r="AQ113" s="33"/>
      <c r="AR113" s="33" t="s">
        <v>411</v>
      </c>
      <c r="AS113" s="33" t="s">
        <v>411</v>
      </c>
      <c r="AT113" s="35">
        <v>0</v>
      </c>
      <c r="AU113" s="35">
        <v>0</v>
      </c>
      <c r="AV113" s="35">
        <v>0</v>
      </c>
      <c r="AW113" s="35">
        <v>0</v>
      </c>
      <c r="AX113" s="35">
        <v>0</v>
      </c>
      <c r="AY113" s="35">
        <v>0</v>
      </c>
      <c r="AZ113" s="32">
        <v>0</v>
      </c>
      <c r="BA113" s="32">
        <v>0</v>
      </c>
      <c r="BB113" s="32">
        <v>0</v>
      </c>
      <c r="BC113" s="32">
        <v>0</v>
      </c>
      <c r="BD113" s="35">
        <v>0</v>
      </c>
      <c r="BE113" s="35">
        <v>0</v>
      </c>
      <c r="BF113" s="33" t="s">
        <v>412</v>
      </c>
      <c r="BG113" s="33" t="s">
        <v>412</v>
      </c>
      <c r="BH113" s="33" t="s">
        <v>412</v>
      </c>
    </row>
    <row r="114" spans="1:60" ht="19.5" customHeight="1">
      <c r="A114" s="36">
        <v>111</v>
      </c>
      <c r="B114" s="31" t="s">
        <v>410</v>
      </c>
      <c r="C114" s="37">
        <v>45862</v>
      </c>
      <c r="D114" s="31" t="s">
        <v>336</v>
      </c>
      <c r="E114" s="31">
        <v>73</v>
      </c>
      <c r="F114" s="31">
        <v>69</v>
      </c>
      <c r="G114" s="32">
        <v>0.9452054794520548</v>
      </c>
      <c r="H114" s="31">
        <v>53</v>
      </c>
      <c r="I114" s="33">
        <v>0.72602739726027399</v>
      </c>
      <c r="J114" s="31">
        <v>37</v>
      </c>
      <c r="K114" s="31">
        <v>35</v>
      </c>
      <c r="L114" s="32">
        <v>0.94599999999999995</v>
      </c>
      <c r="M114" s="31">
        <v>59</v>
      </c>
      <c r="N114" s="31">
        <v>0</v>
      </c>
      <c r="O114" s="31">
        <v>56</v>
      </c>
      <c r="P114" s="32">
        <v>0.94915254237288138</v>
      </c>
      <c r="Q114" s="31">
        <v>0</v>
      </c>
      <c r="R114" s="31">
        <v>0</v>
      </c>
      <c r="S114" s="31">
        <v>0</v>
      </c>
      <c r="T114" s="32">
        <v>0</v>
      </c>
      <c r="U114" s="31">
        <v>0</v>
      </c>
      <c r="V114" s="32">
        <v>0</v>
      </c>
      <c r="W114" s="31">
        <v>0</v>
      </c>
      <c r="X114" s="32">
        <v>0</v>
      </c>
      <c r="Y114" s="31">
        <v>0</v>
      </c>
      <c r="Z114" s="34">
        <v>0</v>
      </c>
      <c r="AA114" s="31">
        <v>0</v>
      </c>
      <c r="AB114" s="32">
        <v>0</v>
      </c>
      <c r="AC114" s="31">
        <v>32</v>
      </c>
      <c r="AD114" s="32">
        <v>0.43835616438356162</v>
      </c>
      <c r="AE114" s="31">
        <v>1</v>
      </c>
      <c r="AF114" s="32">
        <v>3.125E-2</v>
      </c>
      <c r="AG114" s="31">
        <v>25</v>
      </c>
      <c r="AH114" s="32">
        <v>0.78125</v>
      </c>
      <c r="AI114" s="35">
        <v>0</v>
      </c>
      <c r="AJ114" s="32">
        <v>0</v>
      </c>
      <c r="AK114" s="35">
        <v>0</v>
      </c>
      <c r="AL114" s="32">
        <v>0</v>
      </c>
      <c r="AM114" s="35">
        <v>0</v>
      </c>
      <c r="AN114" s="35">
        <v>0</v>
      </c>
      <c r="AO114" s="32">
        <v>0</v>
      </c>
      <c r="AP114" s="32">
        <v>0</v>
      </c>
      <c r="AQ114" s="33"/>
      <c r="AR114" s="33" t="s">
        <v>411</v>
      </c>
      <c r="AS114" s="33" t="s">
        <v>411</v>
      </c>
      <c r="AT114" s="35">
        <v>0</v>
      </c>
      <c r="AU114" s="35">
        <v>0</v>
      </c>
      <c r="AV114" s="35">
        <v>0</v>
      </c>
      <c r="AW114" s="35">
        <v>0</v>
      </c>
      <c r="AX114" s="35">
        <v>0</v>
      </c>
      <c r="AY114" s="35">
        <v>0</v>
      </c>
      <c r="AZ114" s="32">
        <v>0</v>
      </c>
      <c r="BA114" s="32">
        <v>0</v>
      </c>
      <c r="BB114" s="32">
        <v>0</v>
      </c>
      <c r="BC114" s="32">
        <v>0</v>
      </c>
      <c r="BD114" s="35">
        <v>0</v>
      </c>
      <c r="BE114" s="35">
        <v>0</v>
      </c>
      <c r="BF114" s="33" t="s">
        <v>412</v>
      </c>
      <c r="BG114" s="33" t="s">
        <v>412</v>
      </c>
      <c r="BH114" s="33" t="s">
        <v>412</v>
      </c>
    </row>
    <row r="115" spans="1:60" ht="19.5" customHeight="1">
      <c r="A115" s="36">
        <v>112</v>
      </c>
      <c r="B115" s="31" t="s">
        <v>410</v>
      </c>
      <c r="C115" s="37">
        <v>45863</v>
      </c>
      <c r="D115" s="31" t="s">
        <v>413</v>
      </c>
      <c r="E115" s="31">
        <v>4</v>
      </c>
      <c r="F115" s="31">
        <v>4</v>
      </c>
      <c r="G115" s="32">
        <v>1</v>
      </c>
      <c r="H115" s="31">
        <v>1</v>
      </c>
      <c r="I115" s="33">
        <v>0.25</v>
      </c>
      <c r="J115" s="31">
        <v>1</v>
      </c>
      <c r="K115" s="31">
        <v>1</v>
      </c>
      <c r="L115" s="32">
        <v>1</v>
      </c>
      <c r="M115" s="31">
        <v>1</v>
      </c>
      <c r="N115" s="31">
        <v>0</v>
      </c>
      <c r="O115" s="31">
        <v>1</v>
      </c>
      <c r="P115" s="32">
        <v>1</v>
      </c>
      <c r="Q115" s="31">
        <v>0</v>
      </c>
      <c r="R115" s="31">
        <v>0</v>
      </c>
      <c r="S115" s="31">
        <v>0</v>
      </c>
      <c r="T115" s="32">
        <v>0</v>
      </c>
      <c r="U115" s="31">
        <v>0</v>
      </c>
      <c r="V115" s="32">
        <v>0</v>
      </c>
      <c r="W115" s="31">
        <v>0</v>
      </c>
      <c r="X115" s="32">
        <v>0</v>
      </c>
      <c r="Y115" s="31">
        <v>0</v>
      </c>
      <c r="Z115" s="34">
        <v>0</v>
      </c>
      <c r="AA115" s="31">
        <v>0</v>
      </c>
      <c r="AB115" s="32">
        <v>0</v>
      </c>
      <c r="AC115" s="31">
        <v>1</v>
      </c>
      <c r="AD115" s="32">
        <v>0.25</v>
      </c>
      <c r="AE115" s="31">
        <v>0</v>
      </c>
      <c r="AF115" s="32">
        <v>0</v>
      </c>
      <c r="AG115" s="31">
        <v>1</v>
      </c>
      <c r="AH115" s="32">
        <v>1</v>
      </c>
      <c r="AI115" s="35">
        <v>0</v>
      </c>
      <c r="AJ115" s="32">
        <v>0</v>
      </c>
      <c r="AK115" s="35">
        <v>0</v>
      </c>
      <c r="AL115" s="32">
        <v>0</v>
      </c>
      <c r="AM115" s="35">
        <v>0</v>
      </c>
      <c r="AN115" s="35">
        <v>0</v>
      </c>
      <c r="AO115" s="32">
        <v>0</v>
      </c>
      <c r="AP115" s="32">
        <v>0</v>
      </c>
      <c r="AQ115" s="33"/>
      <c r="AR115" s="33" t="s">
        <v>411</v>
      </c>
      <c r="AS115" s="33" t="s">
        <v>411</v>
      </c>
      <c r="AT115" s="35">
        <v>0</v>
      </c>
      <c r="AU115" s="35">
        <v>0</v>
      </c>
      <c r="AV115" s="35">
        <v>0</v>
      </c>
      <c r="AW115" s="35">
        <v>0</v>
      </c>
      <c r="AX115" s="35">
        <v>0</v>
      </c>
      <c r="AY115" s="35">
        <v>0</v>
      </c>
      <c r="AZ115" s="32">
        <v>0</v>
      </c>
      <c r="BA115" s="32">
        <v>0</v>
      </c>
      <c r="BB115" s="32">
        <v>0</v>
      </c>
      <c r="BC115" s="32">
        <v>0</v>
      </c>
      <c r="BD115" s="35">
        <v>0</v>
      </c>
      <c r="BE115" s="35">
        <v>0</v>
      </c>
      <c r="BF115" s="33" t="s">
        <v>412</v>
      </c>
      <c r="BG115" s="33" t="s">
        <v>412</v>
      </c>
      <c r="BH115" s="33" t="s">
        <v>412</v>
      </c>
    </row>
    <row r="116" spans="1:60" ht="19.5" customHeight="1">
      <c r="A116" s="36">
        <v>113</v>
      </c>
      <c r="B116" s="31" t="s">
        <v>410</v>
      </c>
      <c r="C116" s="37">
        <v>45863</v>
      </c>
      <c r="D116" s="31" t="s">
        <v>335</v>
      </c>
      <c r="E116" s="31">
        <v>66</v>
      </c>
      <c r="F116" s="31">
        <v>62</v>
      </c>
      <c r="G116" s="32">
        <v>0.93939393939393945</v>
      </c>
      <c r="H116" s="31">
        <v>38</v>
      </c>
      <c r="I116" s="33">
        <v>0.5757575757575758</v>
      </c>
      <c r="J116" s="31">
        <v>36</v>
      </c>
      <c r="K116" s="31">
        <v>36</v>
      </c>
      <c r="L116" s="32">
        <v>1</v>
      </c>
      <c r="M116" s="31">
        <v>58</v>
      </c>
      <c r="N116" s="31">
        <v>0</v>
      </c>
      <c r="O116" s="31">
        <v>58</v>
      </c>
      <c r="P116" s="32">
        <v>1</v>
      </c>
      <c r="Q116" s="31">
        <v>0</v>
      </c>
      <c r="R116" s="31">
        <v>0</v>
      </c>
      <c r="S116" s="31">
        <v>0</v>
      </c>
      <c r="T116" s="32">
        <v>0</v>
      </c>
      <c r="U116" s="31">
        <v>0</v>
      </c>
      <c r="V116" s="32">
        <v>0</v>
      </c>
      <c r="W116" s="31">
        <v>0</v>
      </c>
      <c r="X116" s="32">
        <v>0</v>
      </c>
      <c r="Y116" s="31">
        <v>0</v>
      </c>
      <c r="Z116" s="34">
        <v>0</v>
      </c>
      <c r="AA116" s="31">
        <v>0</v>
      </c>
      <c r="AB116" s="32">
        <v>0</v>
      </c>
      <c r="AC116" s="31">
        <v>18</v>
      </c>
      <c r="AD116" s="32">
        <v>0.27272727272727271</v>
      </c>
      <c r="AE116" s="31">
        <v>1</v>
      </c>
      <c r="AF116" s="32">
        <v>5.5555555555555552E-2</v>
      </c>
      <c r="AG116" s="31">
        <v>12</v>
      </c>
      <c r="AH116" s="32">
        <v>0.66666666666666663</v>
      </c>
      <c r="AI116" s="35">
        <v>0</v>
      </c>
      <c r="AJ116" s="32">
        <v>0</v>
      </c>
      <c r="AK116" s="35">
        <v>0</v>
      </c>
      <c r="AL116" s="32">
        <v>0</v>
      </c>
      <c r="AM116" s="35">
        <v>0</v>
      </c>
      <c r="AN116" s="35">
        <v>0</v>
      </c>
      <c r="AO116" s="32">
        <v>0</v>
      </c>
      <c r="AP116" s="32">
        <v>0</v>
      </c>
      <c r="AQ116" s="33"/>
      <c r="AR116" s="33" t="s">
        <v>411</v>
      </c>
      <c r="AS116" s="33" t="s">
        <v>411</v>
      </c>
      <c r="AT116" s="35">
        <v>0</v>
      </c>
      <c r="AU116" s="35">
        <v>0</v>
      </c>
      <c r="AV116" s="35">
        <v>0</v>
      </c>
      <c r="AW116" s="35">
        <v>0</v>
      </c>
      <c r="AX116" s="35">
        <v>0</v>
      </c>
      <c r="AY116" s="35">
        <v>0</v>
      </c>
      <c r="AZ116" s="32">
        <v>0</v>
      </c>
      <c r="BA116" s="32">
        <v>0</v>
      </c>
      <c r="BB116" s="32">
        <v>0</v>
      </c>
      <c r="BC116" s="32">
        <v>0</v>
      </c>
      <c r="BD116" s="35">
        <v>0</v>
      </c>
      <c r="BE116" s="35">
        <v>0</v>
      </c>
      <c r="BF116" s="33" t="s">
        <v>412</v>
      </c>
      <c r="BG116" s="33" t="s">
        <v>412</v>
      </c>
      <c r="BH116" s="33" t="s">
        <v>412</v>
      </c>
    </row>
    <row r="117" spans="1:60" ht="19.5" customHeight="1">
      <c r="A117" s="36">
        <v>114</v>
      </c>
      <c r="B117" s="31" t="s">
        <v>410</v>
      </c>
      <c r="C117" s="37">
        <v>45863</v>
      </c>
      <c r="D117" s="31" t="s">
        <v>334</v>
      </c>
      <c r="E117" s="31">
        <v>8127</v>
      </c>
      <c r="F117" s="31">
        <v>6310</v>
      </c>
      <c r="G117" s="32">
        <v>0.77642426479635784</v>
      </c>
      <c r="H117" s="31">
        <v>3134</v>
      </c>
      <c r="I117" s="33">
        <v>0.38562815307001352</v>
      </c>
      <c r="J117" s="31">
        <v>5685</v>
      </c>
      <c r="K117" s="31">
        <v>5438</v>
      </c>
      <c r="L117" s="32">
        <v>0.95699999999999996</v>
      </c>
      <c r="M117" s="31">
        <v>6645</v>
      </c>
      <c r="N117" s="31">
        <v>0</v>
      </c>
      <c r="O117" s="31">
        <v>6254</v>
      </c>
      <c r="P117" s="32">
        <v>0.9411587659894658</v>
      </c>
      <c r="Q117" s="31">
        <v>24</v>
      </c>
      <c r="R117" s="31">
        <v>0</v>
      </c>
      <c r="S117" s="31">
        <v>0</v>
      </c>
      <c r="T117" s="32">
        <v>0</v>
      </c>
      <c r="U117" s="31">
        <v>0</v>
      </c>
      <c r="V117" s="32">
        <v>0</v>
      </c>
      <c r="W117" s="31">
        <v>923</v>
      </c>
      <c r="X117" s="32">
        <v>0.1135720438046019</v>
      </c>
      <c r="Y117" s="31">
        <v>1545</v>
      </c>
      <c r="Z117" s="34">
        <v>0.19010705057216681</v>
      </c>
      <c r="AA117" s="31">
        <v>69</v>
      </c>
      <c r="AB117" s="32">
        <v>8.4902177925433742E-3</v>
      </c>
      <c r="AC117" s="31">
        <v>1231</v>
      </c>
      <c r="AD117" s="32">
        <v>0.15147040728436079</v>
      </c>
      <c r="AE117" s="31">
        <v>38</v>
      </c>
      <c r="AF117" s="32">
        <v>3.0869212022745739E-2</v>
      </c>
      <c r="AG117" s="31">
        <v>412</v>
      </c>
      <c r="AH117" s="32">
        <v>0.33468724614134848</v>
      </c>
      <c r="AI117" s="35">
        <v>1230</v>
      </c>
      <c r="AJ117" s="32">
        <v>0.15134736064968621</v>
      </c>
      <c r="AK117" s="35">
        <v>27</v>
      </c>
      <c r="AL117" s="32">
        <v>0.78536585365853662</v>
      </c>
      <c r="AM117" s="35">
        <v>1176</v>
      </c>
      <c r="AN117" s="35">
        <v>966</v>
      </c>
      <c r="AO117" s="32">
        <v>0.1188630490956072</v>
      </c>
      <c r="AP117" s="32">
        <v>0.78472786352558899</v>
      </c>
      <c r="AQ117" s="33">
        <v>0</v>
      </c>
      <c r="AR117" s="33" t="s">
        <v>411</v>
      </c>
      <c r="AS117" s="33">
        <v>0</v>
      </c>
      <c r="AT117" s="35">
        <v>0</v>
      </c>
      <c r="AU117" s="35">
        <v>0</v>
      </c>
      <c r="AV117" s="35">
        <v>125</v>
      </c>
      <c r="AW117" s="35">
        <v>101</v>
      </c>
      <c r="AX117" s="35">
        <v>111</v>
      </c>
      <c r="AY117" s="35">
        <v>251</v>
      </c>
      <c r="AZ117" s="32">
        <v>1.242771010212871E-2</v>
      </c>
      <c r="BA117" s="32">
        <v>1.3658176448874119E-2</v>
      </c>
      <c r="BB117" s="32">
        <v>3.0884705303309959E-2</v>
      </c>
      <c r="BC117" s="32">
        <v>0.1149068322981366</v>
      </c>
      <c r="BD117" s="35">
        <v>0</v>
      </c>
      <c r="BE117" s="35">
        <v>1</v>
      </c>
      <c r="BF117" s="33">
        <v>0.95833333333333337</v>
      </c>
      <c r="BG117" s="33">
        <v>1</v>
      </c>
      <c r="BH117" s="33">
        <v>0.97391304347826091</v>
      </c>
    </row>
    <row r="118" spans="1:60" ht="19.5" customHeight="1">
      <c r="A118" s="36">
        <v>115</v>
      </c>
      <c r="B118" s="31" t="s">
        <v>410</v>
      </c>
      <c r="C118" s="37">
        <v>45863</v>
      </c>
      <c r="D118" s="31" t="s">
        <v>337</v>
      </c>
      <c r="E118" s="31">
        <v>136</v>
      </c>
      <c r="F118" s="31">
        <v>118</v>
      </c>
      <c r="G118" s="32">
        <v>0.86764705882352944</v>
      </c>
      <c r="H118" s="31">
        <v>56</v>
      </c>
      <c r="I118" s="33">
        <v>0.41176470588235292</v>
      </c>
      <c r="J118" s="31">
        <v>26</v>
      </c>
      <c r="K118" s="31">
        <v>25</v>
      </c>
      <c r="L118" s="32">
        <v>0.96199999999999997</v>
      </c>
      <c r="M118" s="31">
        <v>53</v>
      </c>
      <c r="N118" s="31">
        <v>0</v>
      </c>
      <c r="O118" s="31">
        <v>51</v>
      </c>
      <c r="P118" s="32">
        <v>0.96226415094339623</v>
      </c>
      <c r="Q118" s="31">
        <v>0</v>
      </c>
      <c r="R118" s="31">
        <v>0</v>
      </c>
      <c r="S118" s="31">
        <v>0</v>
      </c>
      <c r="T118" s="32">
        <v>0</v>
      </c>
      <c r="U118" s="31">
        <v>0</v>
      </c>
      <c r="V118" s="32">
        <v>0</v>
      </c>
      <c r="W118" s="31">
        <v>0</v>
      </c>
      <c r="X118" s="32">
        <v>0</v>
      </c>
      <c r="Y118" s="31">
        <v>0</v>
      </c>
      <c r="Z118" s="34">
        <v>0</v>
      </c>
      <c r="AA118" s="31">
        <v>0</v>
      </c>
      <c r="AB118" s="32">
        <v>0</v>
      </c>
      <c r="AC118" s="31">
        <v>56</v>
      </c>
      <c r="AD118" s="32">
        <v>0.41176470588235292</v>
      </c>
      <c r="AE118" s="31">
        <v>4</v>
      </c>
      <c r="AF118" s="32">
        <v>7.1428571428571425E-2</v>
      </c>
      <c r="AG118" s="31">
        <v>41</v>
      </c>
      <c r="AH118" s="32">
        <v>0.7321428571428571</v>
      </c>
      <c r="AI118" s="35">
        <v>0</v>
      </c>
      <c r="AJ118" s="32">
        <v>0</v>
      </c>
      <c r="AK118" s="35">
        <v>0</v>
      </c>
      <c r="AL118" s="32">
        <v>0</v>
      </c>
      <c r="AM118" s="35">
        <v>0</v>
      </c>
      <c r="AN118" s="35">
        <v>0</v>
      </c>
      <c r="AO118" s="32">
        <v>0</v>
      </c>
      <c r="AP118" s="32">
        <v>0</v>
      </c>
      <c r="AQ118" s="33"/>
      <c r="AR118" s="33" t="s">
        <v>411</v>
      </c>
      <c r="AS118" s="33" t="s">
        <v>411</v>
      </c>
      <c r="AT118" s="35">
        <v>0</v>
      </c>
      <c r="AU118" s="35">
        <v>0</v>
      </c>
      <c r="AV118" s="35">
        <v>0</v>
      </c>
      <c r="AW118" s="35">
        <v>0</v>
      </c>
      <c r="AX118" s="35">
        <v>0</v>
      </c>
      <c r="AY118" s="35">
        <v>0</v>
      </c>
      <c r="AZ118" s="32">
        <v>0</v>
      </c>
      <c r="BA118" s="32">
        <v>0</v>
      </c>
      <c r="BB118" s="32">
        <v>0</v>
      </c>
      <c r="BC118" s="32">
        <v>0</v>
      </c>
      <c r="BD118" s="35">
        <v>0</v>
      </c>
      <c r="BE118" s="35">
        <v>0</v>
      </c>
      <c r="BF118" s="33" t="s">
        <v>412</v>
      </c>
      <c r="BG118" s="33" t="s">
        <v>412</v>
      </c>
      <c r="BH118" s="33" t="s">
        <v>412</v>
      </c>
    </row>
    <row r="119" spans="1:60" ht="19.5" customHeight="1">
      <c r="A119" s="36">
        <v>116</v>
      </c>
      <c r="B119" s="31" t="s">
        <v>410</v>
      </c>
      <c r="C119" s="37">
        <v>45863</v>
      </c>
      <c r="D119" s="31" t="s">
        <v>336</v>
      </c>
      <c r="E119" s="31">
        <v>69</v>
      </c>
      <c r="F119" s="31">
        <v>67</v>
      </c>
      <c r="G119" s="32">
        <v>0.97101449275362317</v>
      </c>
      <c r="H119" s="31">
        <v>42</v>
      </c>
      <c r="I119" s="33">
        <v>0.60869565217391308</v>
      </c>
      <c r="J119" s="31">
        <v>46</v>
      </c>
      <c r="K119" s="31">
        <v>45</v>
      </c>
      <c r="L119" s="32">
        <v>0.97799999999999998</v>
      </c>
      <c r="M119" s="31">
        <v>67</v>
      </c>
      <c r="N119" s="31">
        <v>0</v>
      </c>
      <c r="O119" s="31">
        <v>63</v>
      </c>
      <c r="P119" s="32">
        <v>0.94029850746268662</v>
      </c>
      <c r="Q119" s="31">
        <v>0</v>
      </c>
      <c r="R119" s="31">
        <v>0</v>
      </c>
      <c r="S119" s="31">
        <v>0</v>
      </c>
      <c r="T119" s="32">
        <v>0</v>
      </c>
      <c r="U119" s="31">
        <v>0</v>
      </c>
      <c r="V119" s="32">
        <v>0</v>
      </c>
      <c r="W119" s="31">
        <v>0</v>
      </c>
      <c r="X119" s="32">
        <v>0</v>
      </c>
      <c r="Y119" s="31">
        <v>0</v>
      </c>
      <c r="Z119" s="34">
        <v>0</v>
      </c>
      <c r="AA119" s="31">
        <v>0</v>
      </c>
      <c r="AB119" s="32">
        <v>0</v>
      </c>
      <c r="AC119" s="31">
        <v>29</v>
      </c>
      <c r="AD119" s="32">
        <v>0.42028985507246369</v>
      </c>
      <c r="AE119" s="31">
        <v>0</v>
      </c>
      <c r="AF119" s="32">
        <v>0</v>
      </c>
      <c r="AG119" s="31">
        <v>17</v>
      </c>
      <c r="AH119" s="32">
        <v>0.58620689655172409</v>
      </c>
      <c r="AI119" s="35">
        <v>0</v>
      </c>
      <c r="AJ119" s="32">
        <v>0</v>
      </c>
      <c r="AK119" s="35">
        <v>0</v>
      </c>
      <c r="AL119" s="32">
        <v>0</v>
      </c>
      <c r="AM119" s="35">
        <v>0</v>
      </c>
      <c r="AN119" s="35">
        <v>0</v>
      </c>
      <c r="AO119" s="32">
        <v>0</v>
      </c>
      <c r="AP119" s="32">
        <v>0</v>
      </c>
      <c r="AQ119" s="33">
        <v>0</v>
      </c>
      <c r="AR119" s="33" t="s">
        <v>411</v>
      </c>
      <c r="AS119" s="33">
        <v>0</v>
      </c>
      <c r="AT119" s="35">
        <v>0</v>
      </c>
      <c r="AU119" s="35">
        <v>0</v>
      </c>
      <c r="AV119" s="35">
        <v>0</v>
      </c>
      <c r="AW119" s="35">
        <v>0</v>
      </c>
      <c r="AX119" s="35">
        <v>0</v>
      </c>
      <c r="AY119" s="35">
        <v>0</v>
      </c>
      <c r="AZ119" s="32">
        <v>0</v>
      </c>
      <c r="BA119" s="32">
        <v>0</v>
      </c>
      <c r="BB119" s="32">
        <v>0</v>
      </c>
      <c r="BC119" s="32">
        <v>0</v>
      </c>
      <c r="BD119" s="35">
        <v>0</v>
      </c>
      <c r="BE119" s="35">
        <v>0</v>
      </c>
      <c r="BF119" s="33" t="s">
        <v>412</v>
      </c>
      <c r="BG119" s="33" t="s">
        <v>412</v>
      </c>
      <c r="BH119" s="33" t="s">
        <v>412</v>
      </c>
    </row>
    <row r="120" spans="1:60" ht="19.5" customHeight="1">
      <c r="A120" s="36">
        <v>117</v>
      </c>
      <c r="B120" s="31" t="s">
        <v>410</v>
      </c>
      <c r="C120" s="37">
        <v>45864</v>
      </c>
      <c r="D120" s="31" t="s">
        <v>413</v>
      </c>
      <c r="E120" s="31">
        <v>1</v>
      </c>
      <c r="F120" s="31">
        <v>1</v>
      </c>
      <c r="G120" s="32">
        <v>1</v>
      </c>
      <c r="H120" s="31">
        <v>0</v>
      </c>
      <c r="I120" s="33">
        <v>0</v>
      </c>
      <c r="J120" s="31">
        <v>1</v>
      </c>
      <c r="K120" s="31">
        <v>1</v>
      </c>
      <c r="L120" s="32">
        <v>1</v>
      </c>
      <c r="M120" s="31">
        <v>1</v>
      </c>
      <c r="N120" s="31">
        <v>0</v>
      </c>
      <c r="O120" s="31">
        <v>1</v>
      </c>
      <c r="P120" s="32">
        <v>1</v>
      </c>
      <c r="Q120" s="31">
        <v>0</v>
      </c>
      <c r="R120" s="31">
        <v>0</v>
      </c>
      <c r="S120" s="31">
        <v>0</v>
      </c>
      <c r="T120" s="32">
        <v>0</v>
      </c>
      <c r="U120" s="31">
        <v>0</v>
      </c>
      <c r="V120" s="32">
        <v>0</v>
      </c>
      <c r="W120" s="31">
        <v>0</v>
      </c>
      <c r="X120" s="32">
        <v>0</v>
      </c>
      <c r="Y120" s="31">
        <v>0</v>
      </c>
      <c r="Z120" s="34">
        <v>0</v>
      </c>
      <c r="AA120" s="31">
        <v>0</v>
      </c>
      <c r="AB120" s="32">
        <v>0</v>
      </c>
      <c r="AC120" s="31">
        <v>1</v>
      </c>
      <c r="AD120" s="32">
        <v>1</v>
      </c>
      <c r="AE120" s="31">
        <v>0</v>
      </c>
      <c r="AF120" s="32">
        <v>0</v>
      </c>
      <c r="AG120" s="31">
        <v>0</v>
      </c>
      <c r="AH120" s="32">
        <v>0</v>
      </c>
      <c r="AI120" s="35">
        <v>1</v>
      </c>
      <c r="AJ120" s="32">
        <v>1</v>
      </c>
      <c r="AK120" s="35">
        <v>0</v>
      </c>
      <c r="AL120" s="32">
        <v>0</v>
      </c>
      <c r="AM120" s="35">
        <v>0</v>
      </c>
      <c r="AN120" s="35">
        <v>0</v>
      </c>
      <c r="AO120" s="32">
        <v>0</v>
      </c>
      <c r="AP120" s="32">
        <v>0</v>
      </c>
      <c r="AQ120" s="33"/>
      <c r="AR120" s="33" t="s">
        <v>411</v>
      </c>
      <c r="AS120" s="33" t="s">
        <v>411</v>
      </c>
      <c r="AT120" s="35">
        <v>0</v>
      </c>
      <c r="AU120" s="35">
        <v>0</v>
      </c>
      <c r="AV120" s="35">
        <v>0</v>
      </c>
      <c r="AW120" s="35">
        <v>0</v>
      </c>
      <c r="AX120" s="35">
        <v>0</v>
      </c>
      <c r="AY120" s="35">
        <v>0</v>
      </c>
      <c r="AZ120" s="32">
        <v>0</v>
      </c>
      <c r="BA120" s="32">
        <v>0</v>
      </c>
      <c r="BB120" s="32">
        <v>0</v>
      </c>
      <c r="BC120" s="32">
        <v>0</v>
      </c>
      <c r="BD120" s="35">
        <v>0</v>
      </c>
      <c r="BE120" s="35">
        <v>0</v>
      </c>
      <c r="BF120" s="33" t="s">
        <v>412</v>
      </c>
      <c r="BG120" s="33" t="s">
        <v>412</v>
      </c>
      <c r="BH120" s="33" t="s">
        <v>412</v>
      </c>
    </row>
    <row r="121" spans="1:60" ht="19.5" customHeight="1">
      <c r="A121" s="36">
        <v>118</v>
      </c>
      <c r="B121" s="31" t="s">
        <v>410</v>
      </c>
      <c r="C121" s="37">
        <v>45864</v>
      </c>
      <c r="D121" s="31" t="s">
        <v>335</v>
      </c>
      <c r="E121" s="31">
        <v>92</v>
      </c>
      <c r="F121" s="31">
        <v>86</v>
      </c>
      <c r="G121" s="32">
        <v>0.93478260869565222</v>
      </c>
      <c r="H121" s="31">
        <v>46</v>
      </c>
      <c r="I121" s="33">
        <v>0.5</v>
      </c>
      <c r="J121" s="31">
        <v>37</v>
      </c>
      <c r="K121" s="31">
        <v>33</v>
      </c>
      <c r="L121" s="32">
        <v>0.89200000000000002</v>
      </c>
      <c r="M121" s="31">
        <v>62</v>
      </c>
      <c r="N121" s="31">
        <v>0</v>
      </c>
      <c r="O121" s="31">
        <v>54</v>
      </c>
      <c r="P121" s="32">
        <v>0.87096774193548387</v>
      </c>
      <c r="Q121" s="31">
        <v>0</v>
      </c>
      <c r="R121" s="31">
        <v>0</v>
      </c>
      <c r="S121" s="31">
        <v>0</v>
      </c>
      <c r="T121" s="32">
        <v>0</v>
      </c>
      <c r="U121" s="31">
        <v>0</v>
      </c>
      <c r="V121" s="32">
        <v>0</v>
      </c>
      <c r="W121" s="31">
        <v>0</v>
      </c>
      <c r="X121" s="32">
        <v>0</v>
      </c>
      <c r="Y121" s="31">
        <v>0</v>
      </c>
      <c r="Z121" s="34">
        <v>0</v>
      </c>
      <c r="AA121" s="31">
        <v>0</v>
      </c>
      <c r="AB121" s="32">
        <v>0</v>
      </c>
      <c r="AC121" s="31">
        <v>26</v>
      </c>
      <c r="AD121" s="32">
        <v>0.28260869565217389</v>
      </c>
      <c r="AE121" s="31">
        <v>2</v>
      </c>
      <c r="AF121" s="32">
        <v>7.6923076923076927E-2</v>
      </c>
      <c r="AG121" s="31">
        <v>19</v>
      </c>
      <c r="AH121" s="32">
        <v>0.73076923076923073</v>
      </c>
      <c r="AI121" s="35">
        <v>0</v>
      </c>
      <c r="AJ121" s="32">
        <v>0</v>
      </c>
      <c r="AK121" s="35">
        <v>0</v>
      </c>
      <c r="AL121" s="32">
        <v>0</v>
      </c>
      <c r="AM121" s="35">
        <v>0</v>
      </c>
      <c r="AN121" s="35">
        <v>0</v>
      </c>
      <c r="AO121" s="32">
        <v>0</v>
      </c>
      <c r="AP121" s="32">
        <v>0</v>
      </c>
      <c r="AQ121" s="33"/>
      <c r="AR121" s="33" t="s">
        <v>411</v>
      </c>
      <c r="AS121" s="33" t="s">
        <v>411</v>
      </c>
      <c r="AT121" s="35">
        <v>0</v>
      </c>
      <c r="AU121" s="35">
        <v>0</v>
      </c>
      <c r="AV121" s="35">
        <v>0</v>
      </c>
      <c r="AW121" s="35">
        <v>0</v>
      </c>
      <c r="AX121" s="35">
        <v>0</v>
      </c>
      <c r="AY121" s="35">
        <v>0</v>
      </c>
      <c r="AZ121" s="32">
        <v>0</v>
      </c>
      <c r="BA121" s="32">
        <v>0</v>
      </c>
      <c r="BB121" s="32">
        <v>0</v>
      </c>
      <c r="BC121" s="32">
        <v>0</v>
      </c>
      <c r="BD121" s="35">
        <v>0</v>
      </c>
      <c r="BE121" s="35">
        <v>0</v>
      </c>
      <c r="BF121" s="33" t="s">
        <v>412</v>
      </c>
      <c r="BG121" s="33" t="s">
        <v>412</v>
      </c>
      <c r="BH121" s="33" t="s">
        <v>412</v>
      </c>
    </row>
    <row r="122" spans="1:60" ht="19.5" customHeight="1">
      <c r="A122" s="36">
        <v>119</v>
      </c>
      <c r="B122" s="31" t="s">
        <v>410</v>
      </c>
      <c r="C122" s="37">
        <v>45864</v>
      </c>
      <c r="D122" s="31" t="s">
        <v>334</v>
      </c>
      <c r="E122" s="31">
        <v>9618</v>
      </c>
      <c r="F122" s="31">
        <v>7359</v>
      </c>
      <c r="G122" s="32">
        <v>0.76512788521522146</v>
      </c>
      <c r="H122" s="31">
        <v>3559</v>
      </c>
      <c r="I122" s="33">
        <v>0.37003535038469543</v>
      </c>
      <c r="J122" s="31">
        <v>6282</v>
      </c>
      <c r="K122" s="31">
        <v>6004</v>
      </c>
      <c r="L122" s="32">
        <v>0.95599999999999996</v>
      </c>
      <c r="M122" s="31">
        <v>7326</v>
      </c>
      <c r="N122" s="31">
        <v>0</v>
      </c>
      <c r="O122" s="31">
        <v>6918</v>
      </c>
      <c r="P122" s="32">
        <v>0.94430794430794429</v>
      </c>
      <c r="Q122" s="31">
        <v>15</v>
      </c>
      <c r="R122" s="31">
        <v>0</v>
      </c>
      <c r="S122" s="31">
        <v>0</v>
      </c>
      <c r="T122" s="32">
        <v>0</v>
      </c>
      <c r="U122" s="31">
        <v>0</v>
      </c>
      <c r="V122" s="32">
        <v>0</v>
      </c>
      <c r="W122" s="31">
        <v>752</v>
      </c>
      <c r="X122" s="32">
        <v>7.8186733208567269E-2</v>
      </c>
      <c r="Y122" s="31">
        <v>1071</v>
      </c>
      <c r="Z122" s="34">
        <v>0.111353711790393</v>
      </c>
      <c r="AA122" s="31">
        <v>65</v>
      </c>
      <c r="AB122" s="32">
        <v>6.7581617799958409E-3</v>
      </c>
      <c r="AC122" s="31">
        <v>1896</v>
      </c>
      <c r="AD122" s="32">
        <v>0.19713038053649409</v>
      </c>
      <c r="AE122" s="31">
        <v>70</v>
      </c>
      <c r="AF122" s="32">
        <v>3.6919831223628692E-2</v>
      </c>
      <c r="AG122" s="31">
        <v>817</v>
      </c>
      <c r="AH122" s="32">
        <v>0.43090717299578057</v>
      </c>
      <c r="AI122" s="35">
        <v>1833</v>
      </c>
      <c r="AJ122" s="32">
        <v>0.1905801621958827</v>
      </c>
      <c r="AK122" s="35">
        <v>47</v>
      </c>
      <c r="AL122" s="32">
        <v>0.81505728314238957</v>
      </c>
      <c r="AM122" s="35">
        <v>1767</v>
      </c>
      <c r="AN122" s="35">
        <v>1494</v>
      </c>
      <c r="AO122" s="32">
        <v>0.15533374922021209</v>
      </c>
      <c r="AP122" s="32">
        <v>0.78797468354430378</v>
      </c>
      <c r="AQ122" s="33">
        <v>0</v>
      </c>
      <c r="AR122" s="33" t="s">
        <v>411</v>
      </c>
      <c r="AS122" s="33">
        <v>0</v>
      </c>
      <c r="AT122" s="35">
        <v>0</v>
      </c>
      <c r="AU122" s="35">
        <v>0</v>
      </c>
      <c r="AV122" s="35">
        <v>227</v>
      </c>
      <c r="AW122" s="35">
        <v>212</v>
      </c>
      <c r="AX122" s="35">
        <v>199</v>
      </c>
      <c r="AY122" s="35">
        <v>201</v>
      </c>
      <c r="AZ122" s="32">
        <v>2.2042004574755671E-2</v>
      </c>
      <c r="BA122" s="32">
        <v>2.0690372218756501E-2</v>
      </c>
      <c r="BB122" s="32">
        <v>2.089831565814099E-2</v>
      </c>
      <c r="BC122" s="32">
        <v>0.13319946452476569</v>
      </c>
      <c r="BD122" s="35">
        <v>0</v>
      </c>
      <c r="BE122" s="35">
        <v>2</v>
      </c>
      <c r="BF122" s="33">
        <v>0.98863636363636365</v>
      </c>
      <c r="BG122" s="33">
        <v>1</v>
      </c>
      <c r="BH122" s="33">
        <v>0.92035398230088494</v>
      </c>
    </row>
    <row r="123" spans="1:60" ht="19.5" customHeight="1">
      <c r="A123" s="36">
        <v>120</v>
      </c>
      <c r="B123" s="31" t="s">
        <v>410</v>
      </c>
      <c r="C123" s="37">
        <v>45864</v>
      </c>
      <c r="D123" s="31" t="s">
        <v>337</v>
      </c>
      <c r="E123" s="31">
        <v>189</v>
      </c>
      <c r="F123" s="31">
        <v>175</v>
      </c>
      <c r="G123" s="32">
        <v>0.92592592592592593</v>
      </c>
      <c r="H123" s="31">
        <v>72</v>
      </c>
      <c r="I123" s="33">
        <v>0.38095238095238088</v>
      </c>
      <c r="J123" s="31">
        <v>58</v>
      </c>
      <c r="K123" s="31">
        <v>55</v>
      </c>
      <c r="L123" s="32">
        <v>0.94799999999999995</v>
      </c>
      <c r="M123" s="31">
        <v>80</v>
      </c>
      <c r="N123" s="31">
        <v>0</v>
      </c>
      <c r="O123" s="31">
        <v>74</v>
      </c>
      <c r="P123" s="32">
        <v>0.92500000000000004</v>
      </c>
      <c r="Q123" s="31">
        <v>0</v>
      </c>
      <c r="R123" s="31">
        <v>0</v>
      </c>
      <c r="S123" s="31">
        <v>0</v>
      </c>
      <c r="T123" s="32">
        <v>0</v>
      </c>
      <c r="U123" s="31">
        <v>0</v>
      </c>
      <c r="V123" s="32">
        <v>0</v>
      </c>
      <c r="W123" s="31">
        <v>0</v>
      </c>
      <c r="X123" s="32">
        <v>0</v>
      </c>
      <c r="Y123" s="31">
        <v>0</v>
      </c>
      <c r="Z123" s="34">
        <v>0</v>
      </c>
      <c r="AA123" s="31">
        <v>0</v>
      </c>
      <c r="AB123" s="32">
        <v>0</v>
      </c>
      <c r="AC123" s="31">
        <v>54</v>
      </c>
      <c r="AD123" s="32">
        <v>0.2857142857142857</v>
      </c>
      <c r="AE123" s="31">
        <v>3</v>
      </c>
      <c r="AF123" s="32">
        <v>5.5555555555555552E-2</v>
      </c>
      <c r="AG123" s="31">
        <v>32</v>
      </c>
      <c r="AH123" s="32">
        <v>0.59259259259259256</v>
      </c>
      <c r="AI123" s="35">
        <v>0</v>
      </c>
      <c r="AJ123" s="32">
        <v>0</v>
      </c>
      <c r="AK123" s="35">
        <v>0</v>
      </c>
      <c r="AL123" s="32">
        <v>0</v>
      </c>
      <c r="AM123" s="35">
        <v>0</v>
      </c>
      <c r="AN123" s="35">
        <v>0</v>
      </c>
      <c r="AO123" s="32">
        <v>0</v>
      </c>
      <c r="AP123" s="32">
        <v>0</v>
      </c>
      <c r="AQ123" s="33"/>
      <c r="AR123" s="33" t="s">
        <v>411</v>
      </c>
      <c r="AS123" s="33" t="s">
        <v>411</v>
      </c>
      <c r="AT123" s="35">
        <v>0</v>
      </c>
      <c r="AU123" s="35">
        <v>0</v>
      </c>
      <c r="AV123" s="35">
        <v>0</v>
      </c>
      <c r="AW123" s="35">
        <v>0</v>
      </c>
      <c r="AX123" s="35">
        <v>0</v>
      </c>
      <c r="AY123" s="35">
        <v>0</v>
      </c>
      <c r="AZ123" s="32">
        <v>0</v>
      </c>
      <c r="BA123" s="32">
        <v>0</v>
      </c>
      <c r="BB123" s="32">
        <v>0</v>
      </c>
      <c r="BC123" s="32">
        <v>0</v>
      </c>
      <c r="BD123" s="35">
        <v>0</v>
      </c>
      <c r="BE123" s="35">
        <v>0</v>
      </c>
      <c r="BF123" s="33" t="s">
        <v>412</v>
      </c>
      <c r="BG123" s="33" t="s">
        <v>412</v>
      </c>
      <c r="BH123" s="33" t="s">
        <v>412</v>
      </c>
    </row>
    <row r="124" spans="1:60" ht="19.5" customHeight="1">
      <c r="A124" s="36">
        <v>121</v>
      </c>
      <c r="B124" s="31" t="s">
        <v>410</v>
      </c>
      <c r="C124" s="37">
        <v>45864</v>
      </c>
      <c r="D124" s="31" t="s">
        <v>336</v>
      </c>
      <c r="E124" s="31">
        <v>71</v>
      </c>
      <c r="F124" s="31">
        <v>67</v>
      </c>
      <c r="G124" s="32">
        <v>0.94366197183098588</v>
      </c>
      <c r="H124" s="31">
        <v>44</v>
      </c>
      <c r="I124" s="33">
        <v>0.61971830985915488</v>
      </c>
      <c r="J124" s="31">
        <v>32</v>
      </c>
      <c r="K124" s="31">
        <v>32</v>
      </c>
      <c r="L124" s="32">
        <v>1</v>
      </c>
      <c r="M124" s="31">
        <v>63</v>
      </c>
      <c r="N124" s="31">
        <v>0</v>
      </c>
      <c r="O124" s="31">
        <v>62</v>
      </c>
      <c r="P124" s="32">
        <v>0.98412698412698407</v>
      </c>
      <c r="Q124" s="31">
        <v>0</v>
      </c>
      <c r="R124" s="31">
        <v>0</v>
      </c>
      <c r="S124" s="31">
        <v>0</v>
      </c>
      <c r="T124" s="32">
        <v>0</v>
      </c>
      <c r="U124" s="31">
        <v>0</v>
      </c>
      <c r="V124" s="32">
        <v>0</v>
      </c>
      <c r="W124" s="31">
        <v>0</v>
      </c>
      <c r="X124" s="32">
        <v>0</v>
      </c>
      <c r="Y124" s="31">
        <v>0</v>
      </c>
      <c r="Z124" s="34">
        <v>0</v>
      </c>
      <c r="AA124" s="31">
        <v>0</v>
      </c>
      <c r="AB124" s="32">
        <v>0</v>
      </c>
      <c r="AC124" s="31">
        <v>20</v>
      </c>
      <c r="AD124" s="32">
        <v>0.28169014084507038</v>
      </c>
      <c r="AE124" s="31">
        <v>3</v>
      </c>
      <c r="AF124" s="32">
        <v>0.15</v>
      </c>
      <c r="AG124" s="31">
        <v>14</v>
      </c>
      <c r="AH124" s="32">
        <v>0.7</v>
      </c>
      <c r="AI124" s="35">
        <v>0</v>
      </c>
      <c r="AJ124" s="32">
        <v>0</v>
      </c>
      <c r="AK124" s="35">
        <v>0</v>
      </c>
      <c r="AL124" s="32">
        <v>0</v>
      </c>
      <c r="AM124" s="35">
        <v>0</v>
      </c>
      <c r="AN124" s="35">
        <v>0</v>
      </c>
      <c r="AO124" s="32">
        <v>0</v>
      </c>
      <c r="AP124" s="32">
        <v>0</v>
      </c>
      <c r="AQ124" s="33"/>
      <c r="AR124" s="33" t="s">
        <v>411</v>
      </c>
      <c r="AS124" s="33" t="s">
        <v>411</v>
      </c>
      <c r="AT124" s="35">
        <v>0</v>
      </c>
      <c r="AU124" s="35">
        <v>0</v>
      </c>
      <c r="AV124" s="35">
        <v>0</v>
      </c>
      <c r="AW124" s="35">
        <v>0</v>
      </c>
      <c r="AX124" s="35">
        <v>0</v>
      </c>
      <c r="AY124" s="35">
        <v>0</v>
      </c>
      <c r="AZ124" s="32">
        <v>0</v>
      </c>
      <c r="BA124" s="32">
        <v>0</v>
      </c>
      <c r="BB124" s="32">
        <v>0</v>
      </c>
      <c r="BC124" s="32">
        <v>0</v>
      </c>
      <c r="BD124" s="35">
        <v>0</v>
      </c>
      <c r="BE124" s="35">
        <v>0</v>
      </c>
      <c r="BF124" s="33" t="s">
        <v>412</v>
      </c>
      <c r="BG124" s="33" t="s">
        <v>412</v>
      </c>
      <c r="BH124" s="33" t="s">
        <v>412</v>
      </c>
    </row>
    <row r="125" spans="1:60" ht="19.5" customHeight="1">
      <c r="A125" s="36">
        <v>122</v>
      </c>
      <c r="B125" s="31" t="s">
        <v>410</v>
      </c>
      <c r="C125" s="37">
        <v>45865</v>
      </c>
      <c r="D125" s="31" t="s">
        <v>335</v>
      </c>
      <c r="E125" s="31">
        <v>69</v>
      </c>
      <c r="F125" s="31">
        <v>63</v>
      </c>
      <c r="G125" s="32">
        <v>0.91304347826086951</v>
      </c>
      <c r="H125" s="31">
        <v>36</v>
      </c>
      <c r="I125" s="33">
        <v>0.52173913043478259</v>
      </c>
      <c r="J125" s="31">
        <v>40</v>
      </c>
      <c r="K125" s="31">
        <v>39</v>
      </c>
      <c r="L125" s="32">
        <v>0.97499999999999998</v>
      </c>
      <c r="M125" s="31">
        <v>63</v>
      </c>
      <c r="N125" s="31">
        <v>0</v>
      </c>
      <c r="O125" s="31">
        <v>62</v>
      </c>
      <c r="P125" s="32">
        <v>0.98412698412698407</v>
      </c>
      <c r="Q125" s="31">
        <v>0</v>
      </c>
      <c r="R125" s="31">
        <v>0</v>
      </c>
      <c r="S125" s="31">
        <v>0</v>
      </c>
      <c r="T125" s="32">
        <v>0</v>
      </c>
      <c r="U125" s="31">
        <v>0</v>
      </c>
      <c r="V125" s="32">
        <v>0</v>
      </c>
      <c r="W125" s="31">
        <v>0</v>
      </c>
      <c r="X125" s="32">
        <v>0</v>
      </c>
      <c r="Y125" s="31">
        <v>0</v>
      </c>
      <c r="Z125" s="34">
        <v>0</v>
      </c>
      <c r="AA125" s="31">
        <v>0</v>
      </c>
      <c r="AB125" s="32">
        <v>0</v>
      </c>
      <c r="AC125" s="31">
        <v>23</v>
      </c>
      <c r="AD125" s="32">
        <v>0.33333333333333331</v>
      </c>
      <c r="AE125" s="31">
        <v>1</v>
      </c>
      <c r="AF125" s="32">
        <v>4.3478260869565223E-2</v>
      </c>
      <c r="AG125" s="31">
        <v>18</v>
      </c>
      <c r="AH125" s="32">
        <v>0.78260869565217395</v>
      </c>
      <c r="AI125" s="35">
        <v>0</v>
      </c>
      <c r="AJ125" s="32">
        <v>0</v>
      </c>
      <c r="AK125" s="35">
        <v>0</v>
      </c>
      <c r="AL125" s="32">
        <v>0</v>
      </c>
      <c r="AM125" s="35">
        <v>0</v>
      </c>
      <c r="AN125" s="35">
        <v>0</v>
      </c>
      <c r="AO125" s="32">
        <v>0</v>
      </c>
      <c r="AP125" s="32">
        <v>0</v>
      </c>
      <c r="AQ125" s="33"/>
      <c r="AR125" s="33" t="s">
        <v>411</v>
      </c>
      <c r="AS125" s="33" t="s">
        <v>411</v>
      </c>
      <c r="AT125" s="35">
        <v>0</v>
      </c>
      <c r="AU125" s="35">
        <v>0</v>
      </c>
      <c r="AV125" s="35">
        <v>0</v>
      </c>
      <c r="AW125" s="35">
        <v>0</v>
      </c>
      <c r="AX125" s="35">
        <v>0</v>
      </c>
      <c r="AY125" s="35">
        <v>0</v>
      </c>
      <c r="AZ125" s="32">
        <v>0</v>
      </c>
      <c r="BA125" s="32">
        <v>0</v>
      </c>
      <c r="BB125" s="32">
        <v>0</v>
      </c>
      <c r="BC125" s="32">
        <v>0</v>
      </c>
      <c r="BD125" s="35">
        <v>0</v>
      </c>
      <c r="BE125" s="35">
        <v>0</v>
      </c>
      <c r="BF125" s="33" t="s">
        <v>412</v>
      </c>
      <c r="BG125" s="33" t="s">
        <v>412</v>
      </c>
      <c r="BH125" s="33" t="s">
        <v>412</v>
      </c>
    </row>
    <row r="126" spans="1:60" ht="19.5" customHeight="1">
      <c r="A126" s="36">
        <v>123</v>
      </c>
      <c r="B126" s="31" t="s">
        <v>410</v>
      </c>
      <c r="C126" s="37">
        <v>45865</v>
      </c>
      <c r="D126" s="31" t="s">
        <v>334</v>
      </c>
      <c r="E126" s="31">
        <v>8811</v>
      </c>
      <c r="F126" s="31">
        <v>7152</v>
      </c>
      <c r="G126" s="32">
        <v>0.81171263193735099</v>
      </c>
      <c r="H126" s="31">
        <v>3562</v>
      </c>
      <c r="I126" s="33">
        <v>0.40426739303143799</v>
      </c>
      <c r="J126" s="31">
        <v>7533</v>
      </c>
      <c r="K126" s="31">
        <v>7226</v>
      </c>
      <c r="L126" s="32">
        <v>0.95899999999999996</v>
      </c>
      <c r="M126" s="31">
        <v>9108</v>
      </c>
      <c r="N126" s="31">
        <v>0</v>
      </c>
      <c r="O126" s="31">
        <v>8609</v>
      </c>
      <c r="P126" s="32">
        <v>0.94521299956082561</v>
      </c>
      <c r="Q126" s="31">
        <v>24</v>
      </c>
      <c r="R126" s="31">
        <v>0</v>
      </c>
      <c r="S126" s="31">
        <v>0</v>
      </c>
      <c r="T126" s="32">
        <v>0</v>
      </c>
      <c r="U126" s="31">
        <v>0</v>
      </c>
      <c r="V126" s="32">
        <v>0</v>
      </c>
      <c r="W126" s="31">
        <v>1002</v>
      </c>
      <c r="X126" s="32">
        <v>0.1137214845080014</v>
      </c>
      <c r="Y126" s="31">
        <v>775</v>
      </c>
      <c r="Z126" s="34">
        <v>8.7958234025649756E-2</v>
      </c>
      <c r="AA126" s="31">
        <v>189</v>
      </c>
      <c r="AB126" s="32">
        <v>2.1450459652706848E-2</v>
      </c>
      <c r="AC126" s="31">
        <v>1795</v>
      </c>
      <c r="AD126" s="32">
        <v>0.2037226194529565</v>
      </c>
      <c r="AE126" s="31">
        <v>71</v>
      </c>
      <c r="AF126" s="32">
        <v>3.9554317548746519E-2</v>
      </c>
      <c r="AG126" s="31">
        <v>774</v>
      </c>
      <c r="AH126" s="32">
        <v>0.43119777158774381</v>
      </c>
      <c r="AI126" s="35">
        <v>1739</v>
      </c>
      <c r="AJ126" s="32">
        <v>0.19736692770400641</v>
      </c>
      <c r="AK126" s="35">
        <v>43</v>
      </c>
      <c r="AL126" s="32">
        <v>0.82863714778608399</v>
      </c>
      <c r="AM126" s="35">
        <v>1684</v>
      </c>
      <c r="AN126" s="35">
        <v>1441</v>
      </c>
      <c r="AO126" s="32">
        <v>0.1635455680399501</v>
      </c>
      <c r="AP126" s="32">
        <v>0.80278551532033426</v>
      </c>
      <c r="AQ126" s="33">
        <v>0</v>
      </c>
      <c r="AR126" s="33" t="s">
        <v>411</v>
      </c>
      <c r="AS126" s="33">
        <v>0</v>
      </c>
      <c r="AT126" s="35">
        <v>0</v>
      </c>
      <c r="AU126" s="35">
        <v>0</v>
      </c>
      <c r="AV126" s="35">
        <v>277</v>
      </c>
      <c r="AW126" s="35">
        <v>262</v>
      </c>
      <c r="AX126" s="35">
        <v>247</v>
      </c>
      <c r="AY126" s="35">
        <v>153</v>
      </c>
      <c r="AZ126" s="32">
        <v>2.9735557825445461E-2</v>
      </c>
      <c r="BA126" s="32">
        <v>2.8033140392690951E-2</v>
      </c>
      <c r="BB126" s="32">
        <v>1.7364657814096011E-2</v>
      </c>
      <c r="BC126" s="32">
        <v>0.1714087439278279</v>
      </c>
      <c r="BD126" s="35">
        <v>0</v>
      </c>
      <c r="BE126" s="35">
        <v>2</v>
      </c>
      <c r="BF126" s="33">
        <v>0.95876288659793818</v>
      </c>
      <c r="BG126" s="33">
        <v>0.93939393939393945</v>
      </c>
      <c r="BH126" s="33">
        <v>0.96</v>
      </c>
    </row>
    <row r="127" spans="1:60" ht="19.5" customHeight="1">
      <c r="A127" s="36">
        <v>124</v>
      </c>
      <c r="B127" s="31" t="s">
        <v>410</v>
      </c>
      <c r="C127" s="37">
        <v>45865</v>
      </c>
      <c r="D127" s="31" t="s">
        <v>337</v>
      </c>
      <c r="E127" s="31">
        <v>147</v>
      </c>
      <c r="F127" s="31">
        <v>129</v>
      </c>
      <c r="G127" s="32">
        <v>0.87755102040816324</v>
      </c>
      <c r="H127" s="31">
        <v>55</v>
      </c>
      <c r="I127" s="33">
        <v>0.37414965986394561</v>
      </c>
      <c r="J127" s="31">
        <v>51</v>
      </c>
      <c r="K127" s="31">
        <v>47</v>
      </c>
      <c r="L127" s="32">
        <v>0.92200000000000004</v>
      </c>
      <c r="M127" s="31">
        <v>62</v>
      </c>
      <c r="N127" s="31">
        <v>0</v>
      </c>
      <c r="O127" s="31">
        <v>58</v>
      </c>
      <c r="P127" s="32">
        <v>0.93548387096774188</v>
      </c>
      <c r="Q127" s="31">
        <v>0</v>
      </c>
      <c r="R127" s="31">
        <v>0</v>
      </c>
      <c r="S127" s="31">
        <v>0</v>
      </c>
      <c r="T127" s="32">
        <v>0</v>
      </c>
      <c r="U127" s="31">
        <v>0</v>
      </c>
      <c r="V127" s="32">
        <v>0</v>
      </c>
      <c r="W127" s="31">
        <v>0</v>
      </c>
      <c r="X127" s="32">
        <v>0</v>
      </c>
      <c r="Y127" s="31">
        <v>0</v>
      </c>
      <c r="Z127" s="34">
        <v>0</v>
      </c>
      <c r="AA127" s="31">
        <v>0</v>
      </c>
      <c r="AB127" s="32">
        <v>0</v>
      </c>
      <c r="AC127" s="31">
        <v>46</v>
      </c>
      <c r="AD127" s="32">
        <v>0.31292517006802723</v>
      </c>
      <c r="AE127" s="31">
        <v>3</v>
      </c>
      <c r="AF127" s="32">
        <v>6.5217391304347824E-2</v>
      </c>
      <c r="AG127" s="31">
        <v>25</v>
      </c>
      <c r="AH127" s="32">
        <v>0.54347826086956519</v>
      </c>
      <c r="AI127" s="35">
        <v>1</v>
      </c>
      <c r="AJ127" s="32">
        <v>6.8027210884353739E-3</v>
      </c>
      <c r="AK127" s="35">
        <v>0</v>
      </c>
      <c r="AL127" s="32">
        <v>0</v>
      </c>
      <c r="AM127" s="35">
        <v>0</v>
      </c>
      <c r="AN127" s="35">
        <v>0</v>
      </c>
      <c r="AO127" s="32">
        <v>0</v>
      </c>
      <c r="AP127" s="32">
        <v>0</v>
      </c>
      <c r="AQ127" s="33"/>
      <c r="AR127" s="33" t="s">
        <v>411</v>
      </c>
      <c r="AS127" s="33" t="s">
        <v>411</v>
      </c>
      <c r="AT127" s="35">
        <v>0</v>
      </c>
      <c r="AU127" s="35">
        <v>0</v>
      </c>
      <c r="AV127" s="35">
        <v>0</v>
      </c>
      <c r="AW127" s="35">
        <v>0</v>
      </c>
      <c r="AX127" s="35">
        <v>0</v>
      </c>
      <c r="AY127" s="35">
        <v>0</v>
      </c>
      <c r="AZ127" s="32">
        <v>0</v>
      </c>
      <c r="BA127" s="32">
        <v>0</v>
      </c>
      <c r="BB127" s="32">
        <v>0</v>
      </c>
      <c r="BC127" s="32">
        <v>0</v>
      </c>
      <c r="BD127" s="35">
        <v>0</v>
      </c>
      <c r="BE127" s="35">
        <v>0</v>
      </c>
      <c r="BF127" s="33" t="s">
        <v>412</v>
      </c>
      <c r="BG127" s="33" t="s">
        <v>412</v>
      </c>
      <c r="BH127" s="33" t="s">
        <v>412</v>
      </c>
    </row>
    <row r="128" spans="1:60" ht="19.5" customHeight="1">
      <c r="A128" s="36">
        <v>125</v>
      </c>
      <c r="B128" s="31" t="s">
        <v>410</v>
      </c>
      <c r="C128" s="37">
        <v>45865</v>
      </c>
      <c r="D128" s="31" t="s">
        <v>336</v>
      </c>
      <c r="E128" s="31">
        <v>72</v>
      </c>
      <c r="F128" s="31">
        <v>70</v>
      </c>
      <c r="G128" s="32">
        <v>0.97222222222222221</v>
      </c>
      <c r="H128" s="31">
        <v>44</v>
      </c>
      <c r="I128" s="33">
        <v>0.61111111111111116</v>
      </c>
      <c r="J128" s="31">
        <v>36</v>
      </c>
      <c r="K128" s="31">
        <v>34</v>
      </c>
      <c r="L128" s="32">
        <v>0.94399999999999995</v>
      </c>
      <c r="M128" s="31">
        <v>76</v>
      </c>
      <c r="N128" s="31">
        <v>0</v>
      </c>
      <c r="O128" s="31">
        <v>69</v>
      </c>
      <c r="P128" s="32">
        <v>0.90789473684210531</v>
      </c>
      <c r="Q128" s="31">
        <v>0</v>
      </c>
      <c r="R128" s="31">
        <v>0</v>
      </c>
      <c r="S128" s="31">
        <v>0</v>
      </c>
      <c r="T128" s="32">
        <v>0</v>
      </c>
      <c r="U128" s="31">
        <v>0</v>
      </c>
      <c r="V128" s="32">
        <v>0</v>
      </c>
      <c r="W128" s="31">
        <v>0</v>
      </c>
      <c r="X128" s="32">
        <v>0</v>
      </c>
      <c r="Y128" s="31">
        <v>0</v>
      </c>
      <c r="Z128" s="34">
        <v>0</v>
      </c>
      <c r="AA128" s="31">
        <v>0</v>
      </c>
      <c r="AB128" s="32">
        <v>0</v>
      </c>
      <c r="AC128" s="31">
        <v>22</v>
      </c>
      <c r="AD128" s="32">
        <v>0.30555555555555558</v>
      </c>
      <c r="AE128" s="31">
        <v>0</v>
      </c>
      <c r="AF128" s="32">
        <v>0</v>
      </c>
      <c r="AG128" s="31">
        <v>17</v>
      </c>
      <c r="AH128" s="32">
        <v>0.77272727272727271</v>
      </c>
      <c r="AI128" s="35">
        <v>0</v>
      </c>
      <c r="AJ128" s="32">
        <v>0</v>
      </c>
      <c r="AK128" s="35">
        <v>0</v>
      </c>
      <c r="AL128" s="32">
        <v>0</v>
      </c>
      <c r="AM128" s="35">
        <v>0</v>
      </c>
      <c r="AN128" s="35">
        <v>0</v>
      </c>
      <c r="AO128" s="32">
        <v>0</v>
      </c>
      <c r="AP128" s="32">
        <v>0</v>
      </c>
      <c r="AQ128" s="33">
        <v>0</v>
      </c>
      <c r="AR128" s="33" t="s">
        <v>411</v>
      </c>
      <c r="AS128" s="33">
        <v>0</v>
      </c>
      <c r="AT128" s="35">
        <v>0</v>
      </c>
      <c r="AU128" s="35">
        <v>0</v>
      </c>
      <c r="AV128" s="35">
        <v>0</v>
      </c>
      <c r="AW128" s="35">
        <v>0</v>
      </c>
      <c r="AX128" s="35">
        <v>0</v>
      </c>
      <c r="AY128" s="35">
        <v>0</v>
      </c>
      <c r="AZ128" s="32">
        <v>0</v>
      </c>
      <c r="BA128" s="32">
        <v>0</v>
      </c>
      <c r="BB128" s="32">
        <v>0</v>
      </c>
      <c r="BC128" s="32">
        <v>0</v>
      </c>
      <c r="BD128" s="35">
        <v>0</v>
      </c>
      <c r="BE128" s="35">
        <v>0</v>
      </c>
      <c r="BF128" s="33" t="s">
        <v>412</v>
      </c>
      <c r="BG128" s="33" t="s">
        <v>412</v>
      </c>
      <c r="BH128" s="33" t="s">
        <v>412</v>
      </c>
    </row>
    <row r="129" spans="1:60" ht="19.5" customHeight="1">
      <c r="A129" s="36">
        <v>126</v>
      </c>
      <c r="B129" s="31" t="s">
        <v>410</v>
      </c>
      <c r="C129" s="37">
        <v>45866</v>
      </c>
      <c r="D129" s="31" t="s">
        <v>413</v>
      </c>
      <c r="E129" s="31">
        <v>1</v>
      </c>
      <c r="F129" s="31">
        <v>1</v>
      </c>
      <c r="G129" s="32">
        <v>1</v>
      </c>
      <c r="H129" s="31">
        <v>0</v>
      </c>
      <c r="I129" s="33">
        <v>0</v>
      </c>
      <c r="J129" s="31">
        <v>0</v>
      </c>
      <c r="K129" s="31">
        <v>0</v>
      </c>
      <c r="L129" s="32">
        <v>0</v>
      </c>
      <c r="M129" s="31">
        <v>0</v>
      </c>
      <c r="N129" s="31">
        <v>0</v>
      </c>
      <c r="O129" s="31">
        <v>0</v>
      </c>
      <c r="P129" s="32">
        <v>0</v>
      </c>
      <c r="Q129" s="31">
        <v>0</v>
      </c>
      <c r="R129" s="31">
        <v>0</v>
      </c>
      <c r="S129" s="31">
        <v>0</v>
      </c>
      <c r="T129" s="32">
        <v>0</v>
      </c>
      <c r="U129" s="31">
        <v>0</v>
      </c>
      <c r="V129" s="32">
        <v>0</v>
      </c>
      <c r="W129" s="31">
        <v>0</v>
      </c>
      <c r="X129" s="32">
        <v>0</v>
      </c>
      <c r="Y129" s="31">
        <v>0</v>
      </c>
      <c r="Z129" s="34">
        <v>0</v>
      </c>
      <c r="AA129" s="31">
        <v>0</v>
      </c>
      <c r="AB129" s="32">
        <v>0</v>
      </c>
      <c r="AC129" s="31">
        <v>0</v>
      </c>
      <c r="AD129" s="32">
        <v>0</v>
      </c>
      <c r="AE129" s="31">
        <v>0</v>
      </c>
      <c r="AF129" s="32">
        <v>0</v>
      </c>
      <c r="AG129" s="31">
        <v>0</v>
      </c>
      <c r="AH129" s="32">
        <v>0</v>
      </c>
      <c r="AI129" s="35">
        <v>0</v>
      </c>
      <c r="AJ129" s="32">
        <v>0</v>
      </c>
      <c r="AK129" s="35">
        <v>0</v>
      </c>
      <c r="AL129" s="32">
        <v>0</v>
      </c>
      <c r="AM129" s="35">
        <v>0</v>
      </c>
      <c r="AN129" s="35">
        <v>0</v>
      </c>
      <c r="AO129" s="32">
        <v>0</v>
      </c>
      <c r="AP129" s="32">
        <v>0</v>
      </c>
      <c r="AQ129" s="33"/>
      <c r="AR129" s="33" t="s">
        <v>411</v>
      </c>
      <c r="AS129" s="33" t="s">
        <v>411</v>
      </c>
      <c r="AT129" s="35">
        <v>0</v>
      </c>
      <c r="AU129" s="35">
        <v>0</v>
      </c>
      <c r="AV129" s="35">
        <v>0</v>
      </c>
      <c r="AW129" s="35">
        <v>0</v>
      </c>
      <c r="AX129" s="35">
        <v>0</v>
      </c>
      <c r="AY129" s="35">
        <v>0</v>
      </c>
      <c r="AZ129" s="32">
        <v>0</v>
      </c>
      <c r="BA129" s="32">
        <v>0</v>
      </c>
      <c r="BB129" s="32">
        <v>0</v>
      </c>
      <c r="BC129" s="32">
        <v>0</v>
      </c>
      <c r="BD129" s="35">
        <v>0</v>
      </c>
      <c r="BE129" s="35">
        <v>0</v>
      </c>
      <c r="BF129" s="33" t="s">
        <v>412</v>
      </c>
      <c r="BG129" s="33" t="s">
        <v>412</v>
      </c>
      <c r="BH129" s="33" t="s">
        <v>412</v>
      </c>
    </row>
    <row r="130" spans="1:60" ht="19.5" customHeight="1">
      <c r="A130" s="36">
        <v>127</v>
      </c>
      <c r="B130" s="31" t="s">
        <v>410</v>
      </c>
      <c r="C130" s="37">
        <v>45866</v>
      </c>
      <c r="D130" s="31" t="s">
        <v>335</v>
      </c>
      <c r="E130" s="31">
        <v>79</v>
      </c>
      <c r="F130" s="31">
        <v>71</v>
      </c>
      <c r="G130" s="32">
        <v>0.89873417721518989</v>
      </c>
      <c r="H130" s="31">
        <v>34</v>
      </c>
      <c r="I130" s="33">
        <v>0.43037974683544311</v>
      </c>
      <c r="J130" s="31">
        <v>33</v>
      </c>
      <c r="K130" s="31">
        <v>33</v>
      </c>
      <c r="L130" s="32">
        <v>1</v>
      </c>
      <c r="M130" s="31">
        <v>53</v>
      </c>
      <c r="N130" s="31">
        <v>0</v>
      </c>
      <c r="O130" s="31">
        <v>50</v>
      </c>
      <c r="P130" s="32">
        <v>0.94339622641509435</v>
      </c>
      <c r="Q130" s="31">
        <v>0</v>
      </c>
      <c r="R130" s="31">
        <v>0</v>
      </c>
      <c r="S130" s="31">
        <v>0</v>
      </c>
      <c r="T130" s="32">
        <v>0</v>
      </c>
      <c r="U130" s="31">
        <v>0</v>
      </c>
      <c r="V130" s="32">
        <v>0</v>
      </c>
      <c r="W130" s="31">
        <v>0</v>
      </c>
      <c r="X130" s="32">
        <v>0</v>
      </c>
      <c r="Y130" s="31">
        <v>0</v>
      </c>
      <c r="Z130" s="34">
        <v>0</v>
      </c>
      <c r="AA130" s="31">
        <v>0</v>
      </c>
      <c r="AB130" s="32">
        <v>0</v>
      </c>
      <c r="AC130" s="31">
        <v>18</v>
      </c>
      <c r="AD130" s="32">
        <v>0.22784810126582281</v>
      </c>
      <c r="AE130" s="31">
        <v>0</v>
      </c>
      <c r="AF130" s="32">
        <v>0</v>
      </c>
      <c r="AG130" s="31">
        <v>12</v>
      </c>
      <c r="AH130" s="32">
        <v>0.66666666666666663</v>
      </c>
      <c r="AI130" s="35">
        <v>0</v>
      </c>
      <c r="AJ130" s="32">
        <v>0</v>
      </c>
      <c r="AK130" s="35">
        <v>0</v>
      </c>
      <c r="AL130" s="32">
        <v>0</v>
      </c>
      <c r="AM130" s="35">
        <v>0</v>
      </c>
      <c r="AN130" s="35">
        <v>0</v>
      </c>
      <c r="AO130" s="32">
        <v>0</v>
      </c>
      <c r="AP130" s="32">
        <v>0</v>
      </c>
      <c r="AQ130" s="33">
        <v>0</v>
      </c>
      <c r="AR130" s="33" t="s">
        <v>411</v>
      </c>
      <c r="AS130" s="33">
        <v>0</v>
      </c>
      <c r="AT130" s="35">
        <v>0</v>
      </c>
      <c r="AU130" s="35">
        <v>0</v>
      </c>
      <c r="AV130" s="35">
        <v>0</v>
      </c>
      <c r="AW130" s="35">
        <v>0</v>
      </c>
      <c r="AX130" s="35">
        <v>0</v>
      </c>
      <c r="AY130" s="35">
        <v>0</v>
      </c>
      <c r="AZ130" s="32">
        <v>0</v>
      </c>
      <c r="BA130" s="32">
        <v>0</v>
      </c>
      <c r="BB130" s="32">
        <v>0</v>
      </c>
      <c r="BC130" s="32">
        <v>0</v>
      </c>
      <c r="BD130" s="35">
        <v>0</v>
      </c>
      <c r="BE130" s="35">
        <v>0</v>
      </c>
      <c r="BF130" s="33" t="s">
        <v>412</v>
      </c>
      <c r="BG130" s="33" t="s">
        <v>412</v>
      </c>
      <c r="BH130" s="33" t="s">
        <v>412</v>
      </c>
    </row>
    <row r="131" spans="1:60" ht="19.5" customHeight="1">
      <c r="A131" s="36">
        <v>128</v>
      </c>
      <c r="B131" s="31" t="s">
        <v>410</v>
      </c>
      <c r="C131" s="37">
        <v>45866</v>
      </c>
      <c r="D131" s="31" t="s">
        <v>334</v>
      </c>
      <c r="E131" s="31">
        <v>7652</v>
      </c>
      <c r="F131" s="31">
        <v>5878</v>
      </c>
      <c r="G131" s="32">
        <v>0.76816518557239932</v>
      </c>
      <c r="H131" s="31">
        <v>3207</v>
      </c>
      <c r="I131" s="33">
        <v>0.419106116048092</v>
      </c>
      <c r="J131" s="31">
        <v>6479</v>
      </c>
      <c r="K131" s="31">
        <v>6142</v>
      </c>
      <c r="L131" s="32">
        <v>0.94799999999999995</v>
      </c>
      <c r="M131" s="31">
        <v>8155</v>
      </c>
      <c r="N131" s="31">
        <v>0</v>
      </c>
      <c r="O131" s="31">
        <v>7569</v>
      </c>
      <c r="P131" s="32">
        <v>0.92814224402207235</v>
      </c>
      <c r="Q131" s="31">
        <v>17</v>
      </c>
      <c r="R131" s="31">
        <v>0</v>
      </c>
      <c r="S131" s="31">
        <v>0</v>
      </c>
      <c r="T131" s="32">
        <v>0</v>
      </c>
      <c r="U131" s="31">
        <v>0</v>
      </c>
      <c r="V131" s="32">
        <v>0</v>
      </c>
      <c r="W131" s="31">
        <v>847</v>
      </c>
      <c r="X131" s="32">
        <v>0.1106900156821746</v>
      </c>
      <c r="Y131" s="31">
        <v>750</v>
      </c>
      <c r="Z131" s="34">
        <v>9.8013591217982227E-2</v>
      </c>
      <c r="AA131" s="31">
        <v>310</v>
      </c>
      <c r="AB131" s="32">
        <v>4.0512284370099322E-2</v>
      </c>
      <c r="AC131" s="31">
        <v>1144</v>
      </c>
      <c r="AD131" s="32">
        <v>0.14950339780449559</v>
      </c>
      <c r="AE131" s="31">
        <v>49</v>
      </c>
      <c r="AF131" s="32">
        <v>4.2832167832167832E-2</v>
      </c>
      <c r="AG131" s="31">
        <v>374</v>
      </c>
      <c r="AH131" s="32">
        <v>0.32692307692307693</v>
      </c>
      <c r="AI131" s="35">
        <v>1078</v>
      </c>
      <c r="AJ131" s="32">
        <v>0.14087820177731311</v>
      </c>
      <c r="AK131" s="35">
        <v>23</v>
      </c>
      <c r="AL131" s="32">
        <v>0.82745825602968459</v>
      </c>
      <c r="AM131" s="35">
        <v>1048</v>
      </c>
      <c r="AN131" s="35">
        <v>892</v>
      </c>
      <c r="AO131" s="32">
        <v>0.1165708311552535</v>
      </c>
      <c r="AP131" s="32">
        <v>0.77972027972027969</v>
      </c>
      <c r="AQ131" s="33">
        <v>0</v>
      </c>
      <c r="AR131" s="33" t="s">
        <v>411</v>
      </c>
      <c r="AS131" s="33">
        <v>0</v>
      </c>
      <c r="AT131" s="35">
        <v>0</v>
      </c>
      <c r="AU131" s="35">
        <v>0</v>
      </c>
      <c r="AV131" s="35">
        <v>174</v>
      </c>
      <c r="AW131" s="35">
        <v>135</v>
      </c>
      <c r="AX131" s="35">
        <v>142</v>
      </c>
      <c r="AY131" s="35">
        <v>251</v>
      </c>
      <c r="AZ131" s="32">
        <v>1.7642446419236801E-2</v>
      </c>
      <c r="BA131" s="32">
        <v>1.8557239937271298E-2</v>
      </c>
      <c r="BB131" s="32">
        <v>3.2801881860951378E-2</v>
      </c>
      <c r="BC131" s="32">
        <v>0.15919282511210761</v>
      </c>
      <c r="BD131" s="35">
        <v>0</v>
      </c>
      <c r="BE131" s="35">
        <v>1</v>
      </c>
      <c r="BF131" s="33">
        <v>0.98039215686274506</v>
      </c>
      <c r="BG131" s="33">
        <v>0.88235294117647056</v>
      </c>
      <c r="BH131" s="33">
        <v>0.96385542168674698</v>
      </c>
    </row>
    <row r="132" spans="1:60" ht="19.5" customHeight="1">
      <c r="A132" s="36">
        <v>129</v>
      </c>
      <c r="B132" s="31" t="s">
        <v>410</v>
      </c>
      <c r="C132" s="37">
        <v>45866</v>
      </c>
      <c r="D132" s="31" t="s">
        <v>337</v>
      </c>
      <c r="E132" s="31">
        <v>110</v>
      </c>
      <c r="F132" s="31">
        <v>105</v>
      </c>
      <c r="G132" s="32">
        <v>0.95454545454545459</v>
      </c>
      <c r="H132" s="31">
        <v>59</v>
      </c>
      <c r="I132" s="33">
        <v>0.53636363636363638</v>
      </c>
      <c r="J132" s="31">
        <v>42</v>
      </c>
      <c r="K132" s="31">
        <v>42</v>
      </c>
      <c r="L132" s="32">
        <v>1</v>
      </c>
      <c r="M132" s="31">
        <v>55</v>
      </c>
      <c r="N132" s="31">
        <v>0</v>
      </c>
      <c r="O132" s="31">
        <v>55</v>
      </c>
      <c r="P132" s="32">
        <v>1</v>
      </c>
      <c r="Q132" s="31">
        <v>0</v>
      </c>
      <c r="R132" s="31">
        <v>0</v>
      </c>
      <c r="S132" s="31">
        <v>0</v>
      </c>
      <c r="T132" s="32">
        <v>0</v>
      </c>
      <c r="U132" s="31">
        <v>0</v>
      </c>
      <c r="V132" s="32">
        <v>0</v>
      </c>
      <c r="W132" s="31">
        <v>0</v>
      </c>
      <c r="X132" s="32">
        <v>0</v>
      </c>
      <c r="Y132" s="31">
        <v>0</v>
      </c>
      <c r="Z132" s="34">
        <v>0</v>
      </c>
      <c r="AA132" s="31">
        <v>0</v>
      </c>
      <c r="AB132" s="32">
        <v>0</v>
      </c>
      <c r="AC132" s="31">
        <v>36</v>
      </c>
      <c r="AD132" s="32">
        <v>0.32727272727272733</v>
      </c>
      <c r="AE132" s="31">
        <v>5</v>
      </c>
      <c r="AF132" s="32">
        <v>0.1388888888888889</v>
      </c>
      <c r="AG132" s="31">
        <v>18</v>
      </c>
      <c r="AH132" s="32">
        <v>0.5</v>
      </c>
      <c r="AI132" s="35">
        <v>0</v>
      </c>
      <c r="AJ132" s="32">
        <v>0</v>
      </c>
      <c r="AK132" s="35">
        <v>0</v>
      </c>
      <c r="AL132" s="32">
        <v>0</v>
      </c>
      <c r="AM132" s="35">
        <v>0</v>
      </c>
      <c r="AN132" s="35">
        <v>0</v>
      </c>
      <c r="AO132" s="32">
        <v>0</v>
      </c>
      <c r="AP132" s="32">
        <v>0</v>
      </c>
      <c r="AQ132" s="33"/>
      <c r="AR132" s="33" t="s">
        <v>411</v>
      </c>
      <c r="AS132" s="33" t="s">
        <v>411</v>
      </c>
      <c r="AT132" s="35">
        <v>0</v>
      </c>
      <c r="AU132" s="35">
        <v>0</v>
      </c>
      <c r="AV132" s="35">
        <v>0</v>
      </c>
      <c r="AW132" s="35">
        <v>0</v>
      </c>
      <c r="AX132" s="35">
        <v>0</v>
      </c>
      <c r="AY132" s="35">
        <v>0</v>
      </c>
      <c r="AZ132" s="32">
        <v>0</v>
      </c>
      <c r="BA132" s="32">
        <v>0</v>
      </c>
      <c r="BB132" s="32">
        <v>0</v>
      </c>
      <c r="BC132" s="32">
        <v>0</v>
      </c>
      <c r="BD132" s="35">
        <v>0</v>
      </c>
      <c r="BE132" s="35">
        <v>0</v>
      </c>
      <c r="BF132" s="33" t="s">
        <v>412</v>
      </c>
      <c r="BG132" s="33" t="s">
        <v>412</v>
      </c>
      <c r="BH132" s="33" t="s">
        <v>412</v>
      </c>
    </row>
    <row r="133" spans="1:60" ht="19.5" customHeight="1">
      <c r="A133" s="36">
        <v>130</v>
      </c>
      <c r="B133" s="31" t="s">
        <v>410</v>
      </c>
      <c r="C133" s="37">
        <v>45866</v>
      </c>
      <c r="D133" s="31" t="s">
        <v>336</v>
      </c>
      <c r="E133" s="31">
        <v>57</v>
      </c>
      <c r="F133" s="31">
        <v>54</v>
      </c>
      <c r="G133" s="32">
        <v>0.94736842105263153</v>
      </c>
      <c r="H133" s="31">
        <v>43</v>
      </c>
      <c r="I133" s="33">
        <v>0.75438596491228072</v>
      </c>
      <c r="J133" s="31">
        <v>40</v>
      </c>
      <c r="K133" s="31">
        <v>37</v>
      </c>
      <c r="L133" s="32">
        <v>0.92500000000000004</v>
      </c>
      <c r="M133" s="31">
        <v>71</v>
      </c>
      <c r="N133" s="31">
        <v>0</v>
      </c>
      <c r="O133" s="31">
        <v>66</v>
      </c>
      <c r="P133" s="32">
        <v>0.92957746478873238</v>
      </c>
      <c r="Q133" s="31">
        <v>0</v>
      </c>
      <c r="R133" s="31">
        <v>0</v>
      </c>
      <c r="S133" s="31">
        <v>0</v>
      </c>
      <c r="T133" s="32">
        <v>0</v>
      </c>
      <c r="U133" s="31">
        <v>0</v>
      </c>
      <c r="V133" s="32">
        <v>0</v>
      </c>
      <c r="W133" s="31">
        <v>0</v>
      </c>
      <c r="X133" s="32">
        <v>0</v>
      </c>
      <c r="Y133" s="31">
        <v>0</v>
      </c>
      <c r="Z133" s="34">
        <v>0</v>
      </c>
      <c r="AA133" s="31">
        <v>0</v>
      </c>
      <c r="AB133" s="32">
        <v>0</v>
      </c>
      <c r="AC133" s="31">
        <v>26</v>
      </c>
      <c r="AD133" s="32">
        <v>0.45614035087719301</v>
      </c>
      <c r="AE133" s="31">
        <v>2</v>
      </c>
      <c r="AF133" s="32">
        <v>7.6923076923076927E-2</v>
      </c>
      <c r="AG133" s="31">
        <v>21</v>
      </c>
      <c r="AH133" s="32">
        <v>0.80769230769230771</v>
      </c>
      <c r="AI133" s="35">
        <v>0</v>
      </c>
      <c r="AJ133" s="32">
        <v>0</v>
      </c>
      <c r="AK133" s="35">
        <v>0</v>
      </c>
      <c r="AL133" s="32">
        <v>0</v>
      </c>
      <c r="AM133" s="35">
        <v>0</v>
      </c>
      <c r="AN133" s="35">
        <v>0</v>
      </c>
      <c r="AO133" s="32">
        <v>0</v>
      </c>
      <c r="AP133" s="32">
        <v>0</v>
      </c>
      <c r="AQ133" s="33"/>
      <c r="AR133" s="33" t="s">
        <v>411</v>
      </c>
      <c r="AS133" s="33" t="s">
        <v>411</v>
      </c>
      <c r="AT133" s="35">
        <v>0</v>
      </c>
      <c r="AU133" s="35">
        <v>0</v>
      </c>
      <c r="AV133" s="35">
        <v>0</v>
      </c>
      <c r="AW133" s="35">
        <v>0</v>
      </c>
      <c r="AX133" s="35">
        <v>0</v>
      </c>
      <c r="AY133" s="35">
        <v>0</v>
      </c>
      <c r="AZ133" s="32">
        <v>0</v>
      </c>
      <c r="BA133" s="32">
        <v>0</v>
      </c>
      <c r="BB133" s="32">
        <v>0</v>
      </c>
      <c r="BC133" s="32">
        <v>0</v>
      </c>
      <c r="BD133" s="35">
        <v>0</v>
      </c>
      <c r="BE133" s="35">
        <v>0</v>
      </c>
      <c r="BF133" s="33" t="s">
        <v>412</v>
      </c>
      <c r="BG133" s="33" t="s">
        <v>412</v>
      </c>
      <c r="BH133" s="33" t="s">
        <v>412</v>
      </c>
    </row>
    <row r="134" spans="1:60" ht="19.5" customHeight="1">
      <c r="A134" s="36">
        <v>131</v>
      </c>
      <c r="B134" s="31" t="s">
        <v>410</v>
      </c>
      <c r="C134" s="37">
        <v>45867</v>
      </c>
      <c r="D134" s="31" t="s">
        <v>335</v>
      </c>
      <c r="E134" s="31">
        <v>67</v>
      </c>
      <c r="F134" s="31">
        <v>65</v>
      </c>
      <c r="G134" s="32">
        <v>0.97014925373134331</v>
      </c>
      <c r="H134" s="31">
        <v>42</v>
      </c>
      <c r="I134" s="33">
        <v>0.62686567164179108</v>
      </c>
      <c r="J134" s="31">
        <v>31</v>
      </c>
      <c r="K134" s="31">
        <v>31</v>
      </c>
      <c r="L134" s="32">
        <v>1</v>
      </c>
      <c r="M134" s="31">
        <v>56</v>
      </c>
      <c r="N134" s="31">
        <v>0</v>
      </c>
      <c r="O134" s="31">
        <v>54</v>
      </c>
      <c r="P134" s="32">
        <v>0.9642857142857143</v>
      </c>
      <c r="Q134" s="31">
        <v>0</v>
      </c>
      <c r="R134" s="31">
        <v>0</v>
      </c>
      <c r="S134" s="31">
        <v>0</v>
      </c>
      <c r="T134" s="32">
        <v>0</v>
      </c>
      <c r="U134" s="31">
        <v>0</v>
      </c>
      <c r="V134" s="32">
        <v>0</v>
      </c>
      <c r="W134" s="31">
        <v>0</v>
      </c>
      <c r="X134" s="32">
        <v>0</v>
      </c>
      <c r="Y134" s="31">
        <v>0</v>
      </c>
      <c r="Z134" s="34">
        <v>0</v>
      </c>
      <c r="AA134" s="31">
        <v>0</v>
      </c>
      <c r="AB134" s="32">
        <v>0</v>
      </c>
      <c r="AC134" s="31">
        <v>25</v>
      </c>
      <c r="AD134" s="32">
        <v>0.37313432835820898</v>
      </c>
      <c r="AE134" s="31">
        <v>2</v>
      </c>
      <c r="AF134" s="32">
        <v>0.08</v>
      </c>
      <c r="AG134" s="31">
        <v>15</v>
      </c>
      <c r="AH134" s="32">
        <v>0.6</v>
      </c>
      <c r="AI134" s="35">
        <v>0</v>
      </c>
      <c r="AJ134" s="32">
        <v>0</v>
      </c>
      <c r="AK134" s="35">
        <v>0</v>
      </c>
      <c r="AL134" s="32">
        <v>0</v>
      </c>
      <c r="AM134" s="35">
        <v>0</v>
      </c>
      <c r="AN134" s="35">
        <v>0</v>
      </c>
      <c r="AO134" s="32">
        <v>0</v>
      </c>
      <c r="AP134" s="32">
        <v>0</v>
      </c>
      <c r="AQ134" s="33">
        <v>0</v>
      </c>
      <c r="AR134" s="33" t="s">
        <v>411</v>
      </c>
      <c r="AS134" s="33">
        <v>0</v>
      </c>
      <c r="AT134" s="35">
        <v>0</v>
      </c>
      <c r="AU134" s="35">
        <v>0</v>
      </c>
      <c r="AV134" s="35">
        <v>0</v>
      </c>
      <c r="AW134" s="35">
        <v>0</v>
      </c>
      <c r="AX134" s="35">
        <v>0</v>
      </c>
      <c r="AY134" s="35">
        <v>0</v>
      </c>
      <c r="AZ134" s="32">
        <v>0</v>
      </c>
      <c r="BA134" s="32">
        <v>0</v>
      </c>
      <c r="BB134" s="32">
        <v>0</v>
      </c>
      <c r="BC134" s="32">
        <v>0</v>
      </c>
      <c r="BD134" s="35">
        <v>0</v>
      </c>
      <c r="BE134" s="35">
        <v>0</v>
      </c>
      <c r="BF134" s="33" t="s">
        <v>412</v>
      </c>
      <c r="BG134" s="33" t="s">
        <v>412</v>
      </c>
      <c r="BH134" s="33" t="s">
        <v>412</v>
      </c>
    </row>
    <row r="135" spans="1:60" ht="19.5" customHeight="1">
      <c r="A135" s="36">
        <v>132</v>
      </c>
      <c r="B135" s="31" t="s">
        <v>410</v>
      </c>
      <c r="C135" s="37">
        <v>45867</v>
      </c>
      <c r="D135" s="31" t="s">
        <v>334</v>
      </c>
      <c r="E135" s="31">
        <v>8589</v>
      </c>
      <c r="F135" s="31">
        <v>7030</v>
      </c>
      <c r="G135" s="32">
        <v>0.81848876469903364</v>
      </c>
      <c r="H135" s="31">
        <v>3119</v>
      </c>
      <c r="I135" s="33">
        <v>0.36313889859122128</v>
      </c>
      <c r="J135" s="31">
        <v>5724</v>
      </c>
      <c r="K135" s="31">
        <v>5446</v>
      </c>
      <c r="L135" s="32">
        <v>0.95099999999999996</v>
      </c>
      <c r="M135" s="31">
        <v>6726</v>
      </c>
      <c r="N135" s="31">
        <v>0</v>
      </c>
      <c r="O135" s="31">
        <v>6220</v>
      </c>
      <c r="P135" s="32">
        <v>0.92476955099613445</v>
      </c>
      <c r="Q135" s="31">
        <v>16</v>
      </c>
      <c r="R135" s="31">
        <v>0</v>
      </c>
      <c r="S135" s="31">
        <v>0</v>
      </c>
      <c r="T135" s="32">
        <v>0</v>
      </c>
      <c r="U135" s="31">
        <v>0</v>
      </c>
      <c r="V135" s="32">
        <v>0</v>
      </c>
      <c r="W135" s="31">
        <v>692</v>
      </c>
      <c r="X135" s="32">
        <v>8.0568168587728486E-2</v>
      </c>
      <c r="Y135" s="31">
        <v>918</v>
      </c>
      <c r="Z135" s="34">
        <v>0.1068808941669577</v>
      </c>
      <c r="AA135" s="31">
        <v>445</v>
      </c>
      <c r="AB135" s="32">
        <v>5.1810455233438121E-2</v>
      </c>
      <c r="AC135" s="31">
        <v>1211</v>
      </c>
      <c r="AD135" s="32">
        <v>0.1409942950285249</v>
      </c>
      <c r="AE135" s="31">
        <v>55</v>
      </c>
      <c r="AF135" s="32">
        <v>4.5417010734929812E-2</v>
      </c>
      <c r="AG135" s="31">
        <v>400</v>
      </c>
      <c r="AH135" s="32">
        <v>0.33030553261767143</v>
      </c>
      <c r="AI135" s="35">
        <v>1177</v>
      </c>
      <c r="AJ135" s="32">
        <v>0.1370357433927116</v>
      </c>
      <c r="AK135" s="35">
        <v>28</v>
      </c>
      <c r="AL135" s="32">
        <v>0.80458793542905693</v>
      </c>
      <c r="AM135" s="35">
        <v>1156</v>
      </c>
      <c r="AN135" s="35">
        <v>947</v>
      </c>
      <c r="AO135" s="32">
        <v>0.1102573058563279</v>
      </c>
      <c r="AP135" s="32">
        <v>0.78199834847233696</v>
      </c>
      <c r="AQ135" s="33">
        <v>0</v>
      </c>
      <c r="AR135" s="33" t="s">
        <v>411</v>
      </c>
      <c r="AS135" s="33">
        <v>0</v>
      </c>
      <c r="AT135" s="35">
        <v>0</v>
      </c>
      <c r="AU135" s="35">
        <v>0</v>
      </c>
      <c r="AV135" s="35">
        <v>140</v>
      </c>
      <c r="AW135" s="35">
        <v>112</v>
      </c>
      <c r="AX135" s="35">
        <v>112</v>
      </c>
      <c r="AY135" s="35">
        <v>237</v>
      </c>
      <c r="AZ135" s="32">
        <v>1.3039934800325999E-2</v>
      </c>
      <c r="BA135" s="32">
        <v>1.3039934800325999E-2</v>
      </c>
      <c r="BB135" s="32">
        <v>2.759343346140412E-2</v>
      </c>
      <c r="BC135" s="32">
        <v>0.11826821541710671</v>
      </c>
      <c r="BD135" s="35">
        <v>0</v>
      </c>
      <c r="BE135" s="35">
        <v>4</v>
      </c>
      <c r="BF135" s="33">
        <v>0.88888888888888884</v>
      </c>
      <c r="BG135" s="33">
        <v>1</v>
      </c>
      <c r="BH135" s="33">
        <v>0.94791666666666663</v>
      </c>
    </row>
    <row r="136" spans="1:60" ht="19.5" customHeight="1">
      <c r="A136" s="36">
        <v>133</v>
      </c>
      <c r="B136" s="31" t="s">
        <v>410</v>
      </c>
      <c r="C136" s="37">
        <v>45867</v>
      </c>
      <c r="D136" s="31" t="s">
        <v>337</v>
      </c>
      <c r="E136" s="31">
        <v>103</v>
      </c>
      <c r="F136" s="31">
        <v>96</v>
      </c>
      <c r="G136" s="32">
        <v>0.93203883495145634</v>
      </c>
      <c r="H136" s="31">
        <v>45</v>
      </c>
      <c r="I136" s="33">
        <v>0.43689320388349512</v>
      </c>
      <c r="J136" s="31">
        <v>29</v>
      </c>
      <c r="K136" s="31">
        <v>25</v>
      </c>
      <c r="L136" s="32">
        <v>0.86199999999999999</v>
      </c>
      <c r="M136" s="31">
        <v>44</v>
      </c>
      <c r="N136" s="31">
        <v>0</v>
      </c>
      <c r="O136" s="31">
        <v>40</v>
      </c>
      <c r="P136" s="32">
        <v>0.90909090909090906</v>
      </c>
      <c r="Q136" s="31">
        <v>0</v>
      </c>
      <c r="R136" s="31">
        <v>0</v>
      </c>
      <c r="S136" s="31">
        <v>0</v>
      </c>
      <c r="T136" s="32">
        <v>0</v>
      </c>
      <c r="U136" s="31">
        <v>0</v>
      </c>
      <c r="V136" s="32">
        <v>0</v>
      </c>
      <c r="W136" s="31">
        <v>0</v>
      </c>
      <c r="X136" s="32">
        <v>0</v>
      </c>
      <c r="Y136" s="31">
        <v>0</v>
      </c>
      <c r="Z136" s="34">
        <v>0</v>
      </c>
      <c r="AA136" s="31">
        <v>0</v>
      </c>
      <c r="AB136" s="32">
        <v>0</v>
      </c>
      <c r="AC136" s="31">
        <v>41</v>
      </c>
      <c r="AD136" s="32">
        <v>0.39805825242718451</v>
      </c>
      <c r="AE136" s="31">
        <v>2</v>
      </c>
      <c r="AF136" s="32">
        <v>4.878048780487805E-2</v>
      </c>
      <c r="AG136" s="31">
        <v>23</v>
      </c>
      <c r="AH136" s="32">
        <v>0.56097560975609762</v>
      </c>
      <c r="AI136" s="35">
        <v>0</v>
      </c>
      <c r="AJ136" s="32">
        <v>0</v>
      </c>
      <c r="AK136" s="35">
        <v>0</v>
      </c>
      <c r="AL136" s="32">
        <v>0</v>
      </c>
      <c r="AM136" s="35">
        <v>0</v>
      </c>
      <c r="AN136" s="35">
        <v>0</v>
      </c>
      <c r="AO136" s="32">
        <v>0</v>
      </c>
      <c r="AP136" s="32">
        <v>0</v>
      </c>
      <c r="AQ136" s="33"/>
      <c r="AR136" s="33" t="s">
        <v>411</v>
      </c>
      <c r="AS136" s="33" t="s">
        <v>411</v>
      </c>
      <c r="AT136" s="35">
        <v>0</v>
      </c>
      <c r="AU136" s="35">
        <v>0</v>
      </c>
      <c r="AV136" s="35">
        <v>0</v>
      </c>
      <c r="AW136" s="35">
        <v>0</v>
      </c>
      <c r="AX136" s="35">
        <v>0</v>
      </c>
      <c r="AY136" s="35">
        <v>0</v>
      </c>
      <c r="AZ136" s="32">
        <v>0</v>
      </c>
      <c r="BA136" s="32">
        <v>0</v>
      </c>
      <c r="BB136" s="32">
        <v>0</v>
      </c>
      <c r="BC136" s="32">
        <v>0</v>
      </c>
      <c r="BD136" s="35">
        <v>0</v>
      </c>
      <c r="BE136" s="35">
        <v>0</v>
      </c>
      <c r="BF136" s="33" t="s">
        <v>412</v>
      </c>
      <c r="BG136" s="33" t="s">
        <v>412</v>
      </c>
      <c r="BH136" s="33" t="s">
        <v>412</v>
      </c>
    </row>
    <row r="137" spans="1:60" ht="19.5" customHeight="1">
      <c r="A137" s="36">
        <v>134</v>
      </c>
      <c r="B137" s="31" t="s">
        <v>410</v>
      </c>
      <c r="C137" s="37">
        <v>45867</v>
      </c>
      <c r="D137" s="31" t="s">
        <v>336</v>
      </c>
      <c r="E137" s="31">
        <v>53</v>
      </c>
      <c r="F137" s="31">
        <v>49</v>
      </c>
      <c r="G137" s="32">
        <v>0.92452830188679247</v>
      </c>
      <c r="H137" s="31">
        <v>38</v>
      </c>
      <c r="I137" s="33">
        <v>0.71698113207547165</v>
      </c>
      <c r="J137" s="31">
        <v>28</v>
      </c>
      <c r="K137" s="31">
        <v>26</v>
      </c>
      <c r="L137" s="32">
        <v>0.92900000000000005</v>
      </c>
      <c r="M137" s="31">
        <v>51</v>
      </c>
      <c r="N137" s="31">
        <v>0</v>
      </c>
      <c r="O137" s="31">
        <v>48</v>
      </c>
      <c r="P137" s="32">
        <v>0.94117647058823528</v>
      </c>
      <c r="Q137" s="31">
        <v>0</v>
      </c>
      <c r="R137" s="31">
        <v>0</v>
      </c>
      <c r="S137" s="31">
        <v>0</v>
      </c>
      <c r="T137" s="32">
        <v>0</v>
      </c>
      <c r="U137" s="31">
        <v>0</v>
      </c>
      <c r="V137" s="32">
        <v>0</v>
      </c>
      <c r="W137" s="31">
        <v>0</v>
      </c>
      <c r="X137" s="32">
        <v>0</v>
      </c>
      <c r="Y137" s="31">
        <v>0</v>
      </c>
      <c r="Z137" s="34">
        <v>0</v>
      </c>
      <c r="AA137" s="31">
        <v>0</v>
      </c>
      <c r="AB137" s="32">
        <v>0</v>
      </c>
      <c r="AC137" s="31">
        <v>16</v>
      </c>
      <c r="AD137" s="32">
        <v>0.30188679245283018</v>
      </c>
      <c r="AE137" s="31">
        <v>1</v>
      </c>
      <c r="AF137" s="32">
        <v>6.25E-2</v>
      </c>
      <c r="AG137" s="31">
        <v>13</v>
      </c>
      <c r="AH137" s="32">
        <v>0.8125</v>
      </c>
      <c r="AI137" s="35">
        <v>0</v>
      </c>
      <c r="AJ137" s="32">
        <v>0</v>
      </c>
      <c r="AK137" s="35">
        <v>0</v>
      </c>
      <c r="AL137" s="32">
        <v>0</v>
      </c>
      <c r="AM137" s="35">
        <v>0</v>
      </c>
      <c r="AN137" s="35">
        <v>0</v>
      </c>
      <c r="AO137" s="32">
        <v>0</v>
      </c>
      <c r="AP137" s="32">
        <v>0</v>
      </c>
      <c r="AQ137" s="33">
        <v>0</v>
      </c>
      <c r="AR137" s="33" t="s">
        <v>411</v>
      </c>
      <c r="AS137" s="33">
        <v>0</v>
      </c>
      <c r="AT137" s="35">
        <v>0</v>
      </c>
      <c r="AU137" s="35">
        <v>0</v>
      </c>
      <c r="AV137" s="35">
        <v>0</v>
      </c>
      <c r="AW137" s="35">
        <v>0</v>
      </c>
      <c r="AX137" s="35">
        <v>0</v>
      </c>
      <c r="AY137" s="35">
        <v>0</v>
      </c>
      <c r="AZ137" s="32">
        <v>0</v>
      </c>
      <c r="BA137" s="32">
        <v>0</v>
      </c>
      <c r="BB137" s="32">
        <v>0</v>
      </c>
      <c r="BC137" s="32">
        <v>0</v>
      </c>
      <c r="BD137" s="35">
        <v>0</v>
      </c>
      <c r="BE137" s="35">
        <v>0</v>
      </c>
      <c r="BF137" s="33" t="s">
        <v>412</v>
      </c>
      <c r="BG137" s="33" t="s">
        <v>412</v>
      </c>
      <c r="BH137" s="33" t="s">
        <v>412</v>
      </c>
    </row>
    <row r="138" spans="1:60" ht="19.5" customHeight="1">
      <c r="A138" s="36">
        <v>135</v>
      </c>
      <c r="B138" s="31" t="s">
        <v>410</v>
      </c>
      <c r="C138" s="37">
        <v>45868</v>
      </c>
      <c r="D138" s="31" t="s">
        <v>413</v>
      </c>
      <c r="E138" s="31">
        <v>1</v>
      </c>
      <c r="F138" s="31">
        <v>1</v>
      </c>
      <c r="G138" s="32">
        <v>1</v>
      </c>
      <c r="H138" s="31">
        <v>1</v>
      </c>
      <c r="I138" s="33">
        <v>1</v>
      </c>
      <c r="J138" s="31">
        <v>0</v>
      </c>
      <c r="K138" s="31">
        <v>0</v>
      </c>
      <c r="L138" s="32">
        <v>0</v>
      </c>
      <c r="M138" s="31">
        <v>0</v>
      </c>
      <c r="N138" s="31">
        <v>0</v>
      </c>
      <c r="O138" s="31">
        <v>0</v>
      </c>
      <c r="P138" s="32">
        <v>0</v>
      </c>
      <c r="Q138" s="31">
        <v>0</v>
      </c>
      <c r="R138" s="31">
        <v>0</v>
      </c>
      <c r="S138" s="31">
        <v>0</v>
      </c>
      <c r="T138" s="32">
        <v>0</v>
      </c>
      <c r="U138" s="31">
        <v>0</v>
      </c>
      <c r="V138" s="32">
        <v>0</v>
      </c>
      <c r="W138" s="31">
        <v>0</v>
      </c>
      <c r="X138" s="32">
        <v>0</v>
      </c>
      <c r="Y138" s="31">
        <v>0</v>
      </c>
      <c r="Z138" s="34">
        <v>0</v>
      </c>
      <c r="AA138" s="31">
        <v>0</v>
      </c>
      <c r="AB138" s="32">
        <v>0</v>
      </c>
      <c r="AC138" s="31">
        <v>0</v>
      </c>
      <c r="AD138" s="32">
        <v>0</v>
      </c>
      <c r="AE138" s="31">
        <v>0</v>
      </c>
      <c r="AF138" s="32">
        <v>0</v>
      </c>
      <c r="AG138" s="31">
        <v>0</v>
      </c>
      <c r="AH138" s="32">
        <v>0</v>
      </c>
      <c r="AI138" s="35">
        <v>0</v>
      </c>
      <c r="AJ138" s="32">
        <v>0</v>
      </c>
      <c r="AK138" s="35">
        <v>0</v>
      </c>
      <c r="AL138" s="32">
        <v>0</v>
      </c>
      <c r="AM138" s="35">
        <v>0</v>
      </c>
      <c r="AN138" s="35">
        <v>0</v>
      </c>
      <c r="AO138" s="32">
        <v>0</v>
      </c>
      <c r="AP138" s="32">
        <v>0</v>
      </c>
      <c r="AQ138" s="33"/>
      <c r="AR138" s="33" t="s">
        <v>411</v>
      </c>
      <c r="AS138" s="33" t="s">
        <v>411</v>
      </c>
      <c r="AT138" s="35">
        <v>0</v>
      </c>
      <c r="AU138" s="35">
        <v>0</v>
      </c>
      <c r="AV138" s="35">
        <v>0</v>
      </c>
      <c r="AW138" s="35">
        <v>0</v>
      </c>
      <c r="AX138" s="35">
        <v>0</v>
      </c>
      <c r="AY138" s="35">
        <v>0</v>
      </c>
      <c r="AZ138" s="32">
        <v>0</v>
      </c>
      <c r="BA138" s="32">
        <v>0</v>
      </c>
      <c r="BB138" s="32">
        <v>0</v>
      </c>
      <c r="BC138" s="32">
        <v>0</v>
      </c>
      <c r="BD138" s="35">
        <v>0</v>
      </c>
      <c r="BE138" s="35">
        <v>0</v>
      </c>
      <c r="BF138" s="33" t="s">
        <v>412</v>
      </c>
      <c r="BG138" s="33" t="s">
        <v>412</v>
      </c>
      <c r="BH138" s="33" t="s">
        <v>412</v>
      </c>
    </row>
    <row r="139" spans="1:60" ht="19.5" customHeight="1">
      <c r="A139" s="36">
        <v>136</v>
      </c>
      <c r="B139" s="31" t="s">
        <v>410</v>
      </c>
      <c r="C139" s="37">
        <v>45868</v>
      </c>
      <c r="D139" s="31" t="s">
        <v>335</v>
      </c>
      <c r="E139" s="31">
        <v>70</v>
      </c>
      <c r="F139" s="31">
        <v>63</v>
      </c>
      <c r="G139" s="32">
        <v>0.9</v>
      </c>
      <c r="H139" s="31">
        <v>36</v>
      </c>
      <c r="I139" s="33">
        <v>0.51428571428571423</v>
      </c>
      <c r="J139" s="31">
        <v>28</v>
      </c>
      <c r="K139" s="31">
        <v>28</v>
      </c>
      <c r="L139" s="32">
        <v>1</v>
      </c>
      <c r="M139" s="31">
        <v>43</v>
      </c>
      <c r="N139" s="31">
        <v>0</v>
      </c>
      <c r="O139" s="31">
        <v>43</v>
      </c>
      <c r="P139" s="32">
        <v>1</v>
      </c>
      <c r="Q139" s="31">
        <v>0</v>
      </c>
      <c r="R139" s="31">
        <v>0</v>
      </c>
      <c r="S139" s="31">
        <v>0</v>
      </c>
      <c r="T139" s="32">
        <v>0</v>
      </c>
      <c r="U139" s="31">
        <v>0</v>
      </c>
      <c r="V139" s="32">
        <v>0</v>
      </c>
      <c r="W139" s="31">
        <v>0</v>
      </c>
      <c r="X139" s="32">
        <v>0</v>
      </c>
      <c r="Y139" s="31">
        <v>0</v>
      </c>
      <c r="Z139" s="34">
        <v>0</v>
      </c>
      <c r="AA139" s="31">
        <v>0</v>
      </c>
      <c r="AB139" s="32">
        <v>0</v>
      </c>
      <c r="AC139" s="31">
        <v>18</v>
      </c>
      <c r="AD139" s="32">
        <v>0.25714285714285712</v>
      </c>
      <c r="AE139" s="31">
        <v>2</v>
      </c>
      <c r="AF139" s="32">
        <v>0.1111111111111111</v>
      </c>
      <c r="AG139" s="31">
        <v>10</v>
      </c>
      <c r="AH139" s="32">
        <v>0.55555555555555558</v>
      </c>
      <c r="AI139" s="35">
        <v>0</v>
      </c>
      <c r="AJ139" s="32">
        <v>0</v>
      </c>
      <c r="AK139" s="35">
        <v>0</v>
      </c>
      <c r="AL139" s="32">
        <v>0</v>
      </c>
      <c r="AM139" s="35">
        <v>0</v>
      </c>
      <c r="AN139" s="35">
        <v>0</v>
      </c>
      <c r="AO139" s="32">
        <v>0</v>
      </c>
      <c r="AP139" s="32">
        <v>0</v>
      </c>
      <c r="AQ139" s="33"/>
      <c r="AR139" s="33" t="s">
        <v>411</v>
      </c>
      <c r="AS139" s="33" t="s">
        <v>411</v>
      </c>
      <c r="AT139" s="35">
        <v>0</v>
      </c>
      <c r="AU139" s="35">
        <v>0</v>
      </c>
      <c r="AV139" s="35">
        <v>0</v>
      </c>
      <c r="AW139" s="35">
        <v>0</v>
      </c>
      <c r="AX139" s="35">
        <v>0</v>
      </c>
      <c r="AY139" s="35">
        <v>0</v>
      </c>
      <c r="AZ139" s="32">
        <v>0</v>
      </c>
      <c r="BA139" s="32">
        <v>0</v>
      </c>
      <c r="BB139" s="32">
        <v>0</v>
      </c>
      <c r="BC139" s="32">
        <v>0</v>
      </c>
      <c r="BD139" s="35">
        <v>0</v>
      </c>
      <c r="BE139" s="35">
        <v>0</v>
      </c>
      <c r="BF139" s="33" t="s">
        <v>412</v>
      </c>
      <c r="BG139" s="33" t="s">
        <v>412</v>
      </c>
      <c r="BH139" s="33" t="s">
        <v>412</v>
      </c>
    </row>
    <row r="140" spans="1:60" ht="19.5" customHeight="1">
      <c r="A140" s="36">
        <v>137</v>
      </c>
      <c r="B140" s="31" t="s">
        <v>410</v>
      </c>
      <c r="C140" s="37">
        <v>45868</v>
      </c>
      <c r="D140" s="31" t="s">
        <v>334</v>
      </c>
      <c r="E140" s="31">
        <v>7495</v>
      </c>
      <c r="F140" s="31">
        <v>5847</v>
      </c>
      <c r="G140" s="32">
        <v>0.78012008005336886</v>
      </c>
      <c r="H140" s="31">
        <v>3233</v>
      </c>
      <c r="I140" s="33">
        <v>0.43135423615743829</v>
      </c>
      <c r="J140" s="31">
        <v>5531</v>
      </c>
      <c r="K140" s="31">
        <v>5201</v>
      </c>
      <c r="L140" s="32">
        <v>0.94</v>
      </c>
      <c r="M140" s="31">
        <v>6602</v>
      </c>
      <c r="N140" s="31">
        <v>0</v>
      </c>
      <c r="O140" s="31">
        <v>5998</v>
      </c>
      <c r="P140" s="32">
        <v>0.90851257194789459</v>
      </c>
      <c r="Q140" s="31">
        <v>16</v>
      </c>
      <c r="R140" s="31">
        <v>0</v>
      </c>
      <c r="S140" s="31">
        <v>0</v>
      </c>
      <c r="T140" s="32">
        <v>0</v>
      </c>
      <c r="U140" s="31">
        <v>0</v>
      </c>
      <c r="V140" s="32">
        <v>0</v>
      </c>
      <c r="W140" s="31">
        <v>875</v>
      </c>
      <c r="X140" s="32">
        <v>0.11674449633088731</v>
      </c>
      <c r="Y140" s="31">
        <v>656</v>
      </c>
      <c r="Z140" s="34">
        <v>8.7525016677785186E-2</v>
      </c>
      <c r="AA140" s="31">
        <v>449</v>
      </c>
      <c r="AB140" s="32">
        <v>5.9906604402935291E-2</v>
      </c>
      <c r="AC140" s="31">
        <v>1188</v>
      </c>
      <c r="AD140" s="32">
        <v>0.15850567044696459</v>
      </c>
      <c r="AE140" s="31">
        <v>59</v>
      </c>
      <c r="AF140" s="32">
        <v>4.9663299663299673E-2</v>
      </c>
      <c r="AG140" s="31">
        <v>399</v>
      </c>
      <c r="AH140" s="32">
        <v>0.33585858585858591</v>
      </c>
      <c r="AI140" s="35">
        <v>1161</v>
      </c>
      <c r="AJ140" s="32">
        <v>0.15490326884589731</v>
      </c>
      <c r="AK140" s="35">
        <v>23</v>
      </c>
      <c r="AL140" s="32">
        <v>0.81050818260120583</v>
      </c>
      <c r="AM140" s="35">
        <v>1132</v>
      </c>
      <c r="AN140" s="35">
        <v>941</v>
      </c>
      <c r="AO140" s="32">
        <v>0.12555036691127419</v>
      </c>
      <c r="AP140" s="32">
        <v>0.79208754208754206</v>
      </c>
      <c r="AQ140" s="33">
        <v>0</v>
      </c>
      <c r="AR140" s="33" t="s">
        <v>411</v>
      </c>
      <c r="AS140" s="33">
        <v>0</v>
      </c>
      <c r="AT140" s="35">
        <v>0</v>
      </c>
      <c r="AU140" s="35">
        <v>0</v>
      </c>
      <c r="AV140" s="35">
        <v>220</v>
      </c>
      <c r="AW140" s="35">
        <v>186</v>
      </c>
      <c r="AX140" s="35">
        <v>161</v>
      </c>
      <c r="AY140" s="35">
        <v>241</v>
      </c>
      <c r="AZ140" s="32">
        <v>2.4816544362908609E-2</v>
      </c>
      <c r="BA140" s="32">
        <v>2.1480987324883259E-2</v>
      </c>
      <c r="BB140" s="32">
        <v>3.2154769846564367E-2</v>
      </c>
      <c r="BC140" s="32">
        <v>0.17109458023379381</v>
      </c>
      <c r="BD140" s="35">
        <v>0</v>
      </c>
      <c r="BE140" s="35">
        <v>2</v>
      </c>
      <c r="BF140" s="33">
        <v>1</v>
      </c>
      <c r="BG140" s="33">
        <v>1</v>
      </c>
      <c r="BH140" s="33">
        <v>0.96363636363636362</v>
      </c>
    </row>
    <row r="141" spans="1:60" ht="19.5" customHeight="1">
      <c r="A141" s="36">
        <v>138</v>
      </c>
      <c r="B141" s="31" t="s">
        <v>410</v>
      </c>
      <c r="C141" s="37">
        <v>45868</v>
      </c>
      <c r="D141" s="31" t="s">
        <v>337</v>
      </c>
      <c r="E141" s="31">
        <v>138</v>
      </c>
      <c r="F141" s="31">
        <v>125</v>
      </c>
      <c r="G141" s="32">
        <v>0.90579710144927539</v>
      </c>
      <c r="H141" s="31">
        <v>60</v>
      </c>
      <c r="I141" s="33">
        <v>0.43478260869565222</v>
      </c>
      <c r="J141" s="31">
        <v>33</v>
      </c>
      <c r="K141" s="31">
        <v>32</v>
      </c>
      <c r="L141" s="32">
        <v>0.97</v>
      </c>
      <c r="M141" s="31">
        <v>51</v>
      </c>
      <c r="N141" s="31">
        <v>0</v>
      </c>
      <c r="O141" s="31">
        <v>50</v>
      </c>
      <c r="P141" s="32">
        <v>0.98039215686274506</v>
      </c>
      <c r="Q141" s="31">
        <v>0</v>
      </c>
      <c r="R141" s="31">
        <v>0</v>
      </c>
      <c r="S141" s="31">
        <v>0</v>
      </c>
      <c r="T141" s="32">
        <v>0</v>
      </c>
      <c r="U141" s="31">
        <v>0</v>
      </c>
      <c r="V141" s="32">
        <v>0</v>
      </c>
      <c r="W141" s="31">
        <v>0</v>
      </c>
      <c r="X141" s="32">
        <v>0</v>
      </c>
      <c r="Y141" s="31">
        <v>0</v>
      </c>
      <c r="Z141" s="34">
        <v>0</v>
      </c>
      <c r="AA141" s="31">
        <v>0</v>
      </c>
      <c r="AB141" s="32">
        <v>0</v>
      </c>
      <c r="AC141" s="31">
        <v>40</v>
      </c>
      <c r="AD141" s="32">
        <v>0.28985507246376813</v>
      </c>
      <c r="AE141" s="31">
        <v>3</v>
      </c>
      <c r="AF141" s="32">
        <v>7.4999999999999997E-2</v>
      </c>
      <c r="AG141" s="31">
        <v>26</v>
      </c>
      <c r="AH141" s="32">
        <v>0.65</v>
      </c>
      <c r="AI141" s="35">
        <v>0</v>
      </c>
      <c r="AJ141" s="32">
        <v>0</v>
      </c>
      <c r="AK141" s="35">
        <v>0</v>
      </c>
      <c r="AL141" s="32">
        <v>0</v>
      </c>
      <c r="AM141" s="35">
        <v>0</v>
      </c>
      <c r="AN141" s="35">
        <v>0</v>
      </c>
      <c r="AO141" s="32">
        <v>0</v>
      </c>
      <c r="AP141" s="32">
        <v>0</v>
      </c>
      <c r="AQ141" s="33"/>
      <c r="AR141" s="33" t="s">
        <v>411</v>
      </c>
      <c r="AS141" s="33" t="s">
        <v>411</v>
      </c>
      <c r="AT141" s="35">
        <v>0</v>
      </c>
      <c r="AU141" s="35">
        <v>0</v>
      </c>
      <c r="AV141" s="35">
        <v>0</v>
      </c>
      <c r="AW141" s="35">
        <v>0</v>
      </c>
      <c r="AX141" s="35">
        <v>0</v>
      </c>
      <c r="AY141" s="35">
        <v>0</v>
      </c>
      <c r="AZ141" s="32">
        <v>0</v>
      </c>
      <c r="BA141" s="32">
        <v>0</v>
      </c>
      <c r="BB141" s="32">
        <v>0</v>
      </c>
      <c r="BC141" s="32">
        <v>0</v>
      </c>
      <c r="BD141" s="35">
        <v>0</v>
      </c>
      <c r="BE141" s="35">
        <v>0</v>
      </c>
      <c r="BF141" s="33" t="s">
        <v>412</v>
      </c>
      <c r="BG141" s="33" t="s">
        <v>412</v>
      </c>
      <c r="BH141" s="33" t="s">
        <v>412</v>
      </c>
    </row>
    <row r="142" spans="1:60" ht="19.5" customHeight="1">
      <c r="A142" s="36">
        <v>139</v>
      </c>
      <c r="B142" s="31" t="s">
        <v>410</v>
      </c>
      <c r="C142" s="37">
        <v>45868</v>
      </c>
      <c r="D142" s="31" t="s">
        <v>336</v>
      </c>
      <c r="E142" s="31">
        <v>74</v>
      </c>
      <c r="F142" s="31">
        <v>66</v>
      </c>
      <c r="G142" s="32">
        <v>0.89189189189189189</v>
      </c>
      <c r="H142" s="31">
        <v>42</v>
      </c>
      <c r="I142" s="33">
        <v>0.56756756756756754</v>
      </c>
      <c r="J142" s="31">
        <v>39</v>
      </c>
      <c r="K142" s="31">
        <v>38</v>
      </c>
      <c r="L142" s="32">
        <v>0.97399999999999998</v>
      </c>
      <c r="M142" s="31">
        <v>55</v>
      </c>
      <c r="N142" s="31">
        <v>0</v>
      </c>
      <c r="O142" s="31">
        <v>54</v>
      </c>
      <c r="P142" s="32">
        <v>0.98181818181818181</v>
      </c>
      <c r="Q142" s="31">
        <v>0</v>
      </c>
      <c r="R142" s="31">
        <v>0</v>
      </c>
      <c r="S142" s="31">
        <v>0</v>
      </c>
      <c r="T142" s="32">
        <v>0</v>
      </c>
      <c r="U142" s="31">
        <v>0</v>
      </c>
      <c r="V142" s="32">
        <v>0</v>
      </c>
      <c r="W142" s="31">
        <v>0</v>
      </c>
      <c r="X142" s="32">
        <v>0</v>
      </c>
      <c r="Y142" s="31">
        <v>0</v>
      </c>
      <c r="Z142" s="34">
        <v>0</v>
      </c>
      <c r="AA142" s="31">
        <v>0</v>
      </c>
      <c r="AB142" s="32">
        <v>0</v>
      </c>
      <c r="AC142" s="31">
        <v>25</v>
      </c>
      <c r="AD142" s="32">
        <v>0.33783783783783777</v>
      </c>
      <c r="AE142" s="31">
        <v>1</v>
      </c>
      <c r="AF142" s="32">
        <v>0.04</v>
      </c>
      <c r="AG142" s="31">
        <v>14</v>
      </c>
      <c r="AH142" s="32">
        <v>0.56000000000000005</v>
      </c>
      <c r="AI142" s="35">
        <v>0</v>
      </c>
      <c r="AJ142" s="32">
        <v>0</v>
      </c>
      <c r="AK142" s="35">
        <v>0</v>
      </c>
      <c r="AL142" s="32">
        <v>0</v>
      </c>
      <c r="AM142" s="35">
        <v>0</v>
      </c>
      <c r="AN142" s="35">
        <v>0</v>
      </c>
      <c r="AO142" s="32">
        <v>0</v>
      </c>
      <c r="AP142" s="32">
        <v>0</v>
      </c>
      <c r="AQ142" s="33"/>
      <c r="AR142" s="33" t="s">
        <v>411</v>
      </c>
      <c r="AS142" s="33" t="s">
        <v>411</v>
      </c>
      <c r="AT142" s="35">
        <v>0</v>
      </c>
      <c r="AU142" s="35">
        <v>0</v>
      </c>
      <c r="AV142" s="35">
        <v>0</v>
      </c>
      <c r="AW142" s="35">
        <v>0</v>
      </c>
      <c r="AX142" s="35">
        <v>0</v>
      </c>
      <c r="AY142" s="35">
        <v>0</v>
      </c>
      <c r="AZ142" s="32">
        <v>0</v>
      </c>
      <c r="BA142" s="32">
        <v>0</v>
      </c>
      <c r="BB142" s="32">
        <v>0</v>
      </c>
      <c r="BC142" s="32">
        <v>0</v>
      </c>
      <c r="BD142" s="35">
        <v>0</v>
      </c>
      <c r="BE142" s="35">
        <v>0</v>
      </c>
      <c r="BF142" s="33" t="s">
        <v>412</v>
      </c>
      <c r="BG142" s="33" t="s">
        <v>412</v>
      </c>
      <c r="BH142" s="33" t="s">
        <v>412</v>
      </c>
    </row>
    <row r="143" spans="1:60" ht="19.5" customHeight="1">
      <c r="A143" s="36">
        <v>140</v>
      </c>
      <c r="B143" s="31" t="s">
        <v>410</v>
      </c>
      <c r="C143" s="37">
        <v>45869</v>
      </c>
      <c r="D143" s="31" t="s">
        <v>413</v>
      </c>
      <c r="E143" s="31">
        <v>1</v>
      </c>
      <c r="F143" s="31">
        <v>1</v>
      </c>
      <c r="G143" s="32">
        <v>1</v>
      </c>
      <c r="H143" s="31">
        <v>0</v>
      </c>
      <c r="I143" s="33">
        <v>0</v>
      </c>
      <c r="J143" s="31">
        <v>1</v>
      </c>
      <c r="K143" s="31">
        <v>1</v>
      </c>
      <c r="L143" s="32">
        <v>1</v>
      </c>
      <c r="M143" s="31">
        <v>1</v>
      </c>
      <c r="N143" s="31">
        <v>0</v>
      </c>
      <c r="O143" s="31">
        <v>1</v>
      </c>
      <c r="P143" s="32">
        <v>1</v>
      </c>
      <c r="Q143" s="31">
        <v>0</v>
      </c>
      <c r="R143" s="31">
        <v>28</v>
      </c>
      <c r="S143" s="31">
        <v>15</v>
      </c>
      <c r="T143" s="32">
        <v>0.5357142857142857</v>
      </c>
      <c r="U143" s="31">
        <v>3</v>
      </c>
      <c r="V143" s="32">
        <v>0.1071428571428571</v>
      </c>
      <c r="W143" s="31">
        <v>0</v>
      </c>
      <c r="X143" s="32">
        <v>0</v>
      </c>
      <c r="Y143" s="31">
        <v>0</v>
      </c>
      <c r="Z143" s="34">
        <v>0</v>
      </c>
      <c r="AA143" s="31">
        <v>0</v>
      </c>
      <c r="AB143" s="32">
        <v>0</v>
      </c>
      <c r="AC143" s="31">
        <v>0</v>
      </c>
      <c r="AD143" s="32">
        <v>0</v>
      </c>
      <c r="AE143" s="31">
        <v>0</v>
      </c>
      <c r="AF143" s="32">
        <v>0</v>
      </c>
      <c r="AG143" s="31">
        <v>0</v>
      </c>
      <c r="AH143" s="32">
        <v>0</v>
      </c>
      <c r="AI143" s="35">
        <v>0</v>
      </c>
      <c r="AJ143" s="32">
        <v>0</v>
      </c>
      <c r="AK143" s="35">
        <v>0</v>
      </c>
      <c r="AL143" s="32">
        <v>0</v>
      </c>
      <c r="AM143" s="35">
        <v>0</v>
      </c>
      <c r="AN143" s="35">
        <v>0</v>
      </c>
      <c r="AO143" s="32">
        <v>0</v>
      </c>
      <c r="AP143" s="32">
        <v>0</v>
      </c>
      <c r="AQ143" s="33"/>
      <c r="AR143" s="33" t="s">
        <v>411</v>
      </c>
      <c r="AS143" s="33" t="s">
        <v>411</v>
      </c>
      <c r="AT143" s="35">
        <v>0</v>
      </c>
      <c r="AU143" s="35">
        <v>0</v>
      </c>
      <c r="AV143" s="35">
        <v>0</v>
      </c>
      <c r="AW143" s="35">
        <v>0</v>
      </c>
      <c r="AX143" s="35">
        <v>0</v>
      </c>
      <c r="AY143" s="35">
        <v>0</v>
      </c>
      <c r="AZ143" s="32">
        <v>0</v>
      </c>
      <c r="BA143" s="32">
        <v>0</v>
      </c>
      <c r="BB143" s="32">
        <v>0</v>
      </c>
      <c r="BC143" s="32">
        <v>0</v>
      </c>
      <c r="BD143" s="35">
        <v>0</v>
      </c>
      <c r="BE143" s="35">
        <v>0</v>
      </c>
      <c r="BF143" s="33" t="s">
        <v>412</v>
      </c>
      <c r="BG143" s="33" t="s">
        <v>412</v>
      </c>
      <c r="BH143" s="33" t="s">
        <v>412</v>
      </c>
    </row>
    <row r="144" spans="1:60" ht="19.5" customHeight="1">
      <c r="A144" s="36">
        <v>141</v>
      </c>
      <c r="B144" s="31" t="s">
        <v>410</v>
      </c>
      <c r="C144" s="37">
        <v>45869</v>
      </c>
      <c r="D144" s="31" t="s">
        <v>335</v>
      </c>
      <c r="E144" s="31">
        <v>64</v>
      </c>
      <c r="F144" s="31">
        <v>61</v>
      </c>
      <c r="G144" s="32">
        <v>0.953125</v>
      </c>
      <c r="H144" s="31">
        <v>38</v>
      </c>
      <c r="I144" s="33">
        <v>0.59375</v>
      </c>
      <c r="J144" s="31">
        <v>50</v>
      </c>
      <c r="K144" s="31">
        <v>50</v>
      </c>
      <c r="L144" s="32">
        <v>1</v>
      </c>
      <c r="M144" s="31">
        <v>74</v>
      </c>
      <c r="N144" s="31">
        <v>0</v>
      </c>
      <c r="O144" s="31">
        <v>69</v>
      </c>
      <c r="P144" s="32">
        <v>0.93243243243243246</v>
      </c>
      <c r="Q144" s="31">
        <v>0</v>
      </c>
      <c r="R144" s="31">
        <v>3467</v>
      </c>
      <c r="S144" s="31">
        <v>1586</v>
      </c>
      <c r="T144" s="32">
        <v>0.4574560138448226</v>
      </c>
      <c r="U144" s="31">
        <v>461</v>
      </c>
      <c r="V144" s="32">
        <v>0.13296798384770689</v>
      </c>
      <c r="W144" s="31">
        <v>0</v>
      </c>
      <c r="X144" s="32">
        <v>0</v>
      </c>
      <c r="Y144" s="31">
        <v>0</v>
      </c>
      <c r="Z144" s="34">
        <v>0</v>
      </c>
      <c r="AA144" s="31">
        <v>0</v>
      </c>
      <c r="AB144" s="32">
        <v>0</v>
      </c>
      <c r="AC144" s="31">
        <v>19</v>
      </c>
      <c r="AD144" s="32">
        <v>0.296875</v>
      </c>
      <c r="AE144" s="31">
        <v>0</v>
      </c>
      <c r="AF144" s="32">
        <v>0</v>
      </c>
      <c r="AG144" s="31">
        <v>10</v>
      </c>
      <c r="AH144" s="32">
        <v>0.52631578947368418</v>
      </c>
      <c r="AI144" s="35">
        <v>0</v>
      </c>
      <c r="AJ144" s="32">
        <v>0</v>
      </c>
      <c r="AK144" s="35">
        <v>0</v>
      </c>
      <c r="AL144" s="32">
        <v>0</v>
      </c>
      <c r="AM144" s="35">
        <v>0</v>
      </c>
      <c r="AN144" s="35">
        <v>0</v>
      </c>
      <c r="AO144" s="32">
        <v>0</v>
      </c>
      <c r="AP144" s="32">
        <v>0</v>
      </c>
      <c r="AQ144" s="33">
        <v>0</v>
      </c>
      <c r="AR144" s="33" t="s">
        <v>411</v>
      </c>
      <c r="AS144" s="33">
        <v>0</v>
      </c>
      <c r="AT144" s="35">
        <v>0</v>
      </c>
      <c r="AU144" s="35">
        <v>0</v>
      </c>
      <c r="AV144" s="35">
        <v>0</v>
      </c>
      <c r="AW144" s="35">
        <v>0</v>
      </c>
      <c r="AX144" s="35">
        <v>0</v>
      </c>
      <c r="AY144" s="35">
        <v>0</v>
      </c>
      <c r="AZ144" s="32">
        <v>0</v>
      </c>
      <c r="BA144" s="32">
        <v>0</v>
      </c>
      <c r="BB144" s="32">
        <v>0</v>
      </c>
      <c r="BC144" s="32">
        <v>0</v>
      </c>
      <c r="BD144" s="35">
        <v>0</v>
      </c>
      <c r="BE144" s="35">
        <v>0</v>
      </c>
      <c r="BF144" s="33" t="s">
        <v>412</v>
      </c>
      <c r="BG144" s="33" t="s">
        <v>412</v>
      </c>
      <c r="BH144" s="33" t="s">
        <v>412</v>
      </c>
    </row>
    <row r="145" spans="1:60" ht="19.5" customHeight="1">
      <c r="A145" s="36">
        <v>142</v>
      </c>
      <c r="B145" s="31" t="s">
        <v>410</v>
      </c>
      <c r="C145" s="37">
        <v>45869</v>
      </c>
      <c r="D145" s="31" t="s">
        <v>334</v>
      </c>
      <c r="E145" s="31">
        <v>9706</v>
      </c>
      <c r="F145" s="31">
        <v>7995</v>
      </c>
      <c r="G145" s="32">
        <v>0.82371728827529367</v>
      </c>
      <c r="H145" s="31">
        <v>3328</v>
      </c>
      <c r="I145" s="33">
        <v>0.34288069235524421</v>
      </c>
      <c r="J145" s="31">
        <v>6508</v>
      </c>
      <c r="K145" s="31">
        <v>6183</v>
      </c>
      <c r="L145" s="32">
        <v>0.95</v>
      </c>
      <c r="M145" s="31">
        <v>7778</v>
      </c>
      <c r="N145" s="31">
        <v>0</v>
      </c>
      <c r="O145" s="31">
        <v>7035</v>
      </c>
      <c r="P145" s="32">
        <v>0.90447415788120344</v>
      </c>
      <c r="Q145" s="31">
        <v>16</v>
      </c>
      <c r="R145" s="31">
        <v>363133</v>
      </c>
      <c r="S145" s="31">
        <v>173696</v>
      </c>
      <c r="T145" s="32">
        <v>0.47832612293567373</v>
      </c>
      <c r="U145" s="31">
        <v>43318</v>
      </c>
      <c r="V145" s="32">
        <v>0.119289626665712</v>
      </c>
      <c r="W145" s="31">
        <v>1566</v>
      </c>
      <c r="X145" s="32">
        <v>0.1613434988666804</v>
      </c>
      <c r="Y145" s="31">
        <v>800</v>
      </c>
      <c r="Z145" s="34">
        <v>8.2423243354626002E-2</v>
      </c>
      <c r="AA145" s="31">
        <v>317</v>
      </c>
      <c r="AB145" s="32">
        <v>3.2660210179270552E-2</v>
      </c>
      <c r="AC145" s="31">
        <v>1260</v>
      </c>
      <c r="AD145" s="32">
        <v>0.12981660828353589</v>
      </c>
      <c r="AE145" s="31">
        <v>70</v>
      </c>
      <c r="AF145" s="32">
        <v>5.5555555555555552E-2</v>
      </c>
      <c r="AG145" s="31">
        <v>381</v>
      </c>
      <c r="AH145" s="32">
        <v>0.30238095238095242</v>
      </c>
      <c r="AI145" s="35">
        <v>1216</v>
      </c>
      <c r="AJ145" s="32">
        <v>0.12528332989903149</v>
      </c>
      <c r="AK145" s="35">
        <v>16</v>
      </c>
      <c r="AL145" s="32">
        <v>0.83470394736842102</v>
      </c>
      <c r="AM145" s="35">
        <v>1208</v>
      </c>
      <c r="AN145" s="35">
        <v>1015</v>
      </c>
      <c r="AO145" s="32">
        <v>0.1045744900061817</v>
      </c>
      <c r="AP145" s="32">
        <v>0.80555555555555558</v>
      </c>
      <c r="AQ145" s="33">
        <v>0</v>
      </c>
      <c r="AR145" s="33" t="s">
        <v>411</v>
      </c>
      <c r="AS145" s="33">
        <v>0</v>
      </c>
      <c r="AT145" s="35">
        <v>0</v>
      </c>
      <c r="AU145" s="35">
        <v>0</v>
      </c>
      <c r="AV145" s="35">
        <v>470</v>
      </c>
      <c r="AW145" s="35">
        <v>428</v>
      </c>
      <c r="AX145" s="35">
        <v>261</v>
      </c>
      <c r="AY145" s="35">
        <v>281</v>
      </c>
      <c r="AZ145" s="32">
        <v>4.4096435194724913E-2</v>
      </c>
      <c r="BA145" s="32">
        <v>2.6890583144446732E-2</v>
      </c>
      <c r="BB145" s="32">
        <v>2.8951164228312381E-2</v>
      </c>
      <c r="BC145" s="32">
        <v>0.25714285714285712</v>
      </c>
      <c r="BD145" s="35">
        <v>0</v>
      </c>
      <c r="BE145" s="35">
        <v>4</v>
      </c>
      <c r="BF145" s="33">
        <v>0.96078431372549022</v>
      </c>
      <c r="BG145" s="33">
        <v>1</v>
      </c>
      <c r="BH145" s="33">
        <v>0.93181818181818177</v>
      </c>
    </row>
    <row r="146" spans="1:60" ht="19.5" customHeight="1">
      <c r="A146" s="36">
        <v>143</v>
      </c>
      <c r="B146" s="31" t="s">
        <v>410</v>
      </c>
      <c r="C146" s="37">
        <v>45869</v>
      </c>
      <c r="D146" s="31" t="s">
        <v>337</v>
      </c>
      <c r="E146" s="31">
        <v>137</v>
      </c>
      <c r="F146" s="31">
        <v>125</v>
      </c>
      <c r="G146" s="32">
        <v>0.91240875912408759</v>
      </c>
      <c r="H146" s="31">
        <v>57</v>
      </c>
      <c r="I146" s="33">
        <v>0.41605839416058388</v>
      </c>
      <c r="J146" s="31">
        <v>41</v>
      </c>
      <c r="K146" s="31">
        <v>40</v>
      </c>
      <c r="L146" s="32">
        <v>0.97599999999999998</v>
      </c>
      <c r="M146" s="31">
        <v>63</v>
      </c>
      <c r="N146" s="31">
        <v>0</v>
      </c>
      <c r="O146" s="31">
        <v>60</v>
      </c>
      <c r="P146" s="32">
        <v>0.95238095238095233</v>
      </c>
      <c r="Q146" s="31">
        <v>0</v>
      </c>
      <c r="R146" s="31">
        <v>7646</v>
      </c>
      <c r="S146" s="31">
        <v>3412</v>
      </c>
      <c r="T146" s="32">
        <v>0.44624640334815591</v>
      </c>
      <c r="U146" s="31">
        <v>966</v>
      </c>
      <c r="V146" s="32">
        <v>0.12634057023280151</v>
      </c>
      <c r="W146" s="31">
        <v>0</v>
      </c>
      <c r="X146" s="32">
        <v>0</v>
      </c>
      <c r="Y146" s="31">
        <v>0</v>
      </c>
      <c r="Z146" s="34">
        <v>0</v>
      </c>
      <c r="AA146" s="31">
        <v>0</v>
      </c>
      <c r="AB146" s="32">
        <v>0</v>
      </c>
      <c r="AC146" s="31">
        <v>40</v>
      </c>
      <c r="AD146" s="32">
        <v>0.29197080291970801</v>
      </c>
      <c r="AE146" s="31">
        <v>2</v>
      </c>
      <c r="AF146" s="32">
        <v>0.05</v>
      </c>
      <c r="AG146" s="31">
        <v>27</v>
      </c>
      <c r="AH146" s="32">
        <v>0.67500000000000004</v>
      </c>
      <c r="AI146" s="35">
        <v>0</v>
      </c>
      <c r="AJ146" s="32">
        <v>0</v>
      </c>
      <c r="AK146" s="35">
        <v>0</v>
      </c>
      <c r="AL146" s="32">
        <v>0</v>
      </c>
      <c r="AM146" s="35">
        <v>0</v>
      </c>
      <c r="AN146" s="35">
        <v>0</v>
      </c>
      <c r="AO146" s="32">
        <v>0</v>
      </c>
      <c r="AP146" s="32">
        <v>0</v>
      </c>
      <c r="AQ146" s="33"/>
      <c r="AR146" s="33" t="s">
        <v>411</v>
      </c>
      <c r="AS146" s="33" t="s">
        <v>411</v>
      </c>
      <c r="AT146" s="35">
        <v>0</v>
      </c>
      <c r="AU146" s="35">
        <v>0</v>
      </c>
      <c r="AV146" s="35">
        <v>0</v>
      </c>
      <c r="AW146" s="35">
        <v>0</v>
      </c>
      <c r="AX146" s="35">
        <v>0</v>
      </c>
      <c r="AY146" s="35">
        <v>0</v>
      </c>
      <c r="AZ146" s="32">
        <v>0</v>
      </c>
      <c r="BA146" s="32">
        <v>0</v>
      </c>
      <c r="BB146" s="32">
        <v>0</v>
      </c>
      <c r="BC146" s="32">
        <v>0</v>
      </c>
      <c r="BD146" s="35">
        <v>0</v>
      </c>
      <c r="BE146" s="35">
        <v>0</v>
      </c>
      <c r="BF146" s="33" t="s">
        <v>412</v>
      </c>
      <c r="BG146" s="33" t="s">
        <v>412</v>
      </c>
      <c r="BH146" s="33" t="s">
        <v>412</v>
      </c>
    </row>
    <row r="147" spans="1:60" ht="19.5" customHeight="1">
      <c r="A147" s="36">
        <v>144</v>
      </c>
      <c r="B147" s="31" t="s">
        <v>410</v>
      </c>
      <c r="C147" s="37">
        <v>45869</v>
      </c>
      <c r="D147" s="31" t="s">
        <v>336</v>
      </c>
      <c r="E147" s="31">
        <v>67</v>
      </c>
      <c r="F147" s="31">
        <v>64</v>
      </c>
      <c r="G147" s="32">
        <v>0.95522388059701491</v>
      </c>
      <c r="H147" s="31">
        <v>48</v>
      </c>
      <c r="I147" s="33">
        <v>0.71641791044776115</v>
      </c>
      <c r="J147" s="31">
        <v>38</v>
      </c>
      <c r="K147" s="31">
        <v>37</v>
      </c>
      <c r="L147" s="32">
        <v>0.97399999999999998</v>
      </c>
      <c r="M147" s="31">
        <v>86</v>
      </c>
      <c r="N147" s="31">
        <v>0</v>
      </c>
      <c r="O147" s="31">
        <v>83</v>
      </c>
      <c r="P147" s="32">
        <v>0.96511627906976749</v>
      </c>
      <c r="Q147" s="31">
        <v>0</v>
      </c>
      <c r="R147" s="31">
        <v>3093</v>
      </c>
      <c r="S147" s="31">
        <v>1262</v>
      </c>
      <c r="T147" s="32">
        <v>0.40801810539928868</v>
      </c>
      <c r="U147" s="31">
        <v>442</v>
      </c>
      <c r="V147" s="32">
        <v>0.14290333010022629</v>
      </c>
      <c r="W147" s="31">
        <v>0</v>
      </c>
      <c r="X147" s="32">
        <v>0</v>
      </c>
      <c r="Y147" s="31">
        <v>0</v>
      </c>
      <c r="Z147" s="34">
        <v>0</v>
      </c>
      <c r="AA147" s="31">
        <v>0</v>
      </c>
      <c r="AB147" s="32">
        <v>0</v>
      </c>
      <c r="AC147" s="31">
        <v>35</v>
      </c>
      <c r="AD147" s="32">
        <v>0.52238805970149249</v>
      </c>
      <c r="AE147" s="31">
        <v>0</v>
      </c>
      <c r="AF147" s="32">
        <v>0</v>
      </c>
      <c r="AG147" s="31">
        <v>24</v>
      </c>
      <c r="AH147" s="32">
        <v>0.68571428571428572</v>
      </c>
      <c r="AI147" s="35">
        <v>0</v>
      </c>
      <c r="AJ147" s="32">
        <v>0</v>
      </c>
      <c r="AK147" s="35">
        <v>0</v>
      </c>
      <c r="AL147" s="32">
        <v>0</v>
      </c>
      <c r="AM147" s="35">
        <v>0</v>
      </c>
      <c r="AN147" s="35">
        <v>0</v>
      </c>
      <c r="AO147" s="32">
        <v>0</v>
      </c>
      <c r="AP147" s="32">
        <v>0</v>
      </c>
      <c r="AQ147" s="33"/>
      <c r="AR147" s="33" t="s">
        <v>411</v>
      </c>
      <c r="AS147" s="33" t="s">
        <v>411</v>
      </c>
      <c r="AT147" s="35">
        <v>0</v>
      </c>
      <c r="AU147" s="35">
        <v>0</v>
      </c>
      <c r="AV147" s="35">
        <v>0</v>
      </c>
      <c r="AW147" s="35">
        <v>0</v>
      </c>
      <c r="AX147" s="35">
        <v>0</v>
      </c>
      <c r="AY147" s="35">
        <v>0</v>
      </c>
      <c r="AZ147" s="32">
        <v>0</v>
      </c>
      <c r="BA147" s="32">
        <v>0</v>
      </c>
      <c r="BB147" s="32">
        <v>0</v>
      </c>
      <c r="BC147" s="32">
        <v>0</v>
      </c>
      <c r="BD147" s="35">
        <v>0</v>
      </c>
      <c r="BE147" s="35">
        <v>0</v>
      </c>
      <c r="BF147" s="33" t="s">
        <v>412</v>
      </c>
      <c r="BG147" s="33" t="s">
        <v>412</v>
      </c>
      <c r="BH147" s="33" t="s">
        <v>412</v>
      </c>
    </row>
  </sheetData>
  <mergeCells count="13">
    <mergeCell ref="BD1:BH1"/>
    <mergeCell ref="AI1:AS1"/>
    <mergeCell ref="A1:A2"/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</mergeCells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92D050"/>
  </sheetPr>
  <dimension ref="A1:U63"/>
  <sheetViews>
    <sheetView workbookViewId="0">
      <selection activeCell="G47" sqref="G47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38" t="s">
        <v>0</v>
      </c>
      <c r="B1" s="38" t="s">
        <v>1</v>
      </c>
      <c r="C1" s="38" t="s">
        <v>2</v>
      </c>
      <c r="D1" s="38" t="s">
        <v>3</v>
      </c>
      <c r="E1" s="38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38" t="s">
        <v>9</v>
      </c>
      <c r="K1" s="38" t="s">
        <v>10</v>
      </c>
      <c r="L1" s="38" t="s">
        <v>11</v>
      </c>
      <c r="M1" s="38" t="s">
        <v>12</v>
      </c>
      <c r="N1" s="38" t="s">
        <v>13</v>
      </c>
      <c r="O1" s="38" t="s">
        <v>14</v>
      </c>
      <c r="P1" s="38" t="s">
        <v>15</v>
      </c>
      <c r="Q1" s="38" t="s">
        <v>16</v>
      </c>
      <c r="R1" s="38" t="s">
        <v>17</v>
      </c>
      <c r="S1" s="38" t="s">
        <v>18</v>
      </c>
      <c r="T1" s="38" t="s">
        <v>19</v>
      </c>
      <c r="U1" s="38" t="s">
        <v>20</v>
      </c>
    </row>
    <row r="2" spans="1:21">
      <c r="A2" s="39" t="s">
        <v>21</v>
      </c>
      <c r="B2" s="39" t="s">
        <v>22</v>
      </c>
      <c r="C2" s="40">
        <v>1085151</v>
      </c>
      <c r="D2" s="40">
        <v>1077665</v>
      </c>
      <c r="E2" s="40">
        <v>973999</v>
      </c>
      <c r="F2" s="40">
        <v>103666</v>
      </c>
      <c r="G2" s="40">
        <v>790679</v>
      </c>
      <c r="H2" s="40">
        <v>43593</v>
      </c>
      <c r="I2" s="40">
        <v>19212</v>
      </c>
      <c r="J2" s="40">
        <v>13091</v>
      </c>
      <c r="K2" s="41">
        <v>43528</v>
      </c>
      <c r="L2" s="40">
        <v>60104</v>
      </c>
      <c r="M2" s="39" t="s">
        <v>415</v>
      </c>
      <c r="N2" s="39" t="s">
        <v>416</v>
      </c>
      <c r="O2" s="39" t="s">
        <v>417</v>
      </c>
      <c r="P2" s="39" t="s">
        <v>418</v>
      </c>
      <c r="Q2" s="39" t="s">
        <v>419</v>
      </c>
      <c r="R2" s="39" t="s">
        <v>420</v>
      </c>
      <c r="S2" s="39" t="s">
        <v>421</v>
      </c>
      <c r="T2" s="39" t="s">
        <v>422</v>
      </c>
      <c r="U2" s="39" t="s">
        <v>423</v>
      </c>
    </row>
    <row r="3" spans="1:21">
      <c r="A3" s="39" t="s">
        <v>32</v>
      </c>
      <c r="B3" s="42">
        <v>46174</v>
      </c>
      <c r="C3" s="40">
        <v>16170</v>
      </c>
      <c r="D3" s="40">
        <v>16965</v>
      </c>
      <c r="E3" s="40">
        <v>15753</v>
      </c>
      <c r="F3" s="40">
        <v>1212</v>
      </c>
      <c r="G3" s="40">
        <v>10024</v>
      </c>
      <c r="H3" s="40">
        <v>377</v>
      </c>
      <c r="I3" s="40">
        <v>39</v>
      </c>
      <c r="J3" s="40">
        <v>5</v>
      </c>
      <c r="K3" s="41">
        <v>239</v>
      </c>
      <c r="L3" s="40">
        <v>1570</v>
      </c>
      <c r="M3" s="39" t="s">
        <v>424</v>
      </c>
      <c r="N3" s="39" t="s">
        <v>425</v>
      </c>
      <c r="O3" s="39" t="s">
        <v>39</v>
      </c>
      <c r="P3" s="39" t="s">
        <v>426</v>
      </c>
      <c r="Q3" s="39" t="s">
        <v>427</v>
      </c>
      <c r="R3" s="39" t="s">
        <v>428</v>
      </c>
      <c r="S3" s="39" t="s">
        <v>199</v>
      </c>
      <c r="T3" s="39" t="s">
        <v>429</v>
      </c>
      <c r="U3" s="39" t="s">
        <v>430</v>
      </c>
    </row>
    <row r="4" spans="1:21">
      <c r="A4" s="39" t="s">
        <v>42</v>
      </c>
      <c r="B4" s="42">
        <v>46175</v>
      </c>
      <c r="C4" s="40">
        <v>15970</v>
      </c>
      <c r="D4" s="40">
        <v>16190</v>
      </c>
      <c r="E4" s="40">
        <v>15142</v>
      </c>
      <c r="F4" s="40">
        <v>1048</v>
      </c>
      <c r="G4" s="40">
        <v>9989</v>
      </c>
      <c r="H4" s="40">
        <v>311</v>
      </c>
      <c r="I4" s="40">
        <v>70</v>
      </c>
      <c r="J4" s="40">
        <v>17</v>
      </c>
      <c r="K4" s="41">
        <v>261</v>
      </c>
      <c r="L4" s="40">
        <v>1530</v>
      </c>
      <c r="M4" s="39" t="s">
        <v>431</v>
      </c>
      <c r="N4" s="39" t="s">
        <v>432</v>
      </c>
      <c r="O4" s="39" t="s">
        <v>433</v>
      </c>
      <c r="P4" s="39" t="s">
        <v>434</v>
      </c>
      <c r="Q4" s="39" t="s">
        <v>60</v>
      </c>
      <c r="R4" s="39" t="s">
        <v>435</v>
      </c>
      <c r="S4" s="39" t="s">
        <v>436</v>
      </c>
      <c r="T4" s="39" t="s">
        <v>40</v>
      </c>
      <c r="U4" s="39" t="s">
        <v>437</v>
      </c>
    </row>
    <row r="5" spans="1:21">
      <c r="A5" s="39" t="s">
        <v>52</v>
      </c>
      <c r="B5" s="42">
        <v>46176</v>
      </c>
      <c r="C5" s="40">
        <v>16569</v>
      </c>
      <c r="D5" s="40">
        <v>16693</v>
      </c>
      <c r="E5" s="40">
        <v>15360</v>
      </c>
      <c r="F5" s="40">
        <v>1333</v>
      </c>
      <c r="G5" s="40">
        <v>10563</v>
      </c>
      <c r="H5" s="40">
        <v>367</v>
      </c>
      <c r="I5" s="40">
        <v>50</v>
      </c>
      <c r="J5" s="40">
        <v>16</v>
      </c>
      <c r="K5" s="41">
        <v>211</v>
      </c>
      <c r="L5" s="40">
        <v>1506</v>
      </c>
      <c r="M5" s="39" t="s">
        <v>438</v>
      </c>
      <c r="N5" s="39" t="s">
        <v>439</v>
      </c>
      <c r="O5" s="39" t="s">
        <v>47</v>
      </c>
      <c r="P5" s="39" t="s">
        <v>440</v>
      </c>
      <c r="Q5" s="39" t="s">
        <v>441</v>
      </c>
      <c r="R5" s="39" t="s">
        <v>442</v>
      </c>
      <c r="S5" s="39" t="s">
        <v>50</v>
      </c>
      <c r="T5" s="39" t="s">
        <v>443</v>
      </c>
      <c r="U5" s="39" t="s">
        <v>444</v>
      </c>
    </row>
    <row r="6" spans="1:21">
      <c r="A6" s="39" t="s">
        <v>62</v>
      </c>
      <c r="B6" s="42">
        <v>46177</v>
      </c>
      <c r="C6" s="40">
        <v>16654</v>
      </c>
      <c r="D6" s="40">
        <v>16838</v>
      </c>
      <c r="E6" s="40">
        <v>15708</v>
      </c>
      <c r="F6" s="40">
        <v>1130</v>
      </c>
      <c r="G6" s="40">
        <v>10743</v>
      </c>
      <c r="H6" s="40">
        <v>394</v>
      </c>
      <c r="I6" s="40">
        <v>84</v>
      </c>
      <c r="J6" s="40">
        <v>-2</v>
      </c>
      <c r="K6" s="41">
        <v>232</v>
      </c>
      <c r="L6" s="40">
        <v>1466</v>
      </c>
      <c r="M6" s="39" t="s">
        <v>445</v>
      </c>
      <c r="N6" s="39" t="s">
        <v>216</v>
      </c>
      <c r="O6" s="39" t="s">
        <v>132</v>
      </c>
      <c r="P6" s="39" t="s">
        <v>446</v>
      </c>
      <c r="Q6" s="39" t="s">
        <v>447</v>
      </c>
      <c r="R6" s="39" t="s">
        <v>448</v>
      </c>
      <c r="S6" s="39" t="s">
        <v>59</v>
      </c>
      <c r="T6" s="39" t="s">
        <v>449</v>
      </c>
      <c r="U6" s="39" t="s">
        <v>450</v>
      </c>
    </row>
    <row r="7" spans="1:21">
      <c r="A7" s="39" t="s">
        <v>72</v>
      </c>
      <c r="B7" s="42">
        <v>46178</v>
      </c>
      <c r="C7" s="40">
        <v>17704</v>
      </c>
      <c r="D7" s="40">
        <v>17741</v>
      </c>
      <c r="E7" s="40">
        <v>15918</v>
      </c>
      <c r="F7" s="40">
        <v>1823</v>
      </c>
      <c r="G7" s="40">
        <v>11533</v>
      </c>
      <c r="H7" s="40">
        <v>426</v>
      </c>
      <c r="I7" s="40">
        <v>58</v>
      </c>
      <c r="J7" s="40">
        <v>-13</v>
      </c>
      <c r="K7" s="41">
        <v>285</v>
      </c>
      <c r="L7" s="40">
        <v>1333</v>
      </c>
      <c r="M7" s="39" t="s">
        <v>109</v>
      </c>
      <c r="N7" s="39" t="s">
        <v>451</v>
      </c>
      <c r="O7" s="39" t="s">
        <v>59</v>
      </c>
      <c r="P7" s="39" t="s">
        <v>452</v>
      </c>
      <c r="Q7" s="39" t="s">
        <v>453</v>
      </c>
      <c r="R7" s="39" t="s">
        <v>454</v>
      </c>
      <c r="S7" s="39" t="s">
        <v>67</v>
      </c>
      <c r="T7" s="39" t="s">
        <v>455</v>
      </c>
      <c r="U7" s="39" t="s">
        <v>456</v>
      </c>
    </row>
    <row r="8" spans="1:21">
      <c r="A8" s="39" t="s">
        <v>81</v>
      </c>
      <c r="B8" s="42">
        <v>46179</v>
      </c>
      <c r="C8" s="40">
        <v>17691</v>
      </c>
      <c r="D8" s="40">
        <v>17497</v>
      </c>
      <c r="E8" s="40">
        <v>16234</v>
      </c>
      <c r="F8" s="40">
        <v>1263</v>
      </c>
      <c r="G8" s="40">
        <v>11408</v>
      </c>
      <c r="H8" s="40">
        <v>620</v>
      </c>
      <c r="I8" s="40">
        <v>52</v>
      </c>
      <c r="J8" s="40">
        <v>32</v>
      </c>
      <c r="K8" s="41">
        <v>313</v>
      </c>
      <c r="L8" s="40">
        <v>1369</v>
      </c>
      <c r="M8" s="39" t="s">
        <v>457</v>
      </c>
      <c r="N8" s="39" t="s">
        <v>458</v>
      </c>
      <c r="O8" s="39" t="s">
        <v>459</v>
      </c>
      <c r="P8" s="39" t="s">
        <v>253</v>
      </c>
      <c r="Q8" s="39" t="s">
        <v>57</v>
      </c>
      <c r="R8" s="39" t="s">
        <v>460</v>
      </c>
      <c r="S8" s="39" t="s">
        <v>461</v>
      </c>
      <c r="T8" s="39" t="s">
        <v>88</v>
      </c>
      <c r="U8" s="39" t="s">
        <v>462</v>
      </c>
    </row>
    <row r="9" spans="1:21">
      <c r="A9" s="39" t="s">
        <v>90</v>
      </c>
      <c r="B9" s="42">
        <v>46180</v>
      </c>
      <c r="C9" s="40">
        <v>17988</v>
      </c>
      <c r="D9" s="40">
        <v>17202</v>
      </c>
      <c r="E9" s="40">
        <v>15927</v>
      </c>
      <c r="F9" s="40">
        <v>1275</v>
      </c>
      <c r="G9" s="40">
        <v>11650</v>
      </c>
      <c r="H9" s="40">
        <v>796</v>
      </c>
      <c r="I9" s="40">
        <v>60</v>
      </c>
      <c r="J9" s="40">
        <v>13</v>
      </c>
      <c r="K9" s="41">
        <v>228</v>
      </c>
      <c r="L9" s="40">
        <v>1421</v>
      </c>
      <c r="M9" s="39" t="s">
        <v>463</v>
      </c>
      <c r="N9" s="39" t="s">
        <v>464</v>
      </c>
      <c r="O9" s="39" t="s">
        <v>465</v>
      </c>
      <c r="P9" s="39" t="s">
        <v>466</v>
      </c>
      <c r="Q9" s="39" t="s">
        <v>40</v>
      </c>
      <c r="R9" s="39" t="s">
        <v>467</v>
      </c>
      <c r="S9" s="39" t="s">
        <v>67</v>
      </c>
      <c r="T9" s="39" t="s">
        <v>468</v>
      </c>
      <c r="U9" s="39" t="s">
        <v>469</v>
      </c>
    </row>
    <row r="10" spans="1:21">
      <c r="A10" s="39" t="s">
        <v>98</v>
      </c>
      <c r="B10" s="42">
        <v>46181</v>
      </c>
      <c r="C10" s="40">
        <v>17927</v>
      </c>
      <c r="D10" s="40">
        <v>18311</v>
      </c>
      <c r="E10" s="40">
        <v>16963</v>
      </c>
      <c r="F10" s="40">
        <v>1348</v>
      </c>
      <c r="G10" s="40">
        <v>11910</v>
      </c>
      <c r="H10" s="40">
        <v>595</v>
      </c>
      <c r="I10" s="40">
        <v>90</v>
      </c>
      <c r="J10" s="40">
        <v>-22</v>
      </c>
      <c r="K10" s="41">
        <v>305</v>
      </c>
      <c r="L10" s="40">
        <v>1314</v>
      </c>
      <c r="M10" s="39" t="s">
        <v>470</v>
      </c>
      <c r="N10" s="39" t="s">
        <v>471</v>
      </c>
      <c r="O10" s="39" t="s">
        <v>472</v>
      </c>
      <c r="P10" s="39" t="s">
        <v>473</v>
      </c>
      <c r="Q10" s="39" t="s">
        <v>474</v>
      </c>
      <c r="R10" s="39" t="s">
        <v>475</v>
      </c>
      <c r="S10" s="39" t="s">
        <v>59</v>
      </c>
      <c r="T10" s="39" t="s">
        <v>476</v>
      </c>
      <c r="U10" s="39" t="s">
        <v>477</v>
      </c>
    </row>
    <row r="11" spans="1:21">
      <c r="A11" s="39" t="s">
        <v>108</v>
      </c>
      <c r="B11" s="42">
        <v>46182</v>
      </c>
      <c r="C11" s="40">
        <v>18621</v>
      </c>
      <c r="D11" s="40">
        <v>17803</v>
      </c>
      <c r="E11" s="40">
        <v>16375</v>
      </c>
      <c r="F11" s="40">
        <v>1428</v>
      </c>
      <c r="G11" s="40">
        <v>12235</v>
      </c>
      <c r="H11" s="40">
        <v>564</v>
      </c>
      <c r="I11" s="40">
        <v>76</v>
      </c>
      <c r="J11" s="40">
        <v>14</v>
      </c>
      <c r="K11" s="41">
        <v>266</v>
      </c>
      <c r="L11" s="40">
        <v>1460</v>
      </c>
      <c r="M11" s="39" t="s">
        <v>478</v>
      </c>
      <c r="N11" s="39" t="s">
        <v>479</v>
      </c>
      <c r="O11" s="39" t="s">
        <v>113</v>
      </c>
      <c r="P11" s="39" t="s">
        <v>480</v>
      </c>
      <c r="Q11" s="39" t="s">
        <v>40</v>
      </c>
      <c r="R11" s="39" t="s">
        <v>481</v>
      </c>
      <c r="S11" s="39" t="s">
        <v>482</v>
      </c>
      <c r="T11" s="39" t="s">
        <v>483</v>
      </c>
      <c r="U11" s="39" t="s">
        <v>484</v>
      </c>
    </row>
    <row r="12" spans="1:21">
      <c r="A12" s="39" t="s">
        <v>118</v>
      </c>
      <c r="B12" s="42">
        <v>46183</v>
      </c>
      <c r="C12" s="40">
        <v>16465</v>
      </c>
      <c r="D12" s="40">
        <v>17810</v>
      </c>
      <c r="E12" s="40">
        <v>16412</v>
      </c>
      <c r="F12" s="40">
        <v>1398</v>
      </c>
      <c r="G12" s="40">
        <v>11001</v>
      </c>
      <c r="H12" s="40">
        <v>426</v>
      </c>
      <c r="I12" s="40">
        <v>70</v>
      </c>
      <c r="J12" s="40">
        <v>20</v>
      </c>
      <c r="K12" s="41">
        <v>264</v>
      </c>
      <c r="L12" s="40">
        <v>1154</v>
      </c>
      <c r="M12" s="39" t="s">
        <v>485</v>
      </c>
      <c r="N12" s="39" t="s">
        <v>486</v>
      </c>
      <c r="O12" s="39" t="s">
        <v>35</v>
      </c>
      <c r="P12" s="39" t="s">
        <v>487</v>
      </c>
      <c r="Q12" s="39" t="s">
        <v>88</v>
      </c>
      <c r="R12" s="39" t="s">
        <v>488</v>
      </c>
      <c r="S12" s="39" t="s">
        <v>489</v>
      </c>
      <c r="T12" s="39" t="s">
        <v>490</v>
      </c>
      <c r="U12" s="39" t="s">
        <v>444</v>
      </c>
    </row>
    <row r="13" spans="1:21">
      <c r="A13" s="39" t="s">
        <v>127</v>
      </c>
      <c r="B13" s="42">
        <v>46184</v>
      </c>
      <c r="C13" s="40">
        <v>16370</v>
      </c>
      <c r="D13" s="40">
        <v>16663</v>
      </c>
      <c r="E13" s="40">
        <v>15587</v>
      </c>
      <c r="F13" s="40">
        <v>1076</v>
      </c>
      <c r="G13" s="40">
        <v>10867</v>
      </c>
      <c r="H13" s="40">
        <v>462</v>
      </c>
      <c r="I13" s="40">
        <v>97</v>
      </c>
      <c r="J13" s="40">
        <v>-18</v>
      </c>
      <c r="K13" s="41">
        <v>192</v>
      </c>
      <c r="L13" s="40">
        <v>1244</v>
      </c>
      <c r="M13" s="39" t="s">
        <v>491</v>
      </c>
      <c r="N13" s="39" t="s">
        <v>492</v>
      </c>
      <c r="O13" s="39" t="s">
        <v>493</v>
      </c>
      <c r="P13" s="39" t="s">
        <v>494</v>
      </c>
      <c r="Q13" s="39" t="s">
        <v>495</v>
      </c>
      <c r="R13" s="39" t="s">
        <v>496</v>
      </c>
      <c r="S13" s="39" t="s">
        <v>497</v>
      </c>
      <c r="T13" s="39" t="s">
        <v>453</v>
      </c>
      <c r="U13" s="39" t="s">
        <v>498</v>
      </c>
    </row>
    <row r="14" spans="1:21">
      <c r="A14" s="39" t="s">
        <v>137</v>
      </c>
      <c r="B14" s="42">
        <v>46185</v>
      </c>
      <c r="C14" s="40">
        <v>16894</v>
      </c>
      <c r="D14" s="40">
        <v>16078</v>
      </c>
      <c r="E14" s="40">
        <v>14876</v>
      </c>
      <c r="F14" s="40">
        <v>1202</v>
      </c>
      <c r="G14" s="40">
        <v>11288</v>
      </c>
      <c r="H14" s="40">
        <v>557</v>
      </c>
      <c r="I14" s="40">
        <v>145</v>
      </c>
      <c r="J14" s="40">
        <v>17</v>
      </c>
      <c r="K14" s="41">
        <v>226</v>
      </c>
      <c r="L14" s="40">
        <v>1187</v>
      </c>
      <c r="M14" s="39" t="s">
        <v>499</v>
      </c>
      <c r="N14" s="39" t="s">
        <v>500</v>
      </c>
      <c r="O14" s="39" t="s">
        <v>501</v>
      </c>
      <c r="P14" s="39" t="s">
        <v>502</v>
      </c>
      <c r="Q14" s="39" t="s">
        <v>441</v>
      </c>
      <c r="R14" s="39" t="s">
        <v>264</v>
      </c>
      <c r="S14" s="39" t="s">
        <v>503</v>
      </c>
      <c r="T14" s="39" t="s">
        <v>443</v>
      </c>
      <c r="U14" s="39" t="s">
        <v>504</v>
      </c>
    </row>
    <row r="15" spans="1:21">
      <c r="A15" s="39" t="s">
        <v>147</v>
      </c>
      <c r="B15" s="42">
        <v>46186</v>
      </c>
      <c r="C15" s="40">
        <v>17446</v>
      </c>
      <c r="D15" s="40">
        <v>17371</v>
      </c>
      <c r="E15" s="40">
        <v>16145</v>
      </c>
      <c r="F15" s="40">
        <v>1226</v>
      </c>
      <c r="G15" s="40">
        <v>11775</v>
      </c>
      <c r="H15" s="40">
        <v>692</v>
      </c>
      <c r="I15" s="40">
        <v>89</v>
      </c>
      <c r="J15" s="40">
        <v>22</v>
      </c>
      <c r="K15" s="41">
        <v>273</v>
      </c>
      <c r="L15" s="40">
        <v>1171</v>
      </c>
      <c r="M15" s="39" t="s">
        <v>505</v>
      </c>
      <c r="N15" s="39" t="s">
        <v>506</v>
      </c>
      <c r="O15" s="39" t="s">
        <v>472</v>
      </c>
      <c r="P15" s="39" t="s">
        <v>507</v>
      </c>
      <c r="Q15" s="39" t="s">
        <v>37</v>
      </c>
      <c r="R15" s="39" t="s">
        <v>508</v>
      </c>
      <c r="S15" s="39" t="s">
        <v>135</v>
      </c>
      <c r="T15" s="39" t="s">
        <v>509</v>
      </c>
      <c r="U15" s="39" t="s">
        <v>510</v>
      </c>
    </row>
    <row r="16" spans="1:21">
      <c r="A16" s="39" t="s">
        <v>157</v>
      </c>
      <c r="B16" s="42">
        <v>46187</v>
      </c>
      <c r="C16" s="40">
        <v>17372</v>
      </c>
      <c r="D16" s="40">
        <v>17024</v>
      </c>
      <c r="E16" s="40">
        <v>15619</v>
      </c>
      <c r="F16" s="40">
        <v>1405</v>
      </c>
      <c r="G16" s="40">
        <v>11850</v>
      </c>
      <c r="H16" s="40">
        <v>866</v>
      </c>
      <c r="I16" s="40">
        <v>120</v>
      </c>
      <c r="J16" s="40">
        <v>19</v>
      </c>
      <c r="K16" s="41">
        <v>252</v>
      </c>
      <c r="L16" s="40">
        <v>1214</v>
      </c>
      <c r="M16" s="39" t="s">
        <v>511</v>
      </c>
      <c r="N16" s="39" t="s">
        <v>512</v>
      </c>
      <c r="O16" s="39" t="s">
        <v>513</v>
      </c>
      <c r="P16" s="39" t="s">
        <v>514</v>
      </c>
      <c r="Q16" s="39" t="s">
        <v>515</v>
      </c>
      <c r="R16" s="39" t="s">
        <v>516</v>
      </c>
      <c r="S16" s="39" t="s">
        <v>517</v>
      </c>
      <c r="T16" s="39" t="s">
        <v>40</v>
      </c>
      <c r="U16" s="39" t="s">
        <v>518</v>
      </c>
    </row>
    <row r="17" spans="1:21">
      <c r="A17" s="39" t="s">
        <v>167</v>
      </c>
      <c r="B17" s="42">
        <v>46188</v>
      </c>
      <c r="C17" s="40">
        <v>16892</v>
      </c>
      <c r="D17" s="40">
        <v>17415</v>
      </c>
      <c r="E17" s="40">
        <v>16120</v>
      </c>
      <c r="F17" s="40">
        <v>1295</v>
      </c>
      <c r="G17" s="40">
        <v>11562</v>
      </c>
      <c r="H17" s="40">
        <v>602</v>
      </c>
      <c r="I17" s="40">
        <v>177</v>
      </c>
      <c r="J17" s="40">
        <v>-5</v>
      </c>
      <c r="K17" s="41">
        <v>320</v>
      </c>
      <c r="L17" s="40">
        <v>1071</v>
      </c>
      <c r="M17" s="39" t="s">
        <v>519</v>
      </c>
      <c r="N17" s="39" t="s">
        <v>520</v>
      </c>
      <c r="O17" s="39" t="s">
        <v>521</v>
      </c>
      <c r="P17" s="39" t="s">
        <v>522</v>
      </c>
      <c r="Q17" s="39" t="s">
        <v>523</v>
      </c>
      <c r="R17" s="39" t="s">
        <v>236</v>
      </c>
      <c r="S17" s="39" t="s">
        <v>124</v>
      </c>
      <c r="T17" s="39" t="s">
        <v>524</v>
      </c>
      <c r="U17" s="39" t="s">
        <v>525</v>
      </c>
    </row>
    <row r="18" spans="1:21">
      <c r="A18" s="39" t="s">
        <v>177</v>
      </c>
      <c r="B18" s="42">
        <v>46189</v>
      </c>
      <c r="C18" s="40">
        <v>15996</v>
      </c>
      <c r="D18" s="40">
        <v>16623</v>
      </c>
      <c r="E18" s="40">
        <v>15365</v>
      </c>
      <c r="F18" s="40">
        <v>1258</v>
      </c>
      <c r="G18" s="40">
        <v>10984</v>
      </c>
      <c r="H18" s="40">
        <v>673</v>
      </c>
      <c r="I18" s="40">
        <v>263</v>
      </c>
      <c r="J18" s="40">
        <v>48</v>
      </c>
      <c r="K18" s="41">
        <v>333</v>
      </c>
      <c r="L18" s="40">
        <v>971</v>
      </c>
      <c r="M18" s="39" t="s">
        <v>526</v>
      </c>
      <c r="N18" s="39" t="s">
        <v>527</v>
      </c>
      <c r="O18" s="39" t="s">
        <v>528</v>
      </c>
      <c r="P18" s="39" t="s">
        <v>529</v>
      </c>
      <c r="Q18" s="39" t="s">
        <v>436</v>
      </c>
      <c r="R18" s="39" t="s">
        <v>530</v>
      </c>
      <c r="S18" s="39" t="s">
        <v>531</v>
      </c>
      <c r="T18" s="39" t="s">
        <v>50</v>
      </c>
      <c r="U18" s="39" t="s">
        <v>532</v>
      </c>
    </row>
    <row r="19" spans="1:21">
      <c r="A19" s="39" t="s">
        <v>184</v>
      </c>
      <c r="B19" s="42">
        <v>46190</v>
      </c>
      <c r="C19" s="40">
        <v>16241</v>
      </c>
      <c r="D19" s="40">
        <v>15894</v>
      </c>
      <c r="E19" s="40">
        <v>14527</v>
      </c>
      <c r="F19" s="40">
        <v>1367</v>
      </c>
      <c r="G19" s="40">
        <v>11365</v>
      </c>
      <c r="H19" s="40">
        <v>718</v>
      </c>
      <c r="I19" s="40">
        <v>315</v>
      </c>
      <c r="J19" s="40">
        <v>42</v>
      </c>
      <c r="K19" s="41">
        <v>319</v>
      </c>
      <c r="L19" s="40">
        <v>1159</v>
      </c>
      <c r="M19" s="39" t="s">
        <v>533</v>
      </c>
      <c r="N19" s="39" t="s">
        <v>534</v>
      </c>
      <c r="O19" s="39" t="s">
        <v>535</v>
      </c>
      <c r="P19" s="39" t="s">
        <v>536</v>
      </c>
      <c r="Q19" s="39" t="s">
        <v>537</v>
      </c>
      <c r="R19" s="39" t="s">
        <v>538</v>
      </c>
      <c r="S19" s="39" t="s">
        <v>217</v>
      </c>
      <c r="T19" s="39" t="s">
        <v>539</v>
      </c>
      <c r="U19" s="39" t="s">
        <v>540</v>
      </c>
    </row>
    <row r="20" spans="1:21">
      <c r="A20" s="39" t="s">
        <v>192</v>
      </c>
      <c r="B20" s="42">
        <v>46191</v>
      </c>
      <c r="C20" s="40">
        <v>16540</v>
      </c>
      <c r="D20" s="40">
        <v>16043</v>
      </c>
      <c r="E20" s="40">
        <v>14851</v>
      </c>
      <c r="F20" s="40">
        <v>1192</v>
      </c>
      <c r="G20" s="40">
        <v>11876</v>
      </c>
      <c r="H20" s="40">
        <v>703</v>
      </c>
      <c r="I20" s="40">
        <v>295</v>
      </c>
      <c r="J20" s="40">
        <v>132</v>
      </c>
      <c r="K20" s="41">
        <v>519</v>
      </c>
      <c r="L20" s="40">
        <v>865</v>
      </c>
      <c r="M20" s="39" t="s">
        <v>541</v>
      </c>
      <c r="N20" s="39" t="s">
        <v>542</v>
      </c>
      <c r="O20" s="39" t="s">
        <v>480</v>
      </c>
      <c r="P20" s="39" t="s">
        <v>543</v>
      </c>
      <c r="Q20" s="39" t="s">
        <v>544</v>
      </c>
      <c r="R20" s="39" t="s">
        <v>492</v>
      </c>
      <c r="S20" s="39" t="s">
        <v>545</v>
      </c>
      <c r="T20" s="39" t="s">
        <v>546</v>
      </c>
      <c r="U20" s="39" t="s">
        <v>547</v>
      </c>
    </row>
    <row r="21" spans="1:21">
      <c r="A21" s="39" t="s">
        <v>201</v>
      </c>
      <c r="B21" s="42">
        <v>46192</v>
      </c>
      <c r="C21" s="40">
        <v>17819</v>
      </c>
      <c r="D21" s="40">
        <v>16955</v>
      </c>
      <c r="E21" s="40">
        <v>15320</v>
      </c>
      <c r="F21" s="40">
        <v>1635</v>
      </c>
      <c r="G21" s="40">
        <v>12868</v>
      </c>
      <c r="H21" s="40">
        <v>940</v>
      </c>
      <c r="I21" s="40">
        <v>214</v>
      </c>
      <c r="J21" s="40">
        <v>71</v>
      </c>
      <c r="K21" s="41">
        <v>265</v>
      </c>
      <c r="L21" s="40">
        <v>1067</v>
      </c>
      <c r="M21" s="39" t="s">
        <v>548</v>
      </c>
      <c r="N21" s="39" t="s">
        <v>549</v>
      </c>
      <c r="O21" s="39" t="s">
        <v>419</v>
      </c>
      <c r="P21" s="39" t="s">
        <v>550</v>
      </c>
      <c r="Q21" s="39" t="s">
        <v>551</v>
      </c>
      <c r="R21" s="39" t="s">
        <v>552</v>
      </c>
      <c r="S21" s="39" t="s">
        <v>553</v>
      </c>
      <c r="T21" s="39" t="s">
        <v>116</v>
      </c>
      <c r="U21" s="39" t="s">
        <v>554</v>
      </c>
    </row>
    <row r="22" spans="1:21">
      <c r="A22" s="39" t="s">
        <v>211</v>
      </c>
      <c r="B22" s="42">
        <v>46193</v>
      </c>
      <c r="C22" s="40">
        <v>20088</v>
      </c>
      <c r="D22" s="40">
        <v>18958</v>
      </c>
      <c r="E22" s="40">
        <v>17176</v>
      </c>
      <c r="F22" s="40">
        <v>1782</v>
      </c>
      <c r="G22" s="40">
        <v>14649</v>
      </c>
      <c r="H22" s="40">
        <v>1003</v>
      </c>
      <c r="I22" s="40">
        <v>222</v>
      </c>
      <c r="J22" s="40">
        <v>47</v>
      </c>
      <c r="K22" s="41">
        <v>246</v>
      </c>
      <c r="L22" s="40">
        <v>1159</v>
      </c>
      <c r="M22" s="39" t="s">
        <v>555</v>
      </c>
      <c r="N22" s="39" t="s">
        <v>556</v>
      </c>
      <c r="O22" s="39" t="s">
        <v>557</v>
      </c>
      <c r="P22" s="39" t="s">
        <v>487</v>
      </c>
      <c r="Q22" s="39" t="s">
        <v>77</v>
      </c>
      <c r="R22" s="39" t="s">
        <v>516</v>
      </c>
      <c r="S22" s="39" t="s">
        <v>544</v>
      </c>
      <c r="T22" s="39" t="s">
        <v>106</v>
      </c>
      <c r="U22" s="39" t="s">
        <v>558</v>
      </c>
    </row>
    <row r="23" spans="1:21">
      <c r="A23" s="39" t="s">
        <v>219</v>
      </c>
      <c r="B23" s="42">
        <v>46194</v>
      </c>
      <c r="C23" s="40">
        <v>19108</v>
      </c>
      <c r="D23" s="40">
        <v>20044</v>
      </c>
      <c r="E23" s="40">
        <v>18263</v>
      </c>
      <c r="F23" s="40">
        <v>1781</v>
      </c>
      <c r="G23" s="40">
        <v>14079</v>
      </c>
      <c r="H23" s="40">
        <v>1038</v>
      </c>
      <c r="I23" s="40">
        <v>286</v>
      </c>
      <c r="J23" s="40">
        <v>66</v>
      </c>
      <c r="K23" s="41">
        <v>276</v>
      </c>
      <c r="L23" s="40">
        <v>1108</v>
      </c>
      <c r="M23" s="39" t="s">
        <v>559</v>
      </c>
      <c r="N23" s="39" t="s">
        <v>560</v>
      </c>
      <c r="O23" s="39" t="s">
        <v>561</v>
      </c>
      <c r="P23" s="39" t="s">
        <v>120</v>
      </c>
      <c r="Q23" s="39" t="s">
        <v>47</v>
      </c>
      <c r="R23" s="39" t="s">
        <v>458</v>
      </c>
      <c r="S23" s="39" t="s">
        <v>181</v>
      </c>
      <c r="T23" s="39" t="s">
        <v>103</v>
      </c>
      <c r="U23" s="39" t="s">
        <v>562</v>
      </c>
    </row>
    <row r="24" spans="1:21">
      <c r="A24" s="39" t="s">
        <v>228</v>
      </c>
      <c r="B24" s="42">
        <v>46195</v>
      </c>
      <c r="C24" s="40">
        <v>17562</v>
      </c>
      <c r="D24" s="40">
        <v>18041</v>
      </c>
      <c r="E24" s="40">
        <v>16537</v>
      </c>
      <c r="F24" s="40">
        <v>1504</v>
      </c>
      <c r="G24" s="40">
        <v>13229</v>
      </c>
      <c r="H24" s="40">
        <v>1009</v>
      </c>
      <c r="I24" s="40">
        <v>612</v>
      </c>
      <c r="J24" s="40">
        <v>171</v>
      </c>
      <c r="K24" s="41">
        <v>422</v>
      </c>
      <c r="L24" s="40">
        <v>1003</v>
      </c>
      <c r="M24" s="39" t="s">
        <v>563</v>
      </c>
      <c r="N24" s="39" t="s">
        <v>564</v>
      </c>
      <c r="O24" s="39" t="s">
        <v>223</v>
      </c>
      <c r="P24" s="39" t="s">
        <v>565</v>
      </c>
      <c r="Q24" s="39" t="s">
        <v>566</v>
      </c>
      <c r="R24" s="39" t="s">
        <v>567</v>
      </c>
      <c r="S24" s="39" t="s">
        <v>246</v>
      </c>
      <c r="T24" s="39" t="s">
        <v>142</v>
      </c>
      <c r="U24" s="39" t="s">
        <v>568</v>
      </c>
    </row>
    <row r="25" spans="1:21">
      <c r="A25" s="39" t="s">
        <v>238</v>
      </c>
      <c r="B25" s="42">
        <v>46196</v>
      </c>
      <c r="C25" s="40">
        <v>17744</v>
      </c>
      <c r="D25" s="40">
        <v>17598</v>
      </c>
      <c r="E25" s="40">
        <v>16372</v>
      </c>
      <c r="F25" s="40">
        <v>1226</v>
      </c>
      <c r="G25" s="40">
        <v>13353</v>
      </c>
      <c r="H25" s="40">
        <v>1197</v>
      </c>
      <c r="I25" s="40">
        <v>632</v>
      </c>
      <c r="J25" s="40">
        <v>143</v>
      </c>
      <c r="K25" s="41">
        <v>359</v>
      </c>
      <c r="L25" s="40">
        <v>913</v>
      </c>
      <c r="M25" s="39" t="s">
        <v>569</v>
      </c>
      <c r="N25" s="39" t="s">
        <v>570</v>
      </c>
      <c r="O25" s="39" t="s">
        <v>571</v>
      </c>
      <c r="P25" s="39" t="s">
        <v>572</v>
      </c>
      <c r="Q25" s="39" t="s">
        <v>573</v>
      </c>
      <c r="R25" s="39" t="s">
        <v>574</v>
      </c>
      <c r="S25" s="39" t="s">
        <v>236</v>
      </c>
      <c r="T25" s="39" t="s">
        <v>575</v>
      </c>
      <c r="U25" s="39" t="s">
        <v>576</v>
      </c>
    </row>
    <row r="26" spans="1:21">
      <c r="A26" s="39" t="s">
        <v>248</v>
      </c>
      <c r="B26" s="42">
        <v>46197</v>
      </c>
      <c r="C26" s="40">
        <v>18638</v>
      </c>
      <c r="D26" s="40">
        <v>18062</v>
      </c>
      <c r="E26" s="40">
        <v>16665</v>
      </c>
      <c r="F26" s="40">
        <v>1397</v>
      </c>
      <c r="G26" s="40">
        <v>13771</v>
      </c>
      <c r="H26" s="40">
        <v>1086</v>
      </c>
      <c r="I26" s="40">
        <v>882</v>
      </c>
      <c r="J26" s="40">
        <v>255</v>
      </c>
      <c r="K26" s="41">
        <v>499</v>
      </c>
      <c r="L26" s="40">
        <v>735</v>
      </c>
      <c r="M26" s="39" t="s">
        <v>577</v>
      </c>
      <c r="N26" s="39" t="s">
        <v>578</v>
      </c>
      <c r="O26" s="39" t="s">
        <v>579</v>
      </c>
      <c r="P26" s="39" t="s">
        <v>580</v>
      </c>
      <c r="Q26" s="39" t="s">
        <v>581</v>
      </c>
      <c r="R26" s="39" t="s">
        <v>208</v>
      </c>
      <c r="S26" s="39" t="s">
        <v>571</v>
      </c>
      <c r="T26" s="39" t="s">
        <v>582</v>
      </c>
      <c r="U26" s="39" t="s">
        <v>583</v>
      </c>
    </row>
    <row r="27" spans="1:21">
      <c r="A27" s="39" t="s">
        <v>258</v>
      </c>
      <c r="B27" s="42">
        <v>46198</v>
      </c>
      <c r="C27" s="40">
        <v>21875</v>
      </c>
      <c r="D27" s="40">
        <v>21072</v>
      </c>
      <c r="E27" s="40">
        <v>19217</v>
      </c>
      <c r="F27" s="40">
        <v>1855</v>
      </c>
      <c r="G27" s="40">
        <v>16825</v>
      </c>
      <c r="H27" s="40">
        <v>919</v>
      </c>
      <c r="I27" s="40">
        <v>653</v>
      </c>
      <c r="J27" s="40">
        <v>562</v>
      </c>
      <c r="K27" s="41">
        <v>948</v>
      </c>
      <c r="L27" s="40">
        <v>857</v>
      </c>
      <c r="M27" s="39" t="s">
        <v>584</v>
      </c>
      <c r="N27" s="39" t="s">
        <v>585</v>
      </c>
      <c r="O27" s="39" t="s">
        <v>586</v>
      </c>
      <c r="P27" s="39" t="s">
        <v>587</v>
      </c>
      <c r="Q27" s="39" t="s">
        <v>226</v>
      </c>
      <c r="R27" s="39" t="s">
        <v>588</v>
      </c>
      <c r="S27" s="39" t="s">
        <v>589</v>
      </c>
      <c r="T27" s="39" t="s">
        <v>590</v>
      </c>
      <c r="U27" s="39" t="s">
        <v>591</v>
      </c>
    </row>
    <row r="28" spans="1:21">
      <c r="A28" s="39" t="s">
        <v>266</v>
      </c>
      <c r="B28" s="42">
        <v>46199</v>
      </c>
      <c r="C28" s="40">
        <v>17171</v>
      </c>
      <c r="D28" s="40">
        <v>18486</v>
      </c>
      <c r="E28" s="40">
        <v>16949</v>
      </c>
      <c r="F28" s="40">
        <v>1537</v>
      </c>
      <c r="G28" s="40">
        <v>13587</v>
      </c>
      <c r="H28" s="40">
        <v>957</v>
      </c>
      <c r="I28" s="40">
        <v>544</v>
      </c>
      <c r="J28" s="40">
        <v>281</v>
      </c>
      <c r="K28" s="41">
        <v>897</v>
      </c>
      <c r="L28" s="40">
        <v>720</v>
      </c>
      <c r="M28" s="39" t="s">
        <v>592</v>
      </c>
      <c r="N28" s="39" t="s">
        <v>593</v>
      </c>
      <c r="O28" s="39" t="s">
        <v>594</v>
      </c>
      <c r="P28" s="39" t="s">
        <v>595</v>
      </c>
      <c r="Q28" s="39" t="s">
        <v>150</v>
      </c>
      <c r="R28" s="39" t="s">
        <v>225</v>
      </c>
      <c r="S28" s="39" t="s">
        <v>27</v>
      </c>
      <c r="T28" s="39" t="s">
        <v>531</v>
      </c>
      <c r="U28" s="39" t="s">
        <v>596</v>
      </c>
    </row>
    <row r="29" spans="1:21">
      <c r="A29" s="39" t="s">
        <v>276</v>
      </c>
      <c r="B29" s="42">
        <v>46200</v>
      </c>
      <c r="C29" s="40">
        <v>16958</v>
      </c>
      <c r="D29" s="40">
        <v>17371</v>
      </c>
      <c r="E29" s="40">
        <v>15977</v>
      </c>
      <c r="F29" s="40">
        <v>1394</v>
      </c>
      <c r="G29" s="40">
        <v>13638</v>
      </c>
      <c r="H29" s="40">
        <v>927</v>
      </c>
      <c r="I29" s="40">
        <v>446</v>
      </c>
      <c r="J29" s="40">
        <v>271</v>
      </c>
      <c r="K29" s="41">
        <v>1013</v>
      </c>
      <c r="L29" s="40">
        <v>590</v>
      </c>
      <c r="M29" s="39" t="s">
        <v>597</v>
      </c>
      <c r="N29" s="39" t="s">
        <v>598</v>
      </c>
      <c r="O29" s="39" t="s">
        <v>599</v>
      </c>
      <c r="P29" s="39" t="s">
        <v>600</v>
      </c>
      <c r="Q29" s="39" t="s">
        <v>601</v>
      </c>
      <c r="R29" s="39" t="s">
        <v>434</v>
      </c>
      <c r="S29" s="39" t="s">
        <v>602</v>
      </c>
      <c r="T29" s="39" t="s">
        <v>603</v>
      </c>
      <c r="U29" s="39" t="s">
        <v>604</v>
      </c>
    </row>
    <row r="30" spans="1:21">
      <c r="A30" s="39" t="s">
        <v>286</v>
      </c>
      <c r="B30" s="42">
        <v>46201</v>
      </c>
      <c r="C30" s="40">
        <v>20580</v>
      </c>
      <c r="D30" s="40">
        <v>17951</v>
      </c>
      <c r="E30" s="40">
        <v>16276</v>
      </c>
      <c r="F30" s="40">
        <v>1675</v>
      </c>
      <c r="G30" s="40">
        <v>17332</v>
      </c>
      <c r="H30" s="40">
        <v>1042</v>
      </c>
      <c r="I30" s="40">
        <v>428</v>
      </c>
      <c r="J30" s="40">
        <v>267</v>
      </c>
      <c r="K30" s="41">
        <v>686</v>
      </c>
      <c r="L30" s="40">
        <v>472</v>
      </c>
      <c r="M30" s="39" t="s">
        <v>605</v>
      </c>
      <c r="N30" s="39" t="s">
        <v>606</v>
      </c>
      <c r="O30" s="39" t="s">
        <v>607</v>
      </c>
      <c r="P30" s="39" t="s">
        <v>608</v>
      </c>
      <c r="Q30" s="39" t="s">
        <v>609</v>
      </c>
      <c r="R30" s="39" t="s">
        <v>610</v>
      </c>
      <c r="S30" s="39" t="s">
        <v>611</v>
      </c>
      <c r="T30" s="39" t="s">
        <v>612</v>
      </c>
      <c r="U30" s="39" t="s">
        <v>613</v>
      </c>
    </row>
    <row r="31" spans="1:21">
      <c r="A31" s="39" t="s">
        <v>296</v>
      </c>
      <c r="B31" s="42">
        <v>46202</v>
      </c>
      <c r="C31" s="40">
        <v>32496</v>
      </c>
      <c r="D31" s="40">
        <v>20742</v>
      </c>
      <c r="E31" s="40">
        <v>15686</v>
      </c>
      <c r="F31" s="40">
        <v>5056</v>
      </c>
      <c r="G31" s="40">
        <v>28422</v>
      </c>
      <c r="H31" s="40">
        <v>1522</v>
      </c>
      <c r="I31" s="40">
        <v>1144</v>
      </c>
      <c r="J31" s="40">
        <v>1072</v>
      </c>
      <c r="K31" s="41">
        <v>2573</v>
      </c>
      <c r="L31" s="40">
        <v>444</v>
      </c>
      <c r="M31" s="39" t="s">
        <v>614</v>
      </c>
      <c r="N31" s="39" t="s">
        <v>615</v>
      </c>
      <c r="O31" s="39" t="s">
        <v>616</v>
      </c>
      <c r="P31" s="39" t="s">
        <v>617</v>
      </c>
      <c r="Q31" s="39" t="s">
        <v>618</v>
      </c>
      <c r="R31" s="39" t="s">
        <v>294</v>
      </c>
      <c r="S31" s="39" t="s">
        <v>68</v>
      </c>
      <c r="T31" s="39" t="s">
        <v>264</v>
      </c>
      <c r="U31" s="39" t="s">
        <v>619</v>
      </c>
    </row>
    <row r="32" spans="1:21">
      <c r="A32" s="39" t="s">
        <v>306</v>
      </c>
      <c r="B32" s="42">
        <v>46203</v>
      </c>
      <c r="C32" s="40">
        <v>25228</v>
      </c>
      <c r="D32" s="40">
        <v>18263</v>
      </c>
      <c r="E32" s="40">
        <v>15996</v>
      </c>
      <c r="F32" s="40">
        <v>2267</v>
      </c>
      <c r="G32" s="40">
        <v>22191</v>
      </c>
      <c r="H32" s="40">
        <v>2254</v>
      </c>
      <c r="I32" s="40">
        <v>2428</v>
      </c>
      <c r="J32" s="40">
        <v>3372</v>
      </c>
      <c r="K32" s="41">
        <v>9491</v>
      </c>
      <c r="L32" s="40">
        <v>530</v>
      </c>
      <c r="M32" s="39" t="s">
        <v>620</v>
      </c>
      <c r="N32" s="39" t="s">
        <v>621</v>
      </c>
      <c r="O32" s="39" t="s">
        <v>622</v>
      </c>
      <c r="P32" s="39" t="s">
        <v>623</v>
      </c>
      <c r="Q32" s="39" t="s">
        <v>624</v>
      </c>
      <c r="R32" s="39" t="s">
        <v>625</v>
      </c>
      <c r="S32" s="39" t="s">
        <v>626</v>
      </c>
      <c r="T32" s="39" t="s">
        <v>627</v>
      </c>
      <c r="U32" s="39" t="s">
        <v>628</v>
      </c>
    </row>
    <row r="33" spans="1:21">
      <c r="A33" s="39" t="s">
        <v>314</v>
      </c>
      <c r="B33" s="42">
        <v>46204</v>
      </c>
      <c r="C33" s="40">
        <v>14188</v>
      </c>
      <c r="D33" s="40">
        <v>17025</v>
      </c>
      <c r="E33" s="40">
        <v>13777</v>
      </c>
      <c r="F33" s="40">
        <v>3248</v>
      </c>
      <c r="G33" s="40">
        <v>9057</v>
      </c>
      <c r="H33" s="40">
        <v>407</v>
      </c>
      <c r="I33" s="40">
        <v>84</v>
      </c>
      <c r="J33" s="40">
        <v>92</v>
      </c>
      <c r="K33" s="41">
        <v>871</v>
      </c>
      <c r="L33" s="40">
        <v>1102</v>
      </c>
      <c r="M33" s="39" t="s">
        <v>629</v>
      </c>
      <c r="N33" s="39" t="s">
        <v>630</v>
      </c>
      <c r="O33" s="39" t="s">
        <v>631</v>
      </c>
      <c r="P33" s="39" t="s">
        <v>632</v>
      </c>
      <c r="Q33" s="39" t="s">
        <v>633</v>
      </c>
      <c r="R33" s="39" t="s">
        <v>634</v>
      </c>
      <c r="S33" s="39" t="s">
        <v>497</v>
      </c>
      <c r="T33" s="39" t="s">
        <v>155</v>
      </c>
      <c r="U33" s="39" t="s">
        <v>635</v>
      </c>
    </row>
    <row r="34" spans="1:21">
      <c r="A34" s="39" t="s">
        <v>636</v>
      </c>
      <c r="B34" s="42">
        <v>46205</v>
      </c>
      <c r="C34" s="40">
        <v>13947</v>
      </c>
      <c r="D34" s="40">
        <v>20643</v>
      </c>
      <c r="E34" s="40">
        <v>17960</v>
      </c>
      <c r="F34" s="40">
        <v>2683</v>
      </c>
      <c r="G34" s="40">
        <v>9001</v>
      </c>
      <c r="H34" s="40">
        <v>282</v>
      </c>
      <c r="I34" s="40">
        <v>43</v>
      </c>
      <c r="J34" s="40">
        <v>84</v>
      </c>
      <c r="K34" s="41">
        <v>317</v>
      </c>
      <c r="L34" s="40">
        <v>1072</v>
      </c>
      <c r="M34" s="39" t="s">
        <v>637</v>
      </c>
      <c r="N34" s="39" t="s">
        <v>638</v>
      </c>
      <c r="O34" s="39" t="s">
        <v>639</v>
      </c>
      <c r="P34" s="39" t="s">
        <v>640</v>
      </c>
      <c r="Q34" s="39" t="s">
        <v>631</v>
      </c>
      <c r="R34" s="39" t="s">
        <v>641</v>
      </c>
      <c r="S34" s="39" t="s">
        <v>642</v>
      </c>
      <c r="T34" s="39" t="s">
        <v>643</v>
      </c>
      <c r="U34" s="39" t="s">
        <v>644</v>
      </c>
    </row>
    <row r="35" spans="1:21">
      <c r="A35" s="39" t="s">
        <v>645</v>
      </c>
      <c r="B35" s="42">
        <v>46206</v>
      </c>
      <c r="C35" s="40">
        <v>14925</v>
      </c>
      <c r="D35" s="40">
        <v>19777</v>
      </c>
      <c r="E35" s="40">
        <v>15854</v>
      </c>
      <c r="F35" s="40">
        <v>3923</v>
      </c>
      <c r="G35" s="40">
        <v>9630</v>
      </c>
      <c r="H35" s="40">
        <v>387</v>
      </c>
      <c r="I35" s="40">
        <v>151</v>
      </c>
      <c r="J35" s="40">
        <v>92</v>
      </c>
      <c r="K35" s="41">
        <v>353</v>
      </c>
      <c r="L35" s="40">
        <v>1094</v>
      </c>
      <c r="M35" s="39" t="s">
        <v>646</v>
      </c>
      <c r="N35" s="39" t="s">
        <v>420</v>
      </c>
      <c r="O35" s="39" t="s">
        <v>647</v>
      </c>
      <c r="P35" s="39" t="s">
        <v>648</v>
      </c>
      <c r="Q35" s="39" t="s">
        <v>152</v>
      </c>
      <c r="R35" s="39" t="s">
        <v>488</v>
      </c>
      <c r="S35" s="39" t="s">
        <v>513</v>
      </c>
      <c r="T35" s="39" t="s">
        <v>113</v>
      </c>
      <c r="U35" s="39" t="s">
        <v>649</v>
      </c>
    </row>
    <row r="36" spans="1:21">
      <c r="A36" s="39" t="s">
        <v>650</v>
      </c>
      <c r="B36" s="42">
        <v>46207</v>
      </c>
      <c r="C36" s="40">
        <v>15551</v>
      </c>
      <c r="D36" s="40">
        <v>15758</v>
      </c>
      <c r="E36" s="40">
        <v>14384</v>
      </c>
      <c r="F36" s="40">
        <v>1374</v>
      </c>
      <c r="G36" s="40">
        <v>10164</v>
      </c>
      <c r="H36" s="40">
        <v>473</v>
      </c>
      <c r="I36" s="40">
        <v>55</v>
      </c>
      <c r="J36" s="40">
        <v>23</v>
      </c>
      <c r="K36" s="41">
        <v>238</v>
      </c>
      <c r="L36" s="40">
        <v>1156</v>
      </c>
      <c r="M36" s="39" t="s">
        <v>651</v>
      </c>
      <c r="N36" s="39" t="s">
        <v>652</v>
      </c>
      <c r="O36" s="39" t="s">
        <v>653</v>
      </c>
      <c r="P36" s="39" t="s">
        <v>654</v>
      </c>
      <c r="Q36" s="39" t="s">
        <v>106</v>
      </c>
      <c r="R36" s="39" t="s">
        <v>655</v>
      </c>
      <c r="S36" s="39" t="s">
        <v>103</v>
      </c>
      <c r="T36" s="39" t="s">
        <v>441</v>
      </c>
      <c r="U36" s="39" t="s">
        <v>656</v>
      </c>
    </row>
    <row r="37" spans="1:21">
      <c r="A37" s="39" t="s">
        <v>657</v>
      </c>
      <c r="B37" s="42">
        <v>46208</v>
      </c>
      <c r="C37" s="40">
        <v>17820</v>
      </c>
      <c r="D37" s="40">
        <v>16228</v>
      </c>
      <c r="E37" s="40">
        <v>14755</v>
      </c>
      <c r="F37" s="40">
        <v>1473</v>
      </c>
      <c r="G37" s="40">
        <v>11709</v>
      </c>
      <c r="H37" s="40">
        <v>678</v>
      </c>
      <c r="I37" s="40">
        <v>79</v>
      </c>
      <c r="J37" s="40">
        <v>37</v>
      </c>
      <c r="K37" s="41">
        <v>224</v>
      </c>
      <c r="L37" s="40">
        <v>1284</v>
      </c>
      <c r="M37" s="39" t="s">
        <v>478</v>
      </c>
      <c r="N37" s="39" t="s">
        <v>658</v>
      </c>
      <c r="O37" s="39" t="s">
        <v>659</v>
      </c>
      <c r="P37" s="39" t="s">
        <v>585</v>
      </c>
      <c r="Q37" s="39" t="s">
        <v>77</v>
      </c>
      <c r="R37" s="39" t="s">
        <v>660</v>
      </c>
      <c r="S37" s="39" t="s">
        <v>436</v>
      </c>
      <c r="T37" s="39" t="s">
        <v>70</v>
      </c>
      <c r="U37" s="39" t="s">
        <v>661</v>
      </c>
    </row>
    <row r="38" spans="1:21">
      <c r="A38" s="39" t="s">
        <v>662</v>
      </c>
      <c r="B38" s="42">
        <v>46209</v>
      </c>
      <c r="C38" s="40">
        <v>17277</v>
      </c>
      <c r="D38" s="40">
        <v>16673</v>
      </c>
      <c r="E38" s="40">
        <v>15161</v>
      </c>
      <c r="F38" s="40">
        <v>1512</v>
      </c>
      <c r="G38" s="40">
        <v>11369</v>
      </c>
      <c r="H38" s="40">
        <v>357</v>
      </c>
      <c r="I38" s="40">
        <v>79</v>
      </c>
      <c r="J38" s="40">
        <v>24</v>
      </c>
      <c r="K38" s="41">
        <v>297</v>
      </c>
      <c r="L38" s="40">
        <v>1152</v>
      </c>
      <c r="M38" s="39" t="s">
        <v>663</v>
      </c>
      <c r="N38" s="39" t="s">
        <v>664</v>
      </c>
      <c r="O38" s="39" t="s">
        <v>517</v>
      </c>
      <c r="P38" s="39" t="s">
        <v>110</v>
      </c>
      <c r="Q38" s="39" t="s">
        <v>70</v>
      </c>
      <c r="R38" s="39" t="s">
        <v>150</v>
      </c>
      <c r="S38" s="39" t="s">
        <v>459</v>
      </c>
      <c r="T38" s="39" t="s">
        <v>665</v>
      </c>
      <c r="U38" s="39" t="s">
        <v>666</v>
      </c>
    </row>
    <row r="39" spans="1:21">
      <c r="A39" s="39" t="s">
        <v>667</v>
      </c>
      <c r="B39" s="42">
        <v>46210</v>
      </c>
      <c r="C39" s="40">
        <v>17636</v>
      </c>
      <c r="D39" s="40">
        <v>17865</v>
      </c>
      <c r="E39" s="40">
        <v>16310</v>
      </c>
      <c r="F39" s="40">
        <v>1555</v>
      </c>
      <c r="G39" s="40">
        <v>11743</v>
      </c>
      <c r="H39" s="40">
        <v>413</v>
      </c>
      <c r="I39" s="40">
        <v>69</v>
      </c>
      <c r="J39" s="40">
        <v>29</v>
      </c>
      <c r="K39" s="41">
        <v>265</v>
      </c>
      <c r="L39" s="40">
        <v>1396</v>
      </c>
      <c r="M39" s="39" t="s">
        <v>668</v>
      </c>
      <c r="N39" s="39" t="s">
        <v>68</v>
      </c>
      <c r="O39" s="39" t="s">
        <v>497</v>
      </c>
      <c r="P39" s="39" t="s">
        <v>669</v>
      </c>
      <c r="Q39" s="39" t="s">
        <v>670</v>
      </c>
      <c r="R39" s="39" t="s">
        <v>671</v>
      </c>
      <c r="S39" s="39" t="s">
        <v>39</v>
      </c>
      <c r="T39" s="39" t="s">
        <v>515</v>
      </c>
      <c r="U39" s="39" t="s">
        <v>622</v>
      </c>
    </row>
    <row r="40" spans="1:21">
      <c r="A40" s="39" t="s">
        <v>672</v>
      </c>
      <c r="B40" s="42">
        <v>46211</v>
      </c>
      <c r="C40" s="40">
        <v>17006</v>
      </c>
      <c r="D40" s="40">
        <v>17136</v>
      </c>
      <c r="E40" s="40">
        <v>15410</v>
      </c>
      <c r="F40" s="40">
        <v>1726</v>
      </c>
      <c r="G40" s="40">
        <v>11394</v>
      </c>
      <c r="H40" s="40">
        <v>429</v>
      </c>
      <c r="I40" s="40">
        <v>167</v>
      </c>
      <c r="J40" s="40">
        <v>87</v>
      </c>
      <c r="K40" s="41">
        <v>298</v>
      </c>
      <c r="L40" s="40">
        <v>1183</v>
      </c>
      <c r="M40" s="39" t="s">
        <v>673</v>
      </c>
      <c r="N40" s="39" t="s">
        <v>618</v>
      </c>
      <c r="O40" s="39" t="s">
        <v>101</v>
      </c>
      <c r="P40" s="39" t="s">
        <v>674</v>
      </c>
      <c r="Q40" s="39" t="s">
        <v>472</v>
      </c>
      <c r="R40" s="39" t="s">
        <v>675</v>
      </c>
      <c r="S40" s="39" t="s">
        <v>144</v>
      </c>
      <c r="T40" s="39" t="s">
        <v>135</v>
      </c>
      <c r="U40" s="39" t="s">
        <v>676</v>
      </c>
    </row>
    <row r="41" spans="1:21">
      <c r="A41" s="39" t="s">
        <v>677</v>
      </c>
      <c r="B41" s="42">
        <v>46212</v>
      </c>
      <c r="C41" s="40">
        <v>16217</v>
      </c>
      <c r="D41" s="40">
        <v>17729</v>
      </c>
      <c r="E41" s="40">
        <v>16155</v>
      </c>
      <c r="F41" s="40">
        <v>1574</v>
      </c>
      <c r="G41" s="40">
        <v>10765</v>
      </c>
      <c r="H41" s="40">
        <v>427</v>
      </c>
      <c r="I41" s="40">
        <v>103</v>
      </c>
      <c r="J41" s="40">
        <v>61</v>
      </c>
      <c r="K41" s="41">
        <v>352</v>
      </c>
      <c r="L41" s="40">
        <v>1078</v>
      </c>
      <c r="M41" s="39" t="s">
        <v>491</v>
      </c>
      <c r="N41" s="39" t="s">
        <v>508</v>
      </c>
      <c r="O41" s="39" t="s">
        <v>152</v>
      </c>
      <c r="P41" s="39" t="s">
        <v>678</v>
      </c>
      <c r="Q41" s="39" t="s">
        <v>679</v>
      </c>
      <c r="R41" s="39" t="s">
        <v>602</v>
      </c>
      <c r="S41" s="39" t="s">
        <v>35</v>
      </c>
      <c r="T41" s="39" t="s">
        <v>680</v>
      </c>
      <c r="U41" s="39" t="s">
        <v>681</v>
      </c>
    </row>
    <row r="42" spans="1:21">
      <c r="A42" s="39" t="s">
        <v>682</v>
      </c>
      <c r="B42" s="42">
        <v>46213</v>
      </c>
      <c r="C42" s="40">
        <v>16708</v>
      </c>
      <c r="D42" s="40">
        <v>16697</v>
      </c>
      <c r="E42" s="40">
        <v>15148</v>
      </c>
      <c r="F42" s="40">
        <v>1549</v>
      </c>
      <c r="G42" s="40">
        <v>11543</v>
      </c>
      <c r="H42" s="40">
        <v>412</v>
      </c>
      <c r="I42" s="40">
        <v>85</v>
      </c>
      <c r="J42" s="40">
        <v>16</v>
      </c>
      <c r="K42" s="41">
        <v>262</v>
      </c>
      <c r="L42" s="40">
        <v>1155</v>
      </c>
      <c r="M42" s="39" t="s">
        <v>683</v>
      </c>
      <c r="N42" s="39" t="s">
        <v>684</v>
      </c>
      <c r="O42" s="39" t="s">
        <v>685</v>
      </c>
      <c r="P42" s="39" t="s">
        <v>586</v>
      </c>
      <c r="Q42" s="39" t="s">
        <v>665</v>
      </c>
      <c r="R42" s="39" t="s">
        <v>607</v>
      </c>
      <c r="S42" s="39" t="s">
        <v>135</v>
      </c>
      <c r="T42" s="39" t="s">
        <v>443</v>
      </c>
      <c r="U42" s="39" t="s">
        <v>686</v>
      </c>
    </row>
    <row r="43" spans="1:21">
      <c r="A43" s="39" t="s">
        <v>687</v>
      </c>
      <c r="B43" s="42">
        <v>46214</v>
      </c>
      <c r="C43" s="40">
        <v>19033</v>
      </c>
      <c r="D43" s="40">
        <v>17818</v>
      </c>
      <c r="E43" s="40">
        <v>16104</v>
      </c>
      <c r="F43" s="40">
        <v>1714</v>
      </c>
      <c r="G43" s="40">
        <v>13396</v>
      </c>
      <c r="H43" s="40">
        <v>560</v>
      </c>
      <c r="I43" s="40">
        <v>83</v>
      </c>
      <c r="J43" s="40">
        <v>26</v>
      </c>
      <c r="K43" s="41">
        <v>214</v>
      </c>
      <c r="L43" s="40">
        <v>1532</v>
      </c>
      <c r="M43" s="39" t="s">
        <v>688</v>
      </c>
      <c r="N43" s="39" t="s">
        <v>689</v>
      </c>
      <c r="O43" s="39" t="s">
        <v>113</v>
      </c>
      <c r="P43" s="39" t="s">
        <v>690</v>
      </c>
      <c r="Q43" s="39" t="s">
        <v>37</v>
      </c>
      <c r="R43" s="39" t="s">
        <v>691</v>
      </c>
      <c r="S43" s="39" t="s">
        <v>436</v>
      </c>
      <c r="T43" s="39" t="s">
        <v>665</v>
      </c>
      <c r="U43" s="39" t="s">
        <v>692</v>
      </c>
    </row>
    <row r="44" spans="1:21">
      <c r="A44" s="39" t="s">
        <v>693</v>
      </c>
      <c r="B44" s="42">
        <v>46215</v>
      </c>
      <c r="C44" s="40">
        <v>19787</v>
      </c>
      <c r="D44" s="40">
        <v>19509</v>
      </c>
      <c r="E44" s="40">
        <v>17931</v>
      </c>
      <c r="F44" s="40">
        <v>1578</v>
      </c>
      <c r="G44" s="40">
        <v>13616</v>
      </c>
      <c r="H44" s="40">
        <v>678</v>
      </c>
      <c r="I44" s="40">
        <v>56</v>
      </c>
      <c r="J44" s="40">
        <v>22</v>
      </c>
      <c r="K44" s="41">
        <v>187</v>
      </c>
      <c r="L44" s="40">
        <v>1226</v>
      </c>
      <c r="M44" s="39" t="s">
        <v>694</v>
      </c>
      <c r="N44" s="39" t="s">
        <v>695</v>
      </c>
      <c r="O44" s="39" t="s">
        <v>482</v>
      </c>
      <c r="P44" s="39" t="s">
        <v>696</v>
      </c>
      <c r="Q44" s="39" t="s">
        <v>515</v>
      </c>
      <c r="R44" s="39" t="s">
        <v>697</v>
      </c>
      <c r="S44" s="39" t="s">
        <v>57</v>
      </c>
      <c r="T44" s="39" t="s">
        <v>40</v>
      </c>
      <c r="U44" s="39" t="s">
        <v>698</v>
      </c>
    </row>
    <row r="45" spans="1:21">
      <c r="A45" s="39" t="s">
        <v>699</v>
      </c>
      <c r="B45" s="42">
        <v>46216</v>
      </c>
      <c r="C45" s="40">
        <v>17851</v>
      </c>
      <c r="D45" s="40">
        <v>18717</v>
      </c>
      <c r="E45" s="40">
        <v>17070</v>
      </c>
      <c r="F45" s="40">
        <v>1647</v>
      </c>
      <c r="G45" s="40">
        <v>12443</v>
      </c>
      <c r="H45" s="40">
        <v>570</v>
      </c>
      <c r="I45" s="40">
        <v>131</v>
      </c>
      <c r="J45" s="40">
        <v>24</v>
      </c>
      <c r="K45" s="41">
        <v>319</v>
      </c>
      <c r="L45" s="40">
        <v>1176</v>
      </c>
      <c r="M45" s="39" t="s">
        <v>700</v>
      </c>
      <c r="N45" s="39" t="s">
        <v>701</v>
      </c>
      <c r="O45" s="39" t="s">
        <v>124</v>
      </c>
      <c r="P45" s="39" t="s">
        <v>530</v>
      </c>
      <c r="Q45" s="39" t="s">
        <v>37</v>
      </c>
      <c r="R45" s="39" t="s">
        <v>702</v>
      </c>
      <c r="S45" s="39" t="s">
        <v>79</v>
      </c>
      <c r="T45" s="39" t="s">
        <v>509</v>
      </c>
      <c r="U45" s="39" t="s">
        <v>504</v>
      </c>
    </row>
    <row r="46" spans="1:21">
      <c r="A46" s="39" t="s">
        <v>703</v>
      </c>
      <c r="B46" s="42">
        <v>46217</v>
      </c>
      <c r="C46" s="40">
        <v>17797</v>
      </c>
      <c r="D46" s="40">
        <v>17392</v>
      </c>
      <c r="E46" s="40">
        <v>15746</v>
      </c>
      <c r="F46" s="40">
        <v>1646</v>
      </c>
      <c r="G46" s="40">
        <v>12366</v>
      </c>
      <c r="H46" s="40">
        <v>336</v>
      </c>
      <c r="I46" s="40">
        <v>132</v>
      </c>
      <c r="J46" s="40">
        <v>56</v>
      </c>
      <c r="K46" s="41">
        <v>295</v>
      </c>
      <c r="L46" s="40">
        <v>1124</v>
      </c>
      <c r="M46" s="39" t="s">
        <v>704</v>
      </c>
      <c r="N46" s="39" t="s">
        <v>705</v>
      </c>
      <c r="O46" s="39" t="s">
        <v>573</v>
      </c>
      <c r="P46" s="39" t="s">
        <v>706</v>
      </c>
      <c r="Q46" s="39" t="s">
        <v>707</v>
      </c>
      <c r="R46" s="39" t="s">
        <v>708</v>
      </c>
      <c r="S46" s="39" t="s">
        <v>685</v>
      </c>
      <c r="T46" s="39" t="s">
        <v>642</v>
      </c>
      <c r="U46" s="39" t="s">
        <v>709</v>
      </c>
    </row>
    <row r="47" spans="1:21">
      <c r="A47" s="39" t="s">
        <v>710</v>
      </c>
      <c r="B47" s="42">
        <v>46218</v>
      </c>
      <c r="C47" s="40">
        <v>16535</v>
      </c>
      <c r="D47" s="40">
        <v>17872</v>
      </c>
      <c r="E47" s="40">
        <v>16301</v>
      </c>
      <c r="F47" s="40">
        <v>1571</v>
      </c>
      <c r="G47" s="40">
        <v>11547</v>
      </c>
      <c r="H47" s="40">
        <v>458</v>
      </c>
      <c r="I47" s="40">
        <v>132</v>
      </c>
      <c r="J47" s="40">
        <v>54</v>
      </c>
      <c r="K47" s="41">
        <v>273</v>
      </c>
      <c r="L47" s="40">
        <v>1009</v>
      </c>
      <c r="M47" s="39" t="s">
        <v>711</v>
      </c>
      <c r="N47" s="39" t="s">
        <v>508</v>
      </c>
      <c r="O47" s="39" t="s">
        <v>712</v>
      </c>
      <c r="P47" s="39" t="s">
        <v>713</v>
      </c>
      <c r="Q47" s="39" t="s">
        <v>47</v>
      </c>
      <c r="R47" s="39" t="s">
        <v>535</v>
      </c>
      <c r="S47" s="39" t="s">
        <v>546</v>
      </c>
      <c r="T47" s="39" t="s">
        <v>67</v>
      </c>
      <c r="U47" s="39" t="s">
        <v>714</v>
      </c>
    </row>
    <row r="48" spans="1:21">
      <c r="A48" s="39" t="s">
        <v>715</v>
      </c>
      <c r="B48" s="42">
        <v>46219</v>
      </c>
      <c r="C48" s="40">
        <v>17186</v>
      </c>
      <c r="D48" s="40">
        <v>17613</v>
      </c>
      <c r="E48" s="40">
        <v>15922</v>
      </c>
      <c r="F48" s="40">
        <v>1691</v>
      </c>
      <c r="G48" s="40">
        <v>12172</v>
      </c>
      <c r="H48" s="40">
        <v>421</v>
      </c>
      <c r="I48" s="40">
        <v>83</v>
      </c>
      <c r="J48" s="40">
        <v>13</v>
      </c>
      <c r="K48" s="41">
        <v>312</v>
      </c>
      <c r="L48" s="40">
        <v>1009</v>
      </c>
      <c r="M48" s="39" t="s">
        <v>716</v>
      </c>
      <c r="N48" s="39" t="s">
        <v>717</v>
      </c>
      <c r="O48" s="39" t="s">
        <v>718</v>
      </c>
      <c r="P48" s="39" t="s">
        <v>719</v>
      </c>
      <c r="Q48" s="39" t="s">
        <v>40</v>
      </c>
      <c r="R48" s="39" t="s">
        <v>274</v>
      </c>
      <c r="S48" s="39" t="s">
        <v>639</v>
      </c>
      <c r="T48" s="39" t="s">
        <v>483</v>
      </c>
      <c r="U48" s="39" t="s">
        <v>720</v>
      </c>
    </row>
    <row r="49" spans="1:21">
      <c r="A49" s="39" t="s">
        <v>721</v>
      </c>
      <c r="B49" s="42">
        <v>46220</v>
      </c>
      <c r="C49" s="40">
        <v>17402</v>
      </c>
      <c r="D49" s="40">
        <v>18040</v>
      </c>
      <c r="E49" s="40">
        <v>15739</v>
      </c>
      <c r="F49" s="40">
        <v>2301</v>
      </c>
      <c r="G49" s="40">
        <v>12530</v>
      </c>
      <c r="H49" s="40">
        <v>691</v>
      </c>
      <c r="I49" s="40">
        <v>246</v>
      </c>
      <c r="J49" s="40">
        <v>36</v>
      </c>
      <c r="K49" s="41">
        <v>332</v>
      </c>
      <c r="L49" s="40">
        <v>975</v>
      </c>
      <c r="M49" s="39" t="s">
        <v>722</v>
      </c>
      <c r="N49" s="39" t="s">
        <v>416</v>
      </c>
      <c r="O49" s="39" t="s">
        <v>723</v>
      </c>
      <c r="P49" s="39" t="s">
        <v>520</v>
      </c>
      <c r="Q49" s="39" t="s">
        <v>461</v>
      </c>
      <c r="R49" s="39" t="s">
        <v>508</v>
      </c>
      <c r="S49" s="39" t="s">
        <v>724</v>
      </c>
      <c r="T49" s="39" t="s">
        <v>70</v>
      </c>
      <c r="U49" s="39" t="s">
        <v>725</v>
      </c>
    </row>
    <row r="50" spans="1:21">
      <c r="A50" s="39" t="s">
        <v>726</v>
      </c>
      <c r="B50" s="42">
        <v>46221</v>
      </c>
      <c r="C50" s="40">
        <v>17693</v>
      </c>
      <c r="D50" s="40">
        <v>16601</v>
      </c>
      <c r="E50" s="40">
        <v>15154</v>
      </c>
      <c r="F50" s="40">
        <v>1447</v>
      </c>
      <c r="G50" s="40">
        <v>12860</v>
      </c>
      <c r="H50" s="40">
        <v>637</v>
      </c>
      <c r="I50" s="40">
        <v>184</v>
      </c>
      <c r="J50" s="40">
        <v>82</v>
      </c>
      <c r="K50" s="41">
        <v>359</v>
      </c>
      <c r="L50" s="40">
        <v>897</v>
      </c>
      <c r="M50" s="39" t="s">
        <v>727</v>
      </c>
      <c r="N50" s="39" t="s">
        <v>728</v>
      </c>
      <c r="O50" s="39" t="s">
        <v>729</v>
      </c>
      <c r="P50" s="39" t="s">
        <v>730</v>
      </c>
      <c r="Q50" s="39" t="s">
        <v>35</v>
      </c>
      <c r="R50" s="39" t="s">
        <v>731</v>
      </c>
      <c r="S50" s="39" t="s">
        <v>732</v>
      </c>
      <c r="T50" s="39" t="s">
        <v>459</v>
      </c>
      <c r="U50" s="39" t="s">
        <v>733</v>
      </c>
    </row>
    <row r="51" spans="1:21">
      <c r="A51" s="39" t="s">
        <v>734</v>
      </c>
      <c r="B51" s="42">
        <v>46222</v>
      </c>
      <c r="C51" s="40">
        <v>18972</v>
      </c>
      <c r="D51" s="40">
        <v>18764</v>
      </c>
      <c r="E51" s="40">
        <v>17028</v>
      </c>
      <c r="F51" s="40">
        <v>1736</v>
      </c>
      <c r="G51" s="40">
        <v>13937</v>
      </c>
      <c r="H51" s="40">
        <v>850</v>
      </c>
      <c r="I51" s="40">
        <v>139</v>
      </c>
      <c r="J51" s="40">
        <v>55</v>
      </c>
      <c r="K51" s="41">
        <v>268</v>
      </c>
      <c r="L51" s="40">
        <v>873</v>
      </c>
      <c r="M51" s="39" t="s">
        <v>229</v>
      </c>
      <c r="N51" s="39" t="s">
        <v>735</v>
      </c>
      <c r="O51" s="39" t="s">
        <v>736</v>
      </c>
      <c r="P51" s="39" t="s">
        <v>737</v>
      </c>
      <c r="Q51" s="39" t="s">
        <v>39</v>
      </c>
      <c r="R51" s="39" t="s">
        <v>738</v>
      </c>
      <c r="S51" s="39" t="s">
        <v>79</v>
      </c>
      <c r="T51" s="39" t="s">
        <v>461</v>
      </c>
      <c r="U51" s="39" t="s">
        <v>739</v>
      </c>
    </row>
    <row r="52" spans="1:21">
      <c r="A52" s="39" t="s">
        <v>740</v>
      </c>
      <c r="B52" s="42">
        <v>46223</v>
      </c>
      <c r="C52" s="40">
        <v>17137</v>
      </c>
      <c r="D52" s="40">
        <v>18106</v>
      </c>
      <c r="E52" s="40">
        <v>16509</v>
      </c>
      <c r="F52" s="40">
        <v>1597</v>
      </c>
      <c r="G52" s="40">
        <v>12833</v>
      </c>
      <c r="H52" s="40">
        <v>565</v>
      </c>
      <c r="I52" s="40">
        <v>214</v>
      </c>
      <c r="J52" s="40">
        <v>20</v>
      </c>
      <c r="K52" s="41">
        <v>395</v>
      </c>
      <c r="L52" s="40">
        <v>771</v>
      </c>
      <c r="M52" s="39" t="s">
        <v>741</v>
      </c>
      <c r="N52" s="39" t="s">
        <v>742</v>
      </c>
      <c r="O52" s="39" t="s">
        <v>743</v>
      </c>
      <c r="P52" s="39" t="s">
        <v>744</v>
      </c>
      <c r="Q52" s="39" t="s">
        <v>515</v>
      </c>
      <c r="R52" s="39" t="s">
        <v>264</v>
      </c>
      <c r="S52" s="39" t="s">
        <v>745</v>
      </c>
      <c r="T52" s="39" t="s">
        <v>490</v>
      </c>
      <c r="U52" s="39" t="s">
        <v>610</v>
      </c>
    </row>
    <row r="53" spans="1:21">
      <c r="A53" s="39" t="s">
        <v>746</v>
      </c>
      <c r="B53" s="42">
        <v>46224</v>
      </c>
      <c r="C53" s="40">
        <v>17351</v>
      </c>
      <c r="D53" s="40">
        <v>17917</v>
      </c>
      <c r="E53" s="40">
        <v>16213</v>
      </c>
      <c r="F53" s="40">
        <v>1704</v>
      </c>
      <c r="G53" s="40">
        <v>13126</v>
      </c>
      <c r="H53" s="40">
        <v>612</v>
      </c>
      <c r="I53" s="40">
        <v>290</v>
      </c>
      <c r="J53" s="40">
        <v>113</v>
      </c>
      <c r="K53" s="41">
        <v>431</v>
      </c>
      <c r="L53" s="40">
        <v>832</v>
      </c>
      <c r="M53" s="39" t="s">
        <v>747</v>
      </c>
      <c r="N53" s="39" t="s">
        <v>748</v>
      </c>
      <c r="O53" s="39" t="s">
        <v>442</v>
      </c>
      <c r="P53" s="39" t="s">
        <v>749</v>
      </c>
      <c r="Q53" s="39" t="s">
        <v>503</v>
      </c>
      <c r="R53" s="39" t="s">
        <v>750</v>
      </c>
      <c r="S53" s="39" t="s">
        <v>743</v>
      </c>
      <c r="T53" s="39" t="s">
        <v>155</v>
      </c>
      <c r="U53" s="39" t="s">
        <v>751</v>
      </c>
    </row>
    <row r="54" spans="1:21">
      <c r="A54" s="39" t="s">
        <v>752</v>
      </c>
      <c r="B54" s="42">
        <v>46225</v>
      </c>
      <c r="C54" s="40">
        <v>16304</v>
      </c>
      <c r="D54" s="40">
        <v>16501</v>
      </c>
      <c r="E54" s="40">
        <v>14781</v>
      </c>
      <c r="F54" s="40">
        <v>1720</v>
      </c>
      <c r="G54" s="40">
        <v>12470</v>
      </c>
      <c r="H54" s="40">
        <v>627</v>
      </c>
      <c r="I54" s="40">
        <v>341</v>
      </c>
      <c r="J54" s="40">
        <v>182</v>
      </c>
      <c r="K54" s="41">
        <v>513</v>
      </c>
      <c r="L54" s="40">
        <v>625</v>
      </c>
      <c r="M54" s="39" t="s">
        <v>753</v>
      </c>
      <c r="N54" s="39" t="s">
        <v>754</v>
      </c>
      <c r="O54" s="39" t="s">
        <v>755</v>
      </c>
      <c r="P54" s="39" t="s">
        <v>756</v>
      </c>
      <c r="Q54" s="39" t="s">
        <v>757</v>
      </c>
      <c r="R54" s="39" t="s">
        <v>758</v>
      </c>
      <c r="S54" s="39" t="s">
        <v>430</v>
      </c>
      <c r="T54" s="39" t="s">
        <v>759</v>
      </c>
      <c r="U54" s="39" t="s">
        <v>760</v>
      </c>
    </row>
    <row r="55" spans="1:21">
      <c r="A55" s="39" t="s">
        <v>761</v>
      </c>
      <c r="B55" s="42">
        <v>46226</v>
      </c>
      <c r="C55" s="40">
        <v>16949</v>
      </c>
      <c r="D55" s="40">
        <v>16383</v>
      </c>
      <c r="E55" s="40">
        <v>14697</v>
      </c>
      <c r="F55" s="40">
        <v>1686</v>
      </c>
      <c r="G55" s="40">
        <v>13137</v>
      </c>
      <c r="H55" s="40">
        <v>644</v>
      </c>
      <c r="I55" s="40">
        <v>346</v>
      </c>
      <c r="J55" s="40">
        <v>265</v>
      </c>
      <c r="K55" s="41">
        <v>529</v>
      </c>
      <c r="L55" s="40">
        <v>599</v>
      </c>
      <c r="M55" s="39" t="s">
        <v>762</v>
      </c>
      <c r="N55" s="39" t="s">
        <v>763</v>
      </c>
      <c r="O55" s="39" t="s">
        <v>602</v>
      </c>
      <c r="P55" s="39" t="s">
        <v>764</v>
      </c>
      <c r="Q55" s="39" t="s">
        <v>641</v>
      </c>
      <c r="R55" s="39" t="s">
        <v>660</v>
      </c>
      <c r="S55" s="39" t="s">
        <v>765</v>
      </c>
      <c r="T55" s="39" t="s">
        <v>121</v>
      </c>
      <c r="U55" s="39" t="s">
        <v>766</v>
      </c>
    </row>
    <row r="56" spans="1:21">
      <c r="A56" s="39" t="s">
        <v>767</v>
      </c>
      <c r="B56" s="42">
        <v>46227</v>
      </c>
      <c r="C56" s="40">
        <v>17211</v>
      </c>
      <c r="D56" s="40">
        <v>17053</v>
      </c>
      <c r="E56" s="40">
        <v>15347</v>
      </c>
      <c r="F56" s="40">
        <v>1706</v>
      </c>
      <c r="G56" s="40">
        <v>13674</v>
      </c>
      <c r="H56" s="40">
        <v>567</v>
      </c>
      <c r="I56" s="40">
        <v>268</v>
      </c>
      <c r="J56" s="40">
        <v>164</v>
      </c>
      <c r="K56" s="41">
        <v>561</v>
      </c>
      <c r="L56" s="40">
        <v>492</v>
      </c>
      <c r="M56" s="39" t="s">
        <v>768</v>
      </c>
      <c r="N56" s="39" t="s">
        <v>769</v>
      </c>
      <c r="O56" s="39" t="s">
        <v>723</v>
      </c>
      <c r="P56" s="39" t="s">
        <v>770</v>
      </c>
      <c r="Q56" s="39" t="s">
        <v>553</v>
      </c>
      <c r="R56" s="39" t="s">
        <v>771</v>
      </c>
      <c r="S56" s="39" t="s">
        <v>121</v>
      </c>
      <c r="T56" s="39" t="s">
        <v>69</v>
      </c>
      <c r="U56" s="39" t="s">
        <v>600</v>
      </c>
    </row>
    <row r="57" spans="1:21">
      <c r="A57" s="39" t="s">
        <v>772</v>
      </c>
      <c r="B57" s="42">
        <v>46228</v>
      </c>
      <c r="C57" s="40">
        <v>17911</v>
      </c>
      <c r="D57" s="40">
        <v>17611</v>
      </c>
      <c r="E57" s="40">
        <v>15947</v>
      </c>
      <c r="F57" s="40">
        <v>1664</v>
      </c>
      <c r="G57" s="40">
        <v>14447</v>
      </c>
      <c r="H57" s="40">
        <v>611</v>
      </c>
      <c r="I57" s="40">
        <v>185</v>
      </c>
      <c r="J57" s="40">
        <v>118</v>
      </c>
      <c r="K57" s="41">
        <v>466</v>
      </c>
      <c r="L57" s="40">
        <v>615</v>
      </c>
      <c r="M57" s="39" t="s">
        <v>773</v>
      </c>
      <c r="N57" s="39" t="s">
        <v>774</v>
      </c>
      <c r="O57" s="39" t="s">
        <v>501</v>
      </c>
      <c r="P57" s="39" t="s">
        <v>775</v>
      </c>
      <c r="Q57" s="39" t="s">
        <v>776</v>
      </c>
      <c r="R57" s="39" t="s">
        <v>777</v>
      </c>
      <c r="S57" s="39" t="s">
        <v>115</v>
      </c>
      <c r="T57" s="39" t="s">
        <v>145</v>
      </c>
      <c r="U57" s="39" t="s">
        <v>778</v>
      </c>
    </row>
    <row r="58" spans="1:21">
      <c r="A58" s="39" t="s">
        <v>779</v>
      </c>
      <c r="B58" s="42">
        <v>46229</v>
      </c>
      <c r="C58" s="40">
        <v>18682</v>
      </c>
      <c r="D58" s="40">
        <v>18199</v>
      </c>
      <c r="E58" s="40">
        <v>16480</v>
      </c>
      <c r="F58" s="40">
        <v>1719</v>
      </c>
      <c r="G58" s="40">
        <v>15296</v>
      </c>
      <c r="H58" s="40">
        <v>883</v>
      </c>
      <c r="I58" s="40">
        <v>242</v>
      </c>
      <c r="J58" s="40">
        <v>112</v>
      </c>
      <c r="K58" s="41">
        <v>489</v>
      </c>
      <c r="L58" s="40">
        <v>521</v>
      </c>
      <c r="M58" s="39" t="s">
        <v>780</v>
      </c>
      <c r="N58" s="39" t="s">
        <v>781</v>
      </c>
      <c r="O58" s="39" t="s">
        <v>782</v>
      </c>
      <c r="P58" s="39" t="s">
        <v>783</v>
      </c>
      <c r="Q58" s="39" t="s">
        <v>79</v>
      </c>
      <c r="R58" s="39" t="s">
        <v>571</v>
      </c>
      <c r="S58" s="39" t="s">
        <v>612</v>
      </c>
      <c r="T58" s="39" t="s">
        <v>643</v>
      </c>
      <c r="U58" s="39" t="s">
        <v>784</v>
      </c>
    </row>
    <row r="59" spans="1:21">
      <c r="A59" s="39" t="s">
        <v>785</v>
      </c>
      <c r="B59" s="42">
        <v>46230</v>
      </c>
      <c r="C59" s="40">
        <v>18154</v>
      </c>
      <c r="D59" s="40">
        <v>17358</v>
      </c>
      <c r="E59" s="40">
        <v>15600</v>
      </c>
      <c r="F59" s="40">
        <v>1758</v>
      </c>
      <c r="G59" s="40">
        <v>14958</v>
      </c>
      <c r="H59" s="40">
        <v>817</v>
      </c>
      <c r="I59" s="40">
        <v>626</v>
      </c>
      <c r="J59" s="40">
        <v>331</v>
      </c>
      <c r="K59" s="41">
        <v>989</v>
      </c>
      <c r="L59" s="40">
        <v>470</v>
      </c>
      <c r="M59" s="39" t="s">
        <v>786</v>
      </c>
      <c r="N59" s="39" t="s">
        <v>585</v>
      </c>
      <c r="O59" s="39" t="s">
        <v>787</v>
      </c>
      <c r="P59" s="39" t="s">
        <v>788</v>
      </c>
      <c r="Q59" s="39" t="s">
        <v>442</v>
      </c>
      <c r="R59" s="39" t="s">
        <v>44</v>
      </c>
      <c r="S59" s="39" t="s">
        <v>76</v>
      </c>
      <c r="T59" s="39" t="s">
        <v>789</v>
      </c>
      <c r="U59" s="39" t="s">
        <v>790</v>
      </c>
    </row>
    <row r="60" spans="1:21">
      <c r="A60" s="39" t="s">
        <v>791</v>
      </c>
      <c r="B60" s="42">
        <v>46231</v>
      </c>
      <c r="C60" s="40">
        <v>18214</v>
      </c>
      <c r="D60" s="40">
        <v>18253</v>
      </c>
      <c r="E60" s="40">
        <v>16453</v>
      </c>
      <c r="F60" s="40">
        <v>1800</v>
      </c>
      <c r="G60" s="40">
        <v>15496</v>
      </c>
      <c r="H60" s="40">
        <v>1023</v>
      </c>
      <c r="I60" s="40">
        <v>774</v>
      </c>
      <c r="J60" s="40">
        <v>539</v>
      </c>
      <c r="K60" s="41">
        <v>1402</v>
      </c>
      <c r="L60" s="40">
        <v>449</v>
      </c>
      <c r="M60" s="39" t="s">
        <v>792</v>
      </c>
      <c r="N60" s="39" t="s">
        <v>793</v>
      </c>
      <c r="O60" s="39" t="s">
        <v>516</v>
      </c>
      <c r="P60" s="39" t="s">
        <v>794</v>
      </c>
      <c r="Q60" s="39" t="s">
        <v>246</v>
      </c>
      <c r="R60" s="39" t="s">
        <v>795</v>
      </c>
      <c r="S60" s="39" t="s">
        <v>492</v>
      </c>
      <c r="T60" s="39" t="s">
        <v>796</v>
      </c>
      <c r="U60" s="39" t="s">
        <v>797</v>
      </c>
    </row>
    <row r="61" spans="1:21">
      <c r="A61" s="39" t="s">
        <v>798</v>
      </c>
      <c r="B61" s="42">
        <v>46232</v>
      </c>
      <c r="C61" s="40">
        <v>16466</v>
      </c>
      <c r="D61" s="40">
        <v>17801</v>
      </c>
      <c r="E61" s="40">
        <v>15689</v>
      </c>
      <c r="F61" s="40">
        <v>2112</v>
      </c>
      <c r="G61" s="40">
        <v>14423</v>
      </c>
      <c r="H61" s="40">
        <v>950</v>
      </c>
      <c r="I61" s="40">
        <v>738</v>
      </c>
      <c r="J61" s="40">
        <v>660</v>
      </c>
      <c r="K61" s="41">
        <v>1749</v>
      </c>
      <c r="L61" s="40">
        <v>277</v>
      </c>
      <c r="M61" s="39" t="s">
        <v>799</v>
      </c>
      <c r="N61" s="39" t="s">
        <v>289</v>
      </c>
      <c r="O61" s="39" t="s">
        <v>293</v>
      </c>
      <c r="P61" s="39" t="s">
        <v>800</v>
      </c>
      <c r="Q61" s="39" t="s">
        <v>701</v>
      </c>
      <c r="R61" s="39" t="s">
        <v>781</v>
      </c>
      <c r="S61" s="39" t="s">
        <v>738</v>
      </c>
      <c r="T61" s="39" t="s">
        <v>801</v>
      </c>
      <c r="U61" s="39" t="s">
        <v>802</v>
      </c>
    </row>
    <row r="62" spans="1:21">
      <c r="A62" s="39" t="s">
        <v>803</v>
      </c>
      <c r="B62" s="42">
        <v>46233</v>
      </c>
      <c r="C62" s="40">
        <v>18036</v>
      </c>
      <c r="D62" s="40">
        <v>16897</v>
      </c>
      <c r="E62" s="40">
        <v>15154</v>
      </c>
      <c r="F62" s="40">
        <v>1743</v>
      </c>
      <c r="G62" s="40">
        <v>16064</v>
      </c>
      <c r="H62" s="40">
        <v>1389</v>
      </c>
      <c r="I62" s="40">
        <v>1243</v>
      </c>
      <c r="J62" s="40">
        <v>1219</v>
      </c>
      <c r="K62" s="41">
        <v>3304</v>
      </c>
      <c r="L62" s="40">
        <v>217</v>
      </c>
      <c r="M62" s="39" t="s">
        <v>804</v>
      </c>
      <c r="N62" s="39" t="s">
        <v>805</v>
      </c>
      <c r="O62" s="39" t="s">
        <v>169</v>
      </c>
      <c r="P62" s="39" t="s">
        <v>806</v>
      </c>
      <c r="Q62" s="39" t="s">
        <v>807</v>
      </c>
      <c r="R62" s="39" t="s">
        <v>808</v>
      </c>
      <c r="S62" s="39" t="s">
        <v>809</v>
      </c>
      <c r="T62" s="39" t="s">
        <v>810</v>
      </c>
      <c r="U62" s="39" t="s">
        <v>811</v>
      </c>
    </row>
    <row r="63" spans="1:21">
      <c r="A63" s="39" t="s">
        <v>812</v>
      </c>
      <c r="B63" s="42">
        <v>46234</v>
      </c>
      <c r="C63" s="40">
        <v>18428</v>
      </c>
      <c r="D63" s="40">
        <v>18025</v>
      </c>
      <c r="E63" s="40">
        <v>15904</v>
      </c>
      <c r="F63" s="40">
        <v>2121</v>
      </c>
      <c r="G63" s="40">
        <v>16946</v>
      </c>
      <c r="H63" s="40">
        <v>1396</v>
      </c>
      <c r="I63" s="40">
        <v>1203</v>
      </c>
      <c r="J63" s="40">
        <v>1540</v>
      </c>
      <c r="K63" s="41">
        <v>3951</v>
      </c>
      <c r="L63" s="40">
        <v>140</v>
      </c>
      <c r="M63" s="39" t="s">
        <v>813</v>
      </c>
      <c r="N63" s="39" t="s">
        <v>814</v>
      </c>
      <c r="O63" s="39" t="s">
        <v>815</v>
      </c>
      <c r="P63" s="39" t="s">
        <v>816</v>
      </c>
      <c r="Q63" s="39" t="s">
        <v>817</v>
      </c>
      <c r="R63" s="39" t="s">
        <v>444</v>
      </c>
      <c r="S63" s="39" t="s">
        <v>818</v>
      </c>
      <c r="T63" s="39" t="s">
        <v>819</v>
      </c>
      <c r="U63" s="39" t="s">
        <v>820</v>
      </c>
    </row>
  </sheetData>
  <autoFilter ref="A1:U1" xr:uid="{00000000-0009-0000-0000-000005000000}"/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92D050"/>
  </sheetPr>
  <dimension ref="A1:U33"/>
  <sheetViews>
    <sheetView workbookViewId="0">
      <selection activeCell="N14" sqref="N14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38" t="s">
        <v>0</v>
      </c>
      <c r="B1" s="38" t="s">
        <v>1</v>
      </c>
      <c r="C1" s="38" t="s">
        <v>2</v>
      </c>
      <c r="D1" s="38" t="s">
        <v>3</v>
      </c>
      <c r="E1" s="38" t="s">
        <v>4</v>
      </c>
      <c r="F1" s="38" t="s">
        <v>5</v>
      </c>
      <c r="G1" s="38" t="s">
        <v>6</v>
      </c>
      <c r="H1" s="38" t="s">
        <v>7</v>
      </c>
      <c r="I1" s="38" t="s">
        <v>8</v>
      </c>
      <c r="J1" s="38" t="s">
        <v>9</v>
      </c>
      <c r="K1" s="38" t="s">
        <v>10</v>
      </c>
      <c r="L1" s="38" t="s">
        <v>11</v>
      </c>
      <c r="M1" s="38" t="s">
        <v>12</v>
      </c>
      <c r="N1" s="38" t="s">
        <v>13</v>
      </c>
      <c r="O1" s="38" t="s">
        <v>14</v>
      </c>
      <c r="P1" s="38" t="s">
        <v>15</v>
      </c>
      <c r="Q1" s="38" t="s">
        <v>16</v>
      </c>
      <c r="R1" s="38" t="s">
        <v>17</v>
      </c>
      <c r="S1" s="38" t="s">
        <v>18</v>
      </c>
      <c r="T1" s="38" t="s">
        <v>19</v>
      </c>
      <c r="U1" s="38" t="s">
        <v>20</v>
      </c>
    </row>
    <row r="2" spans="1:21">
      <c r="A2" s="39" t="s">
        <v>21</v>
      </c>
      <c r="B2" s="39" t="s">
        <v>22</v>
      </c>
      <c r="C2" s="40">
        <v>994449</v>
      </c>
      <c r="D2" s="40">
        <v>995060</v>
      </c>
      <c r="E2" s="40">
        <v>941970</v>
      </c>
      <c r="F2" s="40">
        <v>53090</v>
      </c>
      <c r="G2" s="40">
        <v>698441</v>
      </c>
      <c r="H2" s="40">
        <v>69368</v>
      </c>
      <c r="I2" s="40">
        <v>27690</v>
      </c>
      <c r="J2" s="40">
        <v>22141</v>
      </c>
      <c r="K2" s="41">
        <v>42006</v>
      </c>
      <c r="L2" s="40">
        <v>89540</v>
      </c>
      <c r="M2" s="39" t="s">
        <v>23</v>
      </c>
      <c r="N2" s="39" t="s">
        <v>24</v>
      </c>
      <c r="O2" s="39" t="s">
        <v>25</v>
      </c>
      <c r="P2" s="39" t="s">
        <v>26</v>
      </c>
      <c r="Q2" s="39" t="s">
        <v>27</v>
      </c>
      <c r="R2" s="39" t="s">
        <v>28</v>
      </c>
      <c r="S2" s="39" t="s">
        <v>29</v>
      </c>
      <c r="T2" s="39" t="s">
        <v>30</v>
      </c>
      <c r="U2" s="39" t="s">
        <v>31</v>
      </c>
    </row>
    <row r="3" spans="1:21">
      <c r="A3" s="39" t="s">
        <v>32</v>
      </c>
      <c r="B3" s="42">
        <v>45839</v>
      </c>
      <c r="C3" s="40">
        <v>27317</v>
      </c>
      <c r="D3" s="40">
        <v>27521</v>
      </c>
      <c r="E3" s="40">
        <v>26082</v>
      </c>
      <c r="F3" s="40">
        <v>1439</v>
      </c>
      <c r="G3" s="40">
        <v>16494</v>
      </c>
      <c r="H3" s="40">
        <v>883</v>
      </c>
      <c r="I3" s="40">
        <v>106</v>
      </c>
      <c r="J3" s="40">
        <v>31</v>
      </c>
      <c r="K3" s="41">
        <v>290</v>
      </c>
      <c r="L3" s="40">
        <v>3531</v>
      </c>
      <c r="M3" s="39" t="s">
        <v>33</v>
      </c>
      <c r="N3" s="39" t="s">
        <v>34</v>
      </c>
      <c r="O3" s="39" t="s">
        <v>35</v>
      </c>
      <c r="P3" s="39" t="s">
        <v>36</v>
      </c>
      <c r="Q3" s="39" t="s">
        <v>37</v>
      </c>
      <c r="R3" s="39" t="s">
        <v>38</v>
      </c>
      <c r="S3" s="39" t="s">
        <v>39</v>
      </c>
      <c r="T3" s="39" t="s">
        <v>40</v>
      </c>
      <c r="U3" s="39" t="s">
        <v>41</v>
      </c>
    </row>
    <row r="4" spans="1:21">
      <c r="A4" s="39" t="s">
        <v>42</v>
      </c>
      <c r="B4" s="42">
        <v>45840</v>
      </c>
      <c r="C4" s="40">
        <v>31304</v>
      </c>
      <c r="D4" s="40">
        <v>30776</v>
      </c>
      <c r="E4" s="40">
        <v>28879</v>
      </c>
      <c r="F4" s="40">
        <v>1897</v>
      </c>
      <c r="G4" s="40">
        <v>19712</v>
      </c>
      <c r="H4" s="40">
        <v>888</v>
      </c>
      <c r="I4" s="40">
        <v>167</v>
      </c>
      <c r="J4" s="40">
        <v>93</v>
      </c>
      <c r="K4" s="41">
        <v>323</v>
      </c>
      <c r="L4" s="40">
        <v>4168</v>
      </c>
      <c r="M4" s="39" t="s">
        <v>43</v>
      </c>
      <c r="N4" s="39" t="s">
        <v>44</v>
      </c>
      <c r="O4" s="39" t="s">
        <v>45</v>
      </c>
      <c r="P4" s="39" t="s">
        <v>46</v>
      </c>
      <c r="Q4" s="39" t="s">
        <v>47</v>
      </c>
      <c r="R4" s="39" t="s">
        <v>48</v>
      </c>
      <c r="S4" s="39" t="s">
        <v>49</v>
      </c>
      <c r="T4" s="39" t="s">
        <v>50</v>
      </c>
      <c r="U4" s="39" t="s">
        <v>51</v>
      </c>
    </row>
    <row r="5" spans="1:21">
      <c r="A5" s="39" t="s">
        <v>52</v>
      </c>
      <c r="B5" s="42">
        <v>45841</v>
      </c>
      <c r="C5" s="40">
        <v>30505</v>
      </c>
      <c r="D5" s="40">
        <v>30860</v>
      </c>
      <c r="E5" s="40">
        <v>28869</v>
      </c>
      <c r="F5" s="40">
        <v>1991</v>
      </c>
      <c r="G5" s="40">
        <v>19268</v>
      </c>
      <c r="H5" s="40">
        <v>983</v>
      </c>
      <c r="I5" s="40">
        <v>153</v>
      </c>
      <c r="J5" s="40">
        <v>53</v>
      </c>
      <c r="K5" s="41">
        <v>289</v>
      </c>
      <c r="L5" s="40">
        <v>3668</v>
      </c>
      <c r="M5" s="39" t="s">
        <v>53</v>
      </c>
      <c r="N5" s="39" t="s">
        <v>54</v>
      </c>
      <c r="O5" s="39" t="s">
        <v>55</v>
      </c>
      <c r="P5" s="39" t="s">
        <v>56</v>
      </c>
      <c r="Q5" s="39" t="s">
        <v>57</v>
      </c>
      <c r="R5" s="39" t="s">
        <v>58</v>
      </c>
      <c r="S5" s="39" t="s">
        <v>59</v>
      </c>
      <c r="T5" s="39" t="s">
        <v>60</v>
      </c>
      <c r="U5" s="39" t="s">
        <v>61</v>
      </c>
    </row>
    <row r="6" spans="1:21">
      <c r="A6" s="39" t="s">
        <v>62</v>
      </c>
      <c r="B6" s="42">
        <v>45842</v>
      </c>
      <c r="C6" s="40">
        <v>31051</v>
      </c>
      <c r="D6" s="40">
        <v>31008</v>
      </c>
      <c r="E6" s="40">
        <v>28352</v>
      </c>
      <c r="F6" s="40">
        <v>2656</v>
      </c>
      <c r="G6" s="40">
        <v>19909</v>
      </c>
      <c r="H6" s="40">
        <v>1094</v>
      </c>
      <c r="I6" s="40">
        <v>295</v>
      </c>
      <c r="J6" s="40">
        <v>65</v>
      </c>
      <c r="K6" s="41">
        <v>327</v>
      </c>
      <c r="L6" s="40">
        <v>3739</v>
      </c>
      <c r="M6" s="39" t="s">
        <v>63</v>
      </c>
      <c r="N6" s="39" t="s">
        <v>64</v>
      </c>
      <c r="O6" s="39" t="s">
        <v>65</v>
      </c>
      <c r="P6" s="39" t="s">
        <v>66</v>
      </c>
      <c r="Q6" s="39" t="s">
        <v>67</v>
      </c>
      <c r="R6" s="39" t="s">
        <v>68</v>
      </c>
      <c r="S6" s="39" t="s">
        <v>69</v>
      </c>
      <c r="T6" s="39" t="s">
        <v>70</v>
      </c>
      <c r="U6" s="39" t="s">
        <v>71</v>
      </c>
    </row>
    <row r="7" spans="1:21">
      <c r="A7" s="39" t="s">
        <v>72</v>
      </c>
      <c r="B7" s="42">
        <v>45843</v>
      </c>
      <c r="C7" s="40">
        <v>30935</v>
      </c>
      <c r="D7" s="40">
        <v>29645</v>
      </c>
      <c r="E7" s="40">
        <v>28251</v>
      </c>
      <c r="F7" s="40">
        <v>1394</v>
      </c>
      <c r="G7" s="40">
        <v>20054</v>
      </c>
      <c r="H7" s="40">
        <v>1857</v>
      </c>
      <c r="I7" s="40">
        <v>227</v>
      </c>
      <c r="J7" s="40">
        <v>64</v>
      </c>
      <c r="K7" s="41">
        <v>275</v>
      </c>
      <c r="L7" s="40">
        <v>3941</v>
      </c>
      <c r="M7" s="39" t="s">
        <v>73</v>
      </c>
      <c r="N7" s="39" t="s">
        <v>74</v>
      </c>
      <c r="O7" s="39" t="s">
        <v>75</v>
      </c>
      <c r="P7" s="39" t="s">
        <v>76</v>
      </c>
      <c r="Q7" s="39" t="s">
        <v>77</v>
      </c>
      <c r="R7" s="39" t="s">
        <v>78</v>
      </c>
      <c r="S7" s="39" t="s">
        <v>79</v>
      </c>
      <c r="T7" s="39" t="s">
        <v>70</v>
      </c>
      <c r="U7" s="39" t="s">
        <v>80</v>
      </c>
    </row>
    <row r="8" spans="1:21">
      <c r="A8" s="39" t="s">
        <v>81</v>
      </c>
      <c r="B8" s="42">
        <v>45844</v>
      </c>
      <c r="C8" s="40">
        <v>31074</v>
      </c>
      <c r="D8" s="40">
        <v>29379</v>
      </c>
      <c r="E8" s="40">
        <v>27886</v>
      </c>
      <c r="F8" s="40">
        <v>1493</v>
      </c>
      <c r="G8" s="40">
        <v>20124</v>
      </c>
      <c r="H8" s="40">
        <v>2120</v>
      </c>
      <c r="I8" s="40">
        <v>233</v>
      </c>
      <c r="J8" s="40">
        <v>56</v>
      </c>
      <c r="K8" s="41">
        <v>195</v>
      </c>
      <c r="L8" s="40">
        <v>3620</v>
      </c>
      <c r="M8" s="39" t="s">
        <v>82</v>
      </c>
      <c r="N8" s="39" t="s">
        <v>83</v>
      </c>
      <c r="O8" s="39" t="s">
        <v>84</v>
      </c>
      <c r="P8" s="39" t="s">
        <v>85</v>
      </c>
      <c r="Q8" s="39" t="s">
        <v>57</v>
      </c>
      <c r="R8" s="39" t="s">
        <v>86</v>
      </c>
      <c r="S8" s="39" t="s">
        <v>87</v>
      </c>
      <c r="T8" s="39" t="s">
        <v>88</v>
      </c>
      <c r="U8" s="39" t="s">
        <v>89</v>
      </c>
    </row>
    <row r="9" spans="1:21">
      <c r="A9" s="39" t="s">
        <v>90</v>
      </c>
      <c r="B9" s="42">
        <v>45845</v>
      </c>
      <c r="C9" s="40">
        <v>30630</v>
      </c>
      <c r="D9" s="40">
        <v>31340</v>
      </c>
      <c r="E9" s="40">
        <v>30046</v>
      </c>
      <c r="F9" s="40">
        <v>1294</v>
      </c>
      <c r="G9" s="40">
        <v>19848</v>
      </c>
      <c r="H9" s="40">
        <v>1464</v>
      </c>
      <c r="I9" s="40">
        <v>373</v>
      </c>
      <c r="J9" s="40">
        <v>63</v>
      </c>
      <c r="K9" s="41">
        <v>276</v>
      </c>
      <c r="L9" s="40">
        <v>3731</v>
      </c>
      <c r="M9" s="39" t="s">
        <v>91</v>
      </c>
      <c r="N9" s="39" t="s">
        <v>92</v>
      </c>
      <c r="O9" s="39" t="s">
        <v>93</v>
      </c>
      <c r="P9" s="39" t="s">
        <v>94</v>
      </c>
      <c r="Q9" s="39" t="s">
        <v>77</v>
      </c>
      <c r="R9" s="39" t="s">
        <v>95</v>
      </c>
      <c r="S9" s="39" t="s">
        <v>96</v>
      </c>
      <c r="T9" s="39" t="s">
        <v>70</v>
      </c>
      <c r="U9" s="39" t="s">
        <v>97</v>
      </c>
    </row>
    <row r="10" spans="1:21">
      <c r="A10" s="39" t="s">
        <v>98</v>
      </c>
      <c r="B10" s="42">
        <v>45846</v>
      </c>
      <c r="C10" s="40">
        <v>31971</v>
      </c>
      <c r="D10" s="40">
        <v>30818</v>
      </c>
      <c r="E10" s="40">
        <v>29377</v>
      </c>
      <c r="F10" s="40">
        <v>1441</v>
      </c>
      <c r="G10" s="40">
        <v>20329</v>
      </c>
      <c r="H10" s="40">
        <v>1294</v>
      </c>
      <c r="I10" s="40">
        <v>299</v>
      </c>
      <c r="J10" s="40">
        <v>72</v>
      </c>
      <c r="K10" s="41">
        <v>333</v>
      </c>
      <c r="L10" s="40">
        <v>3867</v>
      </c>
      <c r="M10" s="39" t="s">
        <v>99</v>
      </c>
      <c r="N10" s="39" t="s">
        <v>100</v>
      </c>
      <c r="O10" s="39" t="s">
        <v>101</v>
      </c>
      <c r="P10" s="39" t="s">
        <v>102</v>
      </c>
      <c r="Q10" s="39" t="s">
        <v>103</v>
      </c>
      <c r="R10" s="39" t="s">
        <v>104</v>
      </c>
      <c r="S10" s="39" t="s">
        <v>105</v>
      </c>
      <c r="T10" s="39" t="s">
        <v>106</v>
      </c>
      <c r="U10" s="39" t="s">
        <v>107</v>
      </c>
    </row>
    <row r="11" spans="1:21">
      <c r="A11" s="39" t="s">
        <v>108</v>
      </c>
      <c r="B11" s="42">
        <v>45847</v>
      </c>
      <c r="C11" s="40">
        <v>32312</v>
      </c>
      <c r="D11" s="40">
        <v>32470</v>
      </c>
      <c r="E11" s="40">
        <v>30720</v>
      </c>
      <c r="F11" s="40">
        <v>1750</v>
      </c>
      <c r="G11" s="40">
        <v>21048</v>
      </c>
      <c r="H11" s="40">
        <v>1414</v>
      </c>
      <c r="I11" s="40">
        <v>334</v>
      </c>
      <c r="J11" s="40">
        <v>130</v>
      </c>
      <c r="K11" s="41">
        <v>431</v>
      </c>
      <c r="L11" s="40">
        <v>3717</v>
      </c>
      <c r="M11" s="39" t="s">
        <v>109</v>
      </c>
      <c r="N11" s="39" t="s">
        <v>110</v>
      </c>
      <c r="O11" s="39" t="s">
        <v>111</v>
      </c>
      <c r="P11" s="39" t="s">
        <v>112</v>
      </c>
      <c r="Q11" s="39" t="s">
        <v>113</v>
      </c>
      <c r="R11" s="39" t="s">
        <v>114</v>
      </c>
      <c r="S11" s="39" t="s">
        <v>115</v>
      </c>
      <c r="T11" s="39" t="s">
        <v>116</v>
      </c>
      <c r="U11" s="39" t="s">
        <v>117</v>
      </c>
    </row>
    <row r="12" spans="1:21">
      <c r="A12" s="39" t="s">
        <v>118</v>
      </c>
      <c r="B12" s="42">
        <v>45848</v>
      </c>
      <c r="C12" s="40">
        <v>29563</v>
      </c>
      <c r="D12" s="40">
        <v>31403</v>
      </c>
      <c r="E12" s="40">
        <v>29579</v>
      </c>
      <c r="F12" s="40">
        <v>1824</v>
      </c>
      <c r="G12" s="40">
        <v>19926</v>
      </c>
      <c r="H12" s="40">
        <v>1268</v>
      </c>
      <c r="I12" s="40">
        <v>310</v>
      </c>
      <c r="J12" s="40">
        <v>145</v>
      </c>
      <c r="K12" s="41">
        <v>422</v>
      </c>
      <c r="L12" s="40">
        <v>3446</v>
      </c>
      <c r="M12" s="39" t="s">
        <v>119</v>
      </c>
      <c r="N12" s="39" t="s">
        <v>120</v>
      </c>
      <c r="O12" s="39" t="s">
        <v>121</v>
      </c>
      <c r="P12" s="39" t="s">
        <v>122</v>
      </c>
      <c r="Q12" s="39" t="s">
        <v>79</v>
      </c>
      <c r="R12" s="39" t="s">
        <v>123</v>
      </c>
      <c r="S12" s="39" t="s">
        <v>124</v>
      </c>
      <c r="T12" s="39" t="s">
        <v>125</v>
      </c>
      <c r="U12" s="39" t="s">
        <v>126</v>
      </c>
    </row>
    <row r="13" spans="1:21">
      <c r="A13" s="39" t="s">
        <v>127</v>
      </c>
      <c r="B13" s="42">
        <v>45849</v>
      </c>
      <c r="C13" s="40">
        <v>33275</v>
      </c>
      <c r="D13" s="40">
        <v>33791</v>
      </c>
      <c r="E13" s="40">
        <v>32220</v>
      </c>
      <c r="F13" s="40">
        <v>1571</v>
      </c>
      <c r="G13" s="40">
        <v>21956</v>
      </c>
      <c r="H13" s="40">
        <v>1637</v>
      </c>
      <c r="I13" s="40">
        <v>362</v>
      </c>
      <c r="J13" s="40">
        <v>171</v>
      </c>
      <c r="K13" s="41">
        <v>537</v>
      </c>
      <c r="L13" s="40">
        <v>3821</v>
      </c>
      <c r="M13" s="39" t="s">
        <v>128</v>
      </c>
      <c r="N13" s="39" t="s">
        <v>129</v>
      </c>
      <c r="O13" s="39" t="s">
        <v>130</v>
      </c>
      <c r="P13" s="39" t="s">
        <v>131</v>
      </c>
      <c r="Q13" s="39" t="s">
        <v>132</v>
      </c>
      <c r="R13" s="39" t="s">
        <v>133</v>
      </c>
      <c r="S13" s="39" t="s">
        <v>134</v>
      </c>
      <c r="T13" s="39" t="s">
        <v>135</v>
      </c>
      <c r="U13" s="39" t="s">
        <v>136</v>
      </c>
    </row>
    <row r="14" spans="1:21">
      <c r="A14" s="39" t="s">
        <v>137</v>
      </c>
      <c r="B14" s="42">
        <v>45850</v>
      </c>
      <c r="C14" s="40">
        <v>31067</v>
      </c>
      <c r="D14" s="40">
        <v>30009</v>
      </c>
      <c r="E14" s="40">
        <v>28637</v>
      </c>
      <c r="F14" s="40">
        <v>1372</v>
      </c>
      <c r="G14" s="40">
        <v>21077</v>
      </c>
      <c r="H14" s="40">
        <v>1942</v>
      </c>
      <c r="I14" s="40">
        <v>305</v>
      </c>
      <c r="J14" s="40">
        <v>204</v>
      </c>
      <c r="K14" s="41">
        <v>541</v>
      </c>
      <c r="L14" s="40">
        <v>3563</v>
      </c>
      <c r="M14" s="39" t="s">
        <v>138</v>
      </c>
      <c r="N14" s="39" t="s">
        <v>139</v>
      </c>
      <c r="O14" s="39" t="s">
        <v>140</v>
      </c>
      <c r="P14" s="39" t="s">
        <v>141</v>
      </c>
      <c r="Q14" s="39" t="s">
        <v>142</v>
      </c>
      <c r="R14" s="39" t="s">
        <v>143</v>
      </c>
      <c r="S14" s="39" t="s">
        <v>144</v>
      </c>
      <c r="T14" s="39" t="s">
        <v>145</v>
      </c>
      <c r="U14" s="39" t="s">
        <v>146</v>
      </c>
    </row>
    <row r="15" spans="1:21">
      <c r="A15" s="39" t="s">
        <v>147</v>
      </c>
      <c r="B15" s="42">
        <v>45851</v>
      </c>
      <c r="C15" s="40">
        <v>33083</v>
      </c>
      <c r="D15" s="40">
        <v>31837</v>
      </c>
      <c r="E15" s="40">
        <v>30248</v>
      </c>
      <c r="F15" s="40">
        <v>1589</v>
      </c>
      <c r="G15" s="40">
        <v>22312</v>
      </c>
      <c r="H15" s="40">
        <v>2453</v>
      </c>
      <c r="I15" s="40">
        <v>462</v>
      </c>
      <c r="J15" s="40">
        <v>215</v>
      </c>
      <c r="K15" s="41">
        <v>496</v>
      </c>
      <c r="L15" s="40">
        <v>3513</v>
      </c>
      <c r="M15" s="39" t="s">
        <v>148</v>
      </c>
      <c r="N15" s="39" t="s">
        <v>149</v>
      </c>
      <c r="O15" s="39" t="s">
        <v>150</v>
      </c>
      <c r="P15" s="39" t="s">
        <v>151</v>
      </c>
      <c r="Q15" s="39" t="s">
        <v>152</v>
      </c>
      <c r="R15" s="39" t="s">
        <v>153</v>
      </c>
      <c r="S15" s="39" t="s">
        <v>154</v>
      </c>
      <c r="T15" s="39" t="s">
        <v>155</v>
      </c>
      <c r="U15" s="39" t="s">
        <v>156</v>
      </c>
    </row>
    <row r="16" spans="1:21">
      <c r="A16" s="39" t="s">
        <v>157</v>
      </c>
      <c r="B16" s="42">
        <v>45852</v>
      </c>
      <c r="C16" s="40">
        <v>31903</v>
      </c>
      <c r="D16" s="40">
        <v>32744</v>
      </c>
      <c r="E16" s="40">
        <v>31261</v>
      </c>
      <c r="F16" s="40">
        <v>1483</v>
      </c>
      <c r="G16" s="40">
        <v>21820</v>
      </c>
      <c r="H16" s="40">
        <v>1858</v>
      </c>
      <c r="I16" s="40">
        <v>677</v>
      </c>
      <c r="J16" s="40">
        <v>287</v>
      </c>
      <c r="K16" s="41">
        <v>708</v>
      </c>
      <c r="L16" s="40">
        <v>3103</v>
      </c>
      <c r="M16" s="39" t="s">
        <v>158</v>
      </c>
      <c r="N16" s="39" t="s">
        <v>159</v>
      </c>
      <c r="O16" s="39" t="s">
        <v>160</v>
      </c>
      <c r="P16" s="39" t="s">
        <v>161</v>
      </c>
      <c r="Q16" s="39" t="s">
        <v>162</v>
      </c>
      <c r="R16" s="39" t="s">
        <v>163</v>
      </c>
      <c r="S16" s="39" t="s">
        <v>164</v>
      </c>
      <c r="T16" s="39" t="s">
        <v>165</v>
      </c>
      <c r="U16" s="39" t="s">
        <v>166</v>
      </c>
    </row>
    <row r="17" spans="1:21">
      <c r="A17" s="39" t="s">
        <v>167</v>
      </c>
      <c r="B17" s="42">
        <v>45853</v>
      </c>
      <c r="C17" s="40">
        <v>30294</v>
      </c>
      <c r="D17" s="40">
        <v>33021</v>
      </c>
      <c r="E17" s="40">
        <v>31290</v>
      </c>
      <c r="F17" s="40">
        <v>1731</v>
      </c>
      <c r="G17" s="40">
        <v>20819</v>
      </c>
      <c r="H17" s="40">
        <v>1611</v>
      </c>
      <c r="I17" s="40">
        <v>520</v>
      </c>
      <c r="J17" s="40">
        <v>322</v>
      </c>
      <c r="K17" s="41">
        <v>682</v>
      </c>
      <c r="L17" s="40">
        <v>3013</v>
      </c>
      <c r="M17" s="39" t="s">
        <v>168</v>
      </c>
      <c r="N17" s="39" t="s">
        <v>169</v>
      </c>
      <c r="O17" s="39" t="s">
        <v>170</v>
      </c>
      <c r="P17" s="39" t="s">
        <v>171</v>
      </c>
      <c r="Q17" s="39" t="s">
        <v>172</v>
      </c>
      <c r="R17" s="39" t="s">
        <v>173</v>
      </c>
      <c r="S17" s="39" t="s">
        <v>174</v>
      </c>
      <c r="T17" s="39" t="s">
        <v>175</v>
      </c>
      <c r="U17" s="39" t="s">
        <v>176</v>
      </c>
    </row>
    <row r="18" spans="1:21">
      <c r="A18" s="39" t="s">
        <v>177</v>
      </c>
      <c r="B18" s="42">
        <v>45854</v>
      </c>
      <c r="C18" s="40">
        <v>30243</v>
      </c>
      <c r="D18" s="40">
        <v>30822</v>
      </c>
      <c r="E18" s="40">
        <v>29142</v>
      </c>
      <c r="F18" s="40">
        <v>1680</v>
      </c>
      <c r="G18" s="40">
        <v>20813</v>
      </c>
      <c r="H18" s="40">
        <v>1535</v>
      </c>
      <c r="I18" s="40">
        <v>449</v>
      </c>
      <c r="J18" s="40">
        <v>313</v>
      </c>
      <c r="K18" s="41">
        <v>770</v>
      </c>
      <c r="L18" s="40">
        <v>3038</v>
      </c>
      <c r="M18" s="39" t="s">
        <v>178</v>
      </c>
      <c r="N18" s="39" t="s">
        <v>92</v>
      </c>
      <c r="O18" s="39" t="s">
        <v>179</v>
      </c>
      <c r="P18" s="39" t="s">
        <v>180</v>
      </c>
      <c r="Q18" s="39" t="s">
        <v>181</v>
      </c>
      <c r="R18" s="39" t="s">
        <v>182</v>
      </c>
      <c r="S18" s="39" t="s">
        <v>65</v>
      </c>
      <c r="T18" s="39" t="s">
        <v>115</v>
      </c>
      <c r="U18" s="39" t="s">
        <v>183</v>
      </c>
    </row>
    <row r="19" spans="1:21">
      <c r="A19" s="39" t="s">
        <v>184</v>
      </c>
      <c r="B19" s="42">
        <v>45855</v>
      </c>
      <c r="C19" s="40">
        <v>29885</v>
      </c>
      <c r="D19" s="40">
        <v>29690</v>
      </c>
      <c r="E19" s="40">
        <v>28075</v>
      </c>
      <c r="F19" s="40">
        <v>1615</v>
      </c>
      <c r="G19" s="40">
        <v>20655</v>
      </c>
      <c r="H19" s="40">
        <v>1721</v>
      </c>
      <c r="I19" s="40">
        <v>286</v>
      </c>
      <c r="J19" s="40">
        <v>224</v>
      </c>
      <c r="K19" s="41">
        <v>604</v>
      </c>
      <c r="L19" s="40">
        <v>2995</v>
      </c>
      <c r="M19" s="39" t="s">
        <v>185</v>
      </c>
      <c r="N19" s="39" t="s">
        <v>186</v>
      </c>
      <c r="O19" s="39" t="s">
        <v>187</v>
      </c>
      <c r="P19" s="39" t="s">
        <v>188</v>
      </c>
      <c r="Q19" s="39" t="s">
        <v>189</v>
      </c>
      <c r="R19" s="39" t="s">
        <v>190</v>
      </c>
      <c r="S19" s="39" t="s">
        <v>152</v>
      </c>
      <c r="T19" s="39" t="s">
        <v>87</v>
      </c>
      <c r="U19" s="39" t="s">
        <v>191</v>
      </c>
    </row>
    <row r="20" spans="1:21">
      <c r="A20" s="39" t="s">
        <v>192</v>
      </c>
      <c r="B20" s="42">
        <v>45856</v>
      </c>
      <c r="C20" s="40">
        <v>30445</v>
      </c>
      <c r="D20" s="40">
        <v>29813</v>
      </c>
      <c r="E20" s="40">
        <v>28147</v>
      </c>
      <c r="F20" s="40">
        <v>1666</v>
      </c>
      <c r="G20" s="40">
        <v>21006</v>
      </c>
      <c r="H20" s="40">
        <v>1685</v>
      </c>
      <c r="I20" s="40">
        <v>176</v>
      </c>
      <c r="J20" s="40">
        <v>74</v>
      </c>
      <c r="K20" s="41">
        <v>310</v>
      </c>
      <c r="L20" s="40">
        <v>2774</v>
      </c>
      <c r="M20" s="39" t="s">
        <v>193</v>
      </c>
      <c r="N20" s="39" t="s">
        <v>194</v>
      </c>
      <c r="O20" s="39" t="s">
        <v>195</v>
      </c>
      <c r="P20" s="39" t="s">
        <v>196</v>
      </c>
      <c r="Q20" s="39" t="s">
        <v>103</v>
      </c>
      <c r="R20" s="39" t="s">
        <v>197</v>
      </c>
      <c r="S20" s="39" t="s">
        <v>198</v>
      </c>
      <c r="T20" s="39" t="s">
        <v>199</v>
      </c>
      <c r="U20" s="39" t="s">
        <v>200</v>
      </c>
    </row>
    <row r="21" spans="1:21">
      <c r="A21" s="39" t="s">
        <v>201</v>
      </c>
      <c r="B21" s="42">
        <v>45857</v>
      </c>
      <c r="C21" s="40">
        <v>34838</v>
      </c>
      <c r="D21" s="40">
        <v>33600</v>
      </c>
      <c r="E21" s="40">
        <v>32030</v>
      </c>
      <c r="F21" s="40">
        <v>1570</v>
      </c>
      <c r="G21" s="40">
        <v>24812</v>
      </c>
      <c r="H21" s="40">
        <v>3582</v>
      </c>
      <c r="I21" s="40">
        <v>2032</v>
      </c>
      <c r="J21" s="40">
        <v>785</v>
      </c>
      <c r="K21" s="41">
        <v>1438</v>
      </c>
      <c r="L21" s="40">
        <v>3123</v>
      </c>
      <c r="M21" s="39" t="s">
        <v>202</v>
      </c>
      <c r="N21" s="39" t="s">
        <v>203</v>
      </c>
      <c r="O21" s="39" t="s">
        <v>204</v>
      </c>
      <c r="P21" s="39" t="s">
        <v>205</v>
      </c>
      <c r="Q21" s="39" t="s">
        <v>206</v>
      </c>
      <c r="R21" s="39" t="s">
        <v>207</v>
      </c>
      <c r="S21" s="39" t="s">
        <v>208</v>
      </c>
      <c r="T21" s="39" t="s">
        <v>209</v>
      </c>
      <c r="U21" s="39" t="s">
        <v>210</v>
      </c>
    </row>
    <row r="22" spans="1:21">
      <c r="A22" s="39" t="s">
        <v>211</v>
      </c>
      <c r="B22" s="42">
        <v>45858</v>
      </c>
      <c r="C22" s="40">
        <v>34750</v>
      </c>
      <c r="D22" s="40">
        <v>34040</v>
      </c>
      <c r="E22" s="40">
        <v>32552</v>
      </c>
      <c r="F22" s="40">
        <v>1488</v>
      </c>
      <c r="G22" s="40">
        <v>24972</v>
      </c>
      <c r="H22" s="40">
        <v>3202</v>
      </c>
      <c r="I22" s="40">
        <v>1274</v>
      </c>
      <c r="J22" s="40">
        <v>673</v>
      </c>
      <c r="K22" s="41">
        <v>1273</v>
      </c>
      <c r="L22" s="40">
        <v>3059</v>
      </c>
      <c r="M22" s="39" t="s">
        <v>212</v>
      </c>
      <c r="N22" s="39" t="s">
        <v>213</v>
      </c>
      <c r="O22" s="39" t="s">
        <v>54</v>
      </c>
      <c r="P22" s="39" t="s">
        <v>214</v>
      </c>
      <c r="Q22" s="39" t="s">
        <v>215</v>
      </c>
      <c r="R22" s="39" t="s">
        <v>139</v>
      </c>
      <c r="S22" s="39" t="s">
        <v>216</v>
      </c>
      <c r="T22" s="39" t="s">
        <v>217</v>
      </c>
      <c r="U22" s="39" t="s">
        <v>218</v>
      </c>
    </row>
    <row r="23" spans="1:21">
      <c r="A23" s="39" t="s">
        <v>219</v>
      </c>
      <c r="B23" s="42">
        <v>45859</v>
      </c>
      <c r="C23" s="40">
        <v>33496</v>
      </c>
      <c r="D23" s="40">
        <v>34814</v>
      </c>
      <c r="E23" s="40">
        <v>32911</v>
      </c>
      <c r="F23" s="40">
        <v>1903</v>
      </c>
      <c r="G23" s="40">
        <v>24126</v>
      </c>
      <c r="H23" s="40">
        <v>2852</v>
      </c>
      <c r="I23" s="40">
        <v>1867</v>
      </c>
      <c r="J23" s="40">
        <v>1118</v>
      </c>
      <c r="K23" s="41">
        <v>1975</v>
      </c>
      <c r="L23" s="40">
        <v>2626</v>
      </c>
      <c r="M23" s="39" t="s">
        <v>220</v>
      </c>
      <c r="N23" s="39" t="s">
        <v>221</v>
      </c>
      <c r="O23" s="39" t="s">
        <v>169</v>
      </c>
      <c r="P23" s="39" t="s">
        <v>222</v>
      </c>
      <c r="Q23" s="39" t="s">
        <v>223</v>
      </c>
      <c r="R23" s="39" t="s">
        <v>224</v>
      </c>
      <c r="S23" s="39" t="s">
        <v>225</v>
      </c>
      <c r="T23" s="39" t="s">
        <v>226</v>
      </c>
      <c r="U23" s="39" t="s">
        <v>227</v>
      </c>
    </row>
    <row r="24" spans="1:21">
      <c r="A24" s="39" t="s">
        <v>228</v>
      </c>
      <c r="B24" s="42">
        <v>45860</v>
      </c>
      <c r="C24" s="40">
        <v>31955</v>
      </c>
      <c r="D24" s="40">
        <v>32597</v>
      </c>
      <c r="E24" s="40">
        <v>30870</v>
      </c>
      <c r="F24" s="40">
        <v>1727</v>
      </c>
      <c r="G24" s="40">
        <v>23475</v>
      </c>
      <c r="H24" s="40">
        <v>2636</v>
      </c>
      <c r="I24" s="40">
        <v>1556</v>
      </c>
      <c r="J24" s="40">
        <v>1137</v>
      </c>
      <c r="K24" s="41">
        <v>1881</v>
      </c>
      <c r="L24" s="40">
        <v>2354</v>
      </c>
      <c r="M24" s="39" t="s">
        <v>229</v>
      </c>
      <c r="N24" s="39" t="s">
        <v>230</v>
      </c>
      <c r="O24" s="39" t="s">
        <v>231</v>
      </c>
      <c r="P24" s="39" t="s">
        <v>232</v>
      </c>
      <c r="Q24" s="39" t="s">
        <v>233</v>
      </c>
      <c r="R24" s="39" t="s">
        <v>234</v>
      </c>
      <c r="S24" s="39" t="s">
        <v>235</v>
      </c>
      <c r="T24" s="39" t="s">
        <v>236</v>
      </c>
      <c r="U24" s="39" t="s">
        <v>237</v>
      </c>
    </row>
    <row r="25" spans="1:21">
      <c r="A25" s="39" t="s">
        <v>238</v>
      </c>
      <c r="B25" s="42">
        <v>45861</v>
      </c>
      <c r="C25" s="40">
        <v>32893</v>
      </c>
      <c r="D25" s="40">
        <v>32611</v>
      </c>
      <c r="E25" s="40">
        <v>30964</v>
      </c>
      <c r="F25" s="40">
        <v>1647</v>
      </c>
      <c r="G25" s="40">
        <v>24359</v>
      </c>
      <c r="H25" s="40">
        <v>3119</v>
      </c>
      <c r="I25" s="40">
        <v>1567</v>
      </c>
      <c r="J25" s="40">
        <v>1146</v>
      </c>
      <c r="K25" s="41">
        <v>2060</v>
      </c>
      <c r="L25" s="40">
        <v>2438</v>
      </c>
      <c r="M25" s="39" t="s">
        <v>239</v>
      </c>
      <c r="N25" s="39" t="s">
        <v>240</v>
      </c>
      <c r="O25" s="39" t="s">
        <v>241</v>
      </c>
      <c r="P25" s="39" t="s">
        <v>242</v>
      </c>
      <c r="Q25" s="39" t="s">
        <v>243</v>
      </c>
      <c r="R25" s="39" t="s">
        <v>244</v>
      </c>
      <c r="S25" s="39" t="s">
        <v>245</v>
      </c>
      <c r="T25" s="39" t="s">
        <v>246</v>
      </c>
      <c r="U25" s="39" t="s">
        <v>247</v>
      </c>
    </row>
    <row r="26" spans="1:21">
      <c r="A26" s="39" t="s">
        <v>248</v>
      </c>
      <c r="B26" s="42">
        <v>45862</v>
      </c>
      <c r="C26" s="40">
        <v>31422</v>
      </c>
      <c r="D26" s="40">
        <v>31974</v>
      </c>
      <c r="E26" s="40">
        <v>30389</v>
      </c>
      <c r="F26" s="40">
        <v>1585</v>
      </c>
      <c r="G26" s="40">
        <v>23216</v>
      </c>
      <c r="H26" s="40">
        <v>2700</v>
      </c>
      <c r="I26" s="40">
        <v>1162</v>
      </c>
      <c r="J26" s="40">
        <v>1197</v>
      </c>
      <c r="K26" s="41">
        <v>2027</v>
      </c>
      <c r="L26" s="40">
        <v>2124</v>
      </c>
      <c r="M26" s="39" t="s">
        <v>249</v>
      </c>
      <c r="N26" s="39" t="s">
        <v>250</v>
      </c>
      <c r="O26" s="39" t="s">
        <v>251</v>
      </c>
      <c r="P26" s="39" t="s">
        <v>252</v>
      </c>
      <c r="Q26" s="39" t="s">
        <v>253</v>
      </c>
      <c r="R26" s="39" t="s">
        <v>254</v>
      </c>
      <c r="S26" s="39" t="s">
        <v>255</v>
      </c>
      <c r="T26" s="39" t="s">
        <v>256</v>
      </c>
      <c r="U26" s="39" t="s">
        <v>257</v>
      </c>
    </row>
    <row r="27" spans="1:21">
      <c r="A27" s="39" t="s">
        <v>258</v>
      </c>
      <c r="B27" s="42">
        <v>45863</v>
      </c>
      <c r="C27" s="40">
        <v>33110</v>
      </c>
      <c r="D27" s="40">
        <v>32739</v>
      </c>
      <c r="E27" s="40">
        <v>31041</v>
      </c>
      <c r="F27" s="40">
        <v>1698</v>
      </c>
      <c r="G27" s="40">
        <v>24923</v>
      </c>
      <c r="H27" s="40">
        <v>3334</v>
      </c>
      <c r="I27" s="40">
        <v>1343</v>
      </c>
      <c r="J27" s="40">
        <v>1091</v>
      </c>
      <c r="K27" s="41">
        <v>1903</v>
      </c>
      <c r="L27" s="40">
        <v>1865</v>
      </c>
      <c r="M27" s="39" t="s">
        <v>259</v>
      </c>
      <c r="N27" s="39" t="s">
        <v>260</v>
      </c>
      <c r="O27" s="39" t="s">
        <v>56</v>
      </c>
      <c r="P27" s="39" t="s">
        <v>261</v>
      </c>
      <c r="Q27" s="39" t="s">
        <v>114</v>
      </c>
      <c r="R27" s="39" t="s">
        <v>262</v>
      </c>
      <c r="S27" s="39" t="s">
        <v>263</v>
      </c>
      <c r="T27" s="39" t="s">
        <v>264</v>
      </c>
      <c r="U27" s="39" t="s">
        <v>265</v>
      </c>
    </row>
    <row r="28" spans="1:21">
      <c r="A28" s="39" t="s">
        <v>266</v>
      </c>
      <c r="B28" s="42">
        <v>45864</v>
      </c>
      <c r="C28" s="40">
        <v>35464</v>
      </c>
      <c r="D28" s="40">
        <v>34373</v>
      </c>
      <c r="E28" s="40">
        <v>32541</v>
      </c>
      <c r="F28" s="40">
        <v>1832</v>
      </c>
      <c r="G28" s="40">
        <v>26588</v>
      </c>
      <c r="H28" s="40">
        <v>3769</v>
      </c>
      <c r="I28" s="40">
        <v>1370</v>
      </c>
      <c r="J28" s="40">
        <v>868</v>
      </c>
      <c r="K28" s="41">
        <v>1516</v>
      </c>
      <c r="L28" s="40">
        <v>1834</v>
      </c>
      <c r="M28" s="39" t="s">
        <v>267</v>
      </c>
      <c r="N28" s="39" t="s">
        <v>268</v>
      </c>
      <c r="O28" s="39" t="s">
        <v>269</v>
      </c>
      <c r="P28" s="39" t="s">
        <v>270</v>
      </c>
      <c r="Q28" s="39" t="s">
        <v>271</v>
      </c>
      <c r="R28" s="39" t="s">
        <v>272</v>
      </c>
      <c r="S28" s="39" t="s">
        <v>273</v>
      </c>
      <c r="T28" s="39" t="s">
        <v>274</v>
      </c>
      <c r="U28" s="39" t="s">
        <v>275</v>
      </c>
    </row>
    <row r="29" spans="1:21">
      <c r="A29" s="39" t="s">
        <v>276</v>
      </c>
      <c r="B29" s="42">
        <v>45865</v>
      </c>
      <c r="C29" s="40">
        <v>39195</v>
      </c>
      <c r="D29" s="40">
        <v>36930</v>
      </c>
      <c r="E29" s="40">
        <v>34800</v>
      </c>
      <c r="F29" s="40">
        <v>2130</v>
      </c>
      <c r="G29" s="40">
        <v>30111</v>
      </c>
      <c r="H29" s="40">
        <v>5260</v>
      </c>
      <c r="I29" s="40">
        <v>2248</v>
      </c>
      <c r="J29" s="40">
        <v>1129</v>
      </c>
      <c r="K29" s="41">
        <v>1846</v>
      </c>
      <c r="L29" s="40">
        <v>1756</v>
      </c>
      <c r="M29" s="39" t="s">
        <v>277</v>
      </c>
      <c r="N29" s="39" t="s">
        <v>278</v>
      </c>
      <c r="O29" s="39" t="s">
        <v>279</v>
      </c>
      <c r="P29" s="39" t="s">
        <v>280</v>
      </c>
      <c r="Q29" s="39" t="s">
        <v>281</v>
      </c>
      <c r="R29" s="39" t="s">
        <v>282</v>
      </c>
      <c r="S29" s="39" t="s">
        <v>283</v>
      </c>
      <c r="T29" s="39" t="s">
        <v>284</v>
      </c>
      <c r="U29" s="39" t="s">
        <v>285</v>
      </c>
    </row>
    <row r="30" spans="1:21">
      <c r="A30" s="39" t="s">
        <v>286</v>
      </c>
      <c r="B30" s="42">
        <v>45866</v>
      </c>
      <c r="C30" s="40">
        <v>32485</v>
      </c>
      <c r="D30" s="40">
        <v>35219</v>
      </c>
      <c r="E30" s="40">
        <v>33182</v>
      </c>
      <c r="F30" s="40">
        <v>2037</v>
      </c>
      <c r="G30" s="40">
        <v>25219</v>
      </c>
      <c r="H30" s="40">
        <v>2835</v>
      </c>
      <c r="I30" s="40">
        <v>1662</v>
      </c>
      <c r="J30" s="40">
        <v>1521</v>
      </c>
      <c r="K30" s="41">
        <v>2494</v>
      </c>
      <c r="L30" s="40">
        <v>1467</v>
      </c>
      <c r="M30" s="39" t="s">
        <v>287</v>
      </c>
      <c r="N30" s="39" t="s">
        <v>288</v>
      </c>
      <c r="O30" s="39" t="s">
        <v>289</v>
      </c>
      <c r="P30" s="39" t="s">
        <v>290</v>
      </c>
      <c r="Q30" s="39" t="s">
        <v>291</v>
      </c>
      <c r="R30" s="39" t="s">
        <v>292</v>
      </c>
      <c r="S30" s="39" t="s">
        <v>293</v>
      </c>
      <c r="T30" s="39" t="s">
        <v>294</v>
      </c>
      <c r="U30" s="39" t="s">
        <v>295</v>
      </c>
    </row>
    <row r="31" spans="1:21">
      <c r="A31" s="39" t="s">
        <v>296</v>
      </c>
      <c r="B31" s="42">
        <v>45867</v>
      </c>
      <c r="C31" s="40">
        <v>33195</v>
      </c>
      <c r="D31" s="40">
        <v>32986</v>
      </c>
      <c r="E31" s="40">
        <v>31272</v>
      </c>
      <c r="F31" s="40">
        <v>1714</v>
      </c>
      <c r="G31" s="40">
        <v>26458</v>
      </c>
      <c r="H31" s="40">
        <v>2745</v>
      </c>
      <c r="I31" s="40">
        <v>1981</v>
      </c>
      <c r="J31" s="40">
        <v>2219</v>
      </c>
      <c r="K31" s="41">
        <v>3585</v>
      </c>
      <c r="L31" s="40">
        <v>1290</v>
      </c>
      <c r="M31" s="39" t="s">
        <v>297</v>
      </c>
      <c r="N31" s="39" t="s">
        <v>298</v>
      </c>
      <c r="O31" s="39" t="s">
        <v>299</v>
      </c>
      <c r="P31" s="39" t="s">
        <v>300</v>
      </c>
      <c r="Q31" s="39" t="s">
        <v>301</v>
      </c>
      <c r="R31" s="39" t="s">
        <v>302</v>
      </c>
      <c r="S31" s="39" t="s">
        <v>303</v>
      </c>
      <c r="T31" s="39" t="s">
        <v>304</v>
      </c>
      <c r="U31" s="39" t="s">
        <v>305</v>
      </c>
    </row>
    <row r="32" spans="1:21">
      <c r="A32" s="39" t="s">
        <v>306</v>
      </c>
      <c r="B32" s="42">
        <v>45868</v>
      </c>
      <c r="C32" s="40">
        <v>33595</v>
      </c>
      <c r="D32" s="40">
        <v>33920</v>
      </c>
      <c r="E32" s="40">
        <v>31893</v>
      </c>
      <c r="F32" s="40">
        <v>2027</v>
      </c>
      <c r="G32" s="40">
        <v>27184</v>
      </c>
      <c r="H32" s="40">
        <v>2836</v>
      </c>
      <c r="I32" s="40">
        <v>2015</v>
      </c>
      <c r="J32" s="40">
        <v>3163</v>
      </c>
      <c r="K32" s="41">
        <v>5290</v>
      </c>
      <c r="L32" s="40">
        <v>1277</v>
      </c>
      <c r="M32" s="39" t="s">
        <v>307</v>
      </c>
      <c r="N32" s="39" t="s">
        <v>308</v>
      </c>
      <c r="O32" s="39" t="s">
        <v>153</v>
      </c>
      <c r="P32" s="39" t="s">
        <v>309</v>
      </c>
      <c r="Q32" s="39" t="s">
        <v>310</v>
      </c>
      <c r="R32" s="39" t="s">
        <v>311</v>
      </c>
      <c r="S32" s="39" t="s">
        <v>78</v>
      </c>
      <c r="T32" s="39" t="s">
        <v>312</v>
      </c>
      <c r="U32" s="39" t="s">
        <v>313</v>
      </c>
    </row>
    <row r="33" spans="1:21">
      <c r="A33" s="39" t="s">
        <v>314</v>
      </c>
      <c r="B33" s="42">
        <v>45869</v>
      </c>
      <c r="C33" s="40">
        <v>31194</v>
      </c>
      <c r="D33" s="40">
        <v>32310</v>
      </c>
      <c r="E33" s="40">
        <v>30464</v>
      </c>
      <c r="F33" s="40">
        <v>1846</v>
      </c>
      <c r="G33" s="40">
        <v>25828</v>
      </c>
      <c r="H33" s="40">
        <v>2791</v>
      </c>
      <c r="I33" s="40">
        <v>1879</v>
      </c>
      <c r="J33" s="40">
        <v>3512</v>
      </c>
      <c r="K33" s="41">
        <v>6909</v>
      </c>
      <c r="L33" s="40">
        <v>1079</v>
      </c>
      <c r="M33" s="39" t="s">
        <v>315</v>
      </c>
      <c r="N33" s="39" t="s">
        <v>316</v>
      </c>
      <c r="O33" s="39" t="s">
        <v>317</v>
      </c>
      <c r="P33" s="39" t="s">
        <v>318</v>
      </c>
      <c r="Q33" s="39" t="s">
        <v>319</v>
      </c>
      <c r="R33" s="39" t="s">
        <v>320</v>
      </c>
      <c r="S33" s="39" t="s">
        <v>321</v>
      </c>
      <c r="T33" s="39" t="s">
        <v>322</v>
      </c>
      <c r="U33" s="39" t="s">
        <v>323</v>
      </c>
    </row>
  </sheetData>
  <phoneticPr fontId="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92D050"/>
  </sheetPr>
  <dimension ref="A1:U63"/>
  <sheetViews>
    <sheetView topLeftCell="A19" workbookViewId="0">
      <selection sqref="A1:XFD1048576"/>
    </sheetView>
  </sheetViews>
  <sheetFormatPr defaultRowHeight="14.25"/>
  <cols>
    <col min="1" max="1" width="3.875" customWidth="1"/>
    <col min="2" max="21" width="23.5" customWidth="1"/>
    <col min="22" max="23" width="8" customWidth="1"/>
  </cols>
  <sheetData>
    <row r="1" spans="1:21">
      <c r="A1" s="24" t="s">
        <v>0</v>
      </c>
      <c r="B1" s="24" t="s">
        <v>1</v>
      </c>
      <c r="C1" s="24" t="s">
        <v>2</v>
      </c>
      <c r="D1" s="24" t="s">
        <v>3</v>
      </c>
      <c r="E1" s="24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4" t="s">
        <v>17</v>
      </c>
      <c r="S1" s="24" t="s">
        <v>18</v>
      </c>
      <c r="T1" s="24" t="s">
        <v>19</v>
      </c>
      <c r="U1" s="24" t="s">
        <v>20</v>
      </c>
    </row>
    <row r="2" spans="1:21">
      <c r="A2" s="25" t="s">
        <v>21</v>
      </c>
      <c r="B2" s="25" t="s">
        <v>22</v>
      </c>
      <c r="C2" s="26">
        <v>63276</v>
      </c>
      <c r="D2" s="26">
        <v>63104</v>
      </c>
      <c r="E2" s="26">
        <v>56176</v>
      </c>
      <c r="F2" s="26">
        <v>6928</v>
      </c>
      <c r="G2" s="26">
        <v>48329</v>
      </c>
      <c r="H2" s="26">
        <v>1390</v>
      </c>
      <c r="I2" s="26">
        <v>361</v>
      </c>
      <c r="J2" s="26">
        <v>261</v>
      </c>
      <c r="K2" s="27">
        <v>27790</v>
      </c>
      <c r="L2" s="26">
        <v>2933</v>
      </c>
      <c r="M2" s="25" t="s">
        <v>821</v>
      </c>
      <c r="N2" s="25" t="s">
        <v>284</v>
      </c>
      <c r="O2" s="25" t="s">
        <v>87</v>
      </c>
      <c r="P2" s="25" t="s">
        <v>543</v>
      </c>
      <c r="Q2" s="25" t="s">
        <v>653</v>
      </c>
      <c r="R2" s="25" t="s">
        <v>822</v>
      </c>
      <c r="S2" s="25" t="s">
        <v>679</v>
      </c>
      <c r="T2" s="25" t="s">
        <v>482</v>
      </c>
      <c r="U2" s="25" t="s">
        <v>105</v>
      </c>
    </row>
    <row r="3" spans="1:21">
      <c r="A3" s="25" t="s">
        <v>32</v>
      </c>
      <c r="B3" s="28">
        <v>46174</v>
      </c>
      <c r="C3" s="26">
        <v>945</v>
      </c>
      <c r="D3" s="26">
        <v>1006</v>
      </c>
      <c r="E3" s="26">
        <v>940</v>
      </c>
      <c r="F3" s="26">
        <v>66</v>
      </c>
      <c r="G3" s="26">
        <v>596</v>
      </c>
      <c r="H3" s="26">
        <v>27</v>
      </c>
      <c r="I3" s="26">
        <v>2</v>
      </c>
      <c r="J3" s="26">
        <v>0</v>
      </c>
      <c r="K3" s="27">
        <v>239</v>
      </c>
      <c r="L3" s="26">
        <v>104</v>
      </c>
      <c r="M3" s="25" t="s">
        <v>823</v>
      </c>
      <c r="N3" s="25" t="s">
        <v>824</v>
      </c>
      <c r="O3" s="25" t="s">
        <v>825</v>
      </c>
      <c r="P3" s="25" t="s">
        <v>826</v>
      </c>
      <c r="Q3" s="25" t="s">
        <v>826</v>
      </c>
      <c r="R3" s="25" t="s">
        <v>827</v>
      </c>
      <c r="S3" s="25" t="s">
        <v>70</v>
      </c>
      <c r="T3" s="25" t="s">
        <v>826</v>
      </c>
      <c r="U3" s="25" t="s">
        <v>826</v>
      </c>
    </row>
    <row r="4" spans="1:21">
      <c r="A4" s="25" t="s">
        <v>42</v>
      </c>
      <c r="B4" s="28">
        <v>46175</v>
      </c>
      <c r="C4" s="26">
        <v>818</v>
      </c>
      <c r="D4" s="26">
        <v>792</v>
      </c>
      <c r="E4" s="26">
        <v>729</v>
      </c>
      <c r="F4" s="26">
        <v>63</v>
      </c>
      <c r="G4" s="26">
        <v>545</v>
      </c>
      <c r="H4" s="26">
        <v>12</v>
      </c>
      <c r="I4" s="26">
        <v>3</v>
      </c>
      <c r="J4" s="26">
        <v>-1</v>
      </c>
      <c r="K4" s="27">
        <v>261</v>
      </c>
      <c r="L4" s="26">
        <v>84</v>
      </c>
      <c r="M4" s="25" t="s">
        <v>828</v>
      </c>
      <c r="N4" s="25" t="s">
        <v>822</v>
      </c>
      <c r="O4" s="25" t="s">
        <v>551</v>
      </c>
      <c r="P4" s="25" t="s">
        <v>829</v>
      </c>
      <c r="Q4" s="25" t="s">
        <v>474</v>
      </c>
      <c r="R4" s="25" t="s">
        <v>101</v>
      </c>
      <c r="S4" s="25" t="s">
        <v>537</v>
      </c>
      <c r="T4" s="25" t="s">
        <v>476</v>
      </c>
      <c r="U4" s="25" t="s">
        <v>830</v>
      </c>
    </row>
    <row r="5" spans="1:21">
      <c r="A5" s="25" t="s">
        <v>52</v>
      </c>
      <c r="B5" s="28">
        <v>46176</v>
      </c>
      <c r="C5" s="26">
        <v>783</v>
      </c>
      <c r="D5" s="26">
        <v>864</v>
      </c>
      <c r="E5" s="26">
        <v>804</v>
      </c>
      <c r="F5" s="26">
        <v>60</v>
      </c>
      <c r="G5" s="26">
        <v>496</v>
      </c>
      <c r="H5" s="26">
        <v>24</v>
      </c>
      <c r="I5" s="26">
        <v>0</v>
      </c>
      <c r="J5" s="26">
        <v>3</v>
      </c>
      <c r="K5" s="27">
        <v>211</v>
      </c>
      <c r="L5" s="26">
        <v>67</v>
      </c>
      <c r="M5" s="25" t="s">
        <v>831</v>
      </c>
      <c r="N5" s="25" t="s">
        <v>233</v>
      </c>
      <c r="O5" s="25" t="s">
        <v>826</v>
      </c>
      <c r="P5" s="25" t="s">
        <v>832</v>
      </c>
      <c r="Q5" s="25" t="s">
        <v>643</v>
      </c>
      <c r="R5" s="25" t="s">
        <v>833</v>
      </c>
      <c r="S5" s="25" t="s">
        <v>826</v>
      </c>
      <c r="T5" s="25" t="s">
        <v>680</v>
      </c>
      <c r="U5" s="25" t="s">
        <v>834</v>
      </c>
    </row>
    <row r="6" spans="1:21">
      <c r="A6" s="25" t="s">
        <v>62</v>
      </c>
      <c r="B6" s="28">
        <v>46177</v>
      </c>
      <c r="C6" s="26">
        <v>800</v>
      </c>
      <c r="D6" s="26">
        <v>844</v>
      </c>
      <c r="E6" s="26">
        <v>787</v>
      </c>
      <c r="F6" s="26">
        <v>57</v>
      </c>
      <c r="G6" s="26">
        <v>534</v>
      </c>
      <c r="H6" s="26">
        <v>11</v>
      </c>
      <c r="I6" s="26">
        <v>2</v>
      </c>
      <c r="J6" s="26">
        <v>2</v>
      </c>
      <c r="K6" s="27">
        <v>232</v>
      </c>
      <c r="L6" s="26">
        <v>61</v>
      </c>
      <c r="M6" s="25" t="s">
        <v>835</v>
      </c>
      <c r="N6" s="25" t="s">
        <v>836</v>
      </c>
      <c r="O6" s="25" t="s">
        <v>537</v>
      </c>
      <c r="P6" s="25" t="s">
        <v>837</v>
      </c>
      <c r="Q6" s="25" t="s">
        <v>537</v>
      </c>
      <c r="R6" s="25" t="s">
        <v>187</v>
      </c>
      <c r="S6" s="25" t="s">
        <v>670</v>
      </c>
      <c r="T6" s="25" t="s">
        <v>670</v>
      </c>
      <c r="U6" s="25" t="s">
        <v>503</v>
      </c>
    </row>
    <row r="7" spans="1:21">
      <c r="A7" s="25" t="s">
        <v>72</v>
      </c>
      <c r="B7" s="28">
        <v>46178</v>
      </c>
      <c r="C7" s="26">
        <v>899</v>
      </c>
      <c r="D7" s="26">
        <v>841</v>
      </c>
      <c r="E7" s="26">
        <v>761</v>
      </c>
      <c r="F7" s="26">
        <v>80</v>
      </c>
      <c r="G7" s="26">
        <v>613</v>
      </c>
      <c r="H7" s="26">
        <v>17</v>
      </c>
      <c r="I7" s="26">
        <v>0</v>
      </c>
      <c r="J7" s="26">
        <v>-3</v>
      </c>
      <c r="K7" s="27">
        <v>285</v>
      </c>
      <c r="L7" s="26">
        <v>70</v>
      </c>
      <c r="M7" s="25" t="s">
        <v>838</v>
      </c>
      <c r="N7" s="25" t="s">
        <v>535</v>
      </c>
      <c r="O7" s="25" t="s">
        <v>826</v>
      </c>
      <c r="P7" s="25" t="s">
        <v>839</v>
      </c>
      <c r="Q7" s="25" t="s">
        <v>840</v>
      </c>
      <c r="R7" s="25" t="s">
        <v>708</v>
      </c>
      <c r="S7" s="25" t="s">
        <v>826</v>
      </c>
      <c r="T7" s="25" t="s">
        <v>841</v>
      </c>
      <c r="U7" s="25" t="s">
        <v>842</v>
      </c>
    </row>
    <row r="8" spans="1:21">
      <c r="A8" s="25" t="s">
        <v>81</v>
      </c>
      <c r="B8" s="28">
        <v>46179</v>
      </c>
      <c r="C8" s="26">
        <v>968</v>
      </c>
      <c r="D8" s="26">
        <v>895</v>
      </c>
      <c r="E8" s="26">
        <v>829</v>
      </c>
      <c r="F8" s="26">
        <v>66</v>
      </c>
      <c r="G8" s="26">
        <v>678</v>
      </c>
      <c r="H8" s="26">
        <v>26</v>
      </c>
      <c r="I8" s="26">
        <v>1</v>
      </c>
      <c r="J8" s="26">
        <v>3</v>
      </c>
      <c r="K8" s="27">
        <v>313</v>
      </c>
      <c r="L8" s="26">
        <v>86</v>
      </c>
      <c r="M8" s="25" t="s">
        <v>843</v>
      </c>
      <c r="N8" s="25" t="s">
        <v>844</v>
      </c>
      <c r="O8" s="25" t="s">
        <v>441</v>
      </c>
      <c r="P8" s="25" t="s">
        <v>845</v>
      </c>
      <c r="Q8" s="25" t="s">
        <v>436</v>
      </c>
      <c r="R8" s="25" t="s">
        <v>846</v>
      </c>
      <c r="S8" s="25" t="s">
        <v>443</v>
      </c>
      <c r="T8" s="25" t="s">
        <v>642</v>
      </c>
      <c r="U8" s="25" t="s">
        <v>152</v>
      </c>
    </row>
    <row r="9" spans="1:21">
      <c r="A9" s="25" t="s">
        <v>90</v>
      </c>
      <c r="B9" s="28">
        <v>46180</v>
      </c>
      <c r="C9" s="26">
        <v>913</v>
      </c>
      <c r="D9" s="26">
        <v>926</v>
      </c>
      <c r="E9" s="26">
        <v>847</v>
      </c>
      <c r="F9" s="26">
        <v>79</v>
      </c>
      <c r="G9" s="26">
        <v>624</v>
      </c>
      <c r="H9" s="26">
        <v>33</v>
      </c>
      <c r="I9" s="26">
        <v>5</v>
      </c>
      <c r="J9" s="26">
        <v>1</v>
      </c>
      <c r="K9" s="27">
        <v>228</v>
      </c>
      <c r="L9" s="26">
        <v>83</v>
      </c>
      <c r="M9" s="25" t="s">
        <v>847</v>
      </c>
      <c r="N9" s="25" t="s">
        <v>848</v>
      </c>
      <c r="O9" s="25" t="s">
        <v>546</v>
      </c>
      <c r="P9" s="25" t="s">
        <v>481</v>
      </c>
      <c r="Q9" s="25" t="s">
        <v>515</v>
      </c>
      <c r="R9" s="25" t="s">
        <v>849</v>
      </c>
      <c r="S9" s="25" t="s">
        <v>551</v>
      </c>
      <c r="T9" s="25" t="s">
        <v>40</v>
      </c>
      <c r="U9" s="25" t="s">
        <v>436</v>
      </c>
    </row>
    <row r="10" spans="1:21">
      <c r="A10" s="25" t="s">
        <v>98</v>
      </c>
      <c r="B10" s="28">
        <v>46181</v>
      </c>
      <c r="C10" s="26">
        <v>1006</v>
      </c>
      <c r="D10" s="26">
        <v>1020</v>
      </c>
      <c r="E10" s="26">
        <v>933</v>
      </c>
      <c r="F10" s="26">
        <v>87</v>
      </c>
      <c r="G10" s="26">
        <v>704</v>
      </c>
      <c r="H10" s="26">
        <v>45</v>
      </c>
      <c r="I10" s="26">
        <v>2</v>
      </c>
      <c r="J10" s="26">
        <v>0</v>
      </c>
      <c r="K10" s="27">
        <v>305</v>
      </c>
      <c r="L10" s="26">
        <v>98</v>
      </c>
      <c r="M10" s="25" t="s">
        <v>533</v>
      </c>
      <c r="N10" s="25" t="s">
        <v>850</v>
      </c>
      <c r="O10" s="25" t="s">
        <v>57</v>
      </c>
      <c r="P10" s="25" t="s">
        <v>826</v>
      </c>
      <c r="Q10" s="25" t="s">
        <v>826</v>
      </c>
      <c r="R10" s="25" t="s">
        <v>851</v>
      </c>
      <c r="S10" s="25" t="s">
        <v>852</v>
      </c>
      <c r="T10" s="25" t="s">
        <v>826</v>
      </c>
      <c r="U10" s="25" t="s">
        <v>826</v>
      </c>
    </row>
    <row r="11" spans="1:21">
      <c r="A11" s="25" t="s">
        <v>108</v>
      </c>
      <c r="B11" s="28">
        <v>46182</v>
      </c>
      <c r="C11" s="26">
        <v>884</v>
      </c>
      <c r="D11" s="26">
        <v>940</v>
      </c>
      <c r="E11" s="26">
        <v>866</v>
      </c>
      <c r="F11" s="26">
        <v>74</v>
      </c>
      <c r="G11" s="26">
        <v>602</v>
      </c>
      <c r="H11" s="26">
        <v>23</v>
      </c>
      <c r="I11" s="26">
        <v>0</v>
      </c>
      <c r="J11" s="26">
        <v>2</v>
      </c>
      <c r="K11" s="27">
        <v>266</v>
      </c>
      <c r="L11" s="26">
        <v>78</v>
      </c>
      <c r="M11" s="25" t="s">
        <v>853</v>
      </c>
      <c r="N11" s="25" t="s">
        <v>854</v>
      </c>
      <c r="O11" s="25" t="s">
        <v>826</v>
      </c>
      <c r="P11" s="25" t="s">
        <v>855</v>
      </c>
      <c r="Q11" s="25" t="s">
        <v>67</v>
      </c>
      <c r="R11" s="25" t="s">
        <v>856</v>
      </c>
      <c r="S11" s="25" t="s">
        <v>826</v>
      </c>
      <c r="T11" s="25" t="s">
        <v>106</v>
      </c>
      <c r="U11" s="25" t="s">
        <v>87</v>
      </c>
    </row>
    <row r="12" spans="1:21">
      <c r="A12" s="25" t="s">
        <v>118</v>
      </c>
      <c r="B12" s="28">
        <v>46183</v>
      </c>
      <c r="C12" s="26">
        <v>1032</v>
      </c>
      <c r="D12" s="26">
        <v>985</v>
      </c>
      <c r="E12" s="26">
        <v>907</v>
      </c>
      <c r="F12" s="26">
        <v>78</v>
      </c>
      <c r="G12" s="26">
        <v>703</v>
      </c>
      <c r="H12" s="26">
        <v>15</v>
      </c>
      <c r="I12" s="26">
        <v>0</v>
      </c>
      <c r="J12" s="26">
        <v>-3</v>
      </c>
      <c r="K12" s="27">
        <v>264</v>
      </c>
      <c r="L12" s="26">
        <v>81</v>
      </c>
      <c r="M12" s="25" t="s">
        <v>857</v>
      </c>
      <c r="N12" s="25" t="s">
        <v>858</v>
      </c>
      <c r="O12" s="25" t="s">
        <v>826</v>
      </c>
      <c r="P12" s="25" t="s">
        <v>859</v>
      </c>
      <c r="Q12" s="25" t="s">
        <v>860</v>
      </c>
      <c r="R12" s="25" t="s">
        <v>140</v>
      </c>
      <c r="S12" s="25" t="s">
        <v>826</v>
      </c>
      <c r="T12" s="25" t="s">
        <v>861</v>
      </c>
      <c r="U12" s="25" t="s">
        <v>862</v>
      </c>
    </row>
    <row r="13" spans="1:21">
      <c r="A13" s="25" t="s">
        <v>127</v>
      </c>
      <c r="B13" s="28">
        <v>46184</v>
      </c>
      <c r="C13" s="26">
        <v>1341</v>
      </c>
      <c r="D13" s="26">
        <v>1230</v>
      </c>
      <c r="E13" s="26">
        <v>1152</v>
      </c>
      <c r="F13" s="26">
        <v>78</v>
      </c>
      <c r="G13" s="26">
        <v>890</v>
      </c>
      <c r="H13" s="26">
        <v>21</v>
      </c>
      <c r="I13" s="26">
        <v>3</v>
      </c>
      <c r="J13" s="26">
        <v>1</v>
      </c>
      <c r="K13" s="27">
        <v>192</v>
      </c>
      <c r="L13" s="26">
        <v>101</v>
      </c>
      <c r="M13" s="25" t="s">
        <v>863</v>
      </c>
      <c r="N13" s="25" t="s">
        <v>864</v>
      </c>
      <c r="O13" s="25" t="s">
        <v>825</v>
      </c>
      <c r="P13" s="25" t="s">
        <v>245</v>
      </c>
      <c r="Q13" s="25" t="s">
        <v>40</v>
      </c>
      <c r="R13" s="25" t="s">
        <v>647</v>
      </c>
      <c r="S13" s="25" t="s">
        <v>865</v>
      </c>
      <c r="T13" s="25" t="s">
        <v>468</v>
      </c>
      <c r="U13" s="25" t="s">
        <v>465</v>
      </c>
    </row>
    <row r="14" spans="1:21">
      <c r="A14" s="25" t="s">
        <v>137</v>
      </c>
      <c r="B14" s="28">
        <v>46185</v>
      </c>
      <c r="C14" s="26">
        <v>1582</v>
      </c>
      <c r="D14" s="26">
        <v>1463</v>
      </c>
      <c r="E14" s="26">
        <v>1309</v>
      </c>
      <c r="F14" s="26">
        <v>154</v>
      </c>
      <c r="G14" s="26">
        <v>1087</v>
      </c>
      <c r="H14" s="26">
        <v>31</v>
      </c>
      <c r="I14" s="26">
        <v>5</v>
      </c>
      <c r="J14" s="26">
        <v>0</v>
      </c>
      <c r="K14" s="27">
        <v>226</v>
      </c>
      <c r="L14" s="26">
        <v>114</v>
      </c>
      <c r="M14" s="25" t="s">
        <v>866</v>
      </c>
      <c r="N14" s="25" t="s">
        <v>867</v>
      </c>
      <c r="O14" s="25" t="s">
        <v>459</v>
      </c>
      <c r="P14" s="25" t="s">
        <v>826</v>
      </c>
      <c r="Q14" s="25" t="s">
        <v>826</v>
      </c>
      <c r="R14" s="25" t="s">
        <v>723</v>
      </c>
      <c r="S14" s="25" t="s">
        <v>77</v>
      </c>
      <c r="T14" s="25" t="s">
        <v>826</v>
      </c>
      <c r="U14" s="25" t="s">
        <v>826</v>
      </c>
    </row>
    <row r="15" spans="1:21">
      <c r="A15" s="25" t="s">
        <v>147</v>
      </c>
      <c r="B15" s="28">
        <v>46186</v>
      </c>
      <c r="C15" s="26">
        <v>1755</v>
      </c>
      <c r="D15" s="26">
        <v>1674</v>
      </c>
      <c r="E15" s="26">
        <v>1538</v>
      </c>
      <c r="F15" s="26">
        <v>136</v>
      </c>
      <c r="G15" s="26">
        <v>1220</v>
      </c>
      <c r="H15" s="26">
        <v>31</v>
      </c>
      <c r="I15" s="26">
        <v>2</v>
      </c>
      <c r="J15" s="26">
        <v>-4</v>
      </c>
      <c r="K15" s="27">
        <v>273</v>
      </c>
      <c r="L15" s="26">
        <v>112</v>
      </c>
      <c r="M15" s="25" t="s">
        <v>868</v>
      </c>
      <c r="N15" s="25" t="s">
        <v>869</v>
      </c>
      <c r="O15" s="25" t="s">
        <v>515</v>
      </c>
      <c r="P15" s="25" t="s">
        <v>870</v>
      </c>
      <c r="Q15" s="25" t="s">
        <v>841</v>
      </c>
      <c r="R15" s="25" t="s">
        <v>421</v>
      </c>
      <c r="S15" s="25" t="s">
        <v>40</v>
      </c>
      <c r="T15" s="25" t="s">
        <v>871</v>
      </c>
      <c r="U15" s="25" t="s">
        <v>872</v>
      </c>
    </row>
    <row r="16" spans="1:21">
      <c r="A16" s="25" t="s">
        <v>157</v>
      </c>
      <c r="B16" s="28">
        <v>46187</v>
      </c>
      <c r="C16" s="26">
        <v>1690</v>
      </c>
      <c r="D16" s="26">
        <v>1718</v>
      </c>
      <c r="E16" s="26">
        <v>1482</v>
      </c>
      <c r="F16" s="26">
        <v>236</v>
      </c>
      <c r="G16" s="26">
        <v>1190</v>
      </c>
      <c r="H16" s="26">
        <v>50</v>
      </c>
      <c r="I16" s="26">
        <v>0</v>
      </c>
      <c r="J16" s="26">
        <v>0</v>
      </c>
      <c r="K16" s="27">
        <v>252</v>
      </c>
      <c r="L16" s="26">
        <v>88</v>
      </c>
      <c r="M16" s="25" t="s">
        <v>873</v>
      </c>
      <c r="N16" s="25" t="s">
        <v>588</v>
      </c>
      <c r="O16" s="25" t="s">
        <v>826</v>
      </c>
      <c r="P16" s="25" t="s">
        <v>826</v>
      </c>
      <c r="Q16" s="25" t="s">
        <v>826</v>
      </c>
      <c r="R16" s="25" t="s">
        <v>796</v>
      </c>
      <c r="S16" s="25" t="s">
        <v>826</v>
      </c>
      <c r="T16" s="25" t="s">
        <v>826</v>
      </c>
      <c r="U16" s="25" t="s">
        <v>826</v>
      </c>
    </row>
    <row r="17" spans="1:21">
      <c r="A17" s="25" t="s">
        <v>167</v>
      </c>
      <c r="B17" s="28">
        <v>46188</v>
      </c>
      <c r="C17" s="26">
        <v>1486</v>
      </c>
      <c r="D17" s="26">
        <v>1676</v>
      </c>
      <c r="E17" s="26">
        <v>1498</v>
      </c>
      <c r="F17" s="26">
        <v>178</v>
      </c>
      <c r="G17" s="26">
        <v>1036</v>
      </c>
      <c r="H17" s="26">
        <v>36</v>
      </c>
      <c r="I17" s="26">
        <v>4</v>
      </c>
      <c r="J17" s="26">
        <v>1</v>
      </c>
      <c r="K17" s="27">
        <v>320</v>
      </c>
      <c r="L17" s="26">
        <v>93</v>
      </c>
      <c r="M17" s="25" t="s">
        <v>874</v>
      </c>
      <c r="N17" s="25" t="s">
        <v>439</v>
      </c>
      <c r="O17" s="25" t="s">
        <v>39</v>
      </c>
      <c r="P17" s="25" t="s">
        <v>29</v>
      </c>
      <c r="Q17" s="25" t="s">
        <v>443</v>
      </c>
      <c r="R17" s="25" t="s">
        <v>875</v>
      </c>
      <c r="S17" s="25" t="s">
        <v>876</v>
      </c>
      <c r="T17" s="25" t="s">
        <v>468</v>
      </c>
      <c r="U17" s="25" t="s">
        <v>642</v>
      </c>
    </row>
    <row r="18" spans="1:21">
      <c r="A18" s="25" t="s">
        <v>177</v>
      </c>
      <c r="B18" s="28">
        <v>46189</v>
      </c>
      <c r="C18" s="26">
        <v>1318</v>
      </c>
      <c r="D18" s="26">
        <v>1347</v>
      </c>
      <c r="E18" s="26">
        <v>1155</v>
      </c>
      <c r="F18" s="26">
        <v>192</v>
      </c>
      <c r="G18" s="26">
        <v>912</v>
      </c>
      <c r="H18" s="26">
        <v>23</v>
      </c>
      <c r="I18" s="26">
        <v>7</v>
      </c>
      <c r="J18" s="26">
        <v>3</v>
      </c>
      <c r="K18" s="27">
        <v>333</v>
      </c>
      <c r="L18" s="26">
        <v>83</v>
      </c>
      <c r="M18" s="25" t="s">
        <v>877</v>
      </c>
      <c r="N18" s="25" t="s">
        <v>675</v>
      </c>
      <c r="O18" s="25" t="s">
        <v>878</v>
      </c>
      <c r="P18" s="25" t="s">
        <v>879</v>
      </c>
      <c r="Q18" s="25" t="s">
        <v>67</v>
      </c>
      <c r="R18" s="25" t="s">
        <v>880</v>
      </c>
      <c r="S18" s="25" t="s">
        <v>49</v>
      </c>
      <c r="T18" s="25" t="s">
        <v>106</v>
      </c>
      <c r="U18" s="25" t="s">
        <v>165</v>
      </c>
    </row>
    <row r="19" spans="1:21">
      <c r="A19" s="25" t="s">
        <v>184</v>
      </c>
      <c r="B19" s="28">
        <v>46190</v>
      </c>
      <c r="C19" s="26">
        <v>1464</v>
      </c>
      <c r="D19" s="26">
        <v>1402</v>
      </c>
      <c r="E19" s="26">
        <v>1233</v>
      </c>
      <c r="F19" s="26">
        <v>169</v>
      </c>
      <c r="G19" s="26">
        <v>1076</v>
      </c>
      <c r="H19" s="26">
        <v>38</v>
      </c>
      <c r="I19" s="26">
        <v>10</v>
      </c>
      <c r="J19" s="26">
        <v>6</v>
      </c>
      <c r="K19" s="27">
        <v>319</v>
      </c>
      <c r="L19" s="26">
        <v>81</v>
      </c>
      <c r="M19" s="25" t="s">
        <v>881</v>
      </c>
      <c r="N19" s="25" t="s">
        <v>750</v>
      </c>
      <c r="O19" s="25" t="s">
        <v>631</v>
      </c>
      <c r="P19" s="25" t="s">
        <v>882</v>
      </c>
      <c r="Q19" s="25" t="s">
        <v>883</v>
      </c>
      <c r="R19" s="25" t="s">
        <v>856</v>
      </c>
      <c r="S19" s="25" t="s">
        <v>718</v>
      </c>
      <c r="T19" s="25" t="s">
        <v>482</v>
      </c>
      <c r="U19" s="25" t="s">
        <v>93</v>
      </c>
    </row>
    <row r="20" spans="1:21">
      <c r="A20" s="25" t="s">
        <v>192</v>
      </c>
      <c r="B20" s="28">
        <v>46191</v>
      </c>
      <c r="C20" s="26">
        <v>1579</v>
      </c>
      <c r="D20" s="26">
        <v>1328</v>
      </c>
      <c r="E20" s="26">
        <v>1196</v>
      </c>
      <c r="F20" s="26">
        <v>132</v>
      </c>
      <c r="G20" s="26">
        <v>1138</v>
      </c>
      <c r="H20" s="26">
        <v>17</v>
      </c>
      <c r="I20" s="26">
        <v>13</v>
      </c>
      <c r="J20" s="26">
        <v>0</v>
      </c>
      <c r="K20" s="27">
        <v>519</v>
      </c>
      <c r="L20" s="26">
        <v>88</v>
      </c>
      <c r="M20" s="25" t="s">
        <v>884</v>
      </c>
      <c r="N20" s="25" t="s">
        <v>885</v>
      </c>
      <c r="O20" s="25" t="s">
        <v>712</v>
      </c>
      <c r="P20" s="25" t="s">
        <v>826</v>
      </c>
      <c r="Q20" s="25" t="s">
        <v>826</v>
      </c>
      <c r="R20" s="25" t="s">
        <v>189</v>
      </c>
      <c r="S20" s="25" t="s">
        <v>776</v>
      </c>
      <c r="T20" s="25" t="s">
        <v>826</v>
      </c>
      <c r="U20" s="25" t="s">
        <v>826</v>
      </c>
    </row>
    <row r="21" spans="1:21">
      <c r="A21" s="25" t="s">
        <v>201</v>
      </c>
      <c r="B21" s="28">
        <v>46192</v>
      </c>
      <c r="C21" s="26">
        <v>1976</v>
      </c>
      <c r="D21" s="26">
        <v>1838</v>
      </c>
      <c r="E21" s="26">
        <v>1631</v>
      </c>
      <c r="F21" s="26">
        <v>207</v>
      </c>
      <c r="G21" s="26">
        <v>1444</v>
      </c>
      <c r="H21" s="26">
        <v>33</v>
      </c>
      <c r="I21" s="26">
        <v>7</v>
      </c>
      <c r="J21" s="26">
        <v>1</v>
      </c>
      <c r="K21" s="27">
        <v>265</v>
      </c>
      <c r="L21" s="26">
        <v>96</v>
      </c>
      <c r="M21" s="25" t="s">
        <v>886</v>
      </c>
      <c r="N21" s="25" t="s">
        <v>887</v>
      </c>
      <c r="O21" s="25" t="s">
        <v>639</v>
      </c>
      <c r="P21" s="25" t="s">
        <v>481</v>
      </c>
      <c r="Q21" s="25" t="s">
        <v>468</v>
      </c>
      <c r="R21" s="25" t="s">
        <v>743</v>
      </c>
      <c r="S21" s="25" t="s">
        <v>103</v>
      </c>
      <c r="T21" s="25" t="s">
        <v>427</v>
      </c>
      <c r="U21" s="25" t="s">
        <v>680</v>
      </c>
    </row>
    <row r="22" spans="1:21">
      <c r="A22" s="25" t="s">
        <v>211</v>
      </c>
      <c r="B22" s="28">
        <v>46193</v>
      </c>
      <c r="C22" s="26">
        <v>1846</v>
      </c>
      <c r="D22" s="26">
        <v>1858</v>
      </c>
      <c r="E22" s="26">
        <v>1642</v>
      </c>
      <c r="F22" s="26">
        <v>216</v>
      </c>
      <c r="G22" s="26">
        <v>1346</v>
      </c>
      <c r="H22" s="26">
        <v>81</v>
      </c>
      <c r="I22" s="26">
        <v>7</v>
      </c>
      <c r="J22" s="26">
        <v>0</v>
      </c>
      <c r="K22" s="27">
        <v>246</v>
      </c>
      <c r="L22" s="26">
        <v>101</v>
      </c>
      <c r="M22" s="25" t="s">
        <v>888</v>
      </c>
      <c r="N22" s="25" t="s">
        <v>321</v>
      </c>
      <c r="O22" s="25" t="s">
        <v>465</v>
      </c>
      <c r="P22" s="25" t="s">
        <v>826</v>
      </c>
      <c r="Q22" s="25" t="s">
        <v>826</v>
      </c>
      <c r="R22" s="25" t="s">
        <v>196</v>
      </c>
      <c r="S22" s="25" t="s">
        <v>680</v>
      </c>
      <c r="T22" s="25" t="s">
        <v>826</v>
      </c>
      <c r="U22" s="25" t="s">
        <v>826</v>
      </c>
    </row>
    <row r="23" spans="1:21">
      <c r="A23" s="25" t="s">
        <v>219</v>
      </c>
      <c r="B23" s="28">
        <v>46194</v>
      </c>
      <c r="C23" s="26">
        <v>1745</v>
      </c>
      <c r="D23" s="26">
        <v>1931</v>
      </c>
      <c r="E23" s="26">
        <v>1642</v>
      </c>
      <c r="F23" s="26">
        <v>289</v>
      </c>
      <c r="G23" s="26">
        <v>1337</v>
      </c>
      <c r="H23" s="26">
        <v>43</v>
      </c>
      <c r="I23" s="26">
        <v>9</v>
      </c>
      <c r="J23" s="26">
        <v>0</v>
      </c>
      <c r="K23" s="27">
        <v>276</v>
      </c>
      <c r="L23" s="26">
        <v>74</v>
      </c>
      <c r="M23" s="25" t="s">
        <v>889</v>
      </c>
      <c r="N23" s="25" t="s">
        <v>58</v>
      </c>
      <c r="O23" s="25" t="s">
        <v>659</v>
      </c>
      <c r="P23" s="25" t="s">
        <v>826</v>
      </c>
      <c r="Q23" s="25" t="s">
        <v>826</v>
      </c>
      <c r="R23" s="25" t="s">
        <v>890</v>
      </c>
      <c r="S23" s="25" t="s">
        <v>465</v>
      </c>
      <c r="T23" s="25" t="s">
        <v>826</v>
      </c>
      <c r="U23" s="25" t="s">
        <v>826</v>
      </c>
    </row>
    <row r="24" spans="1:21">
      <c r="A24" s="25" t="s">
        <v>228</v>
      </c>
      <c r="B24" s="28">
        <v>46195</v>
      </c>
      <c r="C24" s="26">
        <v>1692</v>
      </c>
      <c r="D24" s="26">
        <v>1796</v>
      </c>
      <c r="E24" s="26">
        <v>1533</v>
      </c>
      <c r="F24" s="26">
        <v>263</v>
      </c>
      <c r="G24" s="26">
        <v>1283</v>
      </c>
      <c r="H24" s="26">
        <v>20</v>
      </c>
      <c r="I24" s="26">
        <v>11</v>
      </c>
      <c r="J24" s="26">
        <v>7</v>
      </c>
      <c r="K24" s="27">
        <v>422</v>
      </c>
      <c r="L24" s="26">
        <v>90</v>
      </c>
      <c r="M24" s="25" t="s">
        <v>891</v>
      </c>
      <c r="N24" s="25" t="s">
        <v>121</v>
      </c>
      <c r="O24" s="25" t="s">
        <v>503</v>
      </c>
      <c r="P24" s="25" t="s">
        <v>892</v>
      </c>
      <c r="Q24" s="25" t="s">
        <v>551</v>
      </c>
      <c r="R24" s="25" t="s">
        <v>893</v>
      </c>
      <c r="S24" s="25" t="s">
        <v>155</v>
      </c>
      <c r="T24" s="25" t="s">
        <v>482</v>
      </c>
      <c r="U24" s="25" t="s">
        <v>419</v>
      </c>
    </row>
    <row r="25" spans="1:21">
      <c r="A25" s="25" t="s">
        <v>238</v>
      </c>
      <c r="B25" s="28">
        <v>46196</v>
      </c>
      <c r="C25" s="26">
        <v>1732</v>
      </c>
      <c r="D25" s="26">
        <v>1665</v>
      </c>
      <c r="E25" s="26">
        <v>1517</v>
      </c>
      <c r="F25" s="26">
        <v>148</v>
      </c>
      <c r="G25" s="26">
        <v>1306</v>
      </c>
      <c r="H25" s="26">
        <v>38</v>
      </c>
      <c r="I25" s="26">
        <v>11</v>
      </c>
      <c r="J25" s="26">
        <v>9</v>
      </c>
      <c r="K25" s="27">
        <v>359</v>
      </c>
      <c r="L25" s="26">
        <v>91</v>
      </c>
      <c r="M25" s="25" t="s">
        <v>894</v>
      </c>
      <c r="N25" s="25" t="s">
        <v>895</v>
      </c>
      <c r="O25" s="25" t="s">
        <v>195</v>
      </c>
      <c r="P25" s="25" t="s">
        <v>896</v>
      </c>
      <c r="Q25" s="25" t="s">
        <v>517</v>
      </c>
      <c r="R25" s="25" t="s">
        <v>514</v>
      </c>
      <c r="S25" s="25" t="s">
        <v>35</v>
      </c>
      <c r="T25" s="25" t="s">
        <v>465</v>
      </c>
      <c r="U25" s="25" t="s">
        <v>897</v>
      </c>
    </row>
    <row r="26" spans="1:21">
      <c r="A26" s="25" t="s">
        <v>248</v>
      </c>
      <c r="B26" s="28">
        <v>46197</v>
      </c>
      <c r="C26" s="26">
        <v>1419</v>
      </c>
      <c r="D26" s="26">
        <v>1686</v>
      </c>
      <c r="E26" s="26">
        <v>1490</v>
      </c>
      <c r="F26" s="26">
        <v>196</v>
      </c>
      <c r="G26" s="26">
        <v>1089</v>
      </c>
      <c r="H26" s="26">
        <v>47</v>
      </c>
      <c r="I26" s="26">
        <v>31</v>
      </c>
      <c r="J26" s="26">
        <v>5</v>
      </c>
      <c r="K26" s="27">
        <v>499</v>
      </c>
      <c r="L26" s="26">
        <v>57</v>
      </c>
      <c r="M26" s="25" t="s">
        <v>898</v>
      </c>
      <c r="N26" s="25" t="s">
        <v>899</v>
      </c>
      <c r="O26" s="25" t="s">
        <v>867</v>
      </c>
      <c r="P26" s="25" t="s">
        <v>900</v>
      </c>
      <c r="Q26" s="25" t="s">
        <v>459</v>
      </c>
      <c r="R26" s="25" t="s">
        <v>901</v>
      </c>
      <c r="S26" s="25" t="s">
        <v>902</v>
      </c>
      <c r="T26" s="25" t="s">
        <v>103</v>
      </c>
      <c r="U26" s="25" t="s">
        <v>736</v>
      </c>
    </row>
    <row r="27" spans="1:21">
      <c r="A27" s="25" t="s">
        <v>258</v>
      </c>
      <c r="B27" s="28">
        <v>46198</v>
      </c>
      <c r="C27" s="26">
        <v>1701</v>
      </c>
      <c r="D27" s="26">
        <v>1383</v>
      </c>
      <c r="E27" s="26">
        <v>1231</v>
      </c>
      <c r="F27" s="26">
        <v>152</v>
      </c>
      <c r="G27" s="26">
        <v>1389</v>
      </c>
      <c r="H27" s="26">
        <v>22</v>
      </c>
      <c r="I27" s="26">
        <v>10</v>
      </c>
      <c r="J27" s="26">
        <v>25</v>
      </c>
      <c r="K27" s="27">
        <v>948</v>
      </c>
      <c r="L27" s="26">
        <v>55</v>
      </c>
      <c r="M27" s="25" t="s">
        <v>903</v>
      </c>
      <c r="N27" s="25" t="s">
        <v>782</v>
      </c>
      <c r="O27" s="25" t="s">
        <v>904</v>
      </c>
      <c r="P27" s="25" t="s">
        <v>905</v>
      </c>
      <c r="Q27" s="25" t="s">
        <v>906</v>
      </c>
      <c r="R27" s="25" t="s">
        <v>566</v>
      </c>
      <c r="S27" s="25" t="s">
        <v>497</v>
      </c>
      <c r="T27" s="25" t="s">
        <v>101</v>
      </c>
      <c r="U27" s="25" t="s">
        <v>85</v>
      </c>
    </row>
    <row r="28" spans="1:21">
      <c r="A28" s="25" t="s">
        <v>266</v>
      </c>
      <c r="B28" s="28">
        <v>46199</v>
      </c>
      <c r="C28" s="26">
        <v>1510</v>
      </c>
      <c r="D28" s="26">
        <v>1600</v>
      </c>
      <c r="E28" s="26">
        <v>1406</v>
      </c>
      <c r="F28" s="26">
        <v>194</v>
      </c>
      <c r="G28" s="26">
        <v>1180</v>
      </c>
      <c r="H28" s="26">
        <v>28</v>
      </c>
      <c r="I28" s="26">
        <v>7</v>
      </c>
      <c r="J28" s="26">
        <v>4</v>
      </c>
      <c r="K28" s="27">
        <v>897</v>
      </c>
      <c r="L28" s="26">
        <v>63</v>
      </c>
      <c r="M28" s="25" t="s">
        <v>907</v>
      </c>
      <c r="N28" s="25" t="s">
        <v>448</v>
      </c>
      <c r="O28" s="25" t="s">
        <v>497</v>
      </c>
      <c r="P28" s="25" t="s">
        <v>678</v>
      </c>
      <c r="Q28" s="25" t="s">
        <v>825</v>
      </c>
      <c r="R28" s="25" t="s">
        <v>581</v>
      </c>
      <c r="S28" s="25" t="s">
        <v>459</v>
      </c>
      <c r="T28" s="25" t="s">
        <v>539</v>
      </c>
      <c r="U28" s="25" t="s">
        <v>707</v>
      </c>
    </row>
    <row r="29" spans="1:21">
      <c r="A29" s="25" t="s">
        <v>276</v>
      </c>
      <c r="B29" s="28">
        <v>46200</v>
      </c>
      <c r="C29" s="26">
        <v>1597</v>
      </c>
      <c r="D29" s="26">
        <v>1563</v>
      </c>
      <c r="E29" s="26">
        <v>1356</v>
      </c>
      <c r="F29" s="26">
        <v>207</v>
      </c>
      <c r="G29" s="26">
        <v>1311</v>
      </c>
      <c r="H29" s="26">
        <v>42</v>
      </c>
      <c r="I29" s="26">
        <v>11</v>
      </c>
      <c r="J29" s="26">
        <v>6</v>
      </c>
      <c r="K29" s="27">
        <v>1013</v>
      </c>
      <c r="L29" s="26">
        <v>48</v>
      </c>
      <c r="M29" s="25" t="s">
        <v>908</v>
      </c>
      <c r="N29" s="25" t="s">
        <v>909</v>
      </c>
      <c r="O29" s="25" t="s">
        <v>195</v>
      </c>
      <c r="P29" s="25" t="s">
        <v>678</v>
      </c>
      <c r="Q29" s="25" t="s">
        <v>459</v>
      </c>
      <c r="R29" s="25" t="s">
        <v>602</v>
      </c>
      <c r="S29" s="25" t="s">
        <v>517</v>
      </c>
      <c r="T29" s="25" t="s">
        <v>680</v>
      </c>
      <c r="U29" s="25" t="s">
        <v>497</v>
      </c>
    </row>
    <row r="30" spans="1:21">
      <c r="A30" s="25" t="s">
        <v>286</v>
      </c>
      <c r="B30" s="28">
        <v>46201</v>
      </c>
      <c r="C30" s="26">
        <v>1517</v>
      </c>
      <c r="D30" s="26">
        <v>1520</v>
      </c>
      <c r="E30" s="26">
        <v>1356</v>
      </c>
      <c r="F30" s="26">
        <v>164</v>
      </c>
      <c r="G30" s="26">
        <v>1273</v>
      </c>
      <c r="H30" s="26">
        <v>54</v>
      </c>
      <c r="I30" s="26">
        <v>15</v>
      </c>
      <c r="J30" s="26">
        <v>8</v>
      </c>
      <c r="K30" s="27">
        <v>686</v>
      </c>
      <c r="L30" s="26">
        <v>34</v>
      </c>
      <c r="M30" s="25" t="s">
        <v>910</v>
      </c>
      <c r="N30" s="25" t="s">
        <v>911</v>
      </c>
      <c r="O30" s="25" t="s">
        <v>893</v>
      </c>
      <c r="P30" s="25" t="s">
        <v>912</v>
      </c>
      <c r="Q30" s="25" t="s">
        <v>913</v>
      </c>
      <c r="R30" s="25" t="s">
        <v>236</v>
      </c>
      <c r="S30" s="25" t="s">
        <v>914</v>
      </c>
      <c r="T30" s="25" t="s">
        <v>49</v>
      </c>
      <c r="U30" s="25" t="s">
        <v>915</v>
      </c>
    </row>
    <row r="31" spans="1:21">
      <c r="A31" s="25" t="s">
        <v>296</v>
      </c>
      <c r="B31" s="28">
        <v>46202</v>
      </c>
      <c r="C31" s="26">
        <v>1830</v>
      </c>
      <c r="D31" s="26">
        <v>1693</v>
      </c>
      <c r="E31" s="26">
        <v>1425</v>
      </c>
      <c r="F31" s="26">
        <v>268</v>
      </c>
      <c r="G31" s="26">
        <v>1576</v>
      </c>
      <c r="H31" s="26">
        <v>73</v>
      </c>
      <c r="I31" s="26">
        <v>51</v>
      </c>
      <c r="J31" s="26">
        <v>40</v>
      </c>
      <c r="K31" s="27">
        <v>2573</v>
      </c>
      <c r="L31" s="26">
        <v>37</v>
      </c>
      <c r="M31" s="25" t="s">
        <v>916</v>
      </c>
      <c r="N31" s="25" t="s">
        <v>223</v>
      </c>
      <c r="O31" s="25" t="s">
        <v>696</v>
      </c>
      <c r="P31" s="25" t="s">
        <v>917</v>
      </c>
      <c r="Q31" s="25" t="s">
        <v>869</v>
      </c>
      <c r="R31" s="25" t="s">
        <v>918</v>
      </c>
      <c r="S31" s="25" t="s">
        <v>919</v>
      </c>
      <c r="T31" s="25" t="s">
        <v>514</v>
      </c>
      <c r="U31" s="25" t="s">
        <v>172</v>
      </c>
    </row>
    <row r="32" spans="1:21">
      <c r="A32" s="25" t="s">
        <v>306</v>
      </c>
      <c r="B32" s="28">
        <v>46203</v>
      </c>
      <c r="C32" s="26">
        <v>1555</v>
      </c>
      <c r="D32" s="26">
        <v>1549</v>
      </c>
      <c r="E32" s="26">
        <v>1294</v>
      </c>
      <c r="F32" s="26">
        <v>255</v>
      </c>
      <c r="G32" s="26">
        <v>1357</v>
      </c>
      <c r="H32" s="26">
        <v>104</v>
      </c>
      <c r="I32" s="26">
        <v>88</v>
      </c>
      <c r="J32" s="26">
        <v>97</v>
      </c>
      <c r="K32" s="27">
        <v>9491</v>
      </c>
      <c r="L32" s="26">
        <v>28</v>
      </c>
      <c r="M32" s="25" t="s">
        <v>920</v>
      </c>
      <c r="N32" s="25" t="s">
        <v>921</v>
      </c>
      <c r="O32" s="25" t="s">
        <v>922</v>
      </c>
      <c r="P32" s="25" t="s">
        <v>923</v>
      </c>
      <c r="Q32" s="25" t="s">
        <v>924</v>
      </c>
      <c r="R32" s="25" t="s">
        <v>925</v>
      </c>
      <c r="S32" s="25" t="s">
        <v>926</v>
      </c>
      <c r="T32" s="25" t="s">
        <v>927</v>
      </c>
      <c r="U32" s="25" t="s">
        <v>633</v>
      </c>
    </row>
    <row r="33" spans="1:21">
      <c r="A33" s="25" t="s">
        <v>314</v>
      </c>
      <c r="B33" s="28">
        <v>46204</v>
      </c>
      <c r="C33" s="26">
        <v>1194</v>
      </c>
      <c r="D33" s="26">
        <v>1197</v>
      </c>
      <c r="E33" s="26">
        <v>1054</v>
      </c>
      <c r="F33" s="26">
        <v>143</v>
      </c>
      <c r="G33" s="26">
        <v>852</v>
      </c>
      <c r="H33" s="26">
        <v>26</v>
      </c>
      <c r="I33" s="26">
        <v>2</v>
      </c>
      <c r="J33" s="26">
        <v>2</v>
      </c>
      <c r="K33" s="27">
        <v>871</v>
      </c>
      <c r="L33" s="26">
        <v>46</v>
      </c>
      <c r="M33" s="25" t="s">
        <v>928</v>
      </c>
      <c r="N33" s="25" t="s">
        <v>502</v>
      </c>
      <c r="O33" s="25" t="s">
        <v>106</v>
      </c>
      <c r="P33" s="25" t="s">
        <v>929</v>
      </c>
      <c r="Q33" s="25" t="s">
        <v>106</v>
      </c>
      <c r="R33" s="25" t="s">
        <v>902</v>
      </c>
      <c r="S33" s="25" t="s">
        <v>60</v>
      </c>
      <c r="T33" s="25" t="s">
        <v>60</v>
      </c>
      <c r="U33" s="25" t="s">
        <v>106</v>
      </c>
    </row>
    <row r="34" spans="1:21">
      <c r="A34" s="25" t="s">
        <v>636</v>
      </c>
      <c r="B34" s="28">
        <v>46205</v>
      </c>
      <c r="C34" s="26">
        <v>1168</v>
      </c>
      <c r="D34" s="26">
        <v>1394</v>
      </c>
      <c r="E34" s="26">
        <v>1269</v>
      </c>
      <c r="F34" s="26">
        <v>125</v>
      </c>
      <c r="G34" s="26">
        <v>853</v>
      </c>
      <c r="H34" s="26">
        <v>21</v>
      </c>
      <c r="I34" s="26">
        <v>0</v>
      </c>
      <c r="J34" s="26">
        <v>4</v>
      </c>
      <c r="K34" s="27">
        <v>317</v>
      </c>
      <c r="L34" s="26">
        <v>46</v>
      </c>
      <c r="M34" s="25" t="s">
        <v>930</v>
      </c>
      <c r="N34" s="25" t="s">
        <v>890</v>
      </c>
      <c r="O34" s="25" t="s">
        <v>826</v>
      </c>
      <c r="P34" s="25" t="s">
        <v>931</v>
      </c>
      <c r="Q34" s="25" t="s">
        <v>47</v>
      </c>
      <c r="R34" s="25" t="s">
        <v>906</v>
      </c>
      <c r="S34" s="25" t="s">
        <v>826</v>
      </c>
      <c r="T34" s="25" t="s">
        <v>825</v>
      </c>
      <c r="U34" s="25" t="s">
        <v>932</v>
      </c>
    </row>
    <row r="35" spans="1:21">
      <c r="A35" s="25" t="s">
        <v>645</v>
      </c>
      <c r="B35" s="28">
        <v>46206</v>
      </c>
      <c r="C35" s="26">
        <v>1081</v>
      </c>
      <c r="D35" s="26">
        <v>1123</v>
      </c>
      <c r="E35" s="26">
        <v>1005</v>
      </c>
      <c r="F35" s="26">
        <v>118</v>
      </c>
      <c r="G35" s="26">
        <v>784</v>
      </c>
      <c r="H35" s="26">
        <v>15</v>
      </c>
      <c r="I35" s="26">
        <v>4</v>
      </c>
      <c r="J35" s="26">
        <v>27</v>
      </c>
      <c r="K35" s="27">
        <v>353</v>
      </c>
      <c r="L35" s="26">
        <v>46</v>
      </c>
      <c r="M35" s="25" t="s">
        <v>933</v>
      </c>
      <c r="N35" s="25" t="s">
        <v>934</v>
      </c>
      <c r="O35" s="25" t="s">
        <v>135</v>
      </c>
      <c r="P35" s="25" t="s">
        <v>935</v>
      </c>
      <c r="Q35" s="25" t="s">
        <v>936</v>
      </c>
      <c r="R35" s="25" t="s">
        <v>937</v>
      </c>
      <c r="S35" s="25" t="s">
        <v>537</v>
      </c>
      <c r="T35" s="25" t="s">
        <v>170</v>
      </c>
      <c r="U35" s="25" t="s">
        <v>938</v>
      </c>
    </row>
    <row r="36" spans="1:21">
      <c r="A36" s="25" t="s">
        <v>650</v>
      </c>
      <c r="B36" s="28">
        <v>46207</v>
      </c>
      <c r="C36" s="26">
        <v>1057</v>
      </c>
      <c r="D36" s="26">
        <v>1033</v>
      </c>
      <c r="E36" s="26">
        <v>946</v>
      </c>
      <c r="F36" s="26">
        <v>87</v>
      </c>
      <c r="G36" s="26">
        <v>798</v>
      </c>
      <c r="H36" s="26">
        <v>21</v>
      </c>
      <c r="I36" s="26">
        <v>1</v>
      </c>
      <c r="J36" s="26">
        <v>1</v>
      </c>
      <c r="K36" s="27">
        <v>238</v>
      </c>
      <c r="L36" s="26">
        <v>47</v>
      </c>
      <c r="M36" s="25" t="s">
        <v>939</v>
      </c>
      <c r="N36" s="25" t="s">
        <v>602</v>
      </c>
      <c r="O36" s="25" t="s">
        <v>509</v>
      </c>
      <c r="P36" s="25" t="s">
        <v>245</v>
      </c>
      <c r="Q36" s="25" t="s">
        <v>509</v>
      </c>
      <c r="R36" s="25" t="s">
        <v>601</v>
      </c>
      <c r="S36" s="25" t="s">
        <v>940</v>
      </c>
      <c r="T36" s="25" t="s">
        <v>940</v>
      </c>
      <c r="U36" s="25" t="s">
        <v>941</v>
      </c>
    </row>
    <row r="37" spans="1:21">
      <c r="A37" s="25" t="s">
        <v>657</v>
      </c>
      <c r="B37" s="28">
        <v>46208</v>
      </c>
      <c r="C37" s="26">
        <v>1319</v>
      </c>
      <c r="D37" s="26">
        <v>1227</v>
      </c>
      <c r="E37" s="26">
        <v>1096</v>
      </c>
      <c r="F37" s="26">
        <v>131</v>
      </c>
      <c r="G37" s="26">
        <v>1002</v>
      </c>
      <c r="H37" s="26">
        <v>32</v>
      </c>
      <c r="I37" s="26">
        <v>1</v>
      </c>
      <c r="J37" s="26">
        <v>1</v>
      </c>
      <c r="K37" s="27">
        <v>224</v>
      </c>
      <c r="L37" s="26">
        <v>61</v>
      </c>
      <c r="M37" s="25" t="s">
        <v>942</v>
      </c>
      <c r="N37" s="25" t="s">
        <v>702</v>
      </c>
      <c r="O37" s="25" t="s">
        <v>443</v>
      </c>
      <c r="P37" s="25" t="s">
        <v>638</v>
      </c>
      <c r="Q37" s="25" t="s">
        <v>443</v>
      </c>
      <c r="R37" s="25" t="s">
        <v>417</v>
      </c>
      <c r="S37" s="25" t="s">
        <v>483</v>
      </c>
      <c r="T37" s="25" t="s">
        <v>483</v>
      </c>
      <c r="U37" s="25" t="s">
        <v>707</v>
      </c>
    </row>
    <row r="38" spans="1:21">
      <c r="A38" s="25" t="s">
        <v>662</v>
      </c>
      <c r="B38" s="28">
        <v>46209</v>
      </c>
      <c r="C38" s="26">
        <v>1450</v>
      </c>
      <c r="D38" s="26">
        <v>1374</v>
      </c>
      <c r="E38" s="26">
        <v>1173</v>
      </c>
      <c r="F38" s="26">
        <v>201</v>
      </c>
      <c r="G38" s="26">
        <v>1135</v>
      </c>
      <c r="H38" s="26">
        <v>18</v>
      </c>
      <c r="I38" s="26">
        <v>0</v>
      </c>
      <c r="J38" s="26">
        <v>1</v>
      </c>
      <c r="K38" s="27">
        <v>297</v>
      </c>
      <c r="L38" s="26">
        <v>55</v>
      </c>
      <c r="M38" s="25" t="s">
        <v>943</v>
      </c>
      <c r="N38" s="25" t="s">
        <v>111</v>
      </c>
      <c r="O38" s="25" t="s">
        <v>826</v>
      </c>
      <c r="P38" s="25" t="s">
        <v>102</v>
      </c>
      <c r="Q38" s="25" t="s">
        <v>940</v>
      </c>
      <c r="R38" s="25" t="s">
        <v>944</v>
      </c>
      <c r="S38" s="25" t="s">
        <v>826</v>
      </c>
      <c r="T38" s="25" t="s">
        <v>468</v>
      </c>
      <c r="U38" s="25" t="s">
        <v>825</v>
      </c>
    </row>
    <row r="39" spans="1:21">
      <c r="A39" s="25" t="s">
        <v>667</v>
      </c>
      <c r="B39" s="28">
        <v>46210</v>
      </c>
      <c r="C39" s="26">
        <v>1390</v>
      </c>
      <c r="D39" s="26">
        <v>1459</v>
      </c>
      <c r="E39" s="26">
        <v>1245</v>
      </c>
      <c r="F39" s="26">
        <v>214</v>
      </c>
      <c r="G39" s="26">
        <v>1090</v>
      </c>
      <c r="H39" s="26">
        <v>14</v>
      </c>
      <c r="I39" s="26">
        <v>8</v>
      </c>
      <c r="J39" s="26">
        <v>2</v>
      </c>
      <c r="K39" s="27">
        <v>265</v>
      </c>
      <c r="L39" s="26">
        <v>46</v>
      </c>
      <c r="M39" s="25" t="s">
        <v>945</v>
      </c>
      <c r="N39" s="25" t="s">
        <v>501</v>
      </c>
      <c r="O39" s="25" t="s">
        <v>79</v>
      </c>
      <c r="P39" s="25" t="s">
        <v>678</v>
      </c>
      <c r="Q39" s="25" t="s">
        <v>88</v>
      </c>
      <c r="R39" s="25" t="s">
        <v>513</v>
      </c>
      <c r="S39" s="25" t="s">
        <v>198</v>
      </c>
      <c r="T39" s="25" t="s">
        <v>665</v>
      </c>
      <c r="U39" s="25" t="s">
        <v>87</v>
      </c>
    </row>
    <row r="40" spans="1:21">
      <c r="A40" s="25" t="s">
        <v>672</v>
      </c>
      <c r="B40" s="28">
        <v>46211</v>
      </c>
      <c r="C40" s="26">
        <v>1590</v>
      </c>
      <c r="D40" s="26">
        <v>1545</v>
      </c>
      <c r="E40" s="26">
        <v>1362</v>
      </c>
      <c r="F40" s="26">
        <v>183</v>
      </c>
      <c r="G40" s="26">
        <v>1274</v>
      </c>
      <c r="H40" s="26">
        <v>19</v>
      </c>
      <c r="I40" s="26">
        <v>4</v>
      </c>
      <c r="J40" s="26">
        <v>2</v>
      </c>
      <c r="K40" s="27">
        <v>298</v>
      </c>
      <c r="L40" s="26">
        <v>43</v>
      </c>
      <c r="M40" s="25" t="s">
        <v>946</v>
      </c>
      <c r="N40" s="25" t="s">
        <v>885</v>
      </c>
      <c r="O40" s="25" t="s">
        <v>642</v>
      </c>
      <c r="P40" s="25" t="s">
        <v>83</v>
      </c>
      <c r="Q40" s="25" t="s">
        <v>515</v>
      </c>
      <c r="R40" s="25" t="s">
        <v>947</v>
      </c>
      <c r="S40" s="25" t="s">
        <v>670</v>
      </c>
      <c r="T40" s="25" t="s">
        <v>509</v>
      </c>
      <c r="U40" s="25" t="s">
        <v>659</v>
      </c>
    </row>
    <row r="41" spans="1:21">
      <c r="A41" s="25" t="s">
        <v>677</v>
      </c>
      <c r="B41" s="28">
        <v>46212</v>
      </c>
      <c r="C41" s="26">
        <v>1504</v>
      </c>
      <c r="D41" s="26">
        <v>1480</v>
      </c>
      <c r="E41" s="26">
        <v>1324</v>
      </c>
      <c r="F41" s="26">
        <v>156</v>
      </c>
      <c r="G41" s="26">
        <v>1233</v>
      </c>
      <c r="H41" s="26">
        <v>14</v>
      </c>
      <c r="I41" s="26">
        <v>4</v>
      </c>
      <c r="J41" s="26">
        <v>4</v>
      </c>
      <c r="K41" s="27">
        <v>352</v>
      </c>
      <c r="L41" s="26">
        <v>43</v>
      </c>
      <c r="M41" s="25" t="s">
        <v>948</v>
      </c>
      <c r="N41" s="25" t="s">
        <v>712</v>
      </c>
      <c r="O41" s="25" t="s">
        <v>77</v>
      </c>
      <c r="P41" s="25" t="s">
        <v>949</v>
      </c>
      <c r="Q41" s="25" t="s">
        <v>77</v>
      </c>
      <c r="R41" s="25" t="s">
        <v>631</v>
      </c>
      <c r="S41" s="25" t="s">
        <v>876</v>
      </c>
      <c r="T41" s="25" t="s">
        <v>876</v>
      </c>
      <c r="U41" s="25" t="s">
        <v>712</v>
      </c>
    </row>
    <row r="42" spans="1:21">
      <c r="A42" s="25" t="s">
        <v>682</v>
      </c>
      <c r="B42" s="28">
        <v>46213</v>
      </c>
      <c r="C42" s="26">
        <v>1319</v>
      </c>
      <c r="D42" s="26">
        <v>1372</v>
      </c>
      <c r="E42" s="26">
        <v>1243</v>
      </c>
      <c r="F42" s="26">
        <v>129</v>
      </c>
      <c r="G42" s="26">
        <v>1081</v>
      </c>
      <c r="H42" s="26">
        <v>19</v>
      </c>
      <c r="I42" s="26">
        <v>1</v>
      </c>
      <c r="J42" s="26">
        <v>-5</v>
      </c>
      <c r="K42" s="27">
        <v>262</v>
      </c>
      <c r="L42" s="26">
        <v>28</v>
      </c>
      <c r="M42" s="25" t="s">
        <v>950</v>
      </c>
      <c r="N42" s="25" t="s">
        <v>951</v>
      </c>
      <c r="O42" s="25" t="s">
        <v>940</v>
      </c>
      <c r="P42" s="25" t="s">
        <v>952</v>
      </c>
      <c r="Q42" s="25" t="s">
        <v>953</v>
      </c>
      <c r="R42" s="25" t="s">
        <v>954</v>
      </c>
      <c r="S42" s="25" t="s">
        <v>483</v>
      </c>
      <c r="T42" s="25" t="s">
        <v>830</v>
      </c>
      <c r="U42" s="25" t="s">
        <v>955</v>
      </c>
    </row>
    <row r="43" spans="1:21">
      <c r="A43" s="25" t="s">
        <v>687</v>
      </c>
      <c r="B43" s="28">
        <v>46214</v>
      </c>
      <c r="C43" s="26">
        <v>1205</v>
      </c>
      <c r="D43" s="26">
        <v>1289</v>
      </c>
      <c r="E43" s="26">
        <v>1209</v>
      </c>
      <c r="F43" s="26">
        <v>80</v>
      </c>
      <c r="G43" s="26">
        <v>1017</v>
      </c>
      <c r="H43" s="26">
        <v>18</v>
      </c>
      <c r="I43" s="26">
        <v>1</v>
      </c>
      <c r="J43" s="26">
        <v>2</v>
      </c>
      <c r="K43" s="27">
        <v>214</v>
      </c>
      <c r="L43" s="26">
        <v>39</v>
      </c>
      <c r="M43" s="25" t="s">
        <v>956</v>
      </c>
      <c r="N43" s="25" t="s">
        <v>421</v>
      </c>
      <c r="O43" s="25" t="s">
        <v>443</v>
      </c>
      <c r="P43" s="25" t="s">
        <v>957</v>
      </c>
      <c r="Q43" s="25" t="s">
        <v>852</v>
      </c>
      <c r="R43" s="25" t="s">
        <v>885</v>
      </c>
      <c r="S43" s="25" t="s">
        <v>483</v>
      </c>
      <c r="T43" s="25" t="s">
        <v>60</v>
      </c>
      <c r="U43" s="25" t="s">
        <v>631</v>
      </c>
    </row>
    <row r="44" spans="1:21">
      <c r="A44" s="25" t="s">
        <v>693</v>
      </c>
      <c r="B44" s="28">
        <v>46215</v>
      </c>
      <c r="C44" s="26">
        <v>1619</v>
      </c>
      <c r="D44" s="26">
        <v>1497</v>
      </c>
      <c r="E44" s="26">
        <v>1341</v>
      </c>
      <c r="F44" s="26">
        <v>156</v>
      </c>
      <c r="G44" s="26">
        <v>1351</v>
      </c>
      <c r="H44" s="26">
        <v>16</v>
      </c>
      <c r="I44" s="26">
        <v>4</v>
      </c>
      <c r="J44" s="26">
        <v>3</v>
      </c>
      <c r="K44" s="27">
        <v>187</v>
      </c>
      <c r="L44" s="26">
        <v>34</v>
      </c>
      <c r="M44" s="25" t="s">
        <v>958</v>
      </c>
      <c r="N44" s="25" t="s">
        <v>893</v>
      </c>
      <c r="O44" s="25" t="s">
        <v>50</v>
      </c>
      <c r="P44" s="25" t="s">
        <v>959</v>
      </c>
      <c r="Q44" s="25" t="s">
        <v>865</v>
      </c>
      <c r="R44" s="25" t="s">
        <v>914</v>
      </c>
      <c r="S44" s="25" t="s">
        <v>670</v>
      </c>
      <c r="T44" s="25" t="s">
        <v>37</v>
      </c>
      <c r="U44" s="25" t="s">
        <v>603</v>
      </c>
    </row>
    <row r="45" spans="1:21">
      <c r="A45" s="25" t="s">
        <v>699</v>
      </c>
      <c r="B45" s="28">
        <v>46216</v>
      </c>
      <c r="C45" s="26">
        <v>1619</v>
      </c>
      <c r="D45" s="26">
        <v>1649</v>
      </c>
      <c r="E45" s="26">
        <v>1496</v>
      </c>
      <c r="F45" s="26">
        <v>153</v>
      </c>
      <c r="G45" s="26">
        <v>1340</v>
      </c>
      <c r="H45" s="26">
        <v>22</v>
      </c>
      <c r="I45" s="26">
        <v>4</v>
      </c>
      <c r="J45" s="26">
        <v>0</v>
      </c>
      <c r="K45" s="27">
        <v>319</v>
      </c>
      <c r="L45" s="26">
        <v>20</v>
      </c>
      <c r="M45" s="25" t="s">
        <v>960</v>
      </c>
      <c r="N45" s="25" t="s">
        <v>531</v>
      </c>
      <c r="O45" s="25" t="s">
        <v>50</v>
      </c>
      <c r="P45" s="25" t="s">
        <v>826</v>
      </c>
      <c r="Q45" s="25" t="s">
        <v>826</v>
      </c>
      <c r="R45" s="25" t="s">
        <v>961</v>
      </c>
      <c r="S45" s="25" t="s">
        <v>670</v>
      </c>
      <c r="T45" s="25" t="s">
        <v>826</v>
      </c>
      <c r="U45" s="25" t="s">
        <v>826</v>
      </c>
    </row>
    <row r="46" spans="1:21">
      <c r="A46" s="25" t="s">
        <v>703</v>
      </c>
      <c r="B46" s="28">
        <v>46217</v>
      </c>
      <c r="C46" s="26">
        <v>1495</v>
      </c>
      <c r="D46" s="26">
        <v>1442</v>
      </c>
      <c r="E46" s="26">
        <v>1267</v>
      </c>
      <c r="F46" s="26">
        <v>175</v>
      </c>
      <c r="G46" s="26">
        <v>1329</v>
      </c>
      <c r="H46" s="26">
        <v>24</v>
      </c>
      <c r="I46" s="26">
        <v>6</v>
      </c>
      <c r="J46" s="26">
        <v>1</v>
      </c>
      <c r="K46" s="27">
        <v>295</v>
      </c>
      <c r="L46" s="26">
        <v>16</v>
      </c>
      <c r="M46" s="25" t="s">
        <v>962</v>
      </c>
      <c r="N46" s="25" t="s">
        <v>963</v>
      </c>
      <c r="O46" s="25" t="s">
        <v>707</v>
      </c>
      <c r="P46" s="25" t="s">
        <v>720</v>
      </c>
      <c r="Q46" s="25" t="s">
        <v>483</v>
      </c>
      <c r="R46" s="25" t="s">
        <v>964</v>
      </c>
      <c r="S46" s="25" t="s">
        <v>116</v>
      </c>
      <c r="T46" s="25" t="s">
        <v>468</v>
      </c>
      <c r="U46" s="25" t="s">
        <v>825</v>
      </c>
    </row>
    <row r="47" spans="1:21">
      <c r="A47" s="25" t="s">
        <v>710</v>
      </c>
      <c r="B47" s="28">
        <v>46218</v>
      </c>
      <c r="C47" s="26">
        <v>1405</v>
      </c>
      <c r="D47" s="26">
        <v>1487</v>
      </c>
      <c r="E47" s="26">
        <v>1315</v>
      </c>
      <c r="F47" s="26">
        <v>172</v>
      </c>
      <c r="G47" s="26">
        <v>1279</v>
      </c>
      <c r="H47" s="26">
        <v>28</v>
      </c>
      <c r="I47" s="26">
        <v>3</v>
      </c>
      <c r="J47" s="26">
        <v>3</v>
      </c>
      <c r="K47" s="27">
        <v>273</v>
      </c>
      <c r="L47" s="26">
        <v>11</v>
      </c>
      <c r="M47" s="25" t="s">
        <v>965</v>
      </c>
      <c r="N47" s="25" t="s">
        <v>514</v>
      </c>
      <c r="O47" s="25" t="s">
        <v>106</v>
      </c>
      <c r="P47" s="25" t="s">
        <v>966</v>
      </c>
      <c r="Q47" s="25" t="s">
        <v>106</v>
      </c>
      <c r="R47" s="25" t="s">
        <v>601</v>
      </c>
      <c r="S47" s="25" t="s">
        <v>70</v>
      </c>
      <c r="T47" s="25" t="s">
        <v>70</v>
      </c>
      <c r="U47" s="25" t="s">
        <v>967</v>
      </c>
    </row>
    <row r="48" spans="1:21">
      <c r="A48" s="25" t="s">
        <v>715</v>
      </c>
      <c r="B48" s="28">
        <v>46219</v>
      </c>
      <c r="C48" s="26">
        <v>1478</v>
      </c>
      <c r="D48" s="26">
        <v>1503</v>
      </c>
      <c r="E48" s="26">
        <v>1342</v>
      </c>
      <c r="F48" s="26">
        <v>161</v>
      </c>
      <c r="G48" s="26">
        <v>1376</v>
      </c>
      <c r="H48" s="26">
        <v>18</v>
      </c>
      <c r="I48" s="26">
        <v>1</v>
      </c>
      <c r="J48" s="26">
        <v>0</v>
      </c>
      <c r="K48" s="27">
        <v>312</v>
      </c>
      <c r="L48" s="26">
        <v>6</v>
      </c>
      <c r="M48" s="25" t="s">
        <v>968</v>
      </c>
      <c r="N48" s="25" t="s">
        <v>969</v>
      </c>
      <c r="O48" s="25" t="s">
        <v>468</v>
      </c>
      <c r="P48" s="25" t="s">
        <v>826</v>
      </c>
      <c r="Q48" s="25" t="s">
        <v>826</v>
      </c>
      <c r="R48" s="25" t="s">
        <v>96</v>
      </c>
      <c r="S48" s="25" t="s">
        <v>468</v>
      </c>
      <c r="T48" s="25" t="s">
        <v>826</v>
      </c>
      <c r="U48" s="25" t="s">
        <v>826</v>
      </c>
    </row>
    <row r="49" spans="1:21">
      <c r="A49" s="20"/>
      <c r="B49" s="23"/>
      <c r="C49" s="21"/>
      <c r="D49" s="21"/>
      <c r="E49" s="21"/>
      <c r="F49" s="21"/>
      <c r="G49" s="21"/>
      <c r="H49" s="21"/>
      <c r="I49" s="21"/>
      <c r="J49" s="21"/>
      <c r="K49" s="22"/>
      <c r="L49" s="21"/>
      <c r="M49" s="20"/>
      <c r="N49" s="20"/>
      <c r="O49" s="20"/>
      <c r="P49" s="20"/>
      <c r="Q49" s="20"/>
      <c r="R49" s="20"/>
      <c r="S49" s="20"/>
      <c r="T49" s="20"/>
      <c r="U49" s="20"/>
    </row>
    <row r="50" spans="1:21">
      <c r="A50" s="20"/>
      <c r="B50" s="23"/>
      <c r="C50" s="21"/>
      <c r="D50" s="21"/>
      <c r="E50" s="21"/>
      <c r="F50" s="21"/>
      <c r="G50" s="21"/>
      <c r="H50" s="21"/>
      <c r="I50" s="21"/>
      <c r="J50" s="21"/>
      <c r="K50" s="22"/>
      <c r="L50" s="21"/>
      <c r="M50" s="20"/>
      <c r="N50" s="20"/>
      <c r="O50" s="20"/>
      <c r="P50" s="20"/>
      <c r="Q50" s="20"/>
      <c r="R50" s="20"/>
      <c r="S50" s="20"/>
      <c r="T50" s="20"/>
      <c r="U50" s="20"/>
    </row>
    <row r="51" spans="1:21">
      <c r="A51" s="20"/>
      <c r="B51" s="23"/>
      <c r="C51" s="21"/>
      <c r="D51" s="21"/>
      <c r="E51" s="21"/>
      <c r="F51" s="21"/>
      <c r="G51" s="21"/>
      <c r="H51" s="21"/>
      <c r="I51" s="21"/>
      <c r="J51" s="21"/>
      <c r="K51" s="22"/>
      <c r="L51" s="21"/>
      <c r="M51" s="20"/>
      <c r="N51" s="20"/>
      <c r="O51" s="20"/>
      <c r="P51" s="20"/>
      <c r="Q51" s="20"/>
      <c r="R51" s="20"/>
      <c r="S51" s="20"/>
      <c r="T51" s="20"/>
      <c r="U51" s="20"/>
    </row>
    <row r="52" spans="1:21">
      <c r="A52" s="20"/>
      <c r="B52" s="23"/>
      <c r="C52" s="21"/>
      <c r="D52" s="21"/>
      <c r="E52" s="21"/>
      <c r="F52" s="21"/>
      <c r="G52" s="21"/>
      <c r="H52" s="21"/>
      <c r="I52" s="21"/>
      <c r="J52" s="21"/>
      <c r="K52" s="22"/>
      <c r="L52" s="21"/>
      <c r="M52" s="20"/>
      <c r="N52" s="20"/>
      <c r="O52" s="20"/>
      <c r="P52" s="20"/>
      <c r="Q52" s="20"/>
      <c r="R52" s="20"/>
      <c r="S52" s="20"/>
      <c r="T52" s="20"/>
      <c r="U52" s="20"/>
    </row>
    <row r="53" spans="1:21">
      <c r="A53" s="20"/>
      <c r="B53" s="23"/>
      <c r="C53" s="21"/>
      <c r="D53" s="21"/>
      <c r="E53" s="21"/>
      <c r="F53" s="21"/>
      <c r="G53" s="21"/>
      <c r="H53" s="21"/>
      <c r="I53" s="21"/>
      <c r="J53" s="21"/>
      <c r="K53" s="22"/>
      <c r="L53" s="21"/>
      <c r="M53" s="20"/>
      <c r="N53" s="20"/>
      <c r="O53" s="20"/>
      <c r="P53" s="20"/>
      <c r="Q53" s="20"/>
      <c r="R53" s="20"/>
      <c r="S53" s="20"/>
      <c r="T53" s="20"/>
      <c r="U53" s="20"/>
    </row>
    <row r="54" spans="1:21">
      <c r="A54" s="20"/>
      <c r="B54" s="23"/>
      <c r="C54" s="21"/>
      <c r="D54" s="21"/>
      <c r="E54" s="21"/>
      <c r="F54" s="21"/>
      <c r="G54" s="21"/>
      <c r="H54" s="21"/>
      <c r="I54" s="21"/>
      <c r="J54" s="21"/>
      <c r="K54" s="22"/>
      <c r="L54" s="21"/>
      <c r="M54" s="20"/>
      <c r="N54" s="20"/>
      <c r="O54" s="20"/>
      <c r="P54" s="20"/>
      <c r="Q54" s="20"/>
      <c r="R54" s="20"/>
      <c r="S54" s="20"/>
      <c r="T54" s="20"/>
      <c r="U54" s="20"/>
    </row>
    <row r="55" spans="1:21">
      <c r="A55" s="20"/>
      <c r="B55" s="23"/>
      <c r="C55" s="21"/>
      <c r="D55" s="21"/>
      <c r="E55" s="21"/>
      <c r="F55" s="21"/>
      <c r="G55" s="21"/>
      <c r="H55" s="21"/>
      <c r="I55" s="21"/>
      <c r="J55" s="21"/>
      <c r="K55" s="22"/>
      <c r="L55" s="21"/>
      <c r="M55" s="20"/>
      <c r="N55" s="20"/>
      <c r="O55" s="20"/>
      <c r="P55" s="20"/>
      <c r="Q55" s="20"/>
      <c r="R55" s="20"/>
      <c r="S55" s="20"/>
      <c r="T55" s="20"/>
      <c r="U55" s="20"/>
    </row>
    <row r="56" spans="1:21">
      <c r="A56" s="20"/>
      <c r="B56" s="23"/>
      <c r="C56" s="21"/>
      <c r="D56" s="21"/>
      <c r="E56" s="21"/>
      <c r="F56" s="21"/>
      <c r="G56" s="21"/>
      <c r="H56" s="21"/>
      <c r="I56" s="21"/>
      <c r="J56" s="21"/>
      <c r="K56" s="22"/>
      <c r="L56" s="21"/>
      <c r="M56" s="20"/>
      <c r="N56" s="20"/>
      <c r="O56" s="20"/>
      <c r="P56" s="20"/>
      <c r="Q56" s="20"/>
      <c r="R56" s="20"/>
      <c r="S56" s="20"/>
      <c r="T56" s="20"/>
      <c r="U56" s="20"/>
    </row>
    <row r="57" spans="1:21">
      <c r="A57" s="20"/>
      <c r="B57" s="23"/>
      <c r="C57" s="21"/>
      <c r="D57" s="21"/>
      <c r="E57" s="21"/>
      <c r="F57" s="21"/>
      <c r="G57" s="21"/>
      <c r="H57" s="21"/>
      <c r="I57" s="21"/>
      <c r="J57" s="21"/>
      <c r="K57" s="22"/>
      <c r="L57" s="21"/>
      <c r="M57" s="20"/>
      <c r="N57" s="20"/>
      <c r="O57" s="20"/>
      <c r="P57" s="20"/>
      <c r="Q57" s="20"/>
      <c r="R57" s="20"/>
      <c r="S57" s="20"/>
      <c r="T57" s="20"/>
      <c r="U57" s="20"/>
    </row>
    <row r="58" spans="1:21">
      <c r="A58" s="20"/>
      <c r="B58" s="23"/>
      <c r="C58" s="21"/>
      <c r="D58" s="21"/>
      <c r="E58" s="21"/>
      <c r="F58" s="21"/>
      <c r="G58" s="21"/>
      <c r="H58" s="21"/>
      <c r="I58" s="21"/>
      <c r="J58" s="21"/>
      <c r="K58" s="22"/>
      <c r="L58" s="21"/>
      <c r="M58" s="20"/>
      <c r="N58" s="20"/>
      <c r="O58" s="20"/>
      <c r="P58" s="20"/>
      <c r="Q58" s="20"/>
      <c r="R58" s="20"/>
      <c r="S58" s="20"/>
      <c r="T58" s="20"/>
      <c r="U58" s="20"/>
    </row>
    <row r="59" spans="1:21">
      <c r="A59" s="20"/>
      <c r="B59" s="23"/>
      <c r="C59" s="21"/>
      <c r="D59" s="21"/>
      <c r="E59" s="21"/>
      <c r="F59" s="21"/>
      <c r="G59" s="21"/>
      <c r="H59" s="21"/>
      <c r="I59" s="21"/>
      <c r="J59" s="21"/>
      <c r="K59" s="22"/>
      <c r="L59" s="21"/>
      <c r="M59" s="20"/>
      <c r="N59" s="20"/>
      <c r="O59" s="20"/>
      <c r="P59" s="20"/>
      <c r="Q59" s="20"/>
      <c r="R59" s="20"/>
      <c r="S59" s="20"/>
      <c r="T59" s="20"/>
      <c r="U59" s="20"/>
    </row>
    <row r="60" spans="1:21">
      <c r="A60" s="20"/>
      <c r="B60" s="23"/>
      <c r="C60" s="21"/>
      <c r="D60" s="21"/>
      <c r="E60" s="21"/>
      <c r="F60" s="21"/>
      <c r="G60" s="21"/>
      <c r="H60" s="21"/>
      <c r="I60" s="21"/>
      <c r="J60" s="21"/>
      <c r="K60" s="22"/>
      <c r="L60" s="21"/>
      <c r="M60" s="20"/>
      <c r="N60" s="20"/>
      <c r="O60" s="20"/>
      <c r="P60" s="20"/>
      <c r="Q60" s="20"/>
      <c r="R60" s="20"/>
      <c r="S60" s="20"/>
      <c r="T60" s="20"/>
      <c r="U60" s="20"/>
    </row>
    <row r="61" spans="1:21">
      <c r="A61" s="20"/>
      <c r="B61" s="23"/>
      <c r="C61" s="21"/>
      <c r="D61" s="21"/>
      <c r="E61" s="21"/>
      <c r="F61" s="21"/>
      <c r="G61" s="21"/>
      <c r="H61" s="21"/>
      <c r="I61" s="21"/>
      <c r="J61" s="21"/>
      <c r="K61" s="22"/>
      <c r="L61" s="21"/>
      <c r="M61" s="20"/>
      <c r="N61" s="20"/>
      <c r="O61" s="20"/>
      <c r="P61" s="20"/>
      <c r="Q61" s="20"/>
      <c r="R61" s="20"/>
      <c r="S61" s="20"/>
      <c r="T61" s="20"/>
      <c r="U61" s="20"/>
    </row>
    <row r="62" spans="1:21">
      <c r="A62" s="20"/>
      <c r="B62" s="23"/>
      <c r="C62" s="21"/>
      <c r="D62" s="21"/>
      <c r="E62" s="21"/>
      <c r="F62" s="21"/>
      <c r="G62" s="21"/>
      <c r="H62" s="21"/>
      <c r="I62" s="21"/>
      <c r="J62" s="21"/>
      <c r="K62" s="22"/>
      <c r="L62" s="21"/>
      <c r="M62" s="20"/>
      <c r="N62" s="20"/>
      <c r="O62" s="20"/>
      <c r="P62" s="20"/>
      <c r="Q62" s="20"/>
      <c r="R62" s="20"/>
      <c r="S62" s="20"/>
      <c r="T62" s="20"/>
      <c r="U62" s="20"/>
    </row>
    <row r="63" spans="1:21">
      <c r="A63" s="20"/>
      <c r="B63" s="23"/>
      <c r="C63" s="21"/>
      <c r="D63" s="21"/>
      <c r="E63" s="21"/>
      <c r="F63" s="21"/>
      <c r="G63" s="21"/>
      <c r="H63" s="21"/>
      <c r="I63" s="21"/>
      <c r="J63" s="21"/>
      <c r="K63" s="22"/>
      <c r="L63" s="21"/>
      <c r="M63" s="20"/>
      <c r="N63" s="20"/>
      <c r="O63" s="20"/>
      <c r="P63" s="20"/>
      <c r="Q63" s="20"/>
      <c r="R63" s="20"/>
      <c r="S63" s="20"/>
      <c r="T63" s="20"/>
      <c r="U63" s="20"/>
    </row>
  </sheetData>
  <phoneticPr fontId="5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"/>
  <sheetViews>
    <sheetView workbookViewId="0">
      <selection activeCell="D2" sqref="D2"/>
    </sheetView>
  </sheetViews>
  <sheetFormatPr defaultRowHeight="14.25"/>
  <cols>
    <col min="2" max="2" width="95.875" customWidth="1"/>
  </cols>
  <sheetData>
    <row r="2" spans="2:2" ht="250.5" customHeight="1">
      <c r="B2" s="14" t="s">
        <v>970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参数</vt:lpstr>
      <vt:lpstr>目标竖版</vt:lpstr>
      <vt:lpstr>全车有效线索管控</vt:lpstr>
      <vt:lpstr>全国按日NEV</vt:lpstr>
      <vt:lpstr>全国按日NEV-同期</vt:lpstr>
      <vt:lpstr>全国按日ICE</vt:lpstr>
      <vt:lpstr>全国按日ICE-同期</vt:lpstr>
      <vt:lpstr>十五代轩逸按日</vt:lpstr>
      <vt:lpstr>每日NEV早报模板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石嘉琪(Shi Jiaqi,UOC)(东风日产汽车销售有限公司用户运营中心市场支持科)</dc:creator>
  <cp:keywords>1</cp:keywords>
  <cp:lastModifiedBy>梁承戈(东风日产数据服务有限公司数字营销部线索管理室)</cp:lastModifiedBy>
  <dcterms:created xsi:type="dcterms:W3CDTF">2015-06-05T18:19:00Z</dcterms:created>
  <dcterms:modified xsi:type="dcterms:W3CDTF">2026-08-01T12:33:55Z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rackVanish">
    <vt:lpwstr>{2095F861-62E7-4B80-8C19-B449212097E4}</vt:lpwstr>
  </property>
  <property fmtid="{D5CDD505-2E9C-101B-9397-08002B2CF9AE}" pid="3" name="DLPManualFileClassification">
    <vt:lpwstr>{2095F861-62E7-4B80-8C19-B449212097E4}</vt:lpwstr>
  </property>
  <property fmtid="{D5CDD505-2E9C-101B-9397-08002B2CF9AE}" pid="4" name="手动分类 2025/3/2 13:14:06">
    <vt:lpwstr>shijiaqi 设置标签级别为：工作秘密</vt:lpwstr>
  </property>
  <property fmtid="{D5CDD505-2E9C-101B-9397-08002B2CF9AE}" pid="5" name="ICV">
    <vt:lpwstr>49D61C371359494380BEC78D7EBA9A1D_13</vt:lpwstr>
  </property>
  <property fmtid="{D5CDD505-2E9C-101B-9397-08002B2CF9AE}" pid="6" name="KSOProductBuildVer">
    <vt:lpwstr>2052-12.1.0.24657</vt:lpwstr>
  </property>
  <property fmtid="{D5CDD505-2E9C-101B-9397-08002B2CF9AE}" pid="7" name="CalculationRule">
    <vt:i4>0</vt:i4>
  </property>
</Properties>
</file>