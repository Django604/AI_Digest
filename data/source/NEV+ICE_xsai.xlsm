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3C482769-CE2A-468D-BEAB-BC8291717066}" xr6:coauthVersionLast="47" xr6:coauthVersionMax="47" xr10:uidLastSave="{00000000-0000-0000-0000-000000000000}"/>
  <bookViews>
    <workbookView xWindow="-120" yWindow="-120" windowWidth="29040" windowHeight="15720" tabRatio="858" activeTab="2" xr2:uid="{00000000-000D-0000-FFFF-FFFF00000000}"/>
  </bookViews>
  <sheets>
    <sheet name="参数" sheetId="141" r:id="rId1"/>
    <sheet name="目标竖版" sheetId="184" r:id="rId2"/>
    <sheet name="全车有效线索管控" sheetId="188" r:id="rId3"/>
    <sheet name="全国按日NEV" sheetId="186" r:id="rId4"/>
    <sheet name="全国按日ICE" sheetId="162" r:id="rId5"/>
    <sheet name="十五代轩逸按日" sheetId="163" r:id="rId6"/>
    <sheet name="每日NEV早报模板" sheetId="18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nm._FilterDatabase" localSheetId="3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88" l="1"/>
  <c r="D6" i="188"/>
  <c r="E6" i="188"/>
  <c r="F6" i="188"/>
  <c r="G6" i="188"/>
  <c r="H6" i="188"/>
  <c r="I6" i="188"/>
  <c r="J6" i="188"/>
  <c r="J9" i="188" s="1"/>
  <c r="K6" i="188"/>
  <c r="L6" i="188"/>
  <c r="M6" i="188"/>
  <c r="N6" i="188"/>
  <c r="O6" i="188"/>
  <c r="P6" i="188"/>
  <c r="Q6" i="188"/>
  <c r="R6" i="188"/>
  <c r="R9" i="188" s="1"/>
  <c r="S6" i="188"/>
  <c r="T6" i="188"/>
  <c r="U6" i="188"/>
  <c r="V6" i="188"/>
  <c r="W6" i="188"/>
  <c r="X6" i="188"/>
  <c r="Y6" i="188"/>
  <c r="Y9" i="188" s="1"/>
  <c r="Z6" i="188"/>
  <c r="Z9" i="188" s="1"/>
  <c r="AA6" i="188"/>
  <c r="AB6" i="188"/>
  <c r="AB9" i="188" s="1"/>
  <c r="AC6" i="188"/>
  <c r="AD6" i="188"/>
  <c r="AD9" i="188" s="1"/>
  <c r="AE6" i="188"/>
  <c r="B6" i="188"/>
  <c r="E8" i="188" s="1"/>
  <c r="C5" i="188"/>
  <c r="D5" i="188"/>
  <c r="E5" i="188"/>
  <c r="F5" i="188"/>
  <c r="G5" i="188"/>
  <c r="H5" i="188"/>
  <c r="I5" i="188"/>
  <c r="I9" i="188" s="1"/>
  <c r="J5" i="188"/>
  <c r="K5" i="188"/>
  <c r="L5" i="188"/>
  <c r="M5" i="188"/>
  <c r="N5" i="188"/>
  <c r="O5" i="188"/>
  <c r="P5" i="188"/>
  <c r="Q5" i="188"/>
  <c r="R5" i="188"/>
  <c r="S5" i="188"/>
  <c r="T5" i="188"/>
  <c r="U5" i="188"/>
  <c r="V5" i="188"/>
  <c r="W5" i="188"/>
  <c r="X5" i="188"/>
  <c r="Y5" i="188"/>
  <c r="Z5" i="188"/>
  <c r="AA5" i="188"/>
  <c r="AB5" i="188"/>
  <c r="AC5" i="188"/>
  <c r="AD5" i="188"/>
  <c r="AE5" i="188"/>
  <c r="AF5" i="188"/>
  <c r="B5" i="188"/>
  <c r="G7" i="188" s="1"/>
  <c r="C9" i="188"/>
  <c r="D9" i="188"/>
  <c r="E9" i="188"/>
  <c r="F9" i="188"/>
  <c r="G9" i="188"/>
  <c r="H9" i="188"/>
  <c r="K9" i="188"/>
  <c r="L9" i="188"/>
  <c r="M9" i="188"/>
  <c r="N9" i="188"/>
  <c r="O9" i="188"/>
  <c r="P9" i="188"/>
  <c r="Q9" i="188"/>
  <c r="S9" i="188"/>
  <c r="T9" i="188"/>
  <c r="U9" i="188"/>
  <c r="V9" i="188"/>
  <c r="W9" i="188"/>
  <c r="X9" i="188"/>
  <c r="AA9" i="188"/>
  <c r="AC9" i="188"/>
  <c r="AE9" i="188"/>
  <c r="AF9" i="188"/>
  <c r="O8" i="188"/>
  <c r="P8" i="188"/>
  <c r="Q8" i="188"/>
  <c r="R8" i="188"/>
  <c r="S8" i="188"/>
  <c r="T8" i="188"/>
  <c r="U8" i="188"/>
  <c r="V8" i="188"/>
  <c r="W8" i="188"/>
  <c r="X8" i="188"/>
  <c r="Y8" i="188"/>
  <c r="Z8" i="188"/>
  <c r="AA8" i="188"/>
  <c r="AB8" i="188"/>
  <c r="AC8" i="188"/>
  <c r="AD8" i="188"/>
  <c r="AE8" i="188"/>
  <c r="AF8" i="188"/>
  <c r="C7" i="141"/>
  <c r="B8" i="188" l="1"/>
  <c r="B10" i="188" s="1"/>
  <c r="I8" i="188"/>
  <c r="H8" i="188"/>
  <c r="D8" i="188"/>
  <c r="G8" i="188"/>
  <c r="G10" i="188" s="1"/>
  <c r="L8" i="188"/>
  <c r="K8" i="188"/>
  <c r="K10" i="188" s="1"/>
  <c r="J8" i="188"/>
  <c r="N8" i="188"/>
  <c r="F8" i="188"/>
  <c r="C8" i="188"/>
  <c r="M8" i="188"/>
  <c r="M10" i="188" s="1"/>
  <c r="AD7" i="188"/>
  <c r="AD10" i="188" s="1"/>
  <c r="AC7" i="188"/>
  <c r="E7" i="188"/>
  <c r="E10" i="188" s="1"/>
  <c r="T7" i="188"/>
  <c r="T10" i="188" s="1"/>
  <c r="B7" i="188"/>
  <c r="D7" i="188"/>
  <c r="Y7" i="188"/>
  <c r="Y10" i="188" s="1"/>
  <c r="Q7" i="188"/>
  <c r="I7" i="188"/>
  <c r="I10" i="188" s="1"/>
  <c r="W10" i="188"/>
  <c r="O10" i="188"/>
  <c r="D10" i="188"/>
  <c r="U7" i="188"/>
  <c r="B9" i="188"/>
  <c r="AB7" i="188"/>
  <c r="AB10" i="188" s="1"/>
  <c r="L7" i="188"/>
  <c r="AA7" i="188"/>
  <c r="AA10" i="188" s="1"/>
  <c r="S7" i="188"/>
  <c r="S10" i="188" s="1"/>
  <c r="K7" i="188"/>
  <c r="C7" i="188"/>
  <c r="C10" i="188" s="1"/>
  <c r="R7" i="188"/>
  <c r="R10" i="188" s="1"/>
  <c r="P10" i="188"/>
  <c r="AF7" i="188"/>
  <c r="AF10" i="188" s="1"/>
  <c r="X7" i="188"/>
  <c r="X10" i="188" s="1"/>
  <c r="P7" i="188"/>
  <c r="H7" i="188"/>
  <c r="F10" i="188"/>
  <c r="V7" i="188"/>
  <c r="V10" i="188" s="1"/>
  <c r="N7" i="188"/>
  <c r="N10" i="188" s="1"/>
  <c r="F7" i="188"/>
  <c r="M7" i="188"/>
  <c r="Q10" i="188"/>
  <c r="Z7" i="188"/>
  <c r="Z10" i="188" s="1"/>
  <c r="J7" i="188"/>
  <c r="H10" i="188"/>
  <c r="AE7" i="188"/>
  <c r="AE10" i="188" s="1"/>
  <c r="W7" i="188"/>
  <c r="O7" i="188"/>
  <c r="AC10" i="188"/>
  <c r="U10" i="188"/>
  <c r="C1" i="141"/>
  <c r="J10" i="188" l="1"/>
  <c r="L10" i="188"/>
  <c r="C2" i="14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<sst xmlns="http://schemas.openxmlformats.org/spreadsheetml/2006/main" count="2874" uniqueCount="761">
  <si>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</si>
  <si>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</si>
  <si>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</si>
  <si>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</si>
  <si>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</si>
  <si>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</si>
  <si>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</si>
  <si>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</si>
  <si>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</si>
  <si>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</si>
  <si>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</si>
  <si>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</si>
  <si>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</si>
  <si>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</si>
  <si>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</si>
  <si>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</si>
  <si>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</si>
  <si>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</si>
  <si>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</si>
  <si>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</si>
  <si>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</si>
  <si>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</si>
  <si>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</si>
  <si>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</si>
  <si>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</si>
  <si>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</si>
  <si>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</si>
  <si>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</si>
  <si>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</si>
  <si>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</si>
  <si>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</si>
  <si>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</si>
  <si>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</si>
  <si>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</si>
  <si>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</si>
  <si>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</si>
  <si>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</si>
  <si>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</si>
  <si>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</si>
  <si>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</si>
  <si>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</si>
  <si>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</si>
  <si>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</si>
  <si>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</si>
  <si>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</si>
  <si>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</si>
  <si>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</si>
  <si>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</si>
  <si>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</si>
  <si>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</si>
  <si>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</si>
  <si>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</si>
  <si>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</si>
  <si>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</si>
  <si>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</si>
  <si>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</si>
  <si>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</si>
  <si>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</si>
  <si>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</si>
  <si>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</si>
  <si>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</si>
  <si>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</si>
  <si>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</si>
  <si>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</si>
  <si>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</si>
  <si>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</si>
  <si>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</si>
  <si>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</si>
  <si>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</si>
  <si>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</si>
  <si>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</si>
  <si>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</si>
  <si>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</si>
  <si>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</si>
  <si>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</si>
  <si>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</si>
  <si>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</si>
  <si>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</si>
  <si>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</si>
  <si>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</si>
  <si>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</si>
  <si>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</si>
  <si>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</si>
  <si>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</si>
  <si>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</si>
  <si>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</si>
  <si>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</si>
  <si>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</si>
  <si>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</si>
  <si>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</si>
  <si>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</si>
  <si>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</si>
  <si>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</si>
  <si>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</si>
  <si>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</si>
  <si>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</si>
  <si>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</si>
  <si>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</si>
  <si>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</si>
  <si>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</si>
  <si>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</si>
  <si>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</si>
  <si>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</si>
  <si>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</si>
  <si>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</si>
  <si>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</si>
  <si>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</si>
  <si>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</si>
  <si>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</si>
  <si>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</si>
  <si>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</si>
  <si>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</si>
  <si>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</si>
  <si>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</si>
  <si>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</si>
  <si>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</si>
  <si>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</si>
  <si>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</si>
  <si>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</si>
  <si>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</si>
  <si>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</si>
  <si>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</si>
  <si>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</si>
  <si>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</si>
  <si>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</si>
  <si>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</si>
  <si>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</si>
  <si>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</si>
  <si>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</si>
  <si>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</si>
  <si>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</si>
  <si>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</si>
  <si>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</si>
  <si>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</si>
  <si>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</si>
  <si>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</si>
  <si>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</si>
  <si>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</si>
  <si>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</si>
  <si>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</si>
  <si>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</si>
  <si>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</si>
  <si>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</si>
  <si>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</si>
  <si>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</si>
  <si>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</si>
  <si>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</si>
  <si>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</si>
  <si>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</si>
  <si>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</si>
  <si>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</si>
  <si>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</si>
  <si>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</si>
  <si>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</si>
  <si>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</si>
  <si>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</si>
  <si>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</si>
  <si>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</si>
  <si>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</si>
  <si>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</si>
  <si>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</si>
  <si>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</si>
  <si>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</si>
  <si>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</si>
  <si>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</si>
  <si>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</si>
  <si>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</si>
  <si>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</si>
  <si>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</si>
  <si>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</si>
  <si>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</si>
  <si>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</si>
  <si>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</si>
  <si>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</si>
  <si>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</si>
  <si>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</si>
  <si>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</si>
  <si>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</si>
  <si>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</si>
  <si>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</si>
  <si>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</si>
  <si>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</si>
  <si>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</si>
  <si>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</si>
  <si>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</si>
  <si>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</si>
  <si>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</si>
  <si>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</si>
  <si>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</si>
  <si>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</si>
  <si>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</si>
  <si>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</si>
  <si>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</si>
  <si>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</si>
  <si>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</si>
  <si>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</si>
  <si>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</si>
  <si>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</si>
  <si>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</si>
  <si>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</si>
  <si>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</si>
  <si>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</si>
  <si>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</si>
  <si>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</si>
  <si>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</si>
  <si>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</si>
  <si>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</si>
  <si>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</si>
  <si>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</si>
  <si>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</si>
  <si>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</si>
  <si>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</si>
  <si>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</si>
  <si>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</si>
  <si>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</si>
  <si>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</si>
  <si>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</si>
  <si>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</si>
  <si>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</si>
  <si>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</si>
  <si>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</si>
  <si>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</si>
  <si>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</si>
  <si>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</si>
  <si>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</si>
  <si>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</si>
  <si>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</si>
  <si>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</si>
  <si>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</si>
  <si>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</si>
  <si>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</si>
  <si>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</si>
  <si>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</si>
  <si>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</si>
  <si>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</si>
  <si>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</si>
  <si>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</si>
  <si>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</si>
  <si>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</si>
  <si>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</si>
  <si>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</si>
  <si>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</si>
  <si>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</si>
  <si>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</si>
  <si>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</si>
  <si>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</si>
  <si>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</si>
  <si>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</si>
  <si>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</si>
  <si>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</si>
  <si>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</si>
  <si>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</si>
  <si>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</si>
  <si>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</si>
  <si>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</si>
  <si>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</si>
  <si>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</si>
  <si>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</si>
  <si>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</si>
  <si>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</si>
  <si>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</si>
  <si>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</si>
  <si>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</si>
  <si>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</si>
  <si>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</si>
  <si>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</si>
  <si>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</si>
  <si>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</si>
  <si>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</si>
  <si>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</si>
  <si>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</si>
  <si>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</si>
  <si>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</si>
  <si>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</si>
  <si>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</si>
  <si>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</si>
  <si>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</si>
  <si>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</si>
  <si>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</si>
  <si>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</si>
  <si>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</si>
  <si>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</si>
  <si>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</si>
  <si>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</si>
  <si>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</si>
  <si>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</si>
  <si>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</si>
  <si>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</si>
  <si>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</si>
  <si>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</si>
  <si>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</si>
  <si>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</si>
  <si>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</si>
  <si>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</si>
  <si>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</si>
  <si>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</si>
  <si>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</si>
  <si>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</si>
  <si>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</si>
  <si>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</si>
  <si>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</si>
  <si>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</si>
  <si>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</si>
  <si>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</si>
  <si>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</si>
  <si>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</si>
  <si>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</si>
  <si>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</si>
  <si>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</si>
  <si>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</si>
  <si>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</si>
  <si>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</si>
  <si>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</si>
  <si>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</si>
  <si>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</si>
  <si>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</si>
  <si>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</si>
  <si>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</si>
  <si>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</si>
  <si>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</si>
  <si>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</si>
  <si>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</si>
  <si>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</si>
  <si>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</si>
  <si>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</si>
  <si>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</si>
  <si>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</si>
  <si>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</si>
  <si>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</si>
  <si>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</si>
  <si>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</si>
  <si>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</si>
  <si>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</si>
  <si>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</si>
  <si>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</si>
  <si>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</si>
  <si>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</si>
  <si>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</si>
  <si>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</si>
  <si>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</si>
  <si>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</si>
  <si>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</si>
  <si>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</si>
  <si>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</si>
  <si>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</si>
  <si>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</si>
  <si>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</si>
  <si>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</si>
  <si>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</si>
  <si>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</si>
  <si>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</si>
  <si>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</si>
  <si>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</si>
  <si>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</si>
  <si>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</si>
  <si>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</si>
  <si>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</si>
  <si>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</si>
  <si>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</si>
  <si>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</si>
  <si>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</si>
  <si>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</si>
  <si>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</si>
  <si>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</si>
  <si>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</si>
  <si>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</si>
  <si>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</si>
  <si>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</si>
  <si>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</si>
  <si>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</si>
  <si>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</si>
  <si>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</si>
  <si>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</si>
  <si>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</si>
  <si>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</si>
  <si>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</si>
  <si>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</si>
  <si>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</si>
  <si>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</si>
  <si>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</si>
  <si>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</si>
  <si>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</si>
  <si>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</si>
  <si>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</si>
  <si>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</si>
  <si>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</si>
  <si>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</si>
  <si>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</si>
  <si>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</si>
  <si>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</si>
  <si>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</si>
  <si>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</si>
  <si>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</si>
  <si>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</si>
  <si>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</si>
  <si>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</si>
  <si>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</si>
  <si>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</si>
  <si>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</si>
  <si>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</si>
  <si>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</si>
  <si>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</si>
  <si>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</si>
  <si>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</si>
  <si>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</si>
  <si>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</si>
  <si>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</si>
  <si>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</si>
  <si>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</si>
  <si>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</si>
  <si>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</si>
  <si>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</si>
  <si>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</si>
  <si>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</si>
  <si>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</si>
  <si>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</si>
  <si>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</si>
  <si>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</si>
  <si>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</si>
  <si>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</si>
  <si>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</si>
  <si>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</si>
  <si>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</si>
  <si>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</si>
  <si>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</si>
  <si>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</si>
  <si>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</si>
  <si>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</si>
  <si>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</si>
  <si>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</si>
  <si>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</si>
  <si>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</si>
  <si>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</si>
  <si>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</si>
  <si>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</si>
  <si>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</si>
  <si>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</si>
  <si>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</si>
  <si>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</si>
  <si>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</si>
  <si>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</si>
  <si>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</si>
  <si>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</si>
  <si>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</si>
  <si>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</si>
  <si>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</si>
  <si>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</si>
  <si>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</si>
  <si>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</si>
  <si>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</si>
  <si>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</si>
  <si>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</si>
  <si>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</si>
  <si>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</si>
  <si>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</si>
  <si>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</si>
  <si>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</si>
  <si>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</si>
  <si>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</si>
  <si>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</si>
  <si>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</si>
  <si>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</si>
  <si>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</si>
  <si>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</si>
  <si>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</si>
  <si>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</si>
  <si>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</si>
  <si>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</si>
  <si>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</si>
  <si>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</si>
  <si>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</si>
  <si>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</si>
  <si>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</si>
  <si>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</si>
  <si>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</si>
  <si>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</si>
  <si>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</si>
  <si>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</si>
  <si>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</si>
  <si>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</si>
  <si>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</si>
  <si>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</si>
  <si>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</si>
  <si>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</si>
  <si>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</si>
  <si>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</si>
  <si>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</si>
  <si>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</si>
  <si>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</si>
  <si>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</si>
  <si>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</si>
  <si>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</si>
  <si>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</si>
  <si>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</si>
  <si>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</si>
  <si>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</si>
  <si>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</si>
  <si>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</si>
  <si>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</si>
  <si>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</si>
  <si>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</si>
  <si>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</si>
  <si>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</si>
  <si>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</si>
  <si>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</si>
  <si>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</si>
  <si>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</si>
  <si>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</si>
  <si>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</si>
  <si>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</si>
  <si>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</si>
  <si>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</si>
  <si>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</si>
  <si>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</si>
  <si>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</si>
  <si>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</si>
  <si>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</si>
  <si>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</si>
  <si>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</si>
  <si>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</si>
  <si>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</si>
  <si>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</si>
  <si>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</si>
  <si>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</si>
  <si>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</si>
  <si>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</si>
  <si>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</si>
  <si>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</si>
  <si>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</si>
  <si>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</si>
  <si>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</si>
  <si>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</si>
  <si>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</si>
  <si>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</si>
  <si>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</si>
  <si>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</si>
  <si>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</si>
  <si>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</si>
  <si>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</si>
  <si>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</si>
  <si>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</si>
  <si>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</si>
  <si>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</si>
  <si>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</si>
  <si>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</si>
  <si>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</si>
  <si>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</si>
  <si>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</si>
  <si>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</si>
  <si>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</si>
  <si>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</si>
  <si>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</si>
  <si>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</si>
  <si>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</si>
  <si>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</si>
  <si>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</si>
  <si>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</si>
  <si>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</si>
  <si>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</si>
  <si>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</si>
  <si>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</si>
  <si>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</si>
  <si>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</si>
  <si>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</si>
  <si>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</si>
  <si>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</si>
  <si>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</si>
  <si>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</si>
  <si>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</si>
  <si>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</si>
  <si>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</si>
  <si>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</si>
  <si>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</si>
  <si>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</si>
  <si>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</si>
  <si>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</si>
  <si>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</si>
  <si>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</si>
  <si>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</si>
  <si>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</si>
  <si>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</si>
  <si>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</si>
  <si>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</si>
  <si>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</si>
  <si>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</si>
  <si>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</si>
  <si>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</si>
  <si>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</si>
  <si>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</si>
  <si>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</si>
  <si>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</si>
  <si>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</si>
  <si>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</si>
  <si>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</si>
  <si>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</si>
  <si>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</si>
  <si>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</si>
  <si>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</si>
  <si>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</si>
  <si>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</si>
  <si>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</si>
  <si>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</si>
  <si>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</si>
  <si>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</si>
  <si>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</si>
  <si>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</si>
  <si>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</si>
  <si>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</si>
  <si>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</si>
  <si>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</si>
  <si>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</si>
  <si>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</si>
  <si>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</si>
  <si>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</si>
  <si>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</si>
  <si>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</si>
  <si>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</si>
  <si>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</si>
  <si>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</si>
  <si>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</si>
  <si>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</si>
  <si>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</si>
  <si>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</si>
  <si>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</si>
  <si>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</si>
  <si>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</si>
  <si>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</si>
  <si>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</si>
  <si>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</si>
  <si>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</si>
  <si>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</si>
  <si>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</si>
  <si>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</si>
  <si>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</si>
  <si>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</si>
  <si>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</si>
  <si>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</si>
  <si>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</si>
  <si>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</si>
  <si>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</si>
  <si>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</si>
  <si>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</si>
  <si>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</si>
  <si>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</si>
  <si>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</si>
  <si>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</si>
  <si>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</si>
  <si>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</si>
  <si>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</si>
  <si>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</si>
  <si>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</si>
  <si>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</si>
  <si>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</si>
  <si>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</si>
  <si>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</si>
  <si>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</si>
  <si>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</si>
  <si>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</si>
  <si>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</si>
  <si>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</si>
  <si>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</si>
  <si>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</si>
  <si>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</si>
  <si>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-4.09%</t>
  </si>
  <si>
    <t>0.40%</t>
  </si>
  <si>
    <t>-0.09%</t>
  </si>
  <si>
    <t>-16.07%</t>
  </si>
  <si>
    <t>42</t>
  </si>
  <si>
    <t>4.87%</t>
  </si>
  <si>
    <t>2.32%</t>
  </si>
  <si>
    <t>0.89%</t>
  </si>
  <si>
    <t>2.57%</t>
  </si>
  <si>
    <t>0.33%</t>
  </si>
  <si>
    <t>3.76%</t>
  </si>
  <si>
    <t>2.69%</t>
  </si>
  <si>
    <t>0.59%</t>
  </si>
  <si>
    <t>5.31%</t>
  </si>
  <si>
    <t>43</t>
  </si>
  <si>
    <t>15.21%</t>
  </si>
  <si>
    <t>44</t>
  </si>
  <si>
    <t>0.82%</t>
  </si>
  <si>
    <t>3.88%</t>
  </si>
  <si>
    <t>8.82%</t>
  </si>
  <si>
    <t>15.63%</t>
  </si>
  <si>
    <t>4.76%</t>
  </si>
  <si>
    <t>2.78%</t>
  </si>
  <si>
    <t>71.27%</t>
  </si>
  <si>
    <t>36.92%</t>
  </si>
  <si>
    <t>1.80%</t>
  </si>
  <si>
    <t>43.79%</t>
  </si>
  <si>
    <t>70.26%</t>
  </si>
  <si>
    <t>3.45%</t>
  </si>
  <si>
    <t>73.19%</t>
  </si>
  <si>
    <t>2.97%</t>
  </si>
  <si>
    <t>73.14%</t>
  </si>
  <si>
    <t>3.06%</t>
  </si>
  <si>
    <t>75.38%</t>
  </si>
  <si>
    <t>4.33%</t>
  </si>
  <si>
    <t>76.16%</t>
  </si>
  <si>
    <t>4.94%</t>
  </si>
  <si>
    <t>0.04%</t>
  </si>
  <si>
    <t>76.67%</t>
  </si>
  <si>
    <t>4.15%</t>
  </si>
  <si>
    <t>77.00%</t>
  </si>
  <si>
    <t>79.37%</t>
  </si>
  <si>
    <t>80.73%</t>
  </si>
  <si>
    <t>0.49%</t>
  </si>
  <si>
    <t>83.56%</t>
  </si>
  <si>
    <t>3.00%</t>
  </si>
  <si>
    <t>85.39%</t>
  </si>
  <si>
    <t>4.28%</t>
  </si>
  <si>
    <t>0.66%</t>
  </si>
  <si>
    <t>4.78%</t>
  </si>
  <si>
    <t>3.65%</t>
  </si>
  <si>
    <t>85.85%</t>
  </si>
  <si>
    <t>5.60%</t>
  </si>
  <si>
    <t>1.03%</t>
  </si>
  <si>
    <t>0.27%</t>
  </si>
  <si>
    <t>28.88%</t>
  </si>
  <si>
    <t>45</t>
  </si>
  <si>
    <t>91.05%</t>
  </si>
  <si>
    <t>4.11%</t>
  </si>
  <si>
    <t>6.50%</t>
  </si>
  <si>
    <t>3.75%</t>
  </si>
  <si>
    <t>21.52%</t>
  </si>
  <si>
    <t>72.92%</t>
  </si>
  <si>
    <t>5.98%</t>
  </si>
  <si>
    <t>27.41%</t>
  </si>
  <si>
    <t>1.50%</t>
  </si>
  <si>
    <t>75.21%</t>
  </si>
  <si>
    <t>76.09%</t>
  </si>
  <si>
    <t>5.09%</t>
  </si>
  <si>
    <t>74.87%</t>
  </si>
  <si>
    <t>4.10%</t>
  </si>
  <si>
    <t>-0.23%</t>
  </si>
  <si>
    <t>74.86%</t>
  </si>
  <si>
    <t>76.83%</t>
  </si>
  <si>
    <t>6.34%</t>
  </si>
  <si>
    <t>79.94%</t>
  </si>
  <si>
    <t>6.12%</t>
  </si>
  <si>
    <t>79.17%</t>
  </si>
  <si>
    <t>0.53%</t>
  </si>
  <si>
    <t>82.53%</t>
  </si>
  <si>
    <t>83.51%</t>
  </si>
  <si>
    <t>2.67%</t>
  </si>
  <si>
    <t>85.34%</t>
  </si>
  <si>
    <t>3.09%</t>
  </si>
  <si>
    <t>2.64%</t>
  </si>
  <si>
    <t>85.11%</t>
  </si>
  <si>
    <t>89.95%</t>
  </si>
  <si>
    <t>3.04%</t>
  </si>
  <si>
    <t>2.73%</t>
  </si>
  <si>
    <t>91.01%</t>
  </si>
  <si>
    <t>上期日期</t>
    <phoneticPr fontId="9" type="noConversion"/>
  </si>
  <si>
    <t>本期日期</t>
    <phoneticPr fontId="9" type="noConversion"/>
  </si>
  <si>
    <t>上期实绩</t>
  </si>
  <si>
    <t>本期实绩</t>
  </si>
  <si>
    <t>上期累计实绩</t>
  </si>
  <si>
    <t>本期累计实绩</t>
  </si>
  <si>
    <t>环比</t>
    <phoneticPr fontId="9" type="noConversion"/>
  </si>
  <si>
    <t>累计环比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</si>
</sst>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  <numFmt numFmtId="183" formatCode="m/d;@"/>
    <numFmt numFmtId="185" formatCode="0.0%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50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0" fillId="0" borderId="12" xfId="0" applyBorder="1"/>
    <xf numFmtId="0" fontId="0" fillId="0" borderId="13" xfId="0" applyBorder="1"/>
    <xf numFmtId="0" fontId="3" fillId="0" borderId="8" xfId="0" applyFont="1" applyBorder="1" applyAlignment="1">
      <alignment horizontal="center" vertical="center" wrapText="1"/>
    </xf>
    <xf numFmtId="0" fontId="0" fillId="0" borderId="14" xfId="0" applyBorder="1"/>
    <xf numFmtId="183" fontId="0" fillId="0" borderId="0" xfId="0" applyNumberFormat="1"/>
    <xf numFmtId="185" fontId="0" fillId="0" borderId="0" xfId="1" applyNumberFormat="1" applyFont="1" applyAlignment="1"/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24945</c:v>
                </c:pt>
                <c:pt idx="1">
                  <c:v>24314</c:v>
                </c:pt>
                <c:pt idx="2">
                  <c:v>23682</c:v>
                </c:pt>
                <c:pt idx="3">
                  <c:v>24712</c:v>
                </c:pt>
                <c:pt idx="4">
                  <c:v>24639</c:v>
                </c:pt>
                <c:pt idx="5">
                  <c:v>23985</c:v>
                </c:pt>
                <c:pt idx="6">
                  <c:v>25177</c:v>
                </c:pt>
                <c:pt idx="7">
                  <c:v>24337</c:v>
                </c:pt>
                <c:pt idx="8">
                  <c:v>23208</c:v>
                </c:pt>
                <c:pt idx="9">
                  <c:v>23195</c:v>
                </c:pt>
                <c:pt idx="10">
                  <c:v>22801</c:v>
                </c:pt>
                <c:pt idx="11">
                  <c:v>23810</c:v>
                </c:pt>
                <c:pt idx="12">
                  <c:v>24687</c:v>
                </c:pt>
                <c:pt idx="13">
                  <c:v>26247</c:v>
                </c:pt>
                <c:pt idx="14">
                  <c:v>26920</c:v>
                </c:pt>
                <c:pt idx="15">
                  <c:v>26782</c:v>
                </c:pt>
                <c:pt idx="16">
                  <c:v>24433</c:v>
                </c:pt>
                <c:pt idx="17">
                  <c:v>24047</c:v>
                </c:pt>
                <c:pt idx="18">
                  <c:v>23890</c:v>
                </c:pt>
                <c:pt idx="19">
                  <c:v>25074</c:v>
                </c:pt>
                <c:pt idx="20">
                  <c:v>25349</c:v>
                </c:pt>
                <c:pt idx="21">
                  <c:v>29604</c:v>
                </c:pt>
                <c:pt idx="22">
                  <c:v>25541</c:v>
                </c:pt>
                <c:pt idx="23">
                  <c:v>23669</c:v>
                </c:pt>
                <c:pt idx="24">
                  <c:v>23371</c:v>
                </c:pt>
                <c:pt idx="25">
                  <c:v>25375</c:v>
                </c:pt>
                <c:pt idx="26">
                  <c:v>24069</c:v>
                </c:pt>
                <c:pt idx="27">
                  <c:v>25873</c:v>
                </c:pt>
                <c:pt idx="28">
                  <c:v>26969</c:v>
                </c:pt>
                <c:pt idx="29">
                  <c:v>25562</c:v>
                </c:pt>
                <c:pt idx="30">
                  <c:v>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5-4F2C-B765-F67D0F471246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20734</c:v>
                </c:pt>
                <c:pt idx="1">
                  <c:v>21691</c:v>
                </c:pt>
                <c:pt idx="2">
                  <c:v>22676</c:v>
                </c:pt>
                <c:pt idx="3">
                  <c:v>24321</c:v>
                </c:pt>
                <c:pt idx="4">
                  <c:v>26630</c:v>
                </c:pt>
                <c:pt idx="5">
                  <c:v>25826</c:v>
                </c:pt>
                <c:pt idx="6">
                  <c:v>26056</c:v>
                </c:pt>
                <c:pt idx="7">
                  <c:v>30812</c:v>
                </c:pt>
                <c:pt idx="8">
                  <c:v>29168</c:v>
                </c:pt>
                <c:pt idx="9">
                  <c:v>26939</c:v>
                </c:pt>
                <c:pt idx="10">
                  <c:v>31769</c:v>
                </c:pt>
                <c:pt idx="11">
                  <c:v>34649</c:v>
                </c:pt>
                <c:pt idx="12">
                  <c:v>31978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24945</c:v>
                </c:pt>
                <c:pt idx="1">
                  <c:v>49259</c:v>
                </c:pt>
                <c:pt idx="2">
                  <c:v>72941</c:v>
                </c:pt>
                <c:pt idx="3">
                  <c:v>97653</c:v>
                </c:pt>
                <c:pt idx="4">
                  <c:v>122292</c:v>
                </c:pt>
                <c:pt idx="5">
                  <c:v>146277</c:v>
                </c:pt>
                <c:pt idx="6">
                  <c:v>171454</c:v>
                </c:pt>
                <c:pt idx="7">
                  <c:v>195791</c:v>
                </c:pt>
                <c:pt idx="8">
                  <c:v>218999</c:v>
                </c:pt>
                <c:pt idx="9">
                  <c:v>242194</c:v>
                </c:pt>
                <c:pt idx="10">
                  <c:v>264995</c:v>
                </c:pt>
                <c:pt idx="11">
                  <c:v>288805</c:v>
                </c:pt>
                <c:pt idx="12">
                  <c:v>313492</c:v>
                </c:pt>
                <c:pt idx="13">
                  <c:v>339739</c:v>
                </c:pt>
                <c:pt idx="14">
                  <c:v>366659</c:v>
                </c:pt>
                <c:pt idx="15">
                  <c:v>393441</c:v>
                </c:pt>
                <c:pt idx="16">
                  <c:v>417874</c:v>
                </c:pt>
                <c:pt idx="17">
                  <c:v>441921</c:v>
                </c:pt>
                <c:pt idx="18">
                  <c:v>465811</c:v>
                </c:pt>
                <c:pt idx="19">
                  <c:v>490885</c:v>
                </c:pt>
                <c:pt idx="20">
                  <c:v>516234</c:v>
                </c:pt>
                <c:pt idx="21">
                  <c:v>545838</c:v>
                </c:pt>
                <c:pt idx="22">
                  <c:v>571379</c:v>
                </c:pt>
                <c:pt idx="23">
                  <c:v>595048</c:v>
                </c:pt>
                <c:pt idx="24">
                  <c:v>618419</c:v>
                </c:pt>
                <c:pt idx="25">
                  <c:v>643794</c:v>
                </c:pt>
                <c:pt idx="26">
                  <c:v>667863</c:v>
                </c:pt>
                <c:pt idx="27">
                  <c:v>693736</c:v>
                </c:pt>
                <c:pt idx="28">
                  <c:v>720705</c:v>
                </c:pt>
                <c:pt idx="29">
                  <c:v>746267</c:v>
                </c:pt>
                <c:pt idx="30">
                  <c:v>770801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A5-4F2C-B765-F67D0F471246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20734</c:v>
                </c:pt>
                <c:pt idx="1">
                  <c:v>42425</c:v>
                </c:pt>
                <c:pt idx="2">
                  <c:v>65101</c:v>
                </c:pt>
                <c:pt idx="3">
                  <c:v>89422</c:v>
                </c:pt>
                <c:pt idx="4">
                  <c:v>116052</c:v>
                </c:pt>
                <c:pt idx="5">
                  <c:v>141878</c:v>
                </c:pt>
                <c:pt idx="6">
                  <c:v>167934</c:v>
                </c:pt>
                <c:pt idx="7">
                  <c:v>198746</c:v>
                </c:pt>
                <c:pt idx="8">
                  <c:v>227914</c:v>
                </c:pt>
                <c:pt idx="9">
                  <c:v>254853</c:v>
                </c:pt>
                <c:pt idx="10">
                  <c:v>286622</c:v>
                </c:pt>
                <c:pt idx="11">
                  <c:v>321271</c:v>
                </c:pt>
                <c:pt idx="12">
                  <c:v>353249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BD368C1-36AC-BE9A-6A85-D20A78FC2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7C698D37-374B-4C83-AEBF-C068A2DE544E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8CA1B6B9-A25D-45DE-B7D0-C34190226A56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46126</v>
      </c>
    </row>
    <row r="2" spans="2:9">
      <c r="B2" s="1" t="s">
        <v>17</v>
      </c>
      <c r="C2" s="8">
        <f ca="1">C1-1</f>
        <v>46125</v>
      </c>
      <c r="E2" s="1" t="s">
        <v>18</v>
      </c>
      <c r="F2" s="2">
        <f ca="1">EDATE(C2,-1)</f>
        <v>46094</v>
      </c>
      <c r="H2" s="1" t="s">
        <v>19</v>
      </c>
      <c r="I2" s="2">
        <f ca="1">EDATE(C2,-12)</f>
        <v>45760</v>
      </c>
    </row>
    <row r="3" spans="2:9">
      <c r="B3" s="3" t="s">
        <v>20</v>
      </c>
      <c r="C3" s="4">
        <f ca="1">DAY(C2)/DAY(EOMONTH(C2,0))</f>
        <v>0.43333333333333335</v>
      </c>
      <c r="E3" s="3" t="s">
        <v>20</v>
      </c>
      <c r="F3" s="4">
        <f ca="1">DAY(F2)/DAY(EOMONTH(F2,0))</f>
        <v>0.41935483870967744</v>
      </c>
      <c r="H3" s="3" t="s">
        <v>20</v>
      </c>
      <c r="I3" s="4">
        <f ca="1">DAY(I2)/DAY(EOMONTH(I2,0))</f>
        <v>0.43333333333333335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13</v>
      </c>
      <c r="E6" s="6" t="s">
        <v>21</v>
      </c>
      <c r="F6" s="7">
        <f ca="1">DAY(F2)</f>
        <v>13</v>
      </c>
      <c r="H6" s="6" t="s">
        <v>21</v>
      </c>
      <c r="I6" s="7">
        <f ca="1">DAY(I2)</f>
        <v>13</v>
      </c>
    </row>
    <row r="7" spans="2:9" ht="15" thickBot="1">
      <c r="B7" s="41" t="s">
        <v>448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69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632</v>
      </c>
      <c r="C2" s="24" t="s">
        <v>633</v>
      </c>
      <c r="D2" s="24" t="s">
        <v>634</v>
      </c>
      <c r="E2" s="24" t="s">
        <v>635</v>
      </c>
      <c r="F2" s="24" t="s">
        <v>636</v>
      </c>
      <c r="G2" s="24" t="s">
        <v>637</v>
      </c>
      <c r="H2" s="24" t="s">
        <v>638</v>
      </c>
      <c r="I2" s="24" t="s">
        <v>639</v>
      </c>
      <c r="J2" s="24" t="s">
        <v>640</v>
      </c>
      <c r="K2" s="24" t="s">
        <v>641</v>
      </c>
      <c r="L2" s="24" t="s">
        <v>642</v>
      </c>
      <c r="M2" s="24" t="s">
        <v>643</v>
      </c>
      <c r="N2" s="25" t="s">
        <v>1</v>
      </c>
      <c r="O2" s="24" t="s">
        <v>644</v>
      </c>
      <c r="P2" s="24" t="s">
        <v>645</v>
      </c>
      <c r="Q2" s="24" t="s">
        <v>646</v>
      </c>
      <c r="R2" s="24" t="s">
        <v>647</v>
      </c>
      <c r="S2" s="24" t="s">
        <v>648</v>
      </c>
      <c r="T2" s="24" t="s">
        <v>649</v>
      </c>
      <c r="U2" s="24" t="s">
        <v>650</v>
      </c>
      <c r="V2" s="24" t="s">
        <v>651</v>
      </c>
      <c r="W2" s="24" t="s">
        <v>652</v>
      </c>
      <c r="X2" s="24" t="s">
        <v>653</v>
      </c>
    </row>
    <row r="3" spans="1:24">
      <c r="A3" s="19">
        <v>46082</v>
      </c>
      <c r="B3" s="18" t="s">
        <v>285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285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285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285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285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285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285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285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285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285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285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285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285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285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285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285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285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285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285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285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285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285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285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285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285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285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285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285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285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285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285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285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285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285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285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285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285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285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285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285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285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285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285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285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285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285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285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285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285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285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285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285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285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285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285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285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285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285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285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285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285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285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285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285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285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285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285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285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285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285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285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285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285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285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285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285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285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285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285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285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285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285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285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285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285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285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285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285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285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285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285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285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285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285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285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285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285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285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285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285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285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285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285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285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285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285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285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285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285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285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285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285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285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285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285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285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285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285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285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285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285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285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285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285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285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285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285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285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285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285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285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285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285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285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285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285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285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285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285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285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285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285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285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285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285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285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285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285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285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285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285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285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285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285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285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285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285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285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285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285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285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285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285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285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285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285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285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285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285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285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285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285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285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285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285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285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285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285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285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285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285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285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285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285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285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285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285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285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285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285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285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285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285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285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285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285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285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285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285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285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285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285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285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285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285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285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285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285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285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285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285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285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285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285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285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285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285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285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285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285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285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285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285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285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285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285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285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285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285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285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285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285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285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285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285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285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285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285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285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285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285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285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285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285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285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285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285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285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285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285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285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285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285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285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285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285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285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285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285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285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285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285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285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285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285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285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285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285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285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285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285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285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285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285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285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285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285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285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285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285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285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285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285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285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285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285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285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285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285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285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285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285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285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285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285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285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285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285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285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285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285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285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285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285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285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285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2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2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2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2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2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2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2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2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2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2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2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2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2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2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2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2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2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2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2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2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2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2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2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2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2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2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2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2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2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2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2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2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2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2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2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2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2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2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2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2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2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2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2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2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2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2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2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2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2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2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2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2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2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2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2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2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2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2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2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2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2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2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2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2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2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2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2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2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2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2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2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2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2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2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2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2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2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2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2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2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2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2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2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2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2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2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2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2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2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2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2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2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2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2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2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2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2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2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2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2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2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2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2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2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2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2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2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2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2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2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2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2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2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2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2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2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2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2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2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2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2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2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2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2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2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2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2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2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2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2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2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2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2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2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2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2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2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2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2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2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2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2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2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2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2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2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2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2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2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2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2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2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2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2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2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2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2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2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2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2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2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2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2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2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2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2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2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2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2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2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2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2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2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2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2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2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2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2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2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2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2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2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2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2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2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2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2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2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2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2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2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2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2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2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2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2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2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2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2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2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2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2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2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2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2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2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2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2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2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2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2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2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2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2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2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2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2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2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2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2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2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2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2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2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2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2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2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2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2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2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2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2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2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2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2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2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2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2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2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2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2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2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2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2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2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2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2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2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2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2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2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2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2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2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2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2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2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2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2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2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2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2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2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2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2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2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2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2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2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2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2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2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2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2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2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2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2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2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2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2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2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2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2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2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2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2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2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2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2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2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2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2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2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2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2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2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2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2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2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2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2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2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2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2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287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312</v>
      </c>
      <c r="D646" s="16">
        <v>312</v>
      </c>
      <c r="E646" s="16">
        <v>284</v>
      </c>
      <c r="F646" s="16">
        <v>482</v>
      </c>
      <c r="G646" s="16">
        <v>312</v>
      </c>
      <c r="H646" s="16">
        <v>369</v>
      </c>
      <c r="I646" s="16">
        <v>255</v>
      </c>
      <c r="J646" s="16">
        <v>85</v>
      </c>
      <c r="K646" s="16">
        <v>312</v>
      </c>
      <c r="L646" s="16">
        <v>113</v>
      </c>
      <c r="M646" s="16">
        <v>665</v>
      </c>
      <c r="N646" s="17">
        <v>3501</v>
      </c>
      <c r="O646" s="16">
        <v>108</v>
      </c>
      <c r="P646" s="16">
        <v>0</v>
      </c>
      <c r="Q646" s="16">
        <v>771</v>
      </c>
      <c r="R646" s="16">
        <v>510</v>
      </c>
      <c r="S646" s="16">
        <v>310</v>
      </c>
      <c r="T646" s="16">
        <v>310</v>
      </c>
      <c r="U646" s="16">
        <v>112</v>
      </c>
      <c r="V646" s="16">
        <v>334</v>
      </c>
      <c r="W646" s="16">
        <v>938</v>
      </c>
      <c r="X646" s="16">
        <v>108</v>
      </c>
    </row>
    <row r="647" spans="1:24">
      <c r="A647" s="19">
        <v>46114</v>
      </c>
      <c r="B647" s="18" t="s">
        <v>287</v>
      </c>
      <c r="C647" s="16">
        <v>313</v>
      </c>
      <c r="D647" s="16">
        <v>313</v>
      </c>
      <c r="E647" s="16">
        <v>285</v>
      </c>
      <c r="F647" s="16">
        <v>484</v>
      </c>
      <c r="G647" s="16">
        <v>313</v>
      </c>
      <c r="H647" s="16">
        <v>370</v>
      </c>
      <c r="I647" s="16">
        <v>256</v>
      </c>
      <c r="J647" s="16">
        <v>85</v>
      </c>
      <c r="K647" s="16">
        <v>313</v>
      </c>
      <c r="L647" s="16">
        <v>114</v>
      </c>
      <c r="M647" s="16">
        <v>668</v>
      </c>
      <c r="N647" s="17">
        <v>3514</v>
      </c>
      <c r="O647" s="16">
        <v>109</v>
      </c>
      <c r="P647" s="16">
        <v>0</v>
      </c>
      <c r="Q647" s="16">
        <v>771</v>
      </c>
      <c r="R647" s="16">
        <v>513</v>
      </c>
      <c r="S647" s="16">
        <v>314</v>
      </c>
      <c r="T647" s="16">
        <v>317</v>
      </c>
      <c r="U647" s="16">
        <v>112</v>
      </c>
      <c r="V647" s="16">
        <v>334</v>
      </c>
      <c r="W647" s="16">
        <v>936</v>
      </c>
      <c r="X647" s="16">
        <v>108</v>
      </c>
    </row>
    <row r="648" spans="1:24">
      <c r="A648" s="19">
        <v>46115</v>
      </c>
      <c r="B648" s="18" t="s">
        <v>287</v>
      </c>
      <c r="C648" s="16">
        <v>313</v>
      </c>
      <c r="D648" s="16">
        <v>313</v>
      </c>
      <c r="E648" s="16">
        <v>285</v>
      </c>
      <c r="F648" s="16">
        <v>484</v>
      </c>
      <c r="G648" s="16">
        <v>313</v>
      </c>
      <c r="H648" s="16">
        <v>370</v>
      </c>
      <c r="I648" s="16">
        <v>256</v>
      </c>
      <c r="J648" s="16">
        <v>85</v>
      </c>
      <c r="K648" s="16">
        <v>313</v>
      </c>
      <c r="L648" s="16">
        <v>114</v>
      </c>
      <c r="M648" s="16">
        <v>668</v>
      </c>
      <c r="N648" s="17">
        <v>3514</v>
      </c>
      <c r="O648" s="16">
        <v>109</v>
      </c>
      <c r="P648" s="16">
        <v>0</v>
      </c>
      <c r="Q648" s="16">
        <v>771</v>
      </c>
      <c r="R648" s="16">
        <v>513</v>
      </c>
      <c r="S648" s="16">
        <v>314</v>
      </c>
      <c r="T648" s="16">
        <v>317</v>
      </c>
      <c r="U648" s="16">
        <v>112</v>
      </c>
      <c r="V648" s="16">
        <v>334</v>
      </c>
      <c r="W648" s="16">
        <v>936</v>
      </c>
      <c r="X648" s="16">
        <v>108</v>
      </c>
    </row>
    <row r="649" spans="1:24">
      <c r="A649" s="19">
        <v>46116</v>
      </c>
      <c r="B649" s="18" t="s">
        <v>287</v>
      </c>
      <c r="C649" s="16">
        <v>349</v>
      </c>
      <c r="D649" s="16">
        <v>349</v>
      </c>
      <c r="E649" s="16">
        <v>317</v>
      </c>
      <c r="F649" s="16">
        <v>540</v>
      </c>
      <c r="G649" s="16">
        <v>349</v>
      </c>
      <c r="H649" s="16">
        <v>413</v>
      </c>
      <c r="I649" s="16">
        <v>286</v>
      </c>
      <c r="J649" s="16">
        <v>95</v>
      </c>
      <c r="K649" s="16">
        <v>349</v>
      </c>
      <c r="L649" s="16">
        <v>127</v>
      </c>
      <c r="M649" s="16">
        <v>745</v>
      </c>
      <c r="N649" s="17">
        <v>3919</v>
      </c>
      <c r="O649" s="16">
        <v>126</v>
      </c>
      <c r="P649" s="16">
        <v>0</v>
      </c>
      <c r="Q649" s="16">
        <v>887</v>
      </c>
      <c r="R649" s="16">
        <v>591</v>
      </c>
      <c r="S649" s="16">
        <v>361</v>
      </c>
      <c r="T649" s="16">
        <v>364</v>
      </c>
      <c r="U649" s="16">
        <v>130</v>
      </c>
      <c r="V649" s="16">
        <v>384</v>
      </c>
      <c r="W649" s="16">
        <v>1076</v>
      </c>
      <c r="X649" s="16">
        <v>0</v>
      </c>
    </row>
    <row r="650" spans="1:24">
      <c r="A650" s="19">
        <v>46117</v>
      </c>
      <c r="B650" s="18" t="s">
        <v>287</v>
      </c>
      <c r="C650" s="16">
        <v>349</v>
      </c>
      <c r="D650" s="16">
        <v>349</v>
      </c>
      <c r="E650" s="16">
        <v>317</v>
      </c>
      <c r="F650" s="16">
        <v>540</v>
      </c>
      <c r="G650" s="16">
        <v>349</v>
      </c>
      <c r="H650" s="16">
        <v>413</v>
      </c>
      <c r="I650" s="16">
        <v>286</v>
      </c>
      <c r="J650" s="16">
        <v>95</v>
      </c>
      <c r="K650" s="16">
        <v>349</v>
      </c>
      <c r="L650" s="16">
        <v>127</v>
      </c>
      <c r="M650" s="16">
        <v>745</v>
      </c>
      <c r="N650" s="17">
        <v>3919</v>
      </c>
      <c r="O650" s="16">
        <v>126</v>
      </c>
      <c r="P650" s="16">
        <v>0</v>
      </c>
      <c r="Q650" s="16">
        <v>887</v>
      </c>
      <c r="R650" s="16">
        <v>591</v>
      </c>
      <c r="S650" s="16">
        <v>361</v>
      </c>
      <c r="T650" s="16">
        <v>364</v>
      </c>
      <c r="U650" s="16">
        <v>130</v>
      </c>
      <c r="V650" s="16">
        <v>384</v>
      </c>
      <c r="W650" s="16">
        <v>1076</v>
      </c>
      <c r="X650" s="16">
        <v>0</v>
      </c>
    </row>
    <row r="651" spans="1:24">
      <c r="A651" s="19">
        <v>46118</v>
      </c>
      <c r="B651" s="18" t="s">
        <v>287</v>
      </c>
      <c r="C651" s="16">
        <v>349</v>
      </c>
      <c r="D651" s="16">
        <v>349</v>
      </c>
      <c r="E651" s="16">
        <v>317</v>
      </c>
      <c r="F651" s="16">
        <v>540</v>
      </c>
      <c r="G651" s="16">
        <v>349</v>
      </c>
      <c r="H651" s="16">
        <v>413</v>
      </c>
      <c r="I651" s="16">
        <v>286</v>
      </c>
      <c r="J651" s="16">
        <v>95</v>
      </c>
      <c r="K651" s="16">
        <v>349</v>
      </c>
      <c r="L651" s="16">
        <v>127</v>
      </c>
      <c r="M651" s="16">
        <v>745</v>
      </c>
      <c r="N651" s="17">
        <v>3919</v>
      </c>
      <c r="O651" s="16">
        <v>126</v>
      </c>
      <c r="P651" s="16">
        <v>0</v>
      </c>
      <c r="Q651" s="16">
        <v>887</v>
      </c>
      <c r="R651" s="16">
        <v>591</v>
      </c>
      <c r="S651" s="16">
        <v>361</v>
      </c>
      <c r="T651" s="16">
        <v>364</v>
      </c>
      <c r="U651" s="16">
        <v>130</v>
      </c>
      <c r="V651" s="16">
        <v>384</v>
      </c>
      <c r="W651" s="16">
        <v>1076</v>
      </c>
      <c r="X651" s="16">
        <v>0</v>
      </c>
    </row>
    <row r="652" spans="1:24">
      <c r="A652" s="19">
        <v>46119</v>
      </c>
      <c r="B652" s="18" t="s">
        <v>287</v>
      </c>
      <c r="C652" s="16">
        <v>313</v>
      </c>
      <c r="D652" s="16">
        <v>313</v>
      </c>
      <c r="E652" s="16">
        <v>285</v>
      </c>
      <c r="F652" s="16">
        <v>484</v>
      </c>
      <c r="G652" s="16">
        <v>313</v>
      </c>
      <c r="H652" s="16">
        <v>370</v>
      </c>
      <c r="I652" s="16">
        <v>256</v>
      </c>
      <c r="J652" s="16">
        <v>85</v>
      </c>
      <c r="K652" s="16">
        <v>313</v>
      </c>
      <c r="L652" s="16">
        <v>114</v>
      </c>
      <c r="M652" s="16">
        <v>668</v>
      </c>
      <c r="N652" s="17">
        <v>3514</v>
      </c>
      <c r="O652" s="16">
        <v>109</v>
      </c>
      <c r="P652" s="16">
        <v>0</v>
      </c>
      <c r="Q652" s="16">
        <v>771</v>
      </c>
      <c r="R652" s="16">
        <v>513</v>
      </c>
      <c r="S652" s="16">
        <v>314</v>
      </c>
      <c r="T652" s="16">
        <v>317</v>
      </c>
      <c r="U652" s="16">
        <v>112</v>
      </c>
      <c r="V652" s="16">
        <v>334</v>
      </c>
      <c r="W652" s="16">
        <v>936</v>
      </c>
      <c r="X652" s="16">
        <v>108</v>
      </c>
    </row>
    <row r="653" spans="1:24">
      <c r="A653" s="19">
        <v>46120</v>
      </c>
      <c r="B653" s="18" t="s">
        <v>287</v>
      </c>
      <c r="C653" s="16">
        <v>313</v>
      </c>
      <c r="D653" s="16">
        <v>313</v>
      </c>
      <c r="E653" s="16">
        <v>285</v>
      </c>
      <c r="F653" s="16">
        <v>484</v>
      </c>
      <c r="G653" s="16">
        <v>313</v>
      </c>
      <c r="H653" s="16">
        <v>370</v>
      </c>
      <c r="I653" s="16">
        <v>256</v>
      </c>
      <c r="J653" s="16">
        <v>85</v>
      </c>
      <c r="K653" s="16">
        <v>313</v>
      </c>
      <c r="L653" s="16">
        <v>114</v>
      </c>
      <c r="M653" s="16">
        <v>668</v>
      </c>
      <c r="N653" s="17">
        <v>3514</v>
      </c>
      <c r="O653" s="16">
        <v>109</v>
      </c>
      <c r="P653" s="16">
        <v>0</v>
      </c>
      <c r="Q653" s="16">
        <v>771</v>
      </c>
      <c r="R653" s="16">
        <v>513</v>
      </c>
      <c r="S653" s="16">
        <v>314</v>
      </c>
      <c r="T653" s="16">
        <v>317</v>
      </c>
      <c r="U653" s="16">
        <v>112</v>
      </c>
      <c r="V653" s="16">
        <v>334</v>
      </c>
      <c r="W653" s="16">
        <v>936</v>
      </c>
      <c r="X653" s="16">
        <v>108</v>
      </c>
    </row>
    <row r="654" spans="1:24">
      <c r="A654" s="19">
        <v>46121</v>
      </c>
      <c r="B654" s="18" t="s">
        <v>287</v>
      </c>
      <c r="C654" s="16">
        <v>313</v>
      </c>
      <c r="D654" s="16">
        <v>313</v>
      </c>
      <c r="E654" s="16">
        <v>285</v>
      </c>
      <c r="F654" s="16">
        <v>484</v>
      </c>
      <c r="G654" s="16">
        <v>313</v>
      </c>
      <c r="H654" s="16">
        <v>370</v>
      </c>
      <c r="I654" s="16">
        <v>256</v>
      </c>
      <c r="J654" s="16">
        <v>85</v>
      </c>
      <c r="K654" s="16">
        <v>313</v>
      </c>
      <c r="L654" s="16">
        <v>114</v>
      </c>
      <c r="M654" s="16">
        <v>668</v>
      </c>
      <c r="N654" s="17">
        <v>3514</v>
      </c>
      <c r="O654" s="16">
        <v>109</v>
      </c>
      <c r="P654" s="16">
        <v>0</v>
      </c>
      <c r="Q654" s="16">
        <v>771</v>
      </c>
      <c r="R654" s="16">
        <v>513</v>
      </c>
      <c r="S654" s="16">
        <v>314</v>
      </c>
      <c r="T654" s="16">
        <v>317</v>
      </c>
      <c r="U654" s="16">
        <v>112</v>
      </c>
      <c r="V654" s="16">
        <v>334</v>
      </c>
      <c r="W654" s="16">
        <v>936</v>
      </c>
      <c r="X654" s="16">
        <v>108</v>
      </c>
    </row>
    <row r="655" spans="1:24">
      <c r="A655" s="19">
        <v>46122</v>
      </c>
      <c r="B655" s="18" t="s">
        <v>287</v>
      </c>
      <c r="C655" s="16">
        <v>313</v>
      </c>
      <c r="D655" s="16">
        <v>313</v>
      </c>
      <c r="E655" s="16">
        <v>285</v>
      </c>
      <c r="F655" s="16">
        <v>484</v>
      </c>
      <c r="G655" s="16">
        <v>313</v>
      </c>
      <c r="H655" s="16">
        <v>370</v>
      </c>
      <c r="I655" s="16">
        <v>256</v>
      </c>
      <c r="J655" s="16">
        <v>85</v>
      </c>
      <c r="K655" s="16">
        <v>313</v>
      </c>
      <c r="L655" s="16">
        <v>114</v>
      </c>
      <c r="M655" s="16">
        <v>668</v>
      </c>
      <c r="N655" s="17">
        <v>3514</v>
      </c>
      <c r="O655" s="16">
        <v>109</v>
      </c>
      <c r="P655" s="16">
        <v>0</v>
      </c>
      <c r="Q655" s="16">
        <v>771</v>
      </c>
      <c r="R655" s="16">
        <v>513</v>
      </c>
      <c r="S655" s="16">
        <v>314</v>
      </c>
      <c r="T655" s="16">
        <v>317</v>
      </c>
      <c r="U655" s="16">
        <v>112</v>
      </c>
      <c r="V655" s="16">
        <v>334</v>
      </c>
      <c r="W655" s="16">
        <v>936</v>
      </c>
      <c r="X655" s="16">
        <v>108</v>
      </c>
    </row>
    <row r="656" spans="1:24">
      <c r="A656" s="19">
        <v>46123</v>
      </c>
      <c r="B656" s="18" t="s">
        <v>287</v>
      </c>
      <c r="C656" s="16">
        <v>349</v>
      </c>
      <c r="D656" s="16">
        <v>349</v>
      </c>
      <c r="E656" s="16">
        <v>317</v>
      </c>
      <c r="F656" s="16">
        <v>540</v>
      </c>
      <c r="G656" s="16">
        <v>349</v>
      </c>
      <c r="H656" s="16">
        <v>413</v>
      </c>
      <c r="I656" s="16">
        <v>286</v>
      </c>
      <c r="J656" s="16">
        <v>95</v>
      </c>
      <c r="K656" s="16">
        <v>349</v>
      </c>
      <c r="L656" s="16">
        <v>127</v>
      </c>
      <c r="M656" s="16">
        <v>745</v>
      </c>
      <c r="N656" s="17">
        <v>3919</v>
      </c>
      <c r="O656" s="16">
        <v>126</v>
      </c>
      <c r="P656" s="16">
        <v>0</v>
      </c>
      <c r="Q656" s="16">
        <v>887</v>
      </c>
      <c r="R656" s="16">
        <v>591</v>
      </c>
      <c r="S656" s="16">
        <v>361</v>
      </c>
      <c r="T656" s="16">
        <v>364</v>
      </c>
      <c r="U656" s="16">
        <v>130</v>
      </c>
      <c r="V656" s="16">
        <v>384</v>
      </c>
      <c r="W656" s="16">
        <v>1076</v>
      </c>
      <c r="X656" s="16">
        <v>0</v>
      </c>
    </row>
    <row r="657" spans="1:24">
      <c r="A657" s="19">
        <v>46124</v>
      </c>
      <c r="B657" s="18" t="s">
        <v>287</v>
      </c>
      <c r="C657" s="16">
        <v>349</v>
      </c>
      <c r="D657" s="16">
        <v>349</v>
      </c>
      <c r="E657" s="16">
        <v>317</v>
      </c>
      <c r="F657" s="16">
        <v>540</v>
      </c>
      <c r="G657" s="16">
        <v>349</v>
      </c>
      <c r="H657" s="16">
        <v>413</v>
      </c>
      <c r="I657" s="16">
        <v>286</v>
      </c>
      <c r="J657" s="16">
        <v>95</v>
      </c>
      <c r="K657" s="16">
        <v>349</v>
      </c>
      <c r="L657" s="16">
        <v>127</v>
      </c>
      <c r="M657" s="16">
        <v>745</v>
      </c>
      <c r="N657" s="17">
        <v>3919</v>
      </c>
      <c r="O657" s="16">
        <v>126</v>
      </c>
      <c r="P657" s="16">
        <v>0</v>
      </c>
      <c r="Q657" s="16">
        <v>887</v>
      </c>
      <c r="R657" s="16">
        <v>591</v>
      </c>
      <c r="S657" s="16">
        <v>361</v>
      </c>
      <c r="T657" s="16">
        <v>364</v>
      </c>
      <c r="U657" s="16">
        <v>130</v>
      </c>
      <c r="V657" s="16">
        <v>384</v>
      </c>
      <c r="W657" s="16">
        <v>1076</v>
      </c>
      <c r="X657" s="16">
        <v>0</v>
      </c>
    </row>
    <row r="658" spans="1:24">
      <c r="A658" s="19">
        <v>46125</v>
      </c>
      <c r="B658" s="18" t="s">
        <v>287</v>
      </c>
      <c r="C658" s="16">
        <v>313</v>
      </c>
      <c r="D658" s="16">
        <v>313</v>
      </c>
      <c r="E658" s="16">
        <v>285</v>
      </c>
      <c r="F658" s="16">
        <v>484</v>
      </c>
      <c r="G658" s="16">
        <v>313</v>
      </c>
      <c r="H658" s="16">
        <v>370</v>
      </c>
      <c r="I658" s="16">
        <v>256</v>
      </c>
      <c r="J658" s="16">
        <v>85</v>
      </c>
      <c r="K658" s="16">
        <v>313</v>
      </c>
      <c r="L658" s="16">
        <v>114</v>
      </c>
      <c r="M658" s="16">
        <v>668</v>
      </c>
      <c r="N658" s="17">
        <v>3514</v>
      </c>
      <c r="O658" s="16">
        <v>109</v>
      </c>
      <c r="P658" s="16">
        <v>0</v>
      </c>
      <c r="Q658" s="16">
        <v>771</v>
      </c>
      <c r="R658" s="16">
        <v>513</v>
      </c>
      <c r="S658" s="16">
        <v>314</v>
      </c>
      <c r="T658" s="16">
        <v>317</v>
      </c>
      <c r="U658" s="16">
        <v>112</v>
      </c>
      <c r="V658" s="16">
        <v>334</v>
      </c>
      <c r="W658" s="16">
        <v>936</v>
      </c>
      <c r="X658" s="16">
        <v>108</v>
      </c>
    </row>
    <row r="659" spans="1:24">
      <c r="A659" s="19">
        <v>46126</v>
      </c>
      <c r="B659" s="18" t="s">
        <v>287</v>
      </c>
      <c r="C659" s="16">
        <v>313</v>
      </c>
      <c r="D659" s="16">
        <v>313</v>
      </c>
      <c r="E659" s="16">
        <v>285</v>
      </c>
      <c r="F659" s="16">
        <v>484</v>
      </c>
      <c r="G659" s="16">
        <v>313</v>
      </c>
      <c r="H659" s="16">
        <v>370</v>
      </c>
      <c r="I659" s="16">
        <v>256</v>
      </c>
      <c r="J659" s="16">
        <v>85</v>
      </c>
      <c r="K659" s="16">
        <v>313</v>
      </c>
      <c r="L659" s="16">
        <v>114</v>
      </c>
      <c r="M659" s="16">
        <v>668</v>
      </c>
      <c r="N659" s="17">
        <v>3514</v>
      </c>
      <c r="O659" s="16">
        <v>109</v>
      </c>
      <c r="P659" s="16">
        <v>0</v>
      </c>
      <c r="Q659" s="16">
        <v>771</v>
      </c>
      <c r="R659" s="16">
        <v>513</v>
      </c>
      <c r="S659" s="16">
        <v>314</v>
      </c>
      <c r="T659" s="16">
        <v>317</v>
      </c>
      <c r="U659" s="16">
        <v>112</v>
      </c>
      <c r="V659" s="16">
        <v>334</v>
      </c>
      <c r="W659" s="16">
        <v>936</v>
      </c>
      <c r="X659" s="16">
        <v>108</v>
      </c>
    </row>
    <row r="660" spans="1:24">
      <c r="A660" s="19">
        <v>46127</v>
      </c>
      <c r="B660" s="18" t="s">
        <v>287</v>
      </c>
      <c r="C660" s="16">
        <v>313</v>
      </c>
      <c r="D660" s="16">
        <v>313</v>
      </c>
      <c r="E660" s="16">
        <v>285</v>
      </c>
      <c r="F660" s="16">
        <v>484</v>
      </c>
      <c r="G660" s="16">
        <v>313</v>
      </c>
      <c r="H660" s="16">
        <v>370</v>
      </c>
      <c r="I660" s="16">
        <v>256</v>
      </c>
      <c r="J660" s="16">
        <v>85</v>
      </c>
      <c r="K660" s="16">
        <v>313</v>
      </c>
      <c r="L660" s="16">
        <v>114</v>
      </c>
      <c r="M660" s="16">
        <v>668</v>
      </c>
      <c r="N660" s="17">
        <v>3514</v>
      </c>
      <c r="O660" s="16">
        <v>109</v>
      </c>
      <c r="P660" s="16">
        <v>0</v>
      </c>
      <c r="Q660" s="16">
        <v>771</v>
      </c>
      <c r="R660" s="16">
        <v>513</v>
      </c>
      <c r="S660" s="16">
        <v>314</v>
      </c>
      <c r="T660" s="16">
        <v>317</v>
      </c>
      <c r="U660" s="16">
        <v>112</v>
      </c>
      <c r="V660" s="16">
        <v>334</v>
      </c>
      <c r="W660" s="16">
        <v>936</v>
      </c>
      <c r="X660" s="16">
        <v>108</v>
      </c>
    </row>
    <row r="661" spans="1:24">
      <c r="A661" s="19">
        <v>46128</v>
      </c>
      <c r="B661" s="18" t="s">
        <v>287</v>
      </c>
      <c r="C661" s="16">
        <v>313</v>
      </c>
      <c r="D661" s="16">
        <v>313</v>
      </c>
      <c r="E661" s="16">
        <v>285</v>
      </c>
      <c r="F661" s="16">
        <v>484</v>
      </c>
      <c r="G661" s="16">
        <v>313</v>
      </c>
      <c r="H661" s="16">
        <v>370</v>
      </c>
      <c r="I661" s="16">
        <v>256</v>
      </c>
      <c r="J661" s="16">
        <v>85</v>
      </c>
      <c r="K661" s="16">
        <v>313</v>
      </c>
      <c r="L661" s="16">
        <v>114</v>
      </c>
      <c r="M661" s="16">
        <v>668</v>
      </c>
      <c r="N661" s="17">
        <v>3514</v>
      </c>
      <c r="O661" s="16">
        <v>109</v>
      </c>
      <c r="P661" s="16">
        <v>0</v>
      </c>
      <c r="Q661" s="16">
        <v>771</v>
      </c>
      <c r="R661" s="16">
        <v>513</v>
      </c>
      <c r="S661" s="16">
        <v>314</v>
      </c>
      <c r="T661" s="16">
        <v>317</v>
      </c>
      <c r="U661" s="16">
        <v>112</v>
      </c>
      <c r="V661" s="16">
        <v>334</v>
      </c>
      <c r="W661" s="16">
        <v>936</v>
      </c>
      <c r="X661" s="16">
        <v>108</v>
      </c>
    </row>
    <row r="662" spans="1:24">
      <c r="A662" s="19">
        <v>46129</v>
      </c>
      <c r="B662" s="18" t="s">
        <v>287</v>
      </c>
      <c r="C662" s="16">
        <v>313</v>
      </c>
      <c r="D662" s="16">
        <v>313</v>
      </c>
      <c r="E662" s="16">
        <v>285</v>
      </c>
      <c r="F662" s="16">
        <v>484</v>
      </c>
      <c r="G662" s="16">
        <v>313</v>
      </c>
      <c r="H662" s="16">
        <v>370</v>
      </c>
      <c r="I662" s="16">
        <v>256</v>
      </c>
      <c r="J662" s="16">
        <v>85</v>
      </c>
      <c r="K662" s="16">
        <v>313</v>
      </c>
      <c r="L662" s="16">
        <v>114</v>
      </c>
      <c r="M662" s="16">
        <v>668</v>
      </c>
      <c r="N662" s="17">
        <v>3514</v>
      </c>
      <c r="O662" s="16">
        <v>109</v>
      </c>
      <c r="P662" s="16">
        <v>0</v>
      </c>
      <c r="Q662" s="16">
        <v>771</v>
      </c>
      <c r="R662" s="16">
        <v>513</v>
      </c>
      <c r="S662" s="16">
        <v>314</v>
      </c>
      <c r="T662" s="16">
        <v>317</v>
      </c>
      <c r="U662" s="16">
        <v>112</v>
      </c>
      <c r="V662" s="16">
        <v>334</v>
      </c>
      <c r="W662" s="16">
        <v>936</v>
      </c>
      <c r="X662" s="16">
        <v>108</v>
      </c>
    </row>
    <row r="663" spans="1:24">
      <c r="A663" s="19">
        <v>46130</v>
      </c>
      <c r="B663" s="18" t="s">
        <v>287</v>
      </c>
      <c r="C663" s="16">
        <v>349</v>
      </c>
      <c r="D663" s="16">
        <v>349</v>
      </c>
      <c r="E663" s="16">
        <v>317</v>
      </c>
      <c r="F663" s="16">
        <v>540</v>
      </c>
      <c r="G663" s="16">
        <v>349</v>
      </c>
      <c r="H663" s="16">
        <v>413</v>
      </c>
      <c r="I663" s="16">
        <v>286</v>
      </c>
      <c r="J663" s="16">
        <v>95</v>
      </c>
      <c r="K663" s="16">
        <v>349</v>
      </c>
      <c r="L663" s="16">
        <v>127</v>
      </c>
      <c r="M663" s="16">
        <v>745</v>
      </c>
      <c r="N663" s="17">
        <v>3919</v>
      </c>
      <c r="O663" s="16">
        <v>126</v>
      </c>
      <c r="P663" s="16">
        <v>0</v>
      </c>
      <c r="Q663" s="16">
        <v>887</v>
      </c>
      <c r="R663" s="16">
        <v>591</v>
      </c>
      <c r="S663" s="16">
        <v>361</v>
      </c>
      <c r="T663" s="16">
        <v>364</v>
      </c>
      <c r="U663" s="16">
        <v>130</v>
      </c>
      <c r="V663" s="16">
        <v>384</v>
      </c>
      <c r="W663" s="16">
        <v>1076</v>
      </c>
      <c r="X663" s="16">
        <v>0</v>
      </c>
    </row>
    <row r="664" spans="1:24">
      <c r="A664" s="19">
        <v>46131</v>
      </c>
      <c r="B664" s="18" t="s">
        <v>287</v>
      </c>
      <c r="C664" s="16">
        <v>349</v>
      </c>
      <c r="D664" s="16">
        <v>349</v>
      </c>
      <c r="E664" s="16">
        <v>317</v>
      </c>
      <c r="F664" s="16">
        <v>540</v>
      </c>
      <c r="G664" s="16">
        <v>349</v>
      </c>
      <c r="H664" s="16">
        <v>413</v>
      </c>
      <c r="I664" s="16">
        <v>286</v>
      </c>
      <c r="J664" s="16">
        <v>95</v>
      </c>
      <c r="K664" s="16">
        <v>349</v>
      </c>
      <c r="L664" s="16">
        <v>127</v>
      </c>
      <c r="M664" s="16">
        <v>745</v>
      </c>
      <c r="N664" s="17">
        <v>3919</v>
      </c>
      <c r="O664" s="16">
        <v>126</v>
      </c>
      <c r="P664" s="16">
        <v>0</v>
      </c>
      <c r="Q664" s="16">
        <v>887</v>
      </c>
      <c r="R664" s="16">
        <v>591</v>
      </c>
      <c r="S664" s="16">
        <v>361</v>
      </c>
      <c r="T664" s="16">
        <v>364</v>
      </c>
      <c r="U664" s="16">
        <v>130</v>
      </c>
      <c r="V664" s="16">
        <v>384</v>
      </c>
      <c r="W664" s="16">
        <v>1076</v>
      </c>
      <c r="X664" s="16">
        <v>0</v>
      </c>
    </row>
    <row r="665" spans="1:24">
      <c r="A665" s="19">
        <v>46132</v>
      </c>
      <c r="B665" s="18" t="s">
        <v>287</v>
      </c>
      <c r="C665" s="16">
        <v>313</v>
      </c>
      <c r="D665" s="16">
        <v>313</v>
      </c>
      <c r="E665" s="16">
        <v>285</v>
      </c>
      <c r="F665" s="16">
        <v>484</v>
      </c>
      <c r="G665" s="16">
        <v>313</v>
      </c>
      <c r="H665" s="16">
        <v>370</v>
      </c>
      <c r="I665" s="16">
        <v>256</v>
      </c>
      <c r="J665" s="16">
        <v>85</v>
      </c>
      <c r="K665" s="16">
        <v>313</v>
      </c>
      <c r="L665" s="16">
        <v>114</v>
      </c>
      <c r="M665" s="16">
        <v>668</v>
      </c>
      <c r="N665" s="17">
        <v>3514</v>
      </c>
      <c r="O665" s="16">
        <v>109</v>
      </c>
      <c r="P665" s="16">
        <v>0</v>
      </c>
      <c r="Q665" s="16">
        <v>771</v>
      </c>
      <c r="R665" s="16">
        <v>513</v>
      </c>
      <c r="S665" s="16">
        <v>314</v>
      </c>
      <c r="T665" s="16">
        <v>317</v>
      </c>
      <c r="U665" s="16">
        <v>112</v>
      </c>
      <c r="V665" s="16">
        <v>334</v>
      </c>
      <c r="W665" s="16">
        <v>936</v>
      </c>
      <c r="X665" s="16">
        <v>108</v>
      </c>
    </row>
    <row r="666" spans="1:24">
      <c r="A666" s="19">
        <v>46133</v>
      </c>
      <c r="B666" s="18" t="s">
        <v>287</v>
      </c>
      <c r="C666" s="16">
        <v>313</v>
      </c>
      <c r="D666" s="16">
        <v>313</v>
      </c>
      <c r="E666" s="16">
        <v>285</v>
      </c>
      <c r="F666" s="16">
        <v>484</v>
      </c>
      <c r="G666" s="16">
        <v>313</v>
      </c>
      <c r="H666" s="16">
        <v>370</v>
      </c>
      <c r="I666" s="16">
        <v>256</v>
      </c>
      <c r="J666" s="16">
        <v>85</v>
      </c>
      <c r="K666" s="16">
        <v>313</v>
      </c>
      <c r="L666" s="16">
        <v>114</v>
      </c>
      <c r="M666" s="16">
        <v>668</v>
      </c>
      <c r="N666" s="17">
        <v>3514</v>
      </c>
      <c r="O666" s="16">
        <v>109</v>
      </c>
      <c r="P666" s="16">
        <v>0</v>
      </c>
      <c r="Q666" s="16">
        <v>771</v>
      </c>
      <c r="R666" s="16">
        <v>513</v>
      </c>
      <c r="S666" s="16">
        <v>314</v>
      </c>
      <c r="T666" s="16">
        <v>317</v>
      </c>
      <c r="U666" s="16">
        <v>112</v>
      </c>
      <c r="V666" s="16">
        <v>334</v>
      </c>
      <c r="W666" s="16">
        <v>936</v>
      </c>
      <c r="X666" s="16">
        <v>108</v>
      </c>
    </row>
    <row r="667" spans="1:24">
      <c r="A667" s="19">
        <v>46134</v>
      </c>
      <c r="B667" s="18" t="s">
        <v>287</v>
      </c>
      <c r="C667" s="16">
        <v>313</v>
      </c>
      <c r="D667" s="16">
        <v>313</v>
      </c>
      <c r="E667" s="16">
        <v>285</v>
      </c>
      <c r="F667" s="16">
        <v>484</v>
      </c>
      <c r="G667" s="16">
        <v>313</v>
      </c>
      <c r="H667" s="16">
        <v>370</v>
      </c>
      <c r="I667" s="16">
        <v>256</v>
      </c>
      <c r="J667" s="16">
        <v>85</v>
      </c>
      <c r="K667" s="16">
        <v>313</v>
      </c>
      <c r="L667" s="16">
        <v>114</v>
      </c>
      <c r="M667" s="16">
        <v>668</v>
      </c>
      <c r="N667" s="17">
        <v>3514</v>
      </c>
      <c r="O667" s="16">
        <v>109</v>
      </c>
      <c r="P667" s="16">
        <v>0</v>
      </c>
      <c r="Q667" s="16">
        <v>771</v>
      </c>
      <c r="R667" s="16">
        <v>513</v>
      </c>
      <c r="S667" s="16">
        <v>314</v>
      </c>
      <c r="T667" s="16">
        <v>317</v>
      </c>
      <c r="U667" s="16">
        <v>112</v>
      </c>
      <c r="V667" s="16">
        <v>334</v>
      </c>
      <c r="W667" s="16">
        <v>936</v>
      </c>
      <c r="X667" s="16">
        <v>108</v>
      </c>
    </row>
    <row r="668" spans="1:24">
      <c r="A668" s="19">
        <v>46135</v>
      </c>
      <c r="B668" s="18" t="s">
        <v>287</v>
      </c>
      <c r="C668" s="16">
        <v>313</v>
      </c>
      <c r="D668" s="16">
        <v>313</v>
      </c>
      <c r="E668" s="16">
        <v>285</v>
      </c>
      <c r="F668" s="16">
        <v>484</v>
      </c>
      <c r="G668" s="16">
        <v>313</v>
      </c>
      <c r="H668" s="16">
        <v>370</v>
      </c>
      <c r="I668" s="16">
        <v>256</v>
      </c>
      <c r="J668" s="16">
        <v>85</v>
      </c>
      <c r="K668" s="16">
        <v>313</v>
      </c>
      <c r="L668" s="16">
        <v>114</v>
      </c>
      <c r="M668" s="16">
        <v>668</v>
      </c>
      <c r="N668" s="17">
        <v>3514</v>
      </c>
      <c r="O668" s="16">
        <v>109</v>
      </c>
      <c r="P668" s="16">
        <v>0</v>
      </c>
      <c r="Q668" s="16">
        <v>771</v>
      </c>
      <c r="R668" s="16">
        <v>513</v>
      </c>
      <c r="S668" s="16">
        <v>314</v>
      </c>
      <c r="T668" s="16">
        <v>317</v>
      </c>
      <c r="U668" s="16">
        <v>112</v>
      </c>
      <c r="V668" s="16">
        <v>334</v>
      </c>
      <c r="W668" s="16">
        <v>936</v>
      </c>
      <c r="X668" s="16">
        <v>108</v>
      </c>
    </row>
    <row r="669" spans="1:24">
      <c r="A669" s="19">
        <v>46136</v>
      </c>
      <c r="B669" s="18" t="s">
        <v>287</v>
      </c>
      <c r="C669" s="16">
        <v>313</v>
      </c>
      <c r="D669" s="16">
        <v>313</v>
      </c>
      <c r="E669" s="16">
        <v>285</v>
      </c>
      <c r="F669" s="16">
        <v>484</v>
      </c>
      <c r="G669" s="16">
        <v>313</v>
      </c>
      <c r="H669" s="16">
        <v>370</v>
      </c>
      <c r="I669" s="16">
        <v>256</v>
      </c>
      <c r="J669" s="16">
        <v>85</v>
      </c>
      <c r="K669" s="16">
        <v>313</v>
      </c>
      <c r="L669" s="16">
        <v>114</v>
      </c>
      <c r="M669" s="16">
        <v>668</v>
      </c>
      <c r="N669" s="17">
        <v>3514</v>
      </c>
      <c r="O669" s="16">
        <v>109</v>
      </c>
      <c r="P669" s="16">
        <v>0</v>
      </c>
      <c r="Q669" s="16">
        <v>771</v>
      </c>
      <c r="R669" s="16">
        <v>513</v>
      </c>
      <c r="S669" s="16">
        <v>314</v>
      </c>
      <c r="T669" s="16">
        <v>317</v>
      </c>
      <c r="U669" s="16">
        <v>112</v>
      </c>
      <c r="V669" s="16">
        <v>334</v>
      </c>
      <c r="W669" s="16">
        <v>936</v>
      </c>
      <c r="X669" s="16">
        <v>108</v>
      </c>
    </row>
    <row r="670" spans="1:24">
      <c r="A670" s="19">
        <v>46137</v>
      </c>
      <c r="B670" s="18" t="s">
        <v>287</v>
      </c>
      <c r="C670" s="16">
        <v>349</v>
      </c>
      <c r="D670" s="16">
        <v>349</v>
      </c>
      <c r="E670" s="16">
        <v>318</v>
      </c>
      <c r="F670" s="16">
        <v>540</v>
      </c>
      <c r="G670" s="16">
        <v>349</v>
      </c>
      <c r="H670" s="16">
        <v>413</v>
      </c>
      <c r="I670" s="16">
        <v>286</v>
      </c>
      <c r="J670" s="16">
        <v>95</v>
      </c>
      <c r="K670" s="16">
        <v>349</v>
      </c>
      <c r="L670" s="16">
        <v>127</v>
      </c>
      <c r="M670" s="16">
        <v>745</v>
      </c>
      <c r="N670" s="17">
        <v>3920</v>
      </c>
      <c r="O670" s="16">
        <v>126</v>
      </c>
      <c r="P670" s="16">
        <v>1</v>
      </c>
      <c r="Q670" s="16">
        <v>887</v>
      </c>
      <c r="R670" s="16">
        <v>591</v>
      </c>
      <c r="S670" s="16">
        <v>361</v>
      </c>
      <c r="T670" s="16">
        <v>364</v>
      </c>
      <c r="U670" s="16">
        <v>130</v>
      </c>
      <c r="V670" s="16">
        <v>384</v>
      </c>
      <c r="W670" s="16">
        <v>1076</v>
      </c>
      <c r="X670" s="16">
        <v>0</v>
      </c>
    </row>
    <row r="671" spans="1:24">
      <c r="A671" s="19">
        <v>46138</v>
      </c>
      <c r="B671" s="18" t="s">
        <v>287</v>
      </c>
      <c r="C671" s="16">
        <v>349</v>
      </c>
      <c r="D671" s="16">
        <v>349</v>
      </c>
      <c r="E671" s="16">
        <v>318</v>
      </c>
      <c r="F671" s="16">
        <v>540</v>
      </c>
      <c r="G671" s="16">
        <v>349</v>
      </c>
      <c r="H671" s="16">
        <v>413</v>
      </c>
      <c r="I671" s="16">
        <v>286</v>
      </c>
      <c r="J671" s="16">
        <v>95</v>
      </c>
      <c r="K671" s="16">
        <v>349</v>
      </c>
      <c r="L671" s="16">
        <v>127</v>
      </c>
      <c r="M671" s="16">
        <v>745</v>
      </c>
      <c r="N671" s="17">
        <v>3920</v>
      </c>
      <c r="O671" s="16">
        <v>126</v>
      </c>
      <c r="P671" s="16">
        <v>1</v>
      </c>
      <c r="Q671" s="16">
        <v>887</v>
      </c>
      <c r="R671" s="16">
        <v>591</v>
      </c>
      <c r="S671" s="16">
        <v>361</v>
      </c>
      <c r="T671" s="16">
        <v>364</v>
      </c>
      <c r="U671" s="16">
        <v>130</v>
      </c>
      <c r="V671" s="16">
        <v>384</v>
      </c>
      <c r="W671" s="16">
        <v>1076</v>
      </c>
      <c r="X671" s="16">
        <v>0</v>
      </c>
    </row>
    <row r="672" spans="1:24">
      <c r="A672" s="19">
        <v>46139</v>
      </c>
      <c r="B672" s="18" t="s">
        <v>287</v>
      </c>
      <c r="C672" s="16">
        <v>313</v>
      </c>
      <c r="D672" s="16">
        <v>313</v>
      </c>
      <c r="E672" s="16">
        <v>285</v>
      </c>
      <c r="F672" s="16">
        <v>484</v>
      </c>
      <c r="G672" s="16">
        <v>313</v>
      </c>
      <c r="H672" s="16">
        <v>370</v>
      </c>
      <c r="I672" s="16">
        <v>256</v>
      </c>
      <c r="J672" s="16">
        <v>85</v>
      </c>
      <c r="K672" s="16">
        <v>313</v>
      </c>
      <c r="L672" s="16">
        <v>114</v>
      </c>
      <c r="M672" s="16">
        <v>669</v>
      </c>
      <c r="N672" s="17">
        <v>3515</v>
      </c>
      <c r="O672" s="16">
        <v>109</v>
      </c>
      <c r="P672" s="16">
        <v>1</v>
      </c>
      <c r="Q672" s="16">
        <v>771</v>
      </c>
      <c r="R672" s="16">
        <v>513</v>
      </c>
      <c r="S672" s="16">
        <v>314</v>
      </c>
      <c r="T672" s="16">
        <v>317</v>
      </c>
      <c r="U672" s="16">
        <v>112</v>
      </c>
      <c r="V672" s="16">
        <v>334</v>
      </c>
      <c r="W672" s="16">
        <v>936</v>
      </c>
      <c r="X672" s="16">
        <v>108</v>
      </c>
    </row>
    <row r="673" spans="1:24">
      <c r="A673" s="19">
        <v>46140</v>
      </c>
      <c r="B673" s="18" t="s">
        <v>287</v>
      </c>
      <c r="C673" s="16">
        <v>313</v>
      </c>
      <c r="D673" s="16">
        <v>313</v>
      </c>
      <c r="E673" s="16">
        <v>285</v>
      </c>
      <c r="F673" s="16">
        <v>484</v>
      </c>
      <c r="G673" s="16">
        <v>313</v>
      </c>
      <c r="H673" s="16">
        <v>370</v>
      </c>
      <c r="I673" s="16">
        <v>256</v>
      </c>
      <c r="J673" s="16">
        <v>85</v>
      </c>
      <c r="K673" s="16">
        <v>313</v>
      </c>
      <c r="L673" s="16">
        <v>114</v>
      </c>
      <c r="M673" s="16">
        <v>669</v>
      </c>
      <c r="N673" s="17">
        <v>3515</v>
      </c>
      <c r="O673" s="16">
        <v>109</v>
      </c>
      <c r="P673" s="16">
        <v>1</v>
      </c>
      <c r="Q673" s="16">
        <v>771</v>
      </c>
      <c r="R673" s="16">
        <v>513</v>
      </c>
      <c r="S673" s="16">
        <v>314</v>
      </c>
      <c r="T673" s="16">
        <v>317</v>
      </c>
      <c r="U673" s="16">
        <v>112</v>
      </c>
      <c r="V673" s="16">
        <v>334</v>
      </c>
      <c r="W673" s="16">
        <v>936</v>
      </c>
      <c r="X673" s="16">
        <v>108</v>
      </c>
    </row>
    <row r="674" spans="1:24">
      <c r="A674" s="19">
        <v>46141</v>
      </c>
      <c r="B674" s="18" t="s">
        <v>287</v>
      </c>
      <c r="C674" s="16">
        <v>313</v>
      </c>
      <c r="D674" s="16">
        <v>313</v>
      </c>
      <c r="E674" s="16">
        <v>285</v>
      </c>
      <c r="F674" s="16">
        <v>484</v>
      </c>
      <c r="G674" s="16">
        <v>313</v>
      </c>
      <c r="H674" s="16">
        <v>370</v>
      </c>
      <c r="I674" s="16">
        <v>256</v>
      </c>
      <c r="J674" s="16">
        <v>85</v>
      </c>
      <c r="K674" s="16">
        <v>313</v>
      </c>
      <c r="L674" s="16">
        <v>114</v>
      </c>
      <c r="M674" s="16">
        <v>669</v>
      </c>
      <c r="N674" s="17">
        <v>3515</v>
      </c>
      <c r="O674" s="16">
        <v>109</v>
      </c>
      <c r="P674" s="16">
        <v>1</v>
      </c>
      <c r="Q674" s="16">
        <v>771</v>
      </c>
      <c r="R674" s="16">
        <v>513</v>
      </c>
      <c r="S674" s="16">
        <v>314</v>
      </c>
      <c r="T674" s="16">
        <v>317</v>
      </c>
      <c r="U674" s="16">
        <v>112</v>
      </c>
      <c r="V674" s="16">
        <v>334</v>
      </c>
      <c r="W674" s="16">
        <v>936</v>
      </c>
      <c r="X674" s="16">
        <v>108</v>
      </c>
    </row>
    <row r="675" spans="1:24">
      <c r="A675" s="19">
        <v>46142</v>
      </c>
      <c r="B675" s="18" t="s">
        <v>287</v>
      </c>
      <c r="C675" s="16">
        <v>320</v>
      </c>
      <c r="D675" s="16">
        <v>320</v>
      </c>
      <c r="E675" s="16">
        <v>283</v>
      </c>
      <c r="F675" s="16">
        <v>484</v>
      </c>
      <c r="G675" s="16">
        <v>320</v>
      </c>
      <c r="H675" s="16">
        <v>371</v>
      </c>
      <c r="I675" s="16">
        <v>260</v>
      </c>
      <c r="J675" s="16">
        <v>96</v>
      </c>
      <c r="K675" s="16">
        <v>320</v>
      </c>
      <c r="L675" s="16">
        <v>113</v>
      </c>
      <c r="M675" s="16">
        <v>663</v>
      </c>
      <c r="N675" s="17">
        <v>3550</v>
      </c>
      <c r="O675" s="16">
        <v>105.89056178164128</v>
      </c>
      <c r="P675" s="16">
        <v>-0.17008396922876123</v>
      </c>
      <c r="Q675" s="16">
        <v>787.28944611555926</v>
      </c>
      <c r="R675" s="16">
        <v>516.59022652536805</v>
      </c>
      <c r="S675" s="16">
        <v>312.15897867221793</v>
      </c>
      <c r="T675" s="16">
        <v>319.23739525247765</v>
      </c>
      <c r="U675" s="16">
        <v>124.1185585157541</v>
      </c>
      <c r="V675" s="16">
        <v>338.01790672962488</v>
      </c>
      <c r="W675" s="16">
        <v>947</v>
      </c>
      <c r="X675" s="16">
        <v>100.40070240093974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25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25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25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25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25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25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25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25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25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25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25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25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25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25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25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25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25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25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25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25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v>2103</v>
      </c>
      <c r="N940" s="17"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25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v>2156</v>
      </c>
      <c r="N941" s="17"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25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v>2150</v>
      </c>
      <c r="N942" s="17"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25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v>2020</v>
      </c>
      <c r="N943" s="17"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25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v>2018</v>
      </c>
      <c r="N944" s="17"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25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v>2016</v>
      </c>
      <c r="N945" s="17"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25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v>3088</v>
      </c>
      <c r="N946" s="17"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25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v>3097</v>
      </c>
      <c r="N947" s="17"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25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v>3237</v>
      </c>
      <c r="N948" s="17"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25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v>3222</v>
      </c>
      <c r="N949" s="17"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25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v>2058</v>
      </c>
      <c r="N950" s="17"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25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v>2054</v>
      </c>
      <c r="N951" s="17"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25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25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25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25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25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25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25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25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25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25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25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25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25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25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25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25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25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25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25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25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25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25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25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25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25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25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25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25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25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25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25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25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25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25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25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25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25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25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25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25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25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25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25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25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25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25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25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25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25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25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25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25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25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25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25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25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25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25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25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25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25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25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25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25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25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25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25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25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25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25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25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25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25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25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25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25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25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25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25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25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25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25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25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25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25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25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25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25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25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25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25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25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25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25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25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25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25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25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25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25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25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25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25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25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25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25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25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25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25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25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25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25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25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25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25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25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25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25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25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25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25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25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25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25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25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25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25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25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25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25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25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25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25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25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25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25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25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25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25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25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25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25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25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25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25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25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25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25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25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25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25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25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25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25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25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25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25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25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25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25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25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25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25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25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25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25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25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25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25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25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25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25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25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25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25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25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25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25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25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25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25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25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25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25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25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25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25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25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25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25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25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25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25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25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25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25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25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25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25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25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25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25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25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25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25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25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25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25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25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25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25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25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25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25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25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25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25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25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25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25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25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25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25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25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25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25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25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25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25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25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25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25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25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25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25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25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25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25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25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25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25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25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25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25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25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25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25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25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25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25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25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25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25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25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25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25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25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25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25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25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25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25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25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25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25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25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25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25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25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25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25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25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25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25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25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8F0-19DE-4BB6-8784-6C7D336F268C}">
  <dimension ref="A3:AF10"/>
  <sheetViews>
    <sheetView tabSelected="1" zoomScale="90" zoomScaleNormal="90" workbookViewId="0">
      <selection activeCell="AC40" sqref="AC4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39" t="s">
        <v>753</v>
      </c>
      <c r="B3" s="48">
        <v>46082</v>
      </c>
      <c r="C3" s="48">
        <v>46083</v>
      </c>
      <c r="D3" s="48">
        <v>46084</v>
      </c>
      <c r="E3" s="48">
        <v>46085</v>
      </c>
      <c r="F3" s="48">
        <v>46086</v>
      </c>
      <c r="G3" s="48">
        <v>46087</v>
      </c>
      <c r="H3" s="48">
        <v>46088</v>
      </c>
      <c r="I3" s="48">
        <v>46089</v>
      </c>
      <c r="J3" s="48">
        <v>46090</v>
      </c>
      <c r="K3" s="48">
        <v>46091</v>
      </c>
      <c r="L3" s="48">
        <v>46092</v>
      </c>
      <c r="M3" s="48">
        <v>46093</v>
      </c>
      <c r="N3" s="48">
        <v>46094</v>
      </c>
      <c r="O3" s="48">
        <v>46095</v>
      </c>
      <c r="P3" s="48">
        <v>46096</v>
      </c>
      <c r="Q3" s="48">
        <v>46097</v>
      </c>
      <c r="R3" s="48">
        <v>46098</v>
      </c>
      <c r="S3" s="48">
        <v>46099</v>
      </c>
      <c r="T3" s="48">
        <v>46100</v>
      </c>
      <c r="U3" s="48">
        <v>46101</v>
      </c>
      <c r="V3" s="48">
        <v>46102</v>
      </c>
      <c r="W3" s="48">
        <v>46103</v>
      </c>
      <c r="X3" s="48">
        <v>46104</v>
      </c>
      <c r="Y3" s="48">
        <v>46105</v>
      </c>
      <c r="Z3" s="48">
        <v>46106</v>
      </c>
      <c r="AA3" s="48">
        <v>46107</v>
      </c>
      <c r="AB3" s="48">
        <v>46108</v>
      </c>
      <c r="AC3" s="48">
        <v>46109</v>
      </c>
      <c r="AD3" s="48">
        <v>46110</v>
      </c>
      <c r="AE3" s="48">
        <v>46111</v>
      </c>
      <c r="AF3" s="48">
        <v>46112</v>
      </c>
    </row>
    <row r="4" spans="1:32">
      <c r="A4" s="39" t="s">
        <v>754</v>
      </c>
      <c r="B4" s="48">
        <v>46113</v>
      </c>
      <c r="C4" s="48">
        <v>46114</v>
      </c>
      <c r="D4" s="48">
        <v>46115</v>
      </c>
      <c r="E4" s="48">
        <v>46116</v>
      </c>
      <c r="F4" s="48">
        <v>46117</v>
      </c>
      <c r="G4" s="48">
        <v>46118</v>
      </c>
      <c r="H4" s="48">
        <v>46119</v>
      </c>
      <c r="I4" s="48">
        <v>46120</v>
      </c>
      <c r="J4" s="48">
        <v>46121</v>
      </c>
      <c r="K4" s="48">
        <v>46122</v>
      </c>
      <c r="L4" s="48">
        <v>46123</v>
      </c>
      <c r="M4" s="48">
        <v>46124</v>
      </c>
      <c r="N4" s="48">
        <v>46125</v>
      </c>
      <c r="O4" s="48">
        <v>46126</v>
      </c>
      <c r="P4" s="48">
        <v>46127</v>
      </c>
      <c r="Q4" s="48">
        <v>46128</v>
      </c>
      <c r="R4" s="48">
        <v>46129</v>
      </c>
      <c r="S4" s="48">
        <v>46130</v>
      </c>
      <c r="T4" s="48">
        <v>46131</v>
      </c>
      <c r="U4" s="48">
        <v>46132</v>
      </c>
      <c r="V4" s="48">
        <v>46133</v>
      </c>
      <c r="W4" s="48">
        <v>46134</v>
      </c>
      <c r="X4" s="48">
        <v>46135</v>
      </c>
      <c r="Y4" s="48">
        <v>46136</v>
      </c>
      <c r="Z4" s="48">
        <v>46137</v>
      </c>
      <c r="AA4" s="48">
        <v>46138</v>
      </c>
      <c r="AB4" s="48">
        <v>46139</v>
      </c>
      <c r="AC4" s="48">
        <v>46140</v>
      </c>
      <c r="AD4" s="48">
        <v>46141</v>
      </c>
      <c r="AE4" s="48">
        <v>46142</v>
      </c>
    </row>
    <row r="5" spans="1:32">
      <c r="A5" t="s">
        <v>755</v>
      </c>
      <c r="B5">
        <f>SUMIFS(全国按日NEV!$F:$F,全国按日NEV!$C:$C,全车有效线索管控!B3)+SUMIFS(全国按日ICE!$G:$G,全国按日ICE!$B:$B,全车有效线索管控!B3)</f>
        <v>24945</v>
      </c>
      <c r="C5">
        <f>SUMIFS(全国按日NEV!$F:$F,全国按日NEV!$C:$C,全车有效线索管控!C3)+SUMIFS(全国按日ICE!$G:$G,全国按日ICE!$B:$B,全车有效线索管控!C3)</f>
        <v>24314</v>
      </c>
      <c r="D5">
        <f>SUMIFS(全国按日NEV!$F:$F,全国按日NEV!$C:$C,全车有效线索管控!D3)+SUMIFS(全国按日ICE!$G:$G,全国按日ICE!$B:$B,全车有效线索管控!D3)</f>
        <v>23682</v>
      </c>
      <c r="E5">
        <f>SUMIFS(全国按日NEV!$F:$F,全国按日NEV!$C:$C,全车有效线索管控!E3)+SUMIFS(全国按日ICE!$G:$G,全国按日ICE!$B:$B,全车有效线索管控!E3)</f>
        <v>24712</v>
      </c>
      <c r="F5">
        <f>SUMIFS(全国按日NEV!$F:$F,全国按日NEV!$C:$C,全车有效线索管控!F3)+SUMIFS(全国按日ICE!$G:$G,全国按日ICE!$B:$B,全车有效线索管控!F3)</f>
        <v>24639</v>
      </c>
      <c r="G5">
        <f>SUMIFS(全国按日NEV!$F:$F,全国按日NEV!$C:$C,全车有效线索管控!G3)+SUMIFS(全国按日ICE!$G:$G,全国按日ICE!$B:$B,全车有效线索管控!G3)</f>
        <v>23985</v>
      </c>
      <c r="H5">
        <f>SUMIFS(全国按日NEV!$F:$F,全国按日NEV!$C:$C,全车有效线索管控!H3)+SUMIFS(全国按日ICE!$G:$G,全国按日ICE!$B:$B,全车有效线索管控!H3)</f>
        <v>25177</v>
      </c>
      <c r="I5">
        <f>SUMIFS(全国按日NEV!$F:$F,全国按日NEV!$C:$C,全车有效线索管控!I3)+SUMIFS(全国按日ICE!$G:$G,全国按日ICE!$B:$B,全车有效线索管控!I3)</f>
        <v>24337</v>
      </c>
      <c r="J5">
        <f>SUMIFS(全国按日NEV!$F:$F,全国按日NEV!$C:$C,全车有效线索管控!J3)+SUMIFS(全国按日ICE!$G:$G,全国按日ICE!$B:$B,全车有效线索管控!J3)</f>
        <v>23208</v>
      </c>
      <c r="K5">
        <f>SUMIFS(全国按日NEV!$F:$F,全国按日NEV!$C:$C,全车有效线索管控!K3)+SUMIFS(全国按日ICE!$G:$G,全国按日ICE!$B:$B,全车有效线索管控!K3)</f>
        <v>23195</v>
      </c>
      <c r="L5">
        <f>SUMIFS(全国按日NEV!$F:$F,全国按日NEV!$C:$C,全车有效线索管控!L3)+SUMIFS(全国按日ICE!$G:$G,全国按日ICE!$B:$B,全车有效线索管控!L3)</f>
        <v>22801</v>
      </c>
      <c r="M5">
        <f>SUMIFS(全国按日NEV!$F:$F,全国按日NEV!$C:$C,全车有效线索管控!M3)+SUMIFS(全国按日ICE!$G:$G,全国按日ICE!$B:$B,全车有效线索管控!M3)</f>
        <v>23810</v>
      </c>
      <c r="N5">
        <f>SUMIFS(全国按日NEV!$F:$F,全国按日NEV!$C:$C,全车有效线索管控!N3)+SUMIFS(全国按日ICE!$G:$G,全国按日ICE!$B:$B,全车有效线索管控!N3)</f>
        <v>24687</v>
      </c>
      <c r="O5">
        <f>SUMIFS(全国按日NEV!$F:$F,全国按日NEV!$C:$C,全车有效线索管控!O3)+SUMIFS(全国按日ICE!$G:$G,全国按日ICE!$B:$B,全车有效线索管控!O3)</f>
        <v>26247</v>
      </c>
      <c r="P5">
        <f>SUMIFS(全国按日NEV!$F:$F,全国按日NEV!$C:$C,全车有效线索管控!P3)+SUMIFS(全国按日ICE!$G:$G,全国按日ICE!$B:$B,全车有效线索管控!P3)</f>
        <v>26920</v>
      </c>
      <c r="Q5">
        <f>SUMIFS(全国按日NEV!$F:$F,全国按日NEV!$C:$C,全车有效线索管控!Q3)+SUMIFS(全国按日ICE!$G:$G,全国按日ICE!$B:$B,全车有效线索管控!Q3)</f>
        <v>26782</v>
      </c>
      <c r="R5">
        <f>SUMIFS(全国按日NEV!$F:$F,全国按日NEV!$C:$C,全车有效线索管控!R3)+SUMIFS(全国按日ICE!$G:$G,全国按日ICE!$B:$B,全车有效线索管控!R3)</f>
        <v>24433</v>
      </c>
      <c r="S5">
        <f>SUMIFS(全国按日NEV!$F:$F,全国按日NEV!$C:$C,全车有效线索管控!S3)+SUMIFS(全国按日ICE!$G:$G,全国按日ICE!$B:$B,全车有效线索管控!S3)</f>
        <v>24047</v>
      </c>
      <c r="T5">
        <f>SUMIFS(全国按日NEV!$F:$F,全国按日NEV!$C:$C,全车有效线索管控!T3)+SUMIFS(全国按日ICE!$G:$G,全国按日ICE!$B:$B,全车有效线索管控!T3)</f>
        <v>23890</v>
      </c>
      <c r="U5">
        <f>SUMIFS(全国按日NEV!$F:$F,全国按日NEV!$C:$C,全车有效线索管控!U3)+SUMIFS(全国按日ICE!$G:$G,全国按日ICE!$B:$B,全车有效线索管控!U3)</f>
        <v>25074</v>
      </c>
      <c r="V5">
        <f>SUMIFS(全国按日NEV!$F:$F,全国按日NEV!$C:$C,全车有效线索管控!V3)+SUMIFS(全国按日ICE!$G:$G,全国按日ICE!$B:$B,全车有效线索管控!V3)</f>
        <v>25349</v>
      </c>
      <c r="W5">
        <f>SUMIFS(全国按日NEV!$F:$F,全国按日NEV!$C:$C,全车有效线索管控!W3)+SUMIFS(全国按日ICE!$G:$G,全国按日ICE!$B:$B,全车有效线索管控!W3)</f>
        <v>29604</v>
      </c>
      <c r="X5">
        <f>SUMIFS(全国按日NEV!$F:$F,全国按日NEV!$C:$C,全车有效线索管控!X3)+SUMIFS(全国按日ICE!$G:$G,全国按日ICE!$B:$B,全车有效线索管控!X3)</f>
        <v>25541</v>
      </c>
      <c r="Y5">
        <f>SUMIFS(全国按日NEV!$F:$F,全国按日NEV!$C:$C,全车有效线索管控!Y3)+SUMIFS(全国按日ICE!$G:$G,全国按日ICE!$B:$B,全车有效线索管控!Y3)</f>
        <v>23669</v>
      </c>
      <c r="Z5">
        <f>SUMIFS(全国按日NEV!$F:$F,全国按日NEV!$C:$C,全车有效线索管控!Z3)+SUMIFS(全国按日ICE!$G:$G,全国按日ICE!$B:$B,全车有效线索管控!Z3)</f>
        <v>23371</v>
      </c>
      <c r="AA5">
        <f>SUMIFS(全国按日NEV!$F:$F,全国按日NEV!$C:$C,全车有效线索管控!AA3)+SUMIFS(全国按日ICE!$G:$G,全国按日ICE!$B:$B,全车有效线索管控!AA3)</f>
        <v>25375</v>
      </c>
      <c r="AB5">
        <f>SUMIFS(全国按日NEV!$F:$F,全国按日NEV!$C:$C,全车有效线索管控!AB3)+SUMIFS(全国按日ICE!$G:$G,全国按日ICE!$B:$B,全车有效线索管控!AB3)</f>
        <v>24069</v>
      </c>
      <c r="AC5">
        <f>SUMIFS(全国按日NEV!$F:$F,全国按日NEV!$C:$C,全车有效线索管控!AC3)+SUMIFS(全国按日ICE!$G:$G,全国按日ICE!$B:$B,全车有效线索管控!AC3)</f>
        <v>25873</v>
      </c>
      <c r="AD5">
        <f>SUMIFS(全国按日NEV!$F:$F,全国按日NEV!$C:$C,全车有效线索管控!AD3)+SUMIFS(全国按日ICE!$G:$G,全国按日ICE!$B:$B,全车有效线索管控!AD3)</f>
        <v>26969</v>
      </c>
      <c r="AE5">
        <f>SUMIFS(全国按日NEV!$F:$F,全国按日NEV!$C:$C,全车有效线索管控!AE3)+SUMIFS(全国按日ICE!$G:$G,全国按日ICE!$B:$B,全车有效线索管控!AE3)</f>
        <v>25562</v>
      </c>
      <c r="AF5">
        <f>SUMIFS(全国按日NEV!$F:$F,全国按日NEV!$C:$C,全车有效线索管控!AF3)+SUMIFS(全国按日ICE!$G:$G,全国按日ICE!$B:$B,全车有效线索管控!AF3)</f>
        <v>24534</v>
      </c>
    </row>
    <row r="6" spans="1:32">
      <c r="A6" t="s">
        <v>756</v>
      </c>
      <c r="B6">
        <f>SUMIFS(全国按日NEV!$F:$F,全国按日NEV!$C:$C,全车有效线索管控!B4)+SUMIFS(全国按日ICE!$G:$G,全国按日ICE!$B:$B,全车有效线索管控!B4)</f>
        <v>20734</v>
      </c>
      <c r="C6">
        <f>SUMIFS(全国按日NEV!$F:$F,全国按日NEV!$C:$C,全车有效线索管控!C4)+SUMIFS(全国按日ICE!$G:$G,全国按日ICE!$B:$B,全车有效线索管控!C4)</f>
        <v>21691</v>
      </c>
      <c r="D6">
        <f>SUMIFS(全国按日NEV!$F:$F,全国按日NEV!$C:$C,全车有效线索管控!D4)+SUMIFS(全国按日ICE!$G:$G,全国按日ICE!$B:$B,全车有效线索管控!D4)</f>
        <v>22676</v>
      </c>
      <c r="E6">
        <f>SUMIFS(全国按日NEV!$F:$F,全国按日NEV!$C:$C,全车有效线索管控!E4)+SUMIFS(全国按日ICE!$G:$G,全国按日ICE!$B:$B,全车有效线索管控!E4)</f>
        <v>24321</v>
      </c>
      <c r="F6">
        <f>SUMIFS(全国按日NEV!$F:$F,全国按日NEV!$C:$C,全车有效线索管控!F4)+SUMIFS(全国按日ICE!$G:$G,全国按日ICE!$B:$B,全车有效线索管控!F4)</f>
        <v>26630</v>
      </c>
      <c r="G6">
        <f>SUMIFS(全国按日NEV!$F:$F,全国按日NEV!$C:$C,全车有效线索管控!G4)+SUMIFS(全国按日ICE!$G:$G,全国按日ICE!$B:$B,全车有效线索管控!G4)</f>
        <v>25826</v>
      </c>
      <c r="H6">
        <f>SUMIFS(全国按日NEV!$F:$F,全国按日NEV!$C:$C,全车有效线索管控!H4)+SUMIFS(全国按日ICE!$G:$G,全国按日ICE!$B:$B,全车有效线索管控!H4)</f>
        <v>26056</v>
      </c>
      <c r="I6">
        <f>SUMIFS(全国按日NEV!$F:$F,全国按日NEV!$C:$C,全车有效线索管控!I4)+SUMIFS(全国按日ICE!$G:$G,全国按日ICE!$B:$B,全车有效线索管控!I4)</f>
        <v>30812</v>
      </c>
      <c r="J6">
        <f>SUMIFS(全国按日NEV!$F:$F,全国按日NEV!$C:$C,全车有效线索管控!J4)+SUMIFS(全国按日ICE!$G:$G,全国按日ICE!$B:$B,全车有效线索管控!J4)</f>
        <v>29168</v>
      </c>
      <c r="K6">
        <f>SUMIFS(全国按日NEV!$F:$F,全国按日NEV!$C:$C,全车有效线索管控!K4)+SUMIFS(全国按日ICE!$G:$G,全国按日ICE!$B:$B,全车有效线索管控!K4)</f>
        <v>26939</v>
      </c>
      <c r="L6">
        <f>SUMIFS(全国按日NEV!$F:$F,全国按日NEV!$C:$C,全车有效线索管控!L4)+SUMIFS(全国按日ICE!$G:$G,全国按日ICE!$B:$B,全车有效线索管控!L4)</f>
        <v>31769</v>
      </c>
      <c r="M6">
        <f>SUMIFS(全国按日NEV!$F:$F,全国按日NEV!$C:$C,全车有效线索管控!M4)+SUMIFS(全国按日ICE!$G:$G,全国按日ICE!$B:$B,全车有效线索管控!M4)</f>
        <v>34649</v>
      </c>
      <c r="N6">
        <f>SUMIFS(全国按日NEV!$F:$F,全国按日NEV!$C:$C,全车有效线索管控!N4)+SUMIFS(全国按日ICE!$G:$G,全国按日ICE!$B:$B,全车有效线索管控!N4)</f>
        <v>31978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757</v>
      </c>
      <c r="B7">
        <f>SUM($B$5)</f>
        <v>24945</v>
      </c>
      <c r="C7">
        <f>SUM($B$5:C5)</f>
        <v>49259</v>
      </c>
      <c r="D7">
        <f>SUM($B$5:D5)</f>
        <v>72941</v>
      </c>
      <c r="E7">
        <f>SUM($B$5:E5)</f>
        <v>97653</v>
      </c>
      <c r="F7">
        <f>SUM($B$5:F5)</f>
        <v>122292</v>
      </c>
      <c r="G7">
        <f>SUM($B$5:G5)</f>
        <v>146277</v>
      </c>
      <c r="H7">
        <f>SUM($B$5:H5)</f>
        <v>171454</v>
      </c>
      <c r="I7">
        <f>SUM($B$5:I5)</f>
        <v>195791</v>
      </c>
      <c r="J7">
        <f>SUM($B$5:J5)</f>
        <v>218999</v>
      </c>
      <c r="K7">
        <f>SUM($B$5:K5)</f>
        <v>242194</v>
      </c>
      <c r="L7">
        <f>SUM($B$5:L5)</f>
        <v>264995</v>
      </c>
      <c r="M7">
        <f>SUM($B$5:M5)</f>
        <v>288805</v>
      </c>
      <c r="N7">
        <f>SUM($B$5:N5)</f>
        <v>313492</v>
      </c>
      <c r="O7">
        <f>SUM($B$5:O5)</f>
        <v>339739</v>
      </c>
      <c r="P7">
        <f>SUM($B$5:P5)</f>
        <v>366659</v>
      </c>
      <c r="Q7">
        <f>SUM($B$5:Q5)</f>
        <v>393441</v>
      </c>
      <c r="R7">
        <f>SUM($B$5:R5)</f>
        <v>417874</v>
      </c>
      <c r="S7">
        <f>SUM($B$5:S5)</f>
        <v>441921</v>
      </c>
      <c r="T7">
        <f>SUM($B$5:T5)</f>
        <v>465811</v>
      </c>
      <c r="U7">
        <f>SUM($B$5:U5)</f>
        <v>490885</v>
      </c>
      <c r="V7">
        <f>SUM($B$5:V5)</f>
        <v>516234</v>
      </c>
      <c r="W7">
        <f>SUM($B$5:W5)</f>
        <v>545838</v>
      </c>
      <c r="X7">
        <f>SUM($B$5:X5)</f>
        <v>571379</v>
      </c>
      <c r="Y7">
        <f>SUM($B$5:Y5)</f>
        <v>595048</v>
      </c>
      <c r="Z7">
        <f>SUM($B$5:Z5)</f>
        <v>618419</v>
      </c>
      <c r="AA7">
        <f>SUM($B$5:AA5)</f>
        <v>643794</v>
      </c>
      <c r="AB7">
        <f>SUM($B$5:AB5)</f>
        <v>667863</v>
      </c>
      <c r="AC7">
        <f>SUM($B$5:AC5)</f>
        <v>693736</v>
      </c>
      <c r="AD7">
        <f>SUM($B$5:AD5)</f>
        <v>720705</v>
      </c>
      <c r="AE7">
        <f>SUM($B$5:AE5)</f>
        <v>746267</v>
      </c>
      <c r="AF7">
        <f>SUM($B$5:AF5)</f>
        <v>770801</v>
      </c>
    </row>
    <row r="8" spans="1:32">
      <c r="A8" t="s">
        <v>758</v>
      </c>
      <c r="B8">
        <f ca="1">IF(B4&lt;(TODAY()-1),SUM($B$6),NA())</f>
        <v>20734</v>
      </c>
      <c r="C8">
        <f ca="1">IF(B4&lt;(TODAY()-1),SUM($B$6:C6),NA())</f>
        <v>42425</v>
      </c>
      <c r="D8">
        <f ca="1">IF(C4&lt;(TODAY()-1),SUM($B$6:D6),NA())</f>
        <v>65101</v>
      </c>
      <c r="E8">
        <f ca="1">IF(D4&lt;(TODAY()-1),SUM($B$6:E6),NA())</f>
        <v>89422</v>
      </c>
      <c r="F8">
        <f ca="1">IF(E4&lt;(TODAY()-1),SUM($B$6:F6),NA())</f>
        <v>116052</v>
      </c>
      <c r="G8">
        <f ca="1">IF(F4&lt;(TODAY()-1),SUM($B$6:G6),NA())</f>
        <v>141878</v>
      </c>
      <c r="H8">
        <f ca="1">IF(G4&lt;(TODAY()-1),SUM($B$6:H6),NA())</f>
        <v>167934</v>
      </c>
      <c r="I8">
        <f ca="1">IF(H4&lt;(TODAY()-1),SUM($B$6:I6),NA())</f>
        <v>198746</v>
      </c>
      <c r="J8">
        <f ca="1">IF(I4&lt;(TODAY()-1),SUM($B$6:J6),NA())</f>
        <v>227914</v>
      </c>
      <c r="K8">
        <f ca="1">IF(J4&lt;(TODAY()-1),SUM($B$6:K6),NA())</f>
        <v>254853</v>
      </c>
      <c r="L8">
        <f ca="1">IF(K4&lt;(TODAY()-1),SUM($B$6:L6),NA())</f>
        <v>286622</v>
      </c>
      <c r="M8">
        <f ca="1">IF(L4&lt;(TODAY()-1),SUM($B$6:M6),NA())</f>
        <v>321271</v>
      </c>
      <c r="N8">
        <f ca="1">IF(M4&lt;(TODAY()-1),SUM($B$6:N6),NA())</f>
        <v>353249</v>
      </c>
      <c r="O8" t="e">
        <f ca="1">IF(N4&lt;(TODAY()-1),SUM($B$6:O6),NA())</f>
        <v>#N/A</v>
      </c>
      <c r="P8" t="e">
        <f ca="1">IF(O4&lt;(TODAY()-1),SUM($B$6:P6),NA())</f>
        <v>#N/A</v>
      </c>
      <c r="Q8" t="e">
        <f ca="1">IF(P4&lt;(TODAY()-1),SUM($B$6:Q6),NA())</f>
        <v>#N/A</v>
      </c>
      <c r="R8" t="e">
        <f ca="1">IF(Q4&lt;(TODAY()-1),SUM($B$6:R6),NA())</f>
        <v>#N/A</v>
      </c>
      <c r="S8" t="e">
        <f ca="1">IF(R4&lt;(TODAY()-1),SUM($B$6:S6),NA())</f>
        <v>#N/A</v>
      </c>
      <c r="T8" t="e">
        <f ca="1">IF(S4&lt;(TODAY()-1),SUM($B$6:T6),NA())</f>
        <v>#N/A</v>
      </c>
      <c r="U8" t="e">
        <f ca="1">IF(T4&lt;(TODAY()-1),SUM($B$6:U6),NA())</f>
        <v>#N/A</v>
      </c>
      <c r="V8" t="e">
        <f ca="1">IF(U4&lt;(TODAY()-1),SUM($B$6:V6),NA())</f>
        <v>#N/A</v>
      </c>
      <c r="W8" t="e">
        <f ca="1">IF(V4&lt;(TODAY()-1),SUM($B$6:W6),NA())</f>
        <v>#N/A</v>
      </c>
      <c r="X8" t="e">
        <f ca="1">IF(W4&lt;(TODAY()-1),SUM($B$6:X6),NA())</f>
        <v>#N/A</v>
      </c>
      <c r="Y8" t="e">
        <f ca="1">IF(X4&lt;(TODAY()-1),SUM($B$6:Y6),NA())</f>
        <v>#N/A</v>
      </c>
      <c r="Z8" t="e">
        <f ca="1">IF(Y4&lt;(TODAY()-1),SUM($B$6:Z6),NA())</f>
        <v>#N/A</v>
      </c>
      <c r="AA8" t="e">
        <f ca="1">IF(Z4&lt;(TODAY()-1),SUM($B$6:AA6),NA())</f>
        <v>#N/A</v>
      </c>
      <c r="AB8" t="e">
        <f ca="1">IF(AA4&lt;(TODAY()-1),SUM($B$6:AB6),NA())</f>
        <v>#N/A</v>
      </c>
      <c r="AC8" t="e">
        <f ca="1">IF(AB4&lt;(TODAY()-1),SUM($B$6:AC6),NA())</f>
        <v>#N/A</v>
      </c>
      <c r="AD8" t="e">
        <f ca="1">IF(AC4&lt;(TODAY()-1),SUM($B$6:AD6),NA())</f>
        <v>#N/A</v>
      </c>
      <c r="AE8" t="e">
        <f ca="1">IF(AD4&lt;(TODAY()-1),SUM($B$6:AE6),NA())</f>
        <v>#N/A</v>
      </c>
      <c r="AF8" t="e">
        <f ca="1">IF(AE4&lt;(TODAY()-1),SUM($B$6:AF6),NA())</f>
        <v>#N/A</v>
      </c>
    </row>
    <row r="9" spans="1:32">
      <c r="A9" s="39" t="s">
        <v>759</v>
      </c>
      <c r="B9" s="49">
        <f>IF(B6&lt;&gt;0,B6/B5-1,"-")</f>
        <v>-0.16881138504710358</v>
      </c>
      <c r="C9" s="49">
        <f t="shared" ref="C9:AF9" si="0">IF(C6&lt;&gt;0,C6/C5-1,"-")</f>
        <v>-0.10788023361026566</v>
      </c>
      <c r="D9" s="49">
        <f t="shared" si="0"/>
        <v>-4.2479520310784613E-2</v>
      </c>
      <c r="E9" s="49">
        <f t="shared" si="0"/>
        <v>-1.5822272580123031E-2</v>
      </c>
      <c r="F9" s="49">
        <f t="shared" si="0"/>
        <v>8.0806850927391594E-2</v>
      </c>
      <c r="G9" s="49">
        <f t="shared" si="0"/>
        <v>7.6756306024598597E-2</v>
      </c>
      <c r="H9" s="49">
        <f t="shared" si="0"/>
        <v>3.4912817253842876E-2</v>
      </c>
      <c r="I9" s="49">
        <f t="shared" si="0"/>
        <v>0.26605579981098737</v>
      </c>
      <c r="J9" s="49">
        <f t="shared" si="0"/>
        <v>0.25680799724233028</v>
      </c>
      <c r="K9" s="49">
        <f t="shared" si="0"/>
        <v>0.16141409786591931</v>
      </c>
      <c r="L9" s="49">
        <f t="shared" si="0"/>
        <v>0.39331608262795492</v>
      </c>
      <c r="M9" s="49">
        <f t="shared" si="0"/>
        <v>0.45522889542209155</v>
      </c>
      <c r="N9" s="49">
        <f t="shared" si="0"/>
        <v>0.29533762709118161</v>
      </c>
      <c r="O9" s="49" t="str">
        <f t="shared" si="0"/>
        <v>-</v>
      </c>
      <c r="P9" s="49" t="str">
        <f t="shared" si="0"/>
        <v>-</v>
      </c>
      <c r="Q9" s="49" t="str">
        <f t="shared" si="0"/>
        <v>-</v>
      </c>
      <c r="R9" s="49" t="str">
        <f t="shared" si="0"/>
        <v>-</v>
      </c>
      <c r="S9" s="49" t="str">
        <f t="shared" si="0"/>
        <v>-</v>
      </c>
      <c r="T9" s="49" t="str">
        <f t="shared" si="0"/>
        <v>-</v>
      </c>
      <c r="U9" s="49" t="str">
        <f t="shared" si="0"/>
        <v>-</v>
      </c>
      <c r="V9" s="49" t="str">
        <f t="shared" si="0"/>
        <v>-</v>
      </c>
      <c r="W9" s="49" t="str">
        <f t="shared" si="0"/>
        <v>-</v>
      </c>
      <c r="X9" s="49" t="str">
        <f t="shared" si="0"/>
        <v>-</v>
      </c>
      <c r="Y9" s="49" t="str">
        <f t="shared" si="0"/>
        <v>-</v>
      </c>
      <c r="Z9" s="49" t="str">
        <f t="shared" si="0"/>
        <v>-</v>
      </c>
      <c r="AA9" s="49" t="str">
        <f t="shared" si="0"/>
        <v>-</v>
      </c>
      <c r="AB9" s="49" t="str">
        <f t="shared" si="0"/>
        <v>-</v>
      </c>
      <c r="AC9" s="49" t="str">
        <f t="shared" si="0"/>
        <v>-</v>
      </c>
      <c r="AD9" s="49" t="str">
        <f t="shared" si="0"/>
        <v>-</v>
      </c>
      <c r="AE9" s="49" t="str">
        <f t="shared" si="0"/>
        <v>-</v>
      </c>
      <c r="AF9" s="49" t="str">
        <f t="shared" si="0"/>
        <v>-</v>
      </c>
    </row>
    <row r="10" spans="1:32">
      <c r="A10" s="39" t="s">
        <v>760</v>
      </c>
      <c r="B10" s="49">
        <f ca="1">IFERROR(B8/B7-1,"-")</f>
        <v>-0.16881138504710358</v>
      </c>
      <c r="C10" s="49">
        <f t="shared" ref="C10:AF10" ca="1" si="1">IFERROR(C8/C7-1,"-")</f>
        <v>-0.13873606853569909</v>
      </c>
      <c r="D10" s="49">
        <f t="shared" ca="1" si="1"/>
        <v>-0.10748413100999443</v>
      </c>
      <c r="E10" s="49">
        <f t="shared" ca="1" si="1"/>
        <v>-8.4288245112797311E-2</v>
      </c>
      <c r="F10" s="49">
        <f t="shared" ca="1" si="1"/>
        <v>-5.1025414581493456E-2</v>
      </c>
      <c r="G10" s="49">
        <f t="shared" ca="1" si="1"/>
        <v>-3.0073080525304774E-2</v>
      </c>
      <c r="H10" s="49">
        <f t="shared" ca="1" si="1"/>
        <v>-2.0530288007278963E-2</v>
      </c>
      <c r="I10" s="49">
        <f t="shared" ca="1" si="1"/>
        <v>1.5092624277929012E-2</v>
      </c>
      <c r="J10" s="49">
        <f t="shared" ca="1" si="1"/>
        <v>4.0707948438120756E-2</v>
      </c>
      <c r="K10" s="49">
        <f t="shared" ca="1" si="1"/>
        <v>5.2268016548717045E-2</v>
      </c>
      <c r="L10" s="49">
        <f t="shared" ca="1" si="1"/>
        <v>8.1612860620011718E-2</v>
      </c>
      <c r="M10" s="49">
        <f t="shared" ca="1" si="1"/>
        <v>0.11241495126469414</v>
      </c>
      <c r="N10" s="49">
        <f t="shared" ca="1" si="1"/>
        <v>0.12681982315338192</v>
      </c>
      <c r="O10" s="49" t="str">
        <f t="shared" ca="1" si="1"/>
        <v>-</v>
      </c>
      <c r="P10" s="49" t="str">
        <f t="shared" ca="1" si="1"/>
        <v>-</v>
      </c>
      <c r="Q10" s="49" t="str">
        <f t="shared" ca="1" si="1"/>
        <v>-</v>
      </c>
      <c r="R10" s="49" t="str">
        <f t="shared" ca="1" si="1"/>
        <v>-</v>
      </c>
      <c r="S10" s="49" t="str">
        <f t="shared" ca="1" si="1"/>
        <v>-</v>
      </c>
      <c r="T10" s="49" t="str">
        <f t="shared" ca="1" si="1"/>
        <v>-</v>
      </c>
      <c r="U10" s="49" t="str">
        <f t="shared" ca="1" si="1"/>
        <v>-</v>
      </c>
      <c r="V10" s="49" t="str">
        <f t="shared" ca="1" si="1"/>
        <v>-</v>
      </c>
      <c r="W10" s="49" t="str">
        <f t="shared" ca="1" si="1"/>
        <v>-</v>
      </c>
      <c r="X10" s="49" t="str">
        <f t="shared" ca="1" si="1"/>
        <v>-</v>
      </c>
      <c r="Y10" s="49" t="str">
        <f t="shared" ca="1" si="1"/>
        <v>-</v>
      </c>
      <c r="Z10" s="49" t="str">
        <f t="shared" ca="1" si="1"/>
        <v>-</v>
      </c>
      <c r="AA10" s="49" t="str">
        <f t="shared" ca="1" si="1"/>
        <v>-</v>
      </c>
      <c r="AB10" s="49" t="str">
        <f t="shared" ca="1" si="1"/>
        <v>-</v>
      </c>
      <c r="AC10" s="49" t="str">
        <f t="shared" ca="1" si="1"/>
        <v>-</v>
      </c>
      <c r="AD10" s="49" t="str">
        <f t="shared" ca="1" si="1"/>
        <v>-</v>
      </c>
      <c r="AE10" s="49" t="str">
        <f t="shared" ca="1" si="1"/>
        <v>-</v>
      </c>
      <c r="AF10" s="49" t="str">
        <f t="shared" ca="1" si="1"/>
        <v>-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79"/>
  <sheetViews>
    <sheetView topLeftCell="A118" workbookViewId="0">
      <selection activeCell="F128" sqref="F128:F131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28" t="s">
        <v>16</v>
      </c>
      <c r="B1" s="28" t="s">
        <v>3</v>
      </c>
      <c r="C1" s="28" t="s">
        <v>288</v>
      </c>
      <c r="D1" s="28" t="s">
        <v>333</v>
      </c>
      <c r="E1" s="28" t="s">
        <v>349</v>
      </c>
      <c r="F1" s="44"/>
      <c r="G1" s="44"/>
      <c r="H1" s="44"/>
      <c r="I1" s="45"/>
      <c r="J1" s="28" t="s">
        <v>6</v>
      </c>
      <c r="K1" s="44"/>
      <c r="L1" s="44"/>
      <c r="M1" s="44"/>
      <c r="N1" s="44"/>
      <c r="O1" s="44"/>
      <c r="P1" s="44"/>
      <c r="Q1" s="45"/>
      <c r="R1" s="28" t="s">
        <v>348</v>
      </c>
      <c r="S1" s="44"/>
      <c r="T1" s="44"/>
      <c r="U1" s="44"/>
      <c r="V1" s="45"/>
      <c r="W1" s="28" t="s">
        <v>347</v>
      </c>
      <c r="X1" s="44"/>
      <c r="Y1" s="44"/>
      <c r="Z1" s="44"/>
      <c r="AA1" s="44"/>
      <c r="AB1" s="45"/>
      <c r="AC1" s="28" t="s">
        <v>334</v>
      </c>
      <c r="AD1" s="44"/>
      <c r="AE1" s="44"/>
      <c r="AF1" s="44"/>
      <c r="AG1" s="44"/>
      <c r="AH1" s="45"/>
      <c r="AI1" s="28" t="s">
        <v>346</v>
      </c>
      <c r="AJ1" s="44"/>
      <c r="AK1" s="44"/>
      <c r="AL1" s="44"/>
      <c r="AM1" s="44"/>
      <c r="AN1" s="44"/>
      <c r="AO1" s="44"/>
      <c r="AP1" s="44"/>
      <c r="AQ1" s="45"/>
      <c r="AR1" s="28" t="s">
        <v>345</v>
      </c>
      <c r="AS1" s="44"/>
      <c r="AT1" s="44"/>
      <c r="AU1" s="44"/>
      <c r="AV1" s="44"/>
      <c r="AW1" s="44"/>
      <c r="AX1" s="44"/>
      <c r="AY1" s="44"/>
      <c r="AZ1" s="44"/>
      <c r="BA1" s="45"/>
      <c r="BB1" s="28" t="s">
        <v>344</v>
      </c>
      <c r="BC1" s="44"/>
      <c r="BD1" s="44"/>
      <c r="BE1" s="44"/>
      <c r="BF1" s="45"/>
    </row>
    <row r="2" spans="1:58" ht="28.7" customHeight="1">
      <c r="A2" s="47"/>
      <c r="B2" s="47"/>
      <c r="C2" s="47"/>
      <c r="D2" s="47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6" t="s">
        <v>1</v>
      </c>
      <c r="B3" s="44"/>
      <c r="C3" s="44"/>
      <c r="D3" s="45"/>
      <c r="E3" s="30">
        <v>471745</v>
      </c>
      <c r="F3" s="30">
        <v>423480</v>
      </c>
      <c r="G3" s="31">
        <v>0.89768836977604427</v>
      </c>
      <c r="H3" s="30">
        <v>238253</v>
      </c>
      <c r="I3" s="32">
        <v>0.50504615841185385</v>
      </c>
      <c r="J3" s="30">
        <v>473428</v>
      </c>
      <c r="K3" s="30">
        <v>459846</v>
      </c>
      <c r="L3" s="31">
        <v>0.97099999999999997</v>
      </c>
      <c r="M3" s="30">
        <v>2058807</v>
      </c>
      <c r="N3" s="30">
        <v>2062273</v>
      </c>
      <c r="O3" s="30">
        <v>2023211</v>
      </c>
      <c r="P3" s="31">
        <v>0.98271037547472884</v>
      </c>
      <c r="Q3" s="30">
        <v>5881</v>
      </c>
      <c r="R3" s="30">
        <v>737963</v>
      </c>
      <c r="S3" s="30">
        <v>371211</v>
      </c>
      <c r="T3" s="31">
        <v>0.50302115417710647</v>
      </c>
      <c r="U3" s="30">
        <v>148917</v>
      </c>
      <c r="V3" s="31">
        <v>0.2017946699224758</v>
      </c>
      <c r="W3" s="30">
        <v>425510</v>
      </c>
      <c r="X3" s="31">
        <v>0.90199154204072118</v>
      </c>
      <c r="Y3" s="30">
        <v>103349</v>
      </c>
      <c r="Z3" s="33">
        <v>0.21907810363649849</v>
      </c>
      <c r="AA3" s="30">
        <v>10420</v>
      </c>
      <c r="AB3" s="31">
        <v>2.208820443247941E-2</v>
      </c>
      <c r="AC3" s="30">
        <v>73552</v>
      </c>
      <c r="AD3" s="31">
        <v>0.15591474207463779</v>
      </c>
      <c r="AE3" s="30">
        <v>13537</v>
      </c>
      <c r="AF3" s="31">
        <v>0.184046660865782</v>
      </c>
      <c r="AG3" s="30">
        <v>66640</v>
      </c>
      <c r="AH3" s="31">
        <v>0.90602566891450942</v>
      </c>
      <c r="AI3" s="34">
        <v>72317</v>
      </c>
      <c r="AJ3" s="31">
        <v>0.15329680229785159</v>
      </c>
      <c r="AK3" s="34">
        <v>444</v>
      </c>
      <c r="AL3" s="31">
        <v>0.86510778931648158</v>
      </c>
      <c r="AM3" s="34">
        <v>71704</v>
      </c>
      <c r="AN3" s="34">
        <v>62562</v>
      </c>
      <c r="AO3" s="31">
        <v>0.1326182577451801</v>
      </c>
      <c r="AP3" s="31">
        <v>0.85058190123993904</v>
      </c>
      <c r="AQ3" s="32">
        <v>0.9656440655964692</v>
      </c>
      <c r="AR3" s="34">
        <v>8383</v>
      </c>
      <c r="AS3" s="34">
        <v>3525</v>
      </c>
      <c r="AT3" s="34">
        <v>13667</v>
      </c>
      <c r="AU3" s="34">
        <v>12386</v>
      </c>
      <c r="AV3" s="34">
        <v>12002</v>
      </c>
      <c r="AW3" s="34">
        <v>10313</v>
      </c>
      <c r="AX3" s="31">
        <v>2.6255710182407872E-2</v>
      </c>
      <c r="AY3" s="31">
        <v>2.5441711093917269E-2</v>
      </c>
      <c r="AZ3" s="31">
        <v>2.1861386978134369E-2</v>
      </c>
      <c r="BA3" s="31">
        <v>0.1918416930405038</v>
      </c>
      <c r="BB3" s="34">
        <v>0</v>
      </c>
      <c r="BC3" s="34">
        <v>33</v>
      </c>
      <c r="BD3" s="32">
        <v>0.98076323177706148</v>
      </c>
      <c r="BE3" s="32">
        <v>0.99173027989821882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2790</v>
      </c>
      <c r="F4" s="30">
        <v>2440</v>
      </c>
      <c r="G4" s="31">
        <v>0.87455197132616491</v>
      </c>
      <c r="H4" s="30">
        <v>1608</v>
      </c>
      <c r="I4" s="32">
        <v>0.57634408602150533</v>
      </c>
      <c r="J4" s="30">
        <v>3143</v>
      </c>
      <c r="K4" s="30">
        <v>3058</v>
      </c>
      <c r="L4" s="31">
        <v>0.97299999999999998</v>
      </c>
      <c r="M4" s="30">
        <v>13113</v>
      </c>
      <c r="N4" s="30">
        <v>12908</v>
      </c>
      <c r="O4" s="30">
        <v>12904</v>
      </c>
      <c r="P4" s="31">
        <v>0.98406161824143978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2074</v>
      </c>
      <c r="X4" s="31">
        <v>0.74336917562724014</v>
      </c>
      <c r="Y4" s="30">
        <v>486</v>
      </c>
      <c r="Z4" s="33">
        <v>0.1741935483870968</v>
      </c>
      <c r="AA4" s="30">
        <v>25</v>
      </c>
      <c r="AB4" s="31">
        <v>8.9605734767025085E-3</v>
      </c>
      <c r="AC4" s="30">
        <v>513</v>
      </c>
      <c r="AD4" s="31">
        <v>0.18387096774193551</v>
      </c>
      <c r="AE4" s="30">
        <v>96</v>
      </c>
      <c r="AF4" s="31">
        <v>0.1871345029239766</v>
      </c>
      <c r="AG4" s="30">
        <v>476</v>
      </c>
      <c r="AH4" s="31">
        <v>0.9278752436647173</v>
      </c>
      <c r="AI4" s="34">
        <v>481</v>
      </c>
      <c r="AJ4" s="31">
        <v>0.17240143369175631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0.14587813620071691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4.8028673835125449E-2</v>
      </c>
      <c r="AY4" s="31">
        <v>5.053763440860215E-2</v>
      </c>
      <c r="AZ4" s="31">
        <v>6.308243727598567E-2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1679</v>
      </c>
      <c r="K5" s="30">
        <v>1621</v>
      </c>
      <c r="L5" s="31">
        <v>0.96499999999999997</v>
      </c>
      <c r="M5" s="30">
        <v>9038</v>
      </c>
      <c r="N5" s="30">
        <v>8659</v>
      </c>
      <c r="O5" s="30">
        <v>8870</v>
      </c>
      <c r="P5" s="31">
        <v>0.98141181677362244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2159</v>
      </c>
      <c r="X5" s="31">
        <v>1.145966029723992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41</v>
      </c>
      <c r="F6" s="30">
        <v>40</v>
      </c>
      <c r="G6" s="31">
        <v>0.97560975609756095</v>
      </c>
      <c r="H6" s="30">
        <v>28</v>
      </c>
      <c r="I6" s="32">
        <v>0.68292682926829273</v>
      </c>
      <c r="J6" s="30">
        <v>32</v>
      </c>
      <c r="K6" s="30">
        <v>32</v>
      </c>
      <c r="L6" s="31">
        <v>1</v>
      </c>
      <c r="M6" s="30">
        <v>120</v>
      </c>
      <c r="N6" s="30">
        <v>109</v>
      </c>
      <c r="O6" s="30">
        <v>120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0.43902439024390238</v>
      </c>
      <c r="AE6" s="30">
        <v>9</v>
      </c>
      <c r="AF6" s="31">
        <v>0.5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3479</v>
      </c>
      <c r="F7" s="30">
        <v>3236</v>
      </c>
      <c r="G7" s="31">
        <v>0.93015234262719171</v>
      </c>
      <c r="H7" s="30">
        <v>2249</v>
      </c>
      <c r="I7" s="32">
        <v>0.64645012934751367</v>
      </c>
      <c r="J7" s="30">
        <v>4758</v>
      </c>
      <c r="K7" s="30">
        <v>4608</v>
      </c>
      <c r="L7" s="31">
        <v>0.96799999999999997</v>
      </c>
      <c r="M7" s="30">
        <v>25044</v>
      </c>
      <c r="N7" s="30">
        <v>25070</v>
      </c>
      <c r="O7" s="30">
        <v>24560</v>
      </c>
      <c r="P7" s="31">
        <v>0.98067401373582497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3260</v>
      </c>
      <c r="X7" s="31">
        <v>0.93705087668870368</v>
      </c>
      <c r="Y7" s="30">
        <v>951</v>
      </c>
      <c r="Z7" s="33">
        <v>0.27335441218741019</v>
      </c>
      <c r="AA7" s="30">
        <v>101</v>
      </c>
      <c r="AB7" s="31">
        <v>2.9031330842196029E-2</v>
      </c>
      <c r="AC7" s="30">
        <v>1016</v>
      </c>
      <c r="AD7" s="31">
        <v>0.29203794193733829</v>
      </c>
      <c r="AE7" s="30">
        <v>121</v>
      </c>
      <c r="AF7" s="31">
        <v>0.1190944881889764</v>
      </c>
      <c r="AG7" s="30">
        <v>949</v>
      </c>
      <c r="AH7" s="31">
        <v>0.93405511811023623</v>
      </c>
      <c r="AI7" s="34">
        <v>918</v>
      </c>
      <c r="AJ7" s="31">
        <v>0.26386892785283128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0.24633515377982179</v>
      </c>
      <c r="AP7" s="31">
        <v>0.84350393700787396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4.8002299511353839E-2</v>
      </c>
      <c r="AY7" s="31">
        <v>5.0014371945961478E-2</v>
      </c>
      <c r="AZ7" s="31">
        <v>9.1980454153492389E-2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2105</v>
      </c>
      <c r="F8" s="30">
        <v>1837</v>
      </c>
      <c r="G8" s="31">
        <v>0.87268408551068888</v>
      </c>
      <c r="H8" s="30">
        <v>844</v>
      </c>
      <c r="I8" s="32">
        <v>0.4009501187648456</v>
      </c>
      <c r="J8" s="30">
        <v>2275</v>
      </c>
      <c r="K8" s="30">
        <v>2205</v>
      </c>
      <c r="L8" s="31">
        <v>0.96899999999999997</v>
      </c>
      <c r="M8" s="30">
        <v>10652</v>
      </c>
      <c r="N8" s="30">
        <v>10659</v>
      </c>
      <c r="O8" s="30">
        <v>10472</v>
      </c>
      <c r="P8" s="31">
        <v>0.98310176492677437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2878</v>
      </c>
      <c r="X8" s="31">
        <v>1.367220902612827</v>
      </c>
      <c r="Y8" s="30">
        <v>454</v>
      </c>
      <c r="Z8" s="33">
        <v>0.21567695961995251</v>
      </c>
      <c r="AA8" s="30">
        <v>29</v>
      </c>
      <c r="AB8" s="31">
        <v>1.3776722090261279E-2</v>
      </c>
      <c r="AC8" s="30">
        <v>284</v>
      </c>
      <c r="AD8" s="31">
        <v>0.134916864608076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0.12826603325415681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0.1125890736342043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3.3254156769596199E-2</v>
      </c>
      <c r="AY8" s="31">
        <v>3.3254156769596199E-2</v>
      </c>
      <c r="AZ8" s="31">
        <v>3.7054631828978619E-2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1958</v>
      </c>
      <c r="F9" s="30">
        <v>1746</v>
      </c>
      <c r="G9" s="31">
        <v>0.89172625127681304</v>
      </c>
      <c r="H9" s="30">
        <v>628</v>
      </c>
      <c r="I9" s="32">
        <v>0.32073544433095003</v>
      </c>
      <c r="J9" s="30">
        <v>1419</v>
      </c>
      <c r="K9" s="30">
        <v>1355</v>
      </c>
      <c r="L9" s="31">
        <v>0.95499999999999996</v>
      </c>
      <c r="M9" s="30">
        <v>8498</v>
      </c>
      <c r="N9" s="30">
        <v>8362</v>
      </c>
      <c r="O9" s="30">
        <v>8328</v>
      </c>
      <c r="P9" s="31">
        <v>0.97999529301012001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2665</v>
      </c>
      <c r="X9" s="31">
        <v>1.3610827374872321</v>
      </c>
      <c r="Y9" s="30">
        <v>474</v>
      </c>
      <c r="Z9" s="33">
        <v>0.24208375893769149</v>
      </c>
      <c r="AA9" s="30">
        <v>20</v>
      </c>
      <c r="AB9" s="31">
        <v>1.021450459652707E-2</v>
      </c>
      <c r="AC9" s="30">
        <v>236</v>
      </c>
      <c r="AD9" s="31">
        <v>0.1205311542390194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0.1067415730337079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8.8355464759959146E-2</v>
      </c>
      <c r="AP9" s="31">
        <v>0.73305084745762716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2.1450459652706848E-2</v>
      </c>
      <c r="AY9" s="31">
        <v>2.1450459652706848E-2</v>
      </c>
      <c r="AZ9" s="31">
        <v>1.838610827374872E-2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28</v>
      </c>
      <c r="F10" s="30">
        <v>26</v>
      </c>
      <c r="G10" s="31">
        <v>0.9285714285714286</v>
      </c>
      <c r="H10" s="30">
        <v>18</v>
      </c>
      <c r="I10" s="32">
        <v>0.6428571428571429</v>
      </c>
      <c r="J10" s="30">
        <v>26</v>
      </c>
      <c r="K10" s="30">
        <v>25</v>
      </c>
      <c r="L10" s="31">
        <v>0.96199999999999997</v>
      </c>
      <c r="M10" s="30">
        <v>127</v>
      </c>
      <c r="N10" s="30">
        <v>100</v>
      </c>
      <c r="O10" s="30">
        <v>123</v>
      </c>
      <c r="P10" s="31">
        <v>0.96850393700787396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10</v>
      </c>
      <c r="AD10" s="31">
        <v>0.35714285714285721</v>
      </c>
      <c r="AE10" s="30">
        <v>6</v>
      </c>
      <c r="AF10" s="31">
        <v>0.6</v>
      </c>
      <c r="AG10" s="30">
        <v>10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3940</v>
      </c>
      <c r="F11" s="30">
        <v>3524</v>
      </c>
      <c r="G11" s="31">
        <v>0.89441624365482231</v>
      </c>
      <c r="H11" s="30">
        <v>2699</v>
      </c>
      <c r="I11" s="32">
        <v>0.68502538071065988</v>
      </c>
      <c r="J11" s="30">
        <v>4851</v>
      </c>
      <c r="K11" s="30">
        <v>4701</v>
      </c>
      <c r="L11" s="31">
        <v>0.96899999999999997</v>
      </c>
      <c r="M11" s="30">
        <v>23226</v>
      </c>
      <c r="N11" s="30">
        <v>22990</v>
      </c>
      <c r="O11" s="30">
        <v>22811</v>
      </c>
      <c r="P11" s="31">
        <v>0.98213209334366658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4318</v>
      </c>
      <c r="X11" s="31">
        <v>1.0959390862944161</v>
      </c>
      <c r="Y11" s="30">
        <v>968</v>
      </c>
      <c r="Z11" s="33">
        <v>0.2456852791878173</v>
      </c>
      <c r="AA11" s="30">
        <v>81</v>
      </c>
      <c r="AB11" s="31">
        <v>2.0558375634517762E-2</v>
      </c>
      <c r="AC11" s="30">
        <v>550</v>
      </c>
      <c r="AD11" s="31">
        <v>0.1395939086294416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0.12969543147208121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0.117258883248731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2.309644670050761E-2</v>
      </c>
      <c r="AY11" s="31">
        <v>2.360406091370558E-2</v>
      </c>
      <c r="AZ11" s="31">
        <v>1.979695431472081E-2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1800</v>
      </c>
      <c r="F12" s="30">
        <v>1572</v>
      </c>
      <c r="G12" s="31">
        <v>0.87333333333333329</v>
      </c>
      <c r="H12" s="30">
        <v>650</v>
      </c>
      <c r="I12" s="32">
        <v>0.3611111111111111</v>
      </c>
      <c r="J12" s="30">
        <v>2176</v>
      </c>
      <c r="K12" s="30">
        <v>2086</v>
      </c>
      <c r="L12" s="31">
        <v>0.95899999999999996</v>
      </c>
      <c r="M12" s="30">
        <v>10361</v>
      </c>
      <c r="N12" s="30">
        <v>10148</v>
      </c>
      <c r="O12" s="30">
        <v>10206</v>
      </c>
      <c r="P12" s="31">
        <v>0.98504005404883699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3412</v>
      </c>
      <c r="X12" s="31">
        <v>1.8955555555555561</v>
      </c>
      <c r="Y12" s="30">
        <v>758</v>
      </c>
      <c r="Z12" s="33">
        <v>0.4211111111111111</v>
      </c>
      <c r="AA12" s="30">
        <v>41</v>
      </c>
      <c r="AB12" s="31">
        <v>2.2777777777777779E-2</v>
      </c>
      <c r="AC12" s="30">
        <v>263</v>
      </c>
      <c r="AD12" s="31">
        <v>0.14611111111111111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0.15277777777777779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3.0555555555555551E-2</v>
      </c>
      <c r="AY12" s="31">
        <v>0.03</v>
      </c>
      <c r="AZ12" s="31">
        <v>0.1011111111111111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2102</v>
      </c>
      <c r="F13" s="30">
        <v>1856</v>
      </c>
      <c r="G13" s="31">
        <v>0.88296860133206467</v>
      </c>
      <c r="H13" s="30">
        <v>655</v>
      </c>
      <c r="I13" s="32">
        <v>0.31160799238820169</v>
      </c>
      <c r="J13" s="30">
        <v>1464</v>
      </c>
      <c r="K13" s="30">
        <v>1412</v>
      </c>
      <c r="L13" s="31">
        <v>0.96399999999999997</v>
      </c>
      <c r="M13" s="30">
        <v>7351</v>
      </c>
      <c r="N13" s="30">
        <v>7561</v>
      </c>
      <c r="O13" s="30">
        <v>7230</v>
      </c>
      <c r="P13" s="31">
        <v>0.98353965446877978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3295</v>
      </c>
      <c r="X13" s="31">
        <v>1.5675547098001901</v>
      </c>
      <c r="Y13" s="30">
        <v>921</v>
      </c>
      <c r="Z13" s="33">
        <v>0.43815413891531868</v>
      </c>
      <c r="AA13" s="30">
        <v>15</v>
      </c>
      <c r="AB13" s="31">
        <v>7.136060894386299E-3</v>
      </c>
      <c r="AC13" s="30">
        <v>235</v>
      </c>
      <c r="AD13" s="31">
        <v>0.1117982873453853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0.109895337773549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9.6098953377735497E-2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1.2844909609895341E-2</v>
      </c>
      <c r="AY13" s="31">
        <v>1.522359657469077E-2</v>
      </c>
      <c r="AZ13" s="31">
        <v>3.0922930542340629E-2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28</v>
      </c>
      <c r="F14" s="30">
        <v>28</v>
      </c>
      <c r="G14" s="31">
        <v>1</v>
      </c>
      <c r="H14" s="30">
        <v>16</v>
      </c>
      <c r="I14" s="32">
        <v>0.5714285714285714</v>
      </c>
      <c r="J14" s="30">
        <v>24</v>
      </c>
      <c r="K14" s="30">
        <v>24</v>
      </c>
      <c r="L14" s="31">
        <v>1</v>
      </c>
      <c r="M14" s="30">
        <v>111</v>
      </c>
      <c r="N14" s="30">
        <v>100</v>
      </c>
      <c r="O14" s="30">
        <v>110</v>
      </c>
      <c r="P14" s="31">
        <v>0.99099099099099097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12</v>
      </c>
      <c r="AD14" s="31">
        <v>0.42857142857142849</v>
      </c>
      <c r="AE14" s="30">
        <v>2</v>
      </c>
      <c r="AF14" s="31">
        <v>0.16666666666666671</v>
      </c>
      <c r="AG14" s="30">
        <v>11</v>
      </c>
      <c r="AH14" s="31">
        <v>0.91666666666666663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3801</v>
      </c>
      <c r="F15" s="30">
        <v>3390</v>
      </c>
      <c r="G15" s="31">
        <v>0.89187056037884771</v>
      </c>
      <c r="H15" s="30">
        <v>2509</v>
      </c>
      <c r="I15" s="32">
        <v>0.66008945014469877</v>
      </c>
      <c r="J15" s="30">
        <v>5004</v>
      </c>
      <c r="K15" s="30">
        <v>4854</v>
      </c>
      <c r="L15" s="31">
        <v>0.97</v>
      </c>
      <c r="M15" s="30">
        <v>23165</v>
      </c>
      <c r="N15" s="30">
        <v>22649</v>
      </c>
      <c r="O15" s="30">
        <v>22846</v>
      </c>
      <c r="P15" s="31">
        <v>0.9862292251241096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4621</v>
      </c>
      <c r="X15" s="31">
        <v>1.2157327019205471</v>
      </c>
      <c r="Y15" s="30">
        <v>1242</v>
      </c>
      <c r="Z15" s="33">
        <v>0.3267561168113654</v>
      </c>
      <c r="AA15" s="30">
        <v>113</v>
      </c>
      <c r="AB15" s="31">
        <v>2.9729018679294918E-2</v>
      </c>
      <c r="AC15" s="30">
        <v>500</v>
      </c>
      <c r="AD15" s="31">
        <v>0.13154433043935809</v>
      </c>
      <c r="AE15" s="30">
        <v>100</v>
      </c>
      <c r="AF15" s="31">
        <v>0.2</v>
      </c>
      <c r="AG15" s="30">
        <v>475</v>
      </c>
      <c r="AH15" s="31">
        <v>0.95</v>
      </c>
      <c r="AI15" s="34">
        <v>481</v>
      </c>
      <c r="AJ15" s="31">
        <v>0.12654564588266251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0.1152328334648777</v>
      </c>
      <c r="AP15" s="31">
        <v>0.876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2.341489081820574E-2</v>
      </c>
      <c r="AY15" s="31">
        <v>2.3677979479084451E-2</v>
      </c>
      <c r="AZ15" s="31">
        <v>6.3404367271770581E-2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2618</v>
      </c>
      <c r="F16" s="30">
        <v>2311</v>
      </c>
      <c r="G16" s="31">
        <v>0.88273491214667688</v>
      </c>
      <c r="H16" s="30">
        <v>749</v>
      </c>
      <c r="I16" s="32">
        <v>0.28609625668449201</v>
      </c>
      <c r="J16" s="30">
        <v>2173</v>
      </c>
      <c r="K16" s="30">
        <v>2087</v>
      </c>
      <c r="L16" s="31">
        <v>0.96</v>
      </c>
      <c r="M16" s="30">
        <v>10289</v>
      </c>
      <c r="N16" s="30">
        <v>10164</v>
      </c>
      <c r="O16" s="30">
        <v>10113</v>
      </c>
      <c r="P16" s="31">
        <v>0.98289435319273011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2940</v>
      </c>
      <c r="X16" s="31">
        <v>1.1229946524064169</v>
      </c>
      <c r="Y16" s="30">
        <v>647</v>
      </c>
      <c r="Z16" s="33">
        <v>0.24713521772345301</v>
      </c>
      <c r="AA16" s="30">
        <v>51</v>
      </c>
      <c r="AB16" s="31">
        <v>1.948051948051948E-2</v>
      </c>
      <c r="AC16" s="30">
        <v>265</v>
      </c>
      <c r="AD16" s="31">
        <v>0.10122230710466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9.9312452253628725E-2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8.8235294117647065E-2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2.3300229182582129E-2</v>
      </c>
      <c r="AY16" s="31">
        <v>2.368220015278839E-2</v>
      </c>
      <c r="AZ16" s="31">
        <v>2.6737967914438499E-2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2982</v>
      </c>
      <c r="F17" s="30">
        <v>2591</v>
      </c>
      <c r="G17" s="31">
        <v>0.86887994634473509</v>
      </c>
      <c r="H17" s="30">
        <v>1453</v>
      </c>
      <c r="I17" s="32">
        <v>0.48725687458081818</v>
      </c>
      <c r="J17" s="30">
        <v>1973</v>
      </c>
      <c r="K17" s="30">
        <v>1927</v>
      </c>
      <c r="L17" s="31">
        <v>0.97699999999999998</v>
      </c>
      <c r="M17" s="30">
        <v>8059</v>
      </c>
      <c r="N17" s="30">
        <v>8116</v>
      </c>
      <c r="O17" s="30">
        <v>7916</v>
      </c>
      <c r="P17" s="31">
        <v>0.98225586301029899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3080</v>
      </c>
      <c r="X17" s="31">
        <v>1.032863849765258</v>
      </c>
      <c r="Y17" s="30">
        <v>633</v>
      </c>
      <c r="Z17" s="33">
        <v>0.21227364185110659</v>
      </c>
      <c r="AA17" s="30">
        <v>22</v>
      </c>
      <c r="AB17" s="31">
        <v>7.3775989268947016E-3</v>
      </c>
      <c r="AC17" s="30">
        <v>228</v>
      </c>
      <c r="AD17" s="31">
        <v>7.6458752515090544E-2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7.1428571428571425E-2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6.170355466130114E-2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1.173708920187793E-2</v>
      </c>
      <c r="AY17" s="31">
        <v>1.106639839034205E-2</v>
      </c>
      <c r="AZ17" s="31">
        <v>9.0543259557344068E-3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35</v>
      </c>
      <c r="F18" s="30">
        <v>32</v>
      </c>
      <c r="G18" s="31">
        <v>0.91428571428571426</v>
      </c>
      <c r="H18" s="30">
        <v>17</v>
      </c>
      <c r="I18" s="32">
        <v>0.48571428571428571</v>
      </c>
      <c r="J18" s="30">
        <v>29</v>
      </c>
      <c r="K18" s="30">
        <v>29</v>
      </c>
      <c r="L18" s="31">
        <v>1</v>
      </c>
      <c r="M18" s="30">
        <v>117</v>
      </c>
      <c r="N18" s="30">
        <v>116</v>
      </c>
      <c r="O18" s="30">
        <v>117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0.25714285714285712</v>
      </c>
      <c r="AE18" s="30">
        <v>8</v>
      </c>
      <c r="AF18" s="31">
        <v>0.88888888888888884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3324</v>
      </c>
      <c r="F19" s="30">
        <v>3014</v>
      </c>
      <c r="G19" s="31">
        <v>0.90673886883273169</v>
      </c>
      <c r="H19" s="30">
        <v>2005</v>
      </c>
      <c r="I19" s="32">
        <v>0.60318892900120336</v>
      </c>
      <c r="J19" s="30">
        <v>4428</v>
      </c>
      <c r="K19" s="30">
        <v>4323</v>
      </c>
      <c r="L19" s="31">
        <v>0.97599999999999998</v>
      </c>
      <c r="M19" s="30">
        <v>21648</v>
      </c>
      <c r="N19" s="30">
        <v>21760</v>
      </c>
      <c r="O19" s="30">
        <v>21321</v>
      </c>
      <c r="P19" s="31">
        <v>0.98489467849223944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4027</v>
      </c>
      <c r="X19" s="31">
        <v>1.211492178098676</v>
      </c>
      <c r="Y19" s="30">
        <v>1151</v>
      </c>
      <c r="Z19" s="33">
        <v>0.34626955475330928</v>
      </c>
      <c r="AA19" s="30">
        <v>118</v>
      </c>
      <c r="AB19" s="31">
        <v>3.5499398315282787E-2</v>
      </c>
      <c r="AC19" s="30">
        <v>534</v>
      </c>
      <c r="AD19" s="31">
        <v>0.16064981949458479</v>
      </c>
      <c r="AE19" s="30">
        <v>66</v>
      </c>
      <c r="AF19" s="31">
        <v>0.1235955056179775</v>
      </c>
      <c r="AG19" s="30">
        <v>504</v>
      </c>
      <c r="AH19" s="31">
        <v>0.9438202247191011</v>
      </c>
      <c r="AI19" s="34">
        <v>513</v>
      </c>
      <c r="AJ19" s="31">
        <v>0.15433212996389889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0.1432009626955475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3.2190132370637788E-2</v>
      </c>
      <c r="AY19" s="31">
        <v>3.2791817087845967E-2</v>
      </c>
      <c r="AZ19" s="31">
        <v>4.8134777376654628E-2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2757</v>
      </c>
      <c r="F20" s="30">
        <v>2375</v>
      </c>
      <c r="G20" s="31">
        <v>0.86144359811389193</v>
      </c>
      <c r="H20" s="30">
        <v>724</v>
      </c>
      <c r="I20" s="32">
        <v>0.26260428001450847</v>
      </c>
      <c r="J20" s="30">
        <v>2212</v>
      </c>
      <c r="K20" s="30">
        <v>2133</v>
      </c>
      <c r="L20" s="31">
        <v>0.96399999999999997</v>
      </c>
      <c r="M20" s="30">
        <v>9881</v>
      </c>
      <c r="N20" s="30">
        <v>9835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2524</v>
      </c>
      <c r="X20" s="31">
        <v>0.91548784911135295</v>
      </c>
      <c r="Y20" s="30">
        <v>684</v>
      </c>
      <c r="Z20" s="33">
        <v>0.24809575625680089</v>
      </c>
      <c r="AA20" s="30">
        <v>37</v>
      </c>
      <c r="AB20" s="31">
        <v>1.3420384475879579E-2</v>
      </c>
      <c r="AC20" s="30">
        <v>297</v>
      </c>
      <c r="AD20" s="31">
        <v>0.10772578890097929</v>
      </c>
      <c r="AE20" s="30">
        <v>55</v>
      </c>
      <c r="AF20" s="31">
        <v>0.1851851851851852</v>
      </c>
      <c r="AG20" s="30">
        <v>270</v>
      </c>
      <c r="AH20" s="31">
        <v>0.90909090909090906</v>
      </c>
      <c r="AI20" s="34">
        <v>288</v>
      </c>
      <c r="AJ20" s="31">
        <v>0.10446137105549511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9.0315560391730138E-2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1.8498367791077261E-2</v>
      </c>
      <c r="AY20" s="31">
        <v>1.8498367791077261E-2</v>
      </c>
      <c r="AZ20" s="31">
        <v>2.4301777294160321E-2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2160</v>
      </c>
      <c r="F21" s="30">
        <v>1968</v>
      </c>
      <c r="G21" s="31">
        <v>0.91111111111111109</v>
      </c>
      <c r="H21" s="30">
        <v>735</v>
      </c>
      <c r="I21" s="32">
        <v>0.34027777777777779</v>
      </c>
      <c r="J21" s="30">
        <v>1697</v>
      </c>
      <c r="K21" s="30">
        <v>1629</v>
      </c>
      <c r="L21" s="31">
        <v>0.96</v>
      </c>
      <c r="M21" s="30">
        <v>7783</v>
      </c>
      <c r="N21" s="30">
        <v>8075</v>
      </c>
      <c r="O21" s="30">
        <v>7635</v>
      </c>
      <c r="P21" s="31">
        <v>0.98098419632532441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2594</v>
      </c>
      <c r="X21" s="31">
        <v>1.200925925925926</v>
      </c>
      <c r="Y21" s="30">
        <v>1000</v>
      </c>
      <c r="Z21" s="33">
        <v>0.46296296296296302</v>
      </c>
      <c r="AA21" s="30">
        <v>13</v>
      </c>
      <c r="AB21" s="31">
        <v>6.0185185185185194E-3</v>
      </c>
      <c r="AC21" s="30">
        <v>244</v>
      </c>
      <c r="AD21" s="31">
        <v>0.112962962962963</v>
      </c>
      <c r="AE21" s="30">
        <v>40</v>
      </c>
      <c r="AF21" s="31">
        <v>0.16393442622950821</v>
      </c>
      <c r="AG21" s="30">
        <v>232</v>
      </c>
      <c r="AH21" s="31">
        <v>0.95081967213114749</v>
      </c>
      <c r="AI21" s="34">
        <v>224</v>
      </c>
      <c r="AJ21" s="31">
        <v>0.1037037037037037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8.8888888888888892E-2</v>
      </c>
      <c r="AP21" s="31">
        <v>0.78688524590163933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1.805555555555555E-2</v>
      </c>
      <c r="AY21" s="31">
        <v>1.666666666666667E-2</v>
      </c>
      <c r="AZ21" s="31">
        <v>1.064814814814815E-2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41</v>
      </c>
      <c r="F22" s="30">
        <v>38</v>
      </c>
      <c r="G22" s="31">
        <v>0.92682926829268297</v>
      </c>
      <c r="H22" s="30">
        <v>23</v>
      </c>
      <c r="I22" s="32">
        <v>0.56097560975609762</v>
      </c>
      <c r="J22" s="30">
        <v>29</v>
      </c>
      <c r="K22" s="30">
        <v>29</v>
      </c>
      <c r="L22" s="31">
        <v>1</v>
      </c>
      <c r="M22" s="30">
        <v>138</v>
      </c>
      <c r="N22" s="30">
        <v>112</v>
      </c>
      <c r="O22" s="30">
        <v>138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0.17073170731707321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3919</v>
      </c>
      <c r="F23" s="30">
        <v>3517</v>
      </c>
      <c r="G23" s="31">
        <v>0.89742281194182194</v>
      </c>
      <c r="H23" s="30">
        <v>2665</v>
      </c>
      <c r="I23" s="32">
        <v>0.6800204133707578</v>
      </c>
      <c r="J23" s="30">
        <v>4673</v>
      </c>
      <c r="K23" s="30">
        <v>4545</v>
      </c>
      <c r="L23" s="31">
        <v>0.97299999999999998</v>
      </c>
      <c r="M23" s="30">
        <v>21334</v>
      </c>
      <c r="N23" s="30">
        <v>21313</v>
      </c>
      <c r="O23" s="30">
        <v>20991</v>
      </c>
      <c r="P23" s="31">
        <v>0.98392237742570543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3391</v>
      </c>
      <c r="X23" s="31">
        <v>0.86527175299821379</v>
      </c>
      <c r="Y23" s="30">
        <v>1083</v>
      </c>
      <c r="Z23" s="33">
        <v>0.2763460066343455</v>
      </c>
      <c r="AA23" s="30">
        <v>119</v>
      </c>
      <c r="AB23" s="31">
        <v>3.0364889002296509E-2</v>
      </c>
      <c r="AC23" s="30">
        <v>498</v>
      </c>
      <c r="AD23" s="31">
        <v>0.12707323296759379</v>
      </c>
      <c r="AE23" s="30">
        <v>79</v>
      </c>
      <c r="AF23" s="31">
        <v>0.15863453815261039</v>
      </c>
      <c r="AG23" s="30">
        <v>463</v>
      </c>
      <c r="AH23" s="31">
        <v>0.92971887550200805</v>
      </c>
      <c r="AI23" s="34">
        <v>480</v>
      </c>
      <c r="AJ23" s="31">
        <v>0.1224802245470783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0.11252870630262821</v>
      </c>
      <c r="AP23" s="31">
        <v>0.88554216867469882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2.1944373564684871E-2</v>
      </c>
      <c r="AY23" s="31">
        <v>2.1178872161265631E-2</v>
      </c>
      <c r="AZ23" s="31">
        <v>2.9854554733350341E-2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2388</v>
      </c>
      <c r="F24" s="30">
        <v>2104</v>
      </c>
      <c r="G24" s="31">
        <v>0.88107202680066998</v>
      </c>
      <c r="H24" s="30">
        <v>690</v>
      </c>
      <c r="I24" s="32">
        <v>0.28894472361809043</v>
      </c>
      <c r="J24" s="30">
        <v>2465</v>
      </c>
      <c r="K24" s="30">
        <v>2362</v>
      </c>
      <c r="L24" s="31">
        <v>0.95799999999999996</v>
      </c>
      <c r="M24" s="30">
        <v>10150</v>
      </c>
      <c r="N24" s="30">
        <v>10332</v>
      </c>
      <c r="O24" s="30">
        <v>9937</v>
      </c>
      <c r="P24" s="31">
        <v>0.97901477832512318</v>
      </c>
      <c r="Q24" s="30">
        <v>25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2937</v>
      </c>
      <c r="X24" s="31">
        <v>1.2298994974874371</v>
      </c>
      <c r="Y24" s="30">
        <v>595</v>
      </c>
      <c r="Z24" s="33">
        <v>0.24916247906197661</v>
      </c>
      <c r="AA24" s="30">
        <v>36</v>
      </c>
      <c r="AB24" s="31">
        <v>1.507537688442211E-2</v>
      </c>
      <c r="AC24" s="30">
        <v>293</v>
      </c>
      <c r="AD24" s="31">
        <v>0.12269681742043551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0.1210217755443886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0.10427135678391961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2.7219430485762149E-2</v>
      </c>
      <c r="AY24" s="31">
        <v>2.805695142378559E-2</v>
      </c>
      <c r="AZ24" s="31">
        <v>2.9731993299832501E-2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2085</v>
      </c>
      <c r="F25" s="30">
        <v>1875</v>
      </c>
      <c r="G25" s="31">
        <v>0.89928057553956831</v>
      </c>
      <c r="H25" s="30">
        <v>735</v>
      </c>
      <c r="I25" s="32">
        <v>0.35251798561151082</v>
      </c>
      <c r="J25" s="30">
        <v>1591</v>
      </c>
      <c r="K25" s="30">
        <v>1522</v>
      </c>
      <c r="L25" s="31">
        <v>0.95699999999999996</v>
      </c>
      <c r="M25" s="30">
        <v>7547</v>
      </c>
      <c r="N25" s="30">
        <v>7838</v>
      </c>
      <c r="O25" s="30">
        <v>7417</v>
      </c>
      <c r="P25" s="31">
        <v>0.98277461242877961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3488</v>
      </c>
      <c r="X25" s="31">
        <v>1.6729016786570741</v>
      </c>
      <c r="Y25" s="30">
        <v>742</v>
      </c>
      <c r="Z25" s="33">
        <v>0.35587529976019178</v>
      </c>
      <c r="AA25" s="30">
        <v>16</v>
      </c>
      <c r="AB25" s="31">
        <v>7.6738609112709834E-3</v>
      </c>
      <c r="AC25" s="30">
        <v>283</v>
      </c>
      <c r="AD25" s="31">
        <v>0.1357314148681055</v>
      </c>
      <c r="AE25" s="30">
        <v>38</v>
      </c>
      <c r="AF25" s="31">
        <v>0.13427561837455829</v>
      </c>
      <c r="AG25" s="30">
        <v>265</v>
      </c>
      <c r="AH25" s="31">
        <v>0.93639575971731448</v>
      </c>
      <c r="AI25" s="34">
        <v>278</v>
      </c>
      <c r="AJ25" s="31">
        <v>0.1333333333333333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0.1098321342925659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1.9664268585131889E-2</v>
      </c>
      <c r="AY25" s="31">
        <v>2.1103117505995209E-2</v>
      </c>
      <c r="AZ25" s="31">
        <v>1.534772182254197E-2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45</v>
      </c>
      <c r="F26" s="30">
        <v>44</v>
      </c>
      <c r="G26" s="31">
        <v>0.97777777777777775</v>
      </c>
      <c r="H26" s="30">
        <v>23</v>
      </c>
      <c r="I26" s="32">
        <v>0.51111111111111107</v>
      </c>
      <c r="J26" s="30">
        <v>21</v>
      </c>
      <c r="K26" s="30">
        <v>21</v>
      </c>
      <c r="L26" s="31">
        <v>1</v>
      </c>
      <c r="M26" s="30">
        <v>108</v>
      </c>
      <c r="N26" s="30">
        <v>112</v>
      </c>
      <c r="O26" s="30">
        <v>107</v>
      </c>
      <c r="P26" s="31">
        <v>0.9907407407407407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23</v>
      </c>
      <c r="AD26" s="31">
        <v>0.51111111111111107</v>
      </c>
      <c r="AE26" s="30">
        <v>7</v>
      </c>
      <c r="AF26" s="31">
        <v>0.30434782608695649</v>
      </c>
      <c r="AG26" s="30">
        <v>21</v>
      </c>
      <c r="AH26" s="31">
        <v>0.91304347826086951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4111</v>
      </c>
      <c r="F27" s="30">
        <v>3647</v>
      </c>
      <c r="G27" s="31">
        <v>0.88713208465093651</v>
      </c>
      <c r="H27" s="30">
        <v>2752</v>
      </c>
      <c r="I27" s="32">
        <v>0.66942349793237654</v>
      </c>
      <c r="J27" s="30">
        <v>5027</v>
      </c>
      <c r="K27" s="30">
        <v>4907</v>
      </c>
      <c r="L27" s="31">
        <v>0.97599999999999998</v>
      </c>
      <c r="M27" s="30">
        <v>21946</v>
      </c>
      <c r="N27" s="30">
        <v>22225</v>
      </c>
      <c r="O27" s="30">
        <v>21664</v>
      </c>
      <c r="P27" s="31">
        <v>0.98715027795498045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4411</v>
      </c>
      <c r="X27" s="31">
        <v>1.0729749452687909</v>
      </c>
      <c r="Y27" s="30">
        <v>1098</v>
      </c>
      <c r="Z27" s="33">
        <v>0.26708829968377518</v>
      </c>
      <c r="AA27" s="30">
        <v>100</v>
      </c>
      <c r="AB27" s="31">
        <v>2.4324981756263679E-2</v>
      </c>
      <c r="AC27" s="30">
        <v>584</v>
      </c>
      <c r="AD27" s="31">
        <v>0.1420578934565799</v>
      </c>
      <c r="AE27" s="30">
        <v>97</v>
      </c>
      <c r="AF27" s="31">
        <v>0.1660958904109589</v>
      </c>
      <c r="AG27" s="30">
        <v>541</v>
      </c>
      <c r="AH27" s="31">
        <v>0.92636986301369861</v>
      </c>
      <c r="AI27" s="34">
        <v>584</v>
      </c>
      <c r="AJ27" s="31">
        <v>0.1420578934565799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0.13232790075407441</v>
      </c>
      <c r="AP27" s="31">
        <v>0.93150684931506844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2.5784480661639499E-2</v>
      </c>
      <c r="AY27" s="31">
        <v>2.5297981026514229E-2</v>
      </c>
      <c r="AZ27" s="31">
        <v>2.8946728289953781E-2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2626</v>
      </c>
      <c r="F28" s="30">
        <v>2367</v>
      </c>
      <c r="G28" s="31">
        <v>0.90137090632140138</v>
      </c>
      <c r="H28" s="30">
        <v>908</v>
      </c>
      <c r="I28" s="32">
        <v>0.34577303884234578</v>
      </c>
      <c r="J28" s="30">
        <v>2406</v>
      </c>
      <c r="K28" s="30">
        <v>2323</v>
      </c>
      <c r="L28" s="31">
        <v>0.96599999999999997</v>
      </c>
      <c r="M28" s="30">
        <v>10305</v>
      </c>
      <c r="N28" s="30">
        <v>10462</v>
      </c>
      <c r="O28" s="30">
        <v>10061</v>
      </c>
      <c r="P28" s="31">
        <v>0.9763221737020864</v>
      </c>
      <c r="Q28" s="30">
        <v>25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2492</v>
      </c>
      <c r="X28" s="31">
        <v>0.94897182025894899</v>
      </c>
      <c r="Y28" s="30">
        <v>573</v>
      </c>
      <c r="Z28" s="33">
        <v>0.21820258948971821</v>
      </c>
      <c r="AA28" s="30">
        <v>34</v>
      </c>
      <c r="AB28" s="31">
        <v>1.2947448591012951E-2</v>
      </c>
      <c r="AC28" s="30">
        <v>490</v>
      </c>
      <c r="AD28" s="31">
        <v>0.18659558263518661</v>
      </c>
      <c r="AE28" s="30">
        <v>84</v>
      </c>
      <c r="AF28" s="31">
        <v>0.1714285714285714</v>
      </c>
      <c r="AG28" s="30">
        <v>444</v>
      </c>
      <c r="AH28" s="31">
        <v>0.90612244897959182</v>
      </c>
      <c r="AI28" s="34">
        <v>482</v>
      </c>
      <c r="AJ28" s="31">
        <v>0.18354912414318361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0.15613099771515609</v>
      </c>
      <c r="AP28" s="31">
        <v>0.83673469387755106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3.9603960396039598E-2</v>
      </c>
      <c r="AY28" s="31">
        <v>3.8080731150038079E-2</v>
      </c>
      <c r="AZ28" s="31">
        <v>2.018278750952018E-2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2512</v>
      </c>
      <c r="F29" s="30">
        <v>2282</v>
      </c>
      <c r="G29" s="31">
        <v>0.90843949044585992</v>
      </c>
      <c r="H29" s="30">
        <v>897</v>
      </c>
      <c r="I29" s="32">
        <v>0.35708598726114649</v>
      </c>
      <c r="J29" s="30">
        <v>1859</v>
      </c>
      <c r="K29" s="30">
        <v>1792</v>
      </c>
      <c r="L29" s="31">
        <v>0.96399999999999997</v>
      </c>
      <c r="M29" s="30">
        <v>8232</v>
      </c>
      <c r="N29" s="30">
        <v>8385</v>
      </c>
      <c r="O29" s="30">
        <v>8054</v>
      </c>
      <c r="P29" s="31">
        <v>0.97837706511175904</v>
      </c>
      <c r="Q29" s="30">
        <v>21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2710</v>
      </c>
      <c r="X29" s="31">
        <v>1.0788216560509549</v>
      </c>
      <c r="Y29" s="30">
        <v>531</v>
      </c>
      <c r="Z29" s="33">
        <v>0.2113853503184713</v>
      </c>
      <c r="AA29" s="30">
        <v>25</v>
      </c>
      <c r="AB29" s="31">
        <v>9.9522292993630568E-3</v>
      </c>
      <c r="AC29" s="30">
        <v>497</v>
      </c>
      <c r="AD29" s="31">
        <v>0.19785031847133761</v>
      </c>
      <c r="AE29" s="30">
        <v>56</v>
      </c>
      <c r="AF29" s="31">
        <v>0.1126760563380282</v>
      </c>
      <c r="AG29" s="30">
        <v>474</v>
      </c>
      <c r="AH29" s="31">
        <v>0.95372233400402417</v>
      </c>
      <c r="AI29" s="34">
        <v>472</v>
      </c>
      <c r="AJ29" s="31">
        <v>0.18789808917197451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0.16520700636942681</v>
      </c>
      <c r="AP29" s="31">
        <v>0.83501006036217307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2.2691082802547769E-2</v>
      </c>
      <c r="AY29" s="31">
        <v>2.229299363057325E-2</v>
      </c>
      <c r="AZ29" s="31">
        <v>9.9522292993630568E-3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50</v>
      </c>
      <c r="F30" s="30">
        <v>49</v>
      </c>
      <c r="G30" s="31">
        <v>0.98</v>
      </c>
      <c r="H30" s="30">
        <v>32</v>
      </c>
      <c r="I30" s="32">
        <v>0.64</v>
      </c>
      <c r="J30" s="30">
        <v>38</v>
      </c>
      <c r="K30" s="30">
        <v>38</v>
      </c>
      <c r="L30" s="31">
        <v>1</v>
      </c>
      <c r="M30" s="30">
        <v>152</v>
      </c>
      <c r="N30" s="30">
        <v>138</v>
      </c>
      <c r="O30" s="30">
        <v>149</v>
      </c>
      <c r="P30" s="31">
        <v>0.98026315789473684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21</v>
      </c>
      <c r="AD30" s="31">
        <v>0.42</v>
      </c>
      <c r="AE30" s="30">
        <v>19</v>
      </c>
      <c r="AF30" s="31">
        <v>0.90476190476190477</v>
      </c>
      <c r="AG30" s="30">
        <v>18</v>
      </c>
      <c r="AH30" s="31">
        <v>0.8571428571428571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4548</v>
      </c>
      <c r="F31" s="30">
        <v>4071</v>
      </c>
      <c r="G31" s="31">
        <v>0.89511873350923488</v>
      </c>
      <c r="H31" s="30">
        <v>3079</v>
      </c>
      <c r="I31" s="32">
        <v>0.67700087950747578</v>
      </c>
      <c r="J31" s="30">
        <v>5236</v>
      </c>
      <c r="K31" s="30">
        <v>5134</v>
      </c>
      <c r="L31" s="31">
        <v>0.98099999999999998</v>
      </c>
      <c r="M31" s="30">
        <v>21924</v>
      </c>
      <c r="N31" s="30">
        <v>22507</v>
      </c>
      <c r="O31" s="30">
        <v>21572</v>
      </c>
      <c r="P31" s="31">
        <v>0.98394453566867357</v>
      </c>
      <c r="Q31" s="30">
        <v>25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3762</v>
      </c>
      <c r="X31" s="31">
        <v>0.82717678100263847</v>
      </c>
      <c r="Y31" s="30">
        <v>935</v>
      </c>
      <c r="Z31" s="33">
        <v>0.20558487247141599</v>
      </c>
      <c r="AA31" s="30">
        <v>90</v>
      </c>
      <c r="AB31" s="31">
        <v>1.9788918205804751E-2</v>
      </c>
      <c r="AC31" s="30">
        <v>1073</v>
      </c>
      <c r="AD31" s="31">
        <v>0.23592788038698331</v>
      </c>
      <c r="AE31" s="30">
        <v>130</v>
      </c>
      <c r="AF31" s="31">
        <v>0.12115563839701771</v>
      </c>
      <c r="AG31" s="30">
        <v>1012</v>
      </c>
      <c r="AH31" s="31">
        <v>0.94315004659832247</v>
      </c>
      <c r="AI31" s="34">
        <v>1047</v>
      </c>
      <c r="AJ31" s="31">
        <v>0.23021108179419519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0.2174582233948989</v>
      </c>
      <c r="AP31" s="31">
        <v>0.92171481826654245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4.1996481970096748E-2</v>
      </c>
      <c r="AY31" s="31">
        <v>4.1776605101143359E-2</v>
      </c>
      <c r="AZ31" s="31">
        <v>1.8909410729991201E-2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2626</v>
      </c>
      <c r="F32" s="30">
        <v>2381</v>
      </c>
      <c r="G32" s="31">
        <v>0.9067022086824067</v>
      </c>
      <c r="H32" s="30">
        <v>913</v>
      </c>
      <c r="I32" s="32">
        <v>0.34767707539984771</v>
      </c>
      <c r="J32" s="30">
        <v>2386</v>
      </c>
      <c r="K32" s="30">
        <v>2285</v>
      </c>
      <c r="L32" s="31">
        <v>0.95799999999999996</v>
      </c>
      <c r="M32" s="30">
        <v>10286</v>
      </c>
      <c r="N32" s="30">
        <v>10049</v>
      </c>
      <c r="O32" s="30">
        <v>10009</v>
      </c>
      <c r="P32" s="31">
        <v>0.97307019249465287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3063</v>
      </c>
      <c r="X32" s="31">
        <v>1.166412795125666</v>
      </c>
      <c r="Y32" s="30">
        <v>605</v>
      </c>
      <c r="Z32" s="33">
        <v>0.23038842345773039</v>
      </c>
      <c r="AA32" s="30">
        <v>45</v>
      </c>
      <c r="AB32" s="31">
        <v>1.7136329017517139E-2</v>
      </c>
      <c r="AC32" s="30">
        <v>519</v>
      </c>
      <c r="AD32" s="31">
        <v>0.19763899466869761</v>
      </c>
      <c r="AE32" s="30">
        <v>58</v>
      </c>
      <c r="AF32" s="31">
        <v>0.1117533718689788</v>
      </c>
      <c r="AG32" s="30">
        <v>487</v>
      </c>
      <c r="AH32" s="31">
        <v>0.93834296724470134</v>
      </c>
      <c r="AI32" s="34">
        <v>492</v>
      </c>
      <c r="AJ32" s="31">
        <v>0.18735719725818739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0.16184310738766181</v>
      </c>
      <c r="AP32" s="31">
        <v>0.81888246628131023</v>
      </c>
      <c r="AQ32" s="32">
        <v>0.93064876957494402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4.4935262757044937E-2</v>
      </c>
      <c r="AY32" s="31">
        <v>4.4554455445544552E-2</v>
      </c>
      <c r="AZ32" s="31">
        <v>2.094440213252094E-2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2130</v>
      </c>
      <c r="F33" s="30">
        <v>1940</v>
      </c>
      <c r="G33" s="31">
        <v>0.91079812206572774</v>
      </c>
      <c r="H33" s="30">
        <v>919</v>
      </c>
      <c r="I33" s="32">
        <v>0.43145539906103292</v>
      </c>
      <c r="J33" s="30">
        <v>1771</v>
      </c>
      <c r="K33" s="30">
        <v>1699</v>
      </c>
      <c r="L33" s="31">
        <v>0.95899999999999996</v>
      </c>
      <c r="M33" s="30">
        <v>8086</v>
      </c>
      <c r="N33" s="30">
        <v>7873</v>
      </c>
      <c r="O33" s="30">
        <v>7890</v>
      </c>
      <c r="P33" s="31">
        <v>0.97576057383131343</v>
      </c>
      <c r="Q33" s="30">
        <v>23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3237</v>
      </c>
      <c r="X33" s="31">
        <v>1.5197183098591549</v>
      </c>
      <c r="Y33" s="30">
        <v>616</v>
      </c>
      <c r="Z33" s="33">
        <v>0.28920187793427232</v>
      </c>
      <c r="AA33" s="30">
        <v>17</v>
      </c>
      <c r="AB33" s="31">
        <v>7.9812206572769957E-3</v>
      </c>
      <c r="AC33" s="30">
        <v>472</v>
      </c>
      <c r="AD33" s="31">
        <v>0.2215962441314554</v>
      </c>
      <c r="AE33" s="30">
        <v>55</v>
      </c>
      <c r="AF33" s="31">
        <v>0.1165254237288136</v>
      </c>
      <c r="AG33" s="30">
        <v>454</v>
      </c>
      <c r="AH33" s="31">
        <v>0.96186440677966101</v>
      </c>
      <c r="AI33" s="34">
        <v>453</v>
      </c>
      <c r="AJ33" s="31">
        <v>0.21267605633802819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0.18075117370892019</v>
      </c>
      <c r="AP33" s="31">
        <v>0.81567796610169496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3.0516431924882629E-2</v>
      </c>
      <c r="AY33" s="31">
        <v>2.8638497652582161E-2</v>
      </c>
      <c r="AZ33" s="31">
        <v>8.4507042253521118E-3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36</v>
      </c>
      <c r="F34" s="30">
        <v>35</v>
      </c>
      <c r="G34" s="31">
        <v>0.97222222222222221</v>
      </c>
      <c r="H34" s="30">
        <v>20</v>
      </c>
      <c r="I34" s="32">
        <v>0.55555555555555558</v>
      </c>
      <c r="J34" s="30">
        <v>24</v>
      </c>
      <c r="K34" s="30">
        <v>24</v>
      </c>
      <c r="L34" s="31">
        <v>1</v>
      </c>
      <c r="M34" s="30">
        <v>139</v>
      </c>
      <c r="N34" s="30">
        <v>148</v>
      </c>
      <c r="O34" s="30">
        <v>137</v>
      </c>
      <c r="P34" s="31">
        <v>0.98561151079136688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2.777777777777778E-2</v>
      </c>
      <c r="AA34" s="30">
        <v>0</v>
      </c>
      <c r="AB34" s="31">
        <v>0</v>
      </c>
      <c r="AC34" s="30">
        <v>20</v>
      </c>
      <c r="AD34" s="31">
        <v>0.55555555555555558</v>
      </c>
      <c r="AE34" s="30">
        <v>6</v>
      </c>
      <c r="AF34" s="31">
        <v>0.3</v>
      </c>
      <c r="AG34" s="30">
        <v>20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4121</v>
      </c>
      <c r="F35" s="30">
        <v>3696</v>
      </c>
      <c r="G35" s="31">
        <v>0.89686969182237319</v>
      </c>
      <c r="H35" s="30">
        <v>2794</v>
      </c>
      <c r="I35" s="32">
        <v>0.67799077893715121</v>
      </c>
      <c r="J35" s="30">
        <v>4857</v>
      </c>
      <c r="K35" s="30">
        <v>4744</v>
      </c>
      <c r="L35" s="31">
        <v>0.97699999999999998</v>
      </c>
      <c r="M35" s="30">
        <v>21756</v>
      </c>
      <c r="N35" s="30">
        <v>21059</v>
      </c>
      <c r="O35" s="30">
        <v>21277</v>
      </c>
      <c r="P35" s="31">
        <v>0.97798308512594223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4321</v>
      </c>
      <c r="X35" s="31">
        <v>1.048531909730648</v>
      </c>
      <c r="Y35" s="30">
        <v>941</v>
      </c>
      <c r="Z35" s="33">
        <v>0.22834263528269841</v>
      </c>
      <c r="AA35" s="30">
        <v>105</v>
      </c>
      <c r="AB35" s="31">
        <v>2.5479252608590151E-2</v>
      </c>
      <c r="AC35" s="30">
        <v>1070</v>
      </c>
      <c r="AD35" s="31">
        <v>0.25964571705896627</v>
      </c>
      <c r="AE35" s="30">
        <v>88</v>
      </c>
      <c r="AF35" s="31">
        <v>8.2242990654205608E-2</v>
      </c>
      <c r="AG35" s="30">
        <v>1012</v>
      </c>
      <c r="AH35" s="31">
        <v>0.9457943925233645</v>
      </c>
      <c r="AI35" s="34">
        <v>1053</v>
      </c>
      <c r="AJ35" s="31">
        <v>0.25552050473186122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0.23368114535306961</v>
      </c>
      <c r="AP35" s="31">
        <v>0.9</v>
      </c>
      <c r="AQ35" s="32">
        <v>0.94938016528925617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4.8774569279301142E-2</v>
      </c>
      <c r="AY35" s="31">
        <v>4.7075952438728461E-2</v>
      </c>
      <c r="AZ35" s="31">
        <v>1.6500849308420291E-2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2308</v>
      </c>
      <c r="F36" s="30">
        <v>2051</v>
      </c>
      <c r="G36" s="31">
        <v>0.88864818024263437</v>
      </c>
      <c r="H36" s="30">
        <v>732</v>
      </c>
      <c r="I36" s="32">
        <v>0.31715771230502598</v>
      </c>
      <c r="J36" s="30">
        <v>2292</v>
      </c>
      <c r="K36" s="30">
        <v>2183</v>
      </c>
      <c r="L36" s="31">
        <v>0.95199999999999996</v>
      </c>
      <c r="M36" s="30">
        <v>10155</v>
      </c>
      <c r="N36" s="30">
        <v>9778</v>
      </c>
      <c r="O36" s="30">
        <v>9913</v>
      </c>
      <c r="P36" s="31">
        <v>0.97616937469226983</v>
      </c>
      <c r="Q36" s="30">
        <v>25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3267</v>
      </c>
      <c r="X36" s="31">
        <v>1.4155112651646451</v>
      </c>
      <c r="Y36" s="30">
        <v>778</v>
      </c>
      <c r="Z36" s="33">
        <v>0.33708838821490472</v>
      </c>
      <c r="AA36" s="30">
        <v>27</v>
      </c>
      <c r="AB36" s="31">
        <v>1.1698440207972271E-2</v>
      </c>
      <c r="AC36" s="30">
        <v>285</v>
      </c>
      <c r="AD36" s="31">
        <v>0.1234835355285962</v>
      </c>
      <c r="AE36" s="30">
        <v>53</v>
      </c>
      <c r="AF36" s="31">
        <v>0.18596491228070169</v>
      </c>
      <c r="AG36" s="30">
        <v>260</v>
      </c>
      <c r="AH36" s="31">
        <v>0.91228070175438591</v>
      </c>
      <c r="AI36" s="34">
        <v>290</v>
      </c>
      <c r="AJ36" s="31">
        <v>0.12564991334488729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0.1083188908145581</v>
      </c>
      <c r="AP36" s="31">
        <v>0.8771929824561403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1.9064124783362221E-2</v>
      </c>
      <c r="AY36" s="31">
        <v>2.0797227036395149E-2</v>
      </c>
      <c r="AZ36" s="31">
        <v>2.816291161178509E-2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1795</v>
      </c>
      <c r="F37" s="30">
        <v>1596</v>
      </c>
      <c r="G37" s="31">
        <v>0.88913649025069641</v>
      </c>
      <c r="H37" s="30">
        <v>709</v>
      </c>
      <c r="I37" s="32">
        <v>0.39498607242339828</v>
      </c>
      <c r="J37" s="30">
        <v>1486</v>
      </c>
      <c r="K37" s="30">
        <v>1444</v>
      </c>
      <c r="L37" s="31">
        <v>0.97199999999999998</v>
      </c>
      <c r="M37" s="30">
        <v>7926</v>
      </c>
      <c r="N37" s="30">
        <v>7422</v>
      </c>
      <c r="O37" s="30">
        <v>7785</v>
      </c>
      <c r="P37" s="31">
        <v>0.98221044663133994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3317</v>
      </c>
      <c r="X37" s="31">
        <v>1.847910863509749</v>
      </c>
      <c r="Y37" s="30">
        <v>982</v>
      </c>
      <c r="Z37" s="33">
        <v>0.54707520891364902</v>
      </c>
      <c r="AA37" s="30">
        <v>10</v>
      </c>
      <c r="AB37" s="31">
        <v>5.5710306406685237E-3</v>
      </c>
      <c r="AC37" s="30">
        <v>248</v>
      </c>
      <c r="AD37" s="31">
        <v>0.13816155988857939</v>
      </c>
      <c r="AE37" s="30">
        <v>45</v>
      </c>
      <c r="AF37" s="31">
        <v>0.18145161290322581</v>
      </c>
      <c r="AG37" s="30">
        <v>225</v>
      </c>
      <c r="AH37" s="31">
        <v>0.907258064516129</v>
      </c>
      <c r="AI37" s="34">
        <v>250</v>
      </c>
      <c r="AJ37" s="31">
        <v>0.1392757660167131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0.11364902506963789</v>
      </c>
      <c r="AP37" s="31">
        <v>0.82258064516129037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2.8969359331476319E-2</v>
      </c>
      <c r="AY37" s="31">
        <v>3.2311977715877439E-2</v>
      </c>
      <c r="AZ37" s="31">
        <v>1.8941504178272981E-2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45</v>
      </c>
      <c r="F38" s="30">
        <v>44</v>
      </c>
      <c r="G38" s="31">
        <v>0.97777777777777775</v>
      </c>
      <c r="H38" s="30">
        <v>23</v>
      </c>
      <c r="I38" s="32">
        <v>0.51111111111111107</v>
      </c>
      <c r="J38" s="30">
        <v>35</v>
      </c>
      <c r="K38" s="30">
        <v>33</v>
      </c>
      <c r="L38" s="31">
        <v>0.94299999999999995</v>
      </c>
      <c r="M38" s="30">
        <v>156</v>
      </c>
      <c r="N38" s="30">
        <v>121</v>
      </c>
      <c r="O38" s="30">
        <v>152</v>
      </c>
      <c r="P38" s="31">
        <v>0.97435897435897434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12</v>
      </c>
      <c r="AD38" s="31">
        <v>0.26666666666666672</v>
      </c>
      <c r="AE38" s="30">
        <v>18</v>
      </c>
      <c r="AF38" s="31">
        <v>1.5</v>
      </c>
      <c r="AG38" s="30">
        <v>12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4347</v>
      </c>
      <c r="F39" s="30">
        <v>3840</v>
      </c>
      <c r="G39" s="31">
        <v>0.88336783988957901</v>
      </c>
      <c r="H39" s="30">
        <v>2678</v>
      </c>
      <c r="I39" s="32">
        <v>0.61605705083965956</v>
      </c>
      <c r="J39" s="30">
        <v>5037</v>
      </c>
      <c r="K39" s="30">
        <v>4899</v>
      </c>
      <c r="L39" s="31">
        <v>0.97299999999999998</v>
      </c>
      <c r="M39" s="30">
        <v>21829</v>
      </c>
      <c r="N39" s="30">
        <v>21196</v>
      </c>
      <c r="O39" s="30">
        <v>21333</v>
      </c>
      <c r="P39" s="31">
        <v>0.9772779330248752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4576</v>
      </c>
      <c r="X39" s="31">
        <v>1.0526800092017481</v>
      </c>
      <c r="Y39" s="30">
        <v>1263</v>
      </c>
      <c r="Z39" s="33">
        <v>0.29054520358868191</v>
      </c>
      <c r="AA39" s="30">
        <v>82</v>
      </c>
      <c r="AB39" s="31">
        <v>1.8863584080975389E-2</v>
      </c>
      <c r="AC39" s="30">
        <v>529</v>
      </c>
      <c r="AD39" s="31">
        <v>0.1216931216931217</v>
      </c>
      <c r="AE39" s="30">
        <v>80</v>
      </c>
      <c r="AF39" s="31">
        <v>0.15122873345935731</v>
      </c>
      <c r="AG39" s="30">
        <v>493</v>
      </c>
      <c r="AH39" s="31">
        <v>0.93194706994328924</v>
      </c>
      <c r="AI39" s="34">
        <v>529</v>
      </c>
      <c r="AJ39" s="31">
        <v>0.1216931216931217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0.10973084886128361</v>
      </c>
      <c r="AP39" s="31">
        <v>0.90170132325141772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2.231423970554405E-2</v>
      </c>
      <c r="AY39" s="31">
        <v>2.4614676788589831E-2</v>
      </c>
      <c r="AZ39" s="31">
        <v>3.0825856912813431E-2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2605</v>
      </c>
      <c r="F40" s="30">
        <v>2323</v>
      </c>
      <c r="G40" s="31">
        <v>0.89174664107485602</v>
      </c>
      <c r="H40" s="30">
        <v>787</v>
      </c>
      <c r="I40" s="32">
        <v>0.30211132437619959</v>
      </c>
      <c r="J40" s="30">
        <v>2249</v>
      </c>
      <c r="K40" s="30">
        <v>2141</v>
      </c>
      <c r="L40" s="31">
        <v>0.95199999999999996</v>
      </c>
      <c r="M40" s="30">
        <v>9665</v>
      </c>
      <c r="N40" s="30">
        <v>9649</v>
      </c>
      <c r="O40" s="30">
        <v>9428</v>
      </c>
      <c r="P40" s="31">
        <v>0.9754785307811692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2844</v>
      </c>
      <c r="X40" s="31">
        <v>1.091746641074856</v>
      </c>
      <c r="Y40" s="30">
        <v>327</v>
      </c>
      <c r="Z40" s="33">
        <v>0.12552783109404991</v>
      </c>
      <c r="AA40" s="30">
        <v>28</v>
      </c>
      <c r="AB40" s="31">
        <v>1.074856046065259E-2</v>
      </c>
      <c r="AC40" s="30">
        <v>284</v>
      </c>
      <c r="AD40" s="31">
        <v>0.109021113243762</v>
      </c>
      <c r="AE40" s="30">
        <v>63</v>
      </c>
      <c r="AF40" s="31">
        <v>0.221830985915493</v>
      </c>
      <c r="AG40" s="30">
        <v>261</v>
      </c>
      <c r="AH40" s="31">
        <v>0.91901408450704225</v>
      </c>
      <c r="AI40" s="34">
        <v>284</v>
      </c>
      <c r="AJ40" s="31">
        <v>0.109021113243762</v>
      </c>
      <c r="AK40" s="34">
        <v>1</v>
      </c>
      <c r="AL40" s="31">
        <v>0.8380281690140845</v>
      </c>
      <c r="AM40" s="34">
        <v>281</v>
      </c>
      <c r="AN40" s="34">
        <v>238</v>
      </c>
      <c r="AO40" s="31">
        <v>9.1362763915547027E-2</v>
      </c>
      <c r="AP40" s="31">
        <v>0.8380281690140845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2.4568138195777349E-2</v>
      </c>
      <c r="AY40" s="31">
        <v>2.5719769673704419E-2</v>
      </c>
      <c r="AZ40" s="31">
        <v>2.3800383877159308E-2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1773</v>
      </c>
      <c r="F41" s="30">
        <v>1582</v>
      </c>
      <c r="G41" s="31">
        <v>0.89227298364354202</v>
      </c>
      <c r="H41" s="30">
        <v>752</v>
      </c>
      <c r="I41" s="32">
        <v>0.42413987591652569</v>
      </c>
      <c r="J41" s="30">
        <v>1643</v>
      </c>
      <c r="K41" s="30">
        <v>1568</v>
      </c>
      <c r="L41" s="31">
        <v>0.95399999999999996</v>
      </c>
      <c r="M41" s="30">
        <v>7521</v>
      </c>
      <c r="N41" s="30">
        <v>7563</v>
      </c>
      <c r="O41" s="30">
        <v>7344</v>
      </c>
      <c r="P41" s="31">
        <v>0.97646589549262064</v>
      </c>
      <c r="Q41" s="30">
        <v>17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2696</v>
      </c>
      <c r="X41" s="31">
        <v>1.52058657642414</v>
      </c>
      <c r="Y41" s="30">
        <v>364</v>
      </c>
      <c r="Z41" s="33">
        <v>0.2053017484489566</v>
      </c>
      <c r="AA41" s="30">
        <v>17</v>
      </c>
      <c r="AB41" s="31">
        <v>9.5882684715172025E-3</v>
      </c>
      <c r="AC41" s="30">
        <v>296</v>
      </c>
      <c r="AD41" s="31">
        <v>0.16694867456288781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0.155668358714044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0.13367174280879859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2.820078962210942E-2</v>
      </c>
      <c r="AY41" s="31">
        <v>2.538071065989848E-2</v>
      </c>
      <c r="AZ41" s="31">
        <v>1.4664410603496899E-2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54</v>
      </c>
      <c r="F42" s="30">
        <v>53</v>
      </c>
      <c r="G42" s="31">
        <v>0.98148148148148151</v>
      </c>
      <c r="H42" s="30">
        <v>30</v>
      </c>
      <c r="I42" s="32">
        <v>0.55555555555555558</v>
      </c>
      <c r="J42" s="30">
        <v>33</v>
      </c>
      <c r="K42" s="30">
        <v>32</v>
      </c>
      <c r="L42" s="31">
        <v>0.97</v>
      </c>
      <c r="M42" s="30">
        <v>158</v>
      </c>
      <c r="N42" s="30">
        <v>153</v>
      </c>
      <c r="O42" s="30">
        <v>156</v>
      </c>
      <c r="P42" s="31">
        <v>0.98734177215189878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1.8518518518518521E-2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0.29629629629629628</v>
      </c>
      <c r="AE42" s="30">
        <v>8</v>
      </c>
      <c r="AF42" s="31">
        <v>0.5</v>
      </c>
      <c r="AG42" s="30">
        <v>15</v>
      </c>
      <c r="AH42" s="31">
        <v>0.9375</v>
      </c>
      <c r="AI42" s="34">
        <v>1</v>
      </c>
      <c r="AJ42" s="31">
        <v>1.8518518518518521E-2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4682</v>
      </c>
      <c r="F43" s="30">
        <v>4075</v>
      </c>
      <c r="G43" s="31">
        <v>0.8703545493378898</v>
      </c>
      <c r="H43" s="30">
        <v>2931</v>
      </c>
      <c r="I43" s="32">
        <v>0.62601452370781718</v>
      </c>
      <c r="J43" s="30">
        <v>4904</v>
      </c>
      <c r="K43" s="30">
        <v>4784</v>
      </c>
      <c r="L43" s="31">
        <v>0.97599999999999998</v>
      </c>
      <c r="M43" s="30">
        <v>21186</v>
      </c>
      <c r="N43" s="30">
        <v>20835</v>
      </c>
      <c r="O43" s="30">
        <v>20777</v>
      </c>
      <c r="P43" s="31">
        <v>0.98069479845180785</v>
      </c>
      <c r="Q43" s="30">
        <v>26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3377</v>
      </c>
      <c r="X43" s="31">
        <v>0.72127296027338739</v>
      </c>
      <c r="Y43" s="30">
        <v>551</v>
      </c>
      <c r="Z43" s="33">
        <v>0.117684750106792</v>
      </c>
      <c r="AA43" s="30">
        <v>95</v>
      </c>
      <c r="AB43" s="31">
        <v>2.0290474156343441E-2</v>
      </c>
      <c r="AC43" s="30">
        <v>523</v>
      </c>
      <c r="AD43" s="31">
        <v>0.1117043998291329</v>
      </c>
      <c r="AE43" s="30">
        <v>73</v>
      </c>
      <c r="AF43" s="31">
        <v>0.13957934990439769</v>
      </c>
      <c r="AG43" s="30">
        <v>476</v>
      </c>
      <c r="AH43" s="31">
        <v>0.91013384321223711</v>
      </c>
      <c r="AI43" s="34">
        <v>525</v>
      </c>
      <c r="AJ43" s="31">
        <v>0.11213156770610851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0.1040153780435711</v>
      </c>
      <c r="AP43" s="31">
        <v>0.93116634799235176</v>
      </c>
      <c r="AQ43" s="32">
        <v>0.97907949790794979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2.0931225971806921E-2</v>
      </c>
      <c r="AY43" s="31">
        <v>1.986330627936779E-2</v>
      </c>
      <c r="AZ43" s="31">
        <v>3.07560871422469E-2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3639</v>
      </c>
      <c r="F44" s="30">
        <v>3090</v>
      </c>
      <c r="G44" s="31">
        <v>0.8491343775762572</v>
      </c>
      <c r="H44" s="30">
        <v>1932</v>
      </c>
      <c r="I44" s="32">
        <v>0.5309150865622424</v>
      </c>
      <c r="J44" s="30">
        <v>3330</v>
      </c>
      <c r="K44" s="30">
        <v>3229</v>
      </c>
      <c r="L44" s="31">
        <v>0.97</v>
      </c>
      <c r="M44" s="30">
        <v>11600</v>
      </c>
      <c r="N44" s="30">
        <v>11580</v>
      </c>
      <c r="O44" s="30">
        <v>11375</v>
      </c>
      <c r="P44" s="31">
        <v>0.9806034482758621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2818</v>
      </c>
      <c r="X44" s="31">
        <v>0.77438856828799119</v>
      </c>
      <c r="Y44" s="30">
        <v>452</v>
      </c>
      <c r="Z44" s="33">
        <v>0.1242099477878538</v>
      </c>
      <c r="AA44" s="30">
        <v>34</v>
      </c>
      <c r="AB44" s="31">
        <v>9.3432261610332506E-3</v>
      </c>
      <c r="AC44" s="30">
        <v>251</v>
      </c>
      <c r="AD44" s="31">
        <v>6.8974993129980761E-2</v>
      </c>
      <c r="AE44" s="30">
        <v>55</v>
      </c>
      <c r="AF44" s="31">
        <v>0.21912350597609559</v>
      </c>
      <c r="AG44" s="30">
        <v>236</v>
      </c>
      <c r="AH44" s="31">
        <v>0.94023904382470125</v>
      </c>
      <c r="AI44" s="34">
        <v>271</v>
      </c>
      <c r="AJ44" s="31">
        <v>7.447100851882385E-2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6.3204176971695517E-2</v>
      </c>
      <c r="AP44" s="31">
        <v>0.91633466135458164</v>
      </c>
      <c r="AQ44" s="32">
        <v>0.97727272727272729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2.006045616927727E-2</v>
      </c>
      <c r="AY44" s="31">
        <v>1.9510854630392961E-2</v>
      </c>
      <c r="AZ44" s="31">
        <v>1.5663643858202798E-2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2052</v>
      </c>
      <c r="F45" s="30">
        <v>1708</v>
      </c>
      <c r="G45" s="31">
        <v>0.83235867446393763</v>
      </c>
      <c r="H45" s="30">
        <v>795</v>
      </c>
      <c r="I45" s="32">
        <v>0.38742690058479529</v>
      </c>
      <c r="J45" s="30">
        <v>1570</v>
      </c>
      <c r="K45" s="30">
        <v>1500</v>
      </c>
      <c r="L45" s="31">
        <v>0.95499999999999996</v>
      </c>
      <c r="M45" s="30">
        <v>8140</v>
      </c>
      <c r="N45" s="30">
        <v>8025</v>
      </c>
      <c r="O45" s="30">
        <v>7951</v>
      </c>
      <c r="P45" s="31">
        <v>0.97678132678132679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2934</v>
      </c>
      <c r="X45" s="31">
        <v>1.429824561403509</v>
      </c>
      <c r="Y45" s="30">
        <v>1834</v>
      </c>
      <c r="Z45" s="33">
        <v>0.89376218323586742</v>
      </c>
      <c r="AA45" s="30">
        <v>20</v>
      </c>
      <c r="AB45" s="31">
        <v>9.7465886939571145E-3</v>
      </c>
      <c r="AC45" s="30">
        <v>281</v>
      </c>
      <c r="AD45" s="31">
        <v>0.1369395711500975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0.1364522417153996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0.1218323586744639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1.9980506822612081E-2</v>
      </c>
      <c r="AY45" s="31">
        <v>1.900584795321637E-2</v>
      </c>
      <c r="AZ45" s="31">
        <v>2.3391812865497071E-2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47</v>
      </c>
      <c r="F46" s="30">
        <v>47</v>
      </c>
      <c r="G46" s="31">
        <v>1</v>
      </c>
      <c r="H46" s="30">
        <v>26</v>
      </c>
      <c r="I46" s="32">
        <v>0.55319148936170215</v>
      </c>
      <c r="J46" s="30">
        <v>57</v>
      </c>
      <c r="K46" s="30">
        <v>55</v>
      </c>
      <c r="L46" s="31">
        <v>0.96499999999999997</v>
      </c>
      <c r="M46" s="30">
        <v>226</v>
      </c>
      <c r="N46" s="30">
        <v>210</v>
      </c>
      <c r="O46" s="30">
        <v>223</v>
      </c>
      <c r="P46" s="31">
        <v>0.98672566371681414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0.21276595744680851</v>
      </c>
      <c r="AE46" s="30">
        <v>11</v>
      </c>
      <c r="AF46" s="31">
        <v>1.1000000000000001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0</v>
      </c>
      <c r="AS46" s="34">
        <v>0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3727</v>
      </c>
      <c r="F47" s="30">
        <v>3291</v>
      </c>
      <c r="G47" s="31">
        <v>0.88301583042661658</v>
      </c>
      <c r="H47" s="30">
        <v>1875</v>
      </c>
      <c r="I47" s="32">
        <v>0.50308559162865574</v>
      </c>
      <c r="J47" s="30">
        <v>4352</v>
      </c>
      <c r="K47" s="30">
        <v>4243</v>
      </c>
      <c r="L47" s="31">
        <v>0.97499999999999998</v>
      </c>
      <c r="M47" s="30">
        <v>21197</v>
      </c>
      <c r="N47" s="30">
        <v>21103</v>
      </c>
      <c r="O47" s="30">
        <v>20867</v>
      </c>
      <c r="P47" s="31">
        <v>0.98443175921120918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3191</v>
      </c>
      <c r="X47" s="31">
        <v>0.85618459887308829</v>
      </c>
      <c r="Y47" s="30">
        <v>667</v>
      </c>
      <c r="Z47" s="33">
        <v>0.17896431446203381</v>
      </c>
      <c r="AA47" s="30">
        <v>96</v>
      </c>
      <c r="AB47" s="31">
        <v>2.575798229138717E-2</v>
      </c>
      <c r="AC47" s="30">
        <v>484</v>
      </c>
      <c r="AD47" s="31">
        <v>0.129863160719077</v>
      </c>
      <c r="AE47" s="30">
        <v>85</v>
      </c>
      <c r="AF47" s="31">
        <v>0.1756198347107438</v>
      </c>
      <c r="AG47" s="30">
        <v>448</v>
      </c>
      <c r="AH47" s="31">
        <v>0.92561983471074383</v>
      </c>
      <c r="AI47" s="34">
        <v>494</v>
      </c>
      <c r="AJ47" s="31">
        <v>0.13254628387442979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0.1234236651462302</v>
      </c>
      <c r="AP47" s="31">
        <v>0.95041322314049592</v>
      </c>
      <c r="AQ47" s="32">
        <v>0.96907216494845361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1.8513549771934531E-2</v>
      </c>
      <c r="AY47" s="31">
        <v>2.0391735980681509E-2</v>
      </c>
      <c r="AZ47" s="31">
        <v>2.8977730077810571E-2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3479</v>
      </c>
      <c r="F48" s="30">
        <v>3013</v>
      </c>
      <c r="G48" s="31">
        <v>0.86605346363897673</v>
      </c>
      <c r="H48" s="30">
        <v>1637</v>
      </c>
      <c r="I48" s="32">
        <v>0.47053751077895939</v>
      </c>
      <c r="J48" s="30">
        <v>3669</v>
      </c>
      <c r="K48" s="30">
        <v>3509</v>
      </c>
      <c r="L48" s="31">
        <v>0.95599999999999996</v>
      </c>
      <c r="M48" s="30">
        <v>12152</v>
      </c>
      <c r="N48" s="30">
        <v>12124</v>
      </c>
      <c r="O48" s="30">
        <v>11850</v>
      </c>
      <c r="P48" s="31">
        <v>0.97514812376563531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2832</v>
      </c>
      <c r="X48" s="31">
        <v>0.81402701925840759</v>
      </c>
      <c r="Y48" s="30">
        <v>681</v>
      </c>
      <c r="Z48" s="33">
        <v>0.19574590399540101</v>
      </c>
      <c r="AA48" s="30">
        <v>38</v>
      </c>
      <c r="AB48" s="31">
        <v>1.0922678930727219E-2</v>
      </c>
      <c r="AC48" s="30">
        <v>267</v>
      </c>
      <c r="AD48" s="31">
        <v>7.674619143432021E-2</v>
      </c>
      <c r="AE48" s="30">
        <v>36</v>
      </c>
      <c r="AF48" s="31">
        <v>0.1348314606741573</v>
      </c>
      <c r="AG48" s="30">
        <v>250</v>
      </c>
      <c r="AH48" s="31">
        <v>0.93632958801498123</v>
      </c>
      <c r="AI48" s="34">
        <v>254</v>
      </c>
      <c r="AJ48" s="31">
        <v>7.3009485484334585E-2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6.0074734118999711E-2</v>
      </c>
      <c r="AP48" s="31">
        <v>0.78277153558052437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1.5521701638401841E-2</v>
      </c>
      <c r="AY48" s="31">
        <v>1.494682379994251E-2</v>
      </c>
      <c r="AZ48" s="31">
        <v>1.9545846507617131E-2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2951</v>
      </c>
      <c r="F49" s="30">
        <v>2544</v>
      </c>
      <c r="G49" s="31">
        <v>0.86208065062690609</v>
      </c>
      <c r="H49" s="30">
        <v>1472</v>
      </c>
      <c r="I49" s="32">
        <v>0.49881396136902739</v>
      </c>
      <c r="J49" s="30">
        <v>2170</v>
      </c>
      <c r="K49" s="30">
        <v>2038</v>
      </c>
      <c r="L49" s="31">
        <v>0.93899999999999995</v>
      </c>
      <c r="M49" s="30">
        <v>8682</v>
      </c>
      <c r="N49" s="30">
        <v>8705</v>
      </c>
      <c r="O49" s="30">
        <v>8461</v>
      </c>
      <c r="P49" s="31">
        <v>0.97454503570605855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2878</v>
      </c>
      <c r="X49" s="31">
        <v>0.97526262283971532</v>
      </c>
      <c r="Y49" s="30">
        <v>760</v>
      </c>
      <c r="Z49" s="33">
        <v>0.25753981701118273</v>
      </c>
      <c r="AA49" s="30">
        <v>12</v>
      </c>
      <c r="AB49" s="31">
        <v>4.0664181633344627E-3</v>
      </c>
      <c r="AC49" s="30">
        <v>291</v>
      </c>
      <c r="AD49" s="31">
        <v>9.8610640460860724E-2</v>
      </c>
      <c r="AE49" s="30">
        <v>35</v>
      </c>
      <c r="AF49" s="31">
        <v>0.1202749140893471</v>
      </c>
      <c r="AG49" s="30">
        <v>277</v>
      </c>
      <c r="AH49" s="31">
        <v>0.95189003436426112</v>
      </c>
      <c r="AI49" s="34">
        <v>282</v>
      </c>
      <c r="AJ49" s="31">
        <v>9.5560826838359883E-2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7.7261945103354795E-2</v>
      </c>
      <c r="AP49" s="31">
        <v>0.78350515463917525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1.5587936292782109E-2</v>
      </c>
      <c r="AY49" s="31">
        <v>1.524906811250424E-2</v>
      </c>
      <c r="AZ49" s="31">
        <v>1.08437817688919E-2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37</v>
      </c>
      <c r="F50" s="30">
        <v>35</v>
      </c>
      <c r="G50" s="31">
        <v>0.94594594594594594</v>
      </c>
      <c r="H50" s="30">
        <v>21</v>
      </c>
      <c r="I50" s="32">
        <v>0.56756756756756754</v>
      </c>
      <c r="J50" s="30">
        <v>45</v>
      </c>
      <c r="K50" s="30">
        <v>43</v>
      </c>
      <c r="L50" s="31">
        <v>0.95599999999999996</v>
      </c>
      <c r="M50" s="30">
        <v>194</v>
      </c>
      <c r="N50" s="30">
        <v>182</v>
      </c>
      <c r="O50" s="30">
        <v>187</v>
      </c>
      <c r="P50" s="31">
        <v>0.96391752577319589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0.35135135135135143</v>
      </c>
      <c r="AE50" s="30">
        <v>8</v>
      </c>
      <c r="AF50" s="31">
        <v>0.61538461538461542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0</v>
      </c>
      <c r="AS50" s="34">
        <v>0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3452</v>
      </c>
      <c r="F51" s="30">
        <v>3116</v>
      </c>
      <c r="G51" s="31">
        <v>0.90266512166859791</v>
      </c>
      <c r="H51" s="30">
        <v>1864</v>
      </c>
      <c r="I51" s="32">
        <v>0.53997682502896871</v>
      </c>
      <c r="J51" s="30">
        <v>4203</v>
      </c>
      <c r="K51" s="30">
        <v>4074</v>
      </c>
      <c r="L51" s="31">
        <v>0.96899999999999997</v>
      </c>
      <c r="M51" s="30">
        <v>21506</v>
      </c>
      <c r="N51" s="30">
        <v>21444</v>
      </c>
      <c r="O51" s="30">
        <v>21154</v>
      </c>
      <c r="P51" s="31">
        <v>0.98363247465823489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3363</v>
      </c>
      <c r="X51" s="31">
        <v>0.97421784472769413</v>
      </c>
      <c r="Y51" s="30">
        <v>1036</v>
      </c>
      <c r="Z51" s="33">
        <v>0.30011587485515651</v>
      </c>
      <c r="AA51" s="30">
        <v>93</v>
      </c>
      <c r="AB51" s="31">
        <v>2.6940903823870221E-2</v>
      </c>
      <c r="AC51" s="30">
        <v>518</v>
      </c>
      <c r="AD51" s="31">
        <v>0.1500579374275782</v>
      </c>
      <c r="AE51" s="30">
        <v>97</v>
      </c>
      <c r="AF51" s="31">
        <v>0.18725868725868719</v>
      </c>
      <c r="AG51" s="30">
        <v>483</v>
      </c>
      <c r="AH51" s="31">
        <v>0.93243243243243246</v>
      </c>
      <c r="AI51" s="34">
        <v>505</v>
      </c>
      <c r="AJ51" s="31">
        <v>0.1462920046349942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0.1260139049826188</v>
      </c>
      <c r="AP51" s="31">
        <v>0.83976833976833976</v>
      </c>
      <c r="AQ51" s="32">
        <v>0.967741935483871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2.20162224797219E-2</v>
      </c>
      <c r="AY51" s="31">
        <v>2.20162224797219E-2</v>
      </c>
      <c r="AZ51" s="31">
        <v>3.7079953650057937E-2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2344</v>
      </c>
      <c r="F52" s="30">
        <v>2045</v>
      </c>
      <c r="G52" s="31">
        <v>0.87244027303754268</v>
      </c>
      <c r="H52" s="30">
        <v>725</v>
      </c>
      <c r="I52" s="32">
        <v>0.30930034129692829</v>
      </c>
      <c r="J52" s="30">
        <v>1928</v>
      </c>
      <c r="K52" s="30">
        <v>1845</v>
      </c>
      <c r="L52" s="31">
        <v>0.95699999999999996</v>
      </c>
      <c r="M52" s="30">
        <v>10095</v>
      </c>
      <c r="N52" s="30">
        <v>10408</v>
      </c>
      <c r="O52" s="30">
        <v>9901</v>
      </c>
      <c r="P52" s="31">
        <v>0.98078256562654775</v>
      </c>
      <c r="Q52" s="30">
        <v>14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2485</v>
      </c>
      <c r="X52" s="31">
        <v>1.0601535836177469</v>
      </c>
      <c r="Y52" s="30">
        <v>477</v>
      </c>
      <c r="Z52" s="33">
        <v>0.20349829351535839</v>
      </c>
      <c r="AA52" s="30">
        <v>28</v>
      </c>
      <c r="AB52" s="31">
        <v>1.1945392491467579E-2</v>
      </c>
      <c r="AC52" s="30">
        <v>289</v>
      </c>
      <c r="AD52" s="31">
        <v>0.1232935153583618</v>
      </c>
      <c r="AE52" s="30">
        <v>59</v>
      </c>
      <c r="AF52" s="31">
        <v>0.20415224913494809</v>
      </c>
      <c r="AG52" s="30">
        <v>270</v>
      </c>
      <c r="AH52" s="31">
        <v>0.93425605536332179</v>
      </c>
      <c r="AI52" s="34">
        <v>293</v>
      </c>
      <c r="AJ52" s="31">
        <v>0.125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0.10409556313993169</v>
      </c>
      <c r="AP52" s="31">
        <v>0.84429065743944631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2.2610921501706481E-2</v>
      </c>
      <c r="AY52" s="31">
        <v>2.2610921501706481E-2</v>
      </c>
      <c r="AZ52" s="31">
        <v>2.8156996587030719E-2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3304</v>
      </c>
      <c r="F53" s="30">
        <v>2803</v>
      </c>
      <c r="G53" s="31">
        <v>0.8483656174334141</v>
      </c>
      <c r="H53" s="30">
        <v>1946</v>
      </c>
      <c r="I53" s="32">
        <v>0.58898305084745761</v>
      </c>
      <c r="J53" s="30">
        <v>3109</v>
      </c>
      <c r="K53" s="30">
        <v>2994</v>
      </c>
      <c r="L53" s="31">
        <v>0.96299999999999997</v>
      </c>
      <c r="M53" s="30">
        <v>10392</v>
      </c>
      <c r="N53" s="30">
        <v>10659</v>
      </c>
      <c r="O53" s="30">
        <v>10181</v>
      </c>
      <c r="P53" s="31">
        <v>0.97969591993841421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2957</v>
      </c>
      <c r="X53" s="31">
        <v>0.89497578692493951</v>
      </c>
      <c r="Y53" s="30">
        <v>541</v>
      </c>
      <c r="Z53" s="33">
        <v>0.16374092009685229</v>
      </c>
      <c r="AA53" s="30">
        <v>17</v>
      </c>
      <c r="AB53" s="31">
        <v>5.145278450363196E-3</v>
      </c>
      <c r="AC53" s="30">
        <v>289</v>
      </c>
      <c r="AD53" s="31">
        <v>8.7469733656174331E-2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8.353510895883777E-2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7.3244552058111381E-2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1.5738498789346252E-2</v>
      </c>
      <c r="AY53" s="31">
        <v>1.785714285714286E-2</v>
      </c>
      <c r="AZ53" s="31">
        <v>1.029055690072639E-2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42</v>
      </c>
      <c r="F54" s="30">
        <v>41</v>
      </c>
      <c r="G54" s="31">
        <v>0.97619047619047616</v>
      </c>
      <c r="H54" s="30">
        <v>22</v>
      </c>
      <c r="I54" s="32">
        <v>0.52380952380952384</v>
      </c>
      <c r="J54" s="30">
        <v>38</v>
      </c>
      <c r="K54" s="30">
        <v>35</v>
      </c>
      <c r="L54" s="31">
        <v>0.92100000000000004</v>
      </c>
      <c r="M54" s="30">
        <v>210</v>
      </c>
      <c r="N54" s="30">
        <v>208</v>
      </c>
      <c r="O54" s="30">
        <v>203</v>
      </c>
      <c r="P54" s="31">
        <v>0.96666666666666667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2.3809523809523812E-2</v>
      </c>
      <c r="AA54" s="30">
        <v>0</v>
      </c>
      <c r="AB54" s="31">
        <v>0</v>
      </c>
      <c r="AC54" s="30">
        <v>17</v>
      </c>
      <c r="AD54" s="31">
        <v>0.40476190476190482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0</v>
      </c>
      <c r="AS54" s="34">
        <v>0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3984</v>
      </c>
      <c r="F55" s="30">
        <v>3561</v>
      </c>
      <c r="G55" s="31">
        <v>0.89382530120481929</v>
      </c>
      <c r="H55" s="30">
        <v>2435</v>
      </c>
      <c r="I55" s="32">
        <v>0.61119477911646591</v>
      </c>
      <c r="J55" s="30">
        <v>4177</v>
      </c>
      <c r="K55" s="30">
        <v>4072</v>
      </c>
      <c r="L55" s="31">
        <v>0.97499999999999998</v>
      </c>
      <c r="M55" s="30">
        <v>22118</v>
      </c>
      <c r="N55" s="30">
        <v>22919</v>
      </c>
      <c r="O55" s="30">
        <v>21828</v>
      </c>
      <c r="P55" s="31">
        <v>0.98688850709829101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3145</v>
      </c>
      <c r="X55" s="31">
        <v>0.7894076305220884</v>
      </c>
      <c r="Y55" s="30">
        <v>839</v>
      </c>
      <c r="Z55" s="33">
        <v>0.21059236947791171</v>
      </c>
      <c r="AA55" s="30">
        <v>80</v>
      </c>
      <c r="AB55" s="31">
        <v>2.0080321285140559E-2</v>
      </c>
      <c r="AC55" s="30">
        <v>548</v>
      </c>
      <c r="AD55" s="31">
        <v>0.13755020080321281</v>
      </c>
      <c r="AE55" s="30">
        <v>104</v>
      </c>
      <c r="AF55" s="31">
        <v>0.18978102189781021</v>
      </c>
      <c r="AG55" s="30">
        <v>510</v>
      </c>
      <c r="AH55" s="31">
        <v>0.93065693430656937</v>
      </c>
      <c r="AI55" s="34">
        <v>543</v>
      </c>
      <c r="AJ55" s="31">
        <v>0.1362951807228916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0.12449799196787149</v>
      </c>
      <c r="AP55" s="31">
        <v>0.9051094890510949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2.1586345381526109E-2</v>
      </c>
      <c r="AY55" s="31">
        <v>2.2088353413654619E-2</v>
      </c>
      <c r="AZ55" s="31">
        <v>3.463855421686747E-2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2517</v>
      </c>
      <c r="F56" s="30">
        <v>2231</v>
      </c>
      <c r="G56" s="31">
        <v>0.88637266587206998</v>
      </c>
      <c r="H56" s="30">
        <v>811</v>
      </c>
      <c r="I56" s="32">
        <v>0.32220897894318629</v>
      </c>
      <c r="J56" s="30">
        <v>2361</v>
      </c>
      <c r="K56" s="30">
        <v>2244</v>
      </c>
      <c r="L56" s="31">
        <v>0.95</v>
      </c>
      <c r="M56" s="30">
        <v>11019</v>
      </c>
      <c r="N56" s="30">
        <v>11330</v>
      </c>
      <c r="O56" s="30">
        <v>10796</v>
      </c>
      <c r="P56" s="31">
        <v>0.97976222887739362</v>
      </c>
      <c r="Q56" s="30">
        <v>18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2193</v>
      </c>
      <c r="X56" s="31">
        <v>0.87127532777115613</v>
      </c>
      <c r="Y56" s="30">
        <v>528</v>
      </c>
      <c r="Z56" s="33">
        <v>0.2097735399284863</v>
      </c>
      <c r="AA56" s="30">
        <v>29</v>
      </c>
      <c r="AB56" s="31">
        <v>1.152165276122368E-2</v>
      </c>
      <c r="AC56" s="30">
        <v>431</v>
      </c>
      <c r="AD56" s="31">
        <v>0.17123559793404849</v>
      </c>
      <c r="AE56" s="30">
        <v>59</v>
      </c>
      <c r="AF56" s="31">
        <v>0.1368909512761021</v>
      </c>
      <c r="AG56" s="30">
        <v>410</v>
      </c>
      <c r="AH56" s="31">
        <v>0.95127610208816704</v>
      </c>
      <c r="AI56" s="34">
        <v>415</v>
      </c>
      <c r="AJ56" s="31">
        <v>0.16487882399682161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0.14382201032975761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4.0127135478744538E-2</v>
      </c>
      <c r="AY56" s="31">
        <v>3.9332538736591177E-2</v>
      </c>
      <c r="AZ56" s="31">
        <v>2.4632499006754072E-2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2406</v>
      </c>
      <c r="F57" s="30">
        <v>2009</v>
      </c>
      <c r="G57" s="31">
        <v>0.83499584372402325</v>
      </c>
      <c r="H57" s="30">
        <v>909</v>
      </c>
      <c r="I57" s="32">
        <v>0.37780548628428928</v>
      </c>
      <c r="J57" s="30">
        <v>1641</v>
      </c>
      <c r="K57" s="30">
        <v>1558</v>
      </c>
      <c r="L57" s="31">
        <v>0.94899999999999995</v>
      </c>
      <c r="M57" s="30">
        <v>8441</v>
      </c>
      <c r="N57" s="30">
        <v>8905</v>
      </c>
      <c r="O57" s="30">
        <v>8288</v>
      </c>
      <c r="P57" s="31">
        <v>0.98187418552304229</v>
      </c>
      <c r="Q57" s="30">
        <v>12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2688</v>
      </c>
      <c r="X57" s="31">
        <v>1.117206982543641</v>
      </c>
      <c r="Y57" s="30">
        <v>555</v>
      </c>
      <c r="Z57" s="33">
        <v>0.23067331670822941</v>
      </c>
      <c r="AA57" s="30">
        <v>18</v>
      </c>
      <c r="AB57" s="31">
        <v>7.481296758104738E-3</v>
      </c>
      <c r="AC57" s="30">
        <v>471</v>
      </c>
      <c r="AD57" s="31">
        <v>0.19576059850374061</v>
      </c>
      <c r="AE57" s="30">
        <v>74</v>
      </c>
      <c r="AF57" s="31">
        <v>0.1571125265392781</v>
      </c>
      <c r="AG57" s="30">
        <v>446</v>
      </c>
      <c r="AH57" s="31">
        <v>0.94692144373673037</v>
      </c>
      <c r="AI57" s="34">
        <v>479</v>
      </c>
      <c r="AJ57" s="31">
        <v>0.1990856192851205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0.17165419783873651</v>
      </c>
      <c r="AP57" s="31">
        <v>0.87685774946921446</v>
      </c>
      <c r="AQ57" s="32">
        <v>0.96654275092936803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3.1587697423108893E-2</v>
      </c>
      <c r="AY57" s="31">
        <v>3.117206982543641E-2</v>
      </c>
      <c r="AZ57" s="31">
        <v>1.163757273482959E-2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55</v>
      </c>
      <c r="F58" s="30">
        <v>53</v>
      </c>
      <c r="G58" s="31">
        <v>0.96363636363636362</v>
      </c>
      <c r="H58" s="30">
        <v>30</v>
      </c>
      <c r="I58" s="32">
        <v>0.54545454545454541</v>
      </c>
      <c r="J58" s="30">
        <v>53</v>
      </c>
      <c r="K58" s="30">
        <v>52</v>
      </c>
      <c r="L58" s="31">
        <v>0.98099999999999998</v>
      </c>
      <c r="M58" s="30">
        <v>221</v>
      </c>
      <c r="N58" s="30">
        <v>230</v>
      </c>
      <c r="O58" s="30">
        <v>218</v>
      </c>
      <c r="P58" s="31">
        <v>0.98642533936651589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1.8181818181818181E-2</v>
      </c>
      <c r="AA58" s="30">
        <v>0</v>
      </c>
      <c r="AB58" s="31">
        <v>0</v>
      </c>
      <c r="AC58" s="30">
        <v>25</v>
      </c>
      <c r="AD58" s="31">
        <v>0.45454545454545447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5354</v>
      </c>
      <c r="F59" s="30">
        <v>4566</v>
      </c>
      <c r="G59" s="31">
        <v>0.85282032125513629</v>
      </c>
      <c r="H59" s="30">
        <v>4006</v>
      </c>
      <c r="I59" s="32">
        <v>0.74822562570041096</v>
      </c>
      <c r="J59" s="30">
        <v>5995</v>
      </c>
      <c r="K59" s="30">
        <v>5845</v>
      </c>
      <c r="L59" s="31">
        <v>0.97499999999999998</v>
      </c>
      <c r="M59" s="30">
        <v>24219</v>
      </c>
      <c r="N59" s="30">
        <v>24827</v>
      </c>
      <c r="O59" s="30">
        <v>23880</v>
      </c>
      <c r="P59" s="31">
        <v>0.9860027251331599</v>
      </c>
      <c r="Q59" s="30">
        <v>31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2976</v>
      </c>
      <c r="X59" s="31">
        <v>0.55584609637654092</v>
      </c>
      <c r="Y59" s="30">
        <v>866</v>
      </c>
      <c r="Z59" s="33">
        <v>0.1617482256257004</v>
      </c>
      <c r="AA59" s="30">
        <v>96</v>
      </c>
      <c r="AB59" s="31">
        <v>1.7930519237952931E-2</v>
      </c>
      <c r="AC59" s="30">
        <v>895</v>
      </c>
      <c r="AD59" s="31">
        <v>0.16716473664549869</v>
      </c>
      <c r="AE59" s="30">
        <v>106</v>
      </c>
      <c r="AF59" s="31">
        <v>0.11843575418994411</v>
      </c>
      <c r="AG59" s="30">
        <v>846</v>
      </c>
      <c r="AH59" s="31">
        <v>0.94525139664804469</v>
      </c>
      <c r="AI59" s="34">
        <v>879</v>
      </c>
      <c r="AJ59" s="31">
        <v>0.16417631677250649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0.15072842734404179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2.9884198729921551E-2</v>
      </c>
      <c r="AY59" s="31">
        <v>2.9323870003735521E-2</v>
      </c>
      <c r="AZ59" s="31">
        <v>2.222637280537916E-2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2442</v>
      </c>
      <c r="F60" s="30">
        <v>2181</v>
      </c>
      <c r="G60" s="31">
        <v>0.89312039312039315</v>
      </c>
      <c r="H60" s="30">
        <v>885</v>
      </c>
      <c r="I60" s="32">
        <v>0.36240786240786238</v>
      </c>
      <c r="J60" s="30">
        <v>2446</v>
      </c>
      <c r="K60" s="30">
        <v>2307</v>
      </c>
      <c r="L60" s="31">
        <v>0.94299999999999995</v>
      </c>
      <c r="M60" s="30">
        <v>11777</v>
      </c>
      <c r="N60" s="30">
        <v>11383</v>
      </c>
      <c r="O60" s="30">
        <v>11518</v>
      </c>
      <c r="P60" s="31">
        <v>0.97800798165916614</v>
      </c>
      <c r="Q60" s="30">
        <v>34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2145</v>
      </c>
      <c r="X60" s="31">
        <v>0.8783783783783784</v>
      </c>
      <c r="Y60" s="30">
        <v>491</v>
      </c>
      <c r="Z60" s="33">
        <v>0.20106470106470109</v>
      </c>
      <c r="AA60" s="30">
        <v>31</v>
      </c>
      <c r="AB60" s="31">
        <v>1.269451269451269E-2</v>
      </c>
      <c r="AC60" s="30">
        <v>451</v>
      </c>
      <c r="AD60" s="31">
        <v>0.18468468468468471</v>
      </c>
      <c r="AE60" s="30">
        <v>67</v>
      </c>
      <c r="AF60" s="31">
        <v>0.1485587583148559</v>
      </c>
      <c r="AG60" s="30">
        <v>420</v>
      </c>
      <c r="AH60" s="31">
        <v>0.9312638580931264</v>
      </c>
      <c r="AI60" s="34">
        <v>434</v>
      </c>
      <c r="AJ60" s="31">
        <v>0.17772317772317769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0.14701064701064701</v>
      </c>
      <c r="AP60" s="31">
        <v>0.7960088691796009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4.3407043407043412E-2</v>
      </c>
      <c r="AY60" s="31">
        <v>4.3407043407043412E-2</v>
      </c>
      <c r="AZ60" s="31">
        <v>2.2932022932022931E-2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2192</v>
      </c>
      <c r="F61" s="30">
        <v>1986</v>
      </c>
      <c r="G61" s="31">
        <v>0.90602189781021902</v>
      </c>
      <c r="H61" s="30">
        <v>1070</v>
      </c>
      <c r="I61" s="32">
        <v>0.48813868613138678</v>
      </c>
      <c r="J61" s="30">
        <v>2058</v>
      </c>
      <c r="K61" s="30">
        <v>1849</v>
      </c>
      <c r="L61" s="31">
        <v>0.89800000000000002</v>
      </c>
      <c r="M61" s="30">
        <v>9188</v>
      </c>
      <c r="N61" s="30">
        <v>9150</v>
      </c>
      <c r="O61" s="30">
        <v>8874</v>
      </c>
      <c r="P61" s="31">
        <v>0.9658249891162386</v>
      </c>
      <c r="Q61" s="30">
        <v>30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2841</v>
      </c>
      <c r="X61" s="31">
        <v>1.2960766423357659</v>
      </c>
      <c r="Y61" s="30">
        <v>519</v>
      </c>
      <c r="Z61" s="33">
        <v>0.2367700729927007</v>
      </c>
      <c r="AA61" s="30">
        <v>15</v>
      </c>
      <c r="AB61" s="31">
        <v>6.8430656934306573E-3</v>
      </c>
      <c r="AC61" s="30">
        <v>541</v>
      </c>
      <c r="AD61" s="31">
        <v>0.24680656934306569</v>
      </c>
      <c r="AE61" s="30">
        <v>68</v>
      </c>
      <c r="AF61" s="31">
        <v>0.1256931608133087</v>
      </c>
      <c r="AG61" s="30">
        <v>504</v>
      </c>
      <c r="AH61" s="31">
        <v>0.93160813308687618</v>
      </c>
      <c r="AI61" s="34">
        <v>518</v>
      </c>
      <c r="AJ61" s="31">
        <v>0.23631386861313869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0.20346715328467149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3.8321167883211681E-2</v>
      </c>
      <c r="AY61" s="31">
        <v>3.6496350364963501E-2</v>
      </c>
      <c r="AZ61" s="31">
        <v>1.322992700729927E-2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61</v>
      </c>
      <c r="F62" s="30">
        <v>59</v>
      </c>
      <c r="G62" s="31">
        <v>0.96721311475409832</v>
      </c>
      <c r="H62" s="30">
        <v>38</v>
      </c>
      <c r="I62" s="32">
        <v>0.62295081967213117</v>
      </c>
      <c r="J62" s="30">
        <v>53</v>
      </c>
      <c r="K62" s="30">
        <v>53</v>
      </c>
      <c r="L62" s="31">
        <v>1</v>
      </c>
      <c r="M62" s="30">
        <v>252</v>
      </c>
      <c r="N62" s="30">
        <v>244</v>
      </c>
      <c r="O62" s="30">
        <v>247</v>
      </c>
      <c r="P62" s="31">
        <v>0.98015873015873012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0.39344262295081972</v>
      </c>
      <c r="AE62" s="30">
        <v>10</v>
      </c>
      <c r="AF62" s="31">
        <v>0.41666666666666669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5825</v>
      </c>
      <c r="F63" s="30">
        <v>5087</v>
      </c>
      <c r="G63" s="31">
        <v>0.87330472103004286</v>
      </c>
      <c r="H63" s="30">
        <v>4405</v>
      </c>
      <c r="I63" s="32">
        <v>0.75622317596566524</v>
      </c>
      <c r="J63" s="30">
        <v>6684</v>
      </c>
      <c r="K63" s="30">
        <v>6391</v>
      </c>
      <c r="L63" s="31">
        <v>0.95599999999999996</v>
      </c>
      <c r="M63" s="30">
        <v>25084</v>
      </c>
      <c r="N63" s="30">
        <v>25427</v>
      </c>
      <c r="O63" s="30">
        <v>24579</v>
      </c>
      <c r="P63" s="31">
        <v>0.97986764471376175</v>
      </c>
      <c r="Q63" s="30">
        <v>36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3477</v>
      </c>
      <c r="X63" s="31">
        <v>0.59690987124463524</v>
      </c>
      <c r="Y63" s="30">
        <v>703</v>
      </c>
      <c r="Z63" s="33">
        <v>0.12068669527897</v>
      </c>
      <c r="AA63" s="30">
        <v>82</v>
      </c>
      <c r="AB63" s="31">
        <v>1.4077253218884121E-2</v>
      </c>
      <c r="AC63" s="30">
        <v>1014</v>
      </c>
      <c r="AD63" s="31">
        <v>0.17407725321888409</v>
      </c>
      <c r="AE63" s="30">
        <v>141</v>
      </c>
      <c r="AF63" s="31">
        <v>0.13905325443786981</v>
      </c>
      <c r="AG63" s="30">
        <v>956</v>
      </c>
      <c r="AH63" s="31">
        <v>0.94280078895463515</v>
      </c>
      <c r="AI63" s="34">
        <v>996</v>
      </c>
      <c r="AJ63" s="31">
        <v>0.1709871244635193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0.15862660944206011</v>
      </c>
      <c r="AP63" s="31">
        <v>0.91124260355029585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3.2446351931330469E-2</v>
      </c>
      <c r="AY63" s="31">
        <v>3.1244635193133051E-2</v>
      </c>
      <c r="AZ63" s="31">
        <v>1.5107296137339059E-2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4278</v>
      </c>
      <c r="F64" s="30">
        <v>3685</v>
      </c>
      <c r="G64" s="31">
        <v>0.86138382421692383</v>
      </c>
      <c r="H64" s="30">
        <v>2389</v>
      </c>
      <c r="I64" s="32">
        <v>0.55843852267414684</v>
      </c>
      <c r="J64" s="30">
        <v>3496</v>
      </c>
      <c r="K64" s="30">
        <v>3346</v>
      </c>
      <c r="L64" s="31">
        <v>0.95699999999999996</v>
      </c>
      <c r="M64" s="30">
        <v>11830</v>
      </c>
      <c r="N64" s="30">
        <v>11839</v>
      </c>
      <c r="O64" s="30">
        <v>11538</v>
      </c>
      <c r="P64" s="31">
        <v>0.97531699070160605</v>
      </c>
      <c r="Q64" s="30">
        <v>58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2794</v>
      </c>
      <c r="X64" s="31">
        <v>0.65310892940626464</v>
      </c>
      <c r="Y64" s="30">
        <v>446</v>
      </c>
      <c r="Z64" s="33">
        <v>0.10425432445067789</v>
      </c>
      <c r="AA64" s="30">
        <v>32</v>
      </c>
      <c r="AB64" s="31">
        <v>7.4801309022907896E-3</v>
      </c>
      <c r="AC64" s="30">
        <v>299</v>
      </c>
      <c r="AD64" s="31">
        <v>6.9892473118279563E-2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6.9191210846189802E-2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6.077606358111267E-2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1.729780271154745E-2</v>
      </c>
      <c r="AY64" s="31">
        <v>1.7531556802244039E-2</v>
      </c>
      <c r="AZ64" s="31">
        <v>2.7115474520804119E-2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2067</v>
      </c>
      <c r="F65" s="30">
        <v>1832</v>
      </c>
      <c r="G65" s="31">
        <v>0.88630865989356555</v>
      </c>
      <c r="H65" s="30">
        <v>762</v>
      </c>
      <c r="I65" s="32">
        <v>0.36865021770682149</v>
      </c>
      <c r="J65" s="30">
        <v>1669</v>
      </c>
      <c r="K65" s="30">
        <v>1574</v>
      </c>
      <c r="L65" s="31">
        <v>0.94299999999999995</v>
      </c>
      <c r="M65" s="30">
        <v>9047</v>
      </c>
      <c r="N65" s="30">
        <v>8345</v>
      </c>
      <c r="O65" s="30">
        <v>8828</v>
      </c>
      <c r="P65" s="31">
        <v>0.97579308057919756</v>
      </c>
      <c r="Q65" s="30">
        <v>25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3178</v>
      </c>
      <c r="X65" s="31">
        <v>1.537493952588292</v>
      </c>
      <c r="Y65" s="30">
        <v>978</v>
      </c>
      <c r="Z65" s="33">
        <v>0.47314949201741657</v>
      </c>
      <c r="AA65" s="30">
        <v>10</v>
      </c>
      <c r="AB65" s="31">
        <v>4.8379293662312532E-3</v>
      </c>
      <c r="AC65" s="30">
        <v>249</v>
      </c>
      <c r="AD65" s="31">
        <v>0.1204644412191582</v>
      </c>
      <c r="AE65" s="30">
        <v>37</v>
      </c>
      <c r="AF65" s="31">
        <v>0.14859437751004009</v>
      </c>
      <c r="AG65" s="30">
        <v>236</v>
      </c>
      <c r="AH65" s="31">
        <v>0.94779116465863456</v>
      </c>
      <c r="AI65" s="34">
        <v>245</v>
      </c>
      <c r="AJ65" s="31">
        <v>0.1185292694726657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0.10353168843734881</v>
      </c>
      <c r="AP65" s="31">
        <v>0.85943775100401609</v>
      </c>
      <c r="AQ65" s="32">
        <v>0.97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1.9835510401548139E-2</v>
      </c>
      <c r="AY65" s="31">
        <v>2.0319303338171259E-2</v>
      </c>
      <c r="AZ65" s="31">
        <v>2.2738268021286891E-2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53</v>
      </c>
      <c r="F66" s="30">
        <v>52</v>
      </c>
      <c r="G66" s="31">
        <v>0.98113207547169812</v>
      </c>
      <c r="H66" s="30">
        <v>24</v>
      </c>
      <c r="I66" s="32">
        <v>0.45283018867924529</v>
      </c>
      <c r="J66" s="30">
        <v>49</v>
      </c>
      <c r="K66" s="30">
        <v>47</v>
      </c>
      <c r="L66" s="31">
        <v>0.95899999999999996</v>
      </c>
      <c r="M66" s="30">
        <v>218</v>
      </c>
      <c r="N66" s="30">
        <v>196</v>
      </c>
      <c r="O66" s="30">
        <v>213</v>
      </c>
      <c r="P66" s="31">
        <v>0.97706422018348627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1.886792452830189E-2</v>
      </c>
      <c r="Y66" s="30">
        <v>1</v>
      </c>
      <c r="Z66" s="33">
        <v>1.886792452830189E-2</v>
      </c>
      <c r="AA66" s="30">
        <v>0</v>
      </c>
      <c r="AB66" s="31">
        <v>0</v>
      </c>
      <c r="AC66" s="30">
        <v>11</v>
      </c>
      <c r="AD66" s="31">
        <v>0.20754716981132079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3985</v>
      </c>
      <c r="F67" s="30">
        <v>3609</v>
      </c>
      <c r="G67" s="31">
        <v>0.90564617314930995</v>
      </c>
      <c r="H67" s="30">
        <v>2440</v>
      </c>
      <c r="I67" s="32">
        <v>0.61229611041405274</v>
      </c>
      <c r="J67" s="30">
        <v>5226</v>
      </c>
      <c r="K67" s="30">
        <v>5110</v>
      </c>
      <c r="L67" s="31">
        <v>0.97799999999999998</v>
      </c>
      <c r="M67" s="30">
        <v>23306</v>
      </c>
      <c r="N67" s="30">
        <v>23084</v>
      </c>
      <c r="O67" s="30">
        <v>22950</v>
      </c>
      <c r="P67" s="31">
        <v>0.98472496352870509</v>
      </c>
      <c r="Q67" s="30">
        <v>23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4108</v>
      </c>
      <c r="X67" s="31">
        <v>1.030865746549561</v>
      </c>
      <c r="Y67" s="30">
        <v>665</v>
      </c>
      <c r="Z67" s="33">
        <v>0.16687578419071519</v>
      </c>
      <c r="AA67" s="30">
        <v>82</v>
      </c>
      <c r="AB67" s="31">
        <v>2.0577164366373898E-2</v>
      </c>
      <c r="AC67" s="30">
        <v>528</v>
      </c>
      <c r="AD67" s="31">
        <v>0.1324968632371393</v>
      </c>
      <c r="AE67" s="30">
        <v>92</v>
      </c>
      <c r="AF67" s="31">
        <v>0.17424242424242431</v>
      </c>
      <c r="AG67" s="30">
        <v>491</v>
      </c>
      <c r="AH67" s="31">
        <v>0.92992424242424243</v>
      </c>
      <c r="AI67" s="34">
        <v>526</v>
      </c>
      <c r="AJ67" s="31">
        <v>0.13199498117942279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0.12446675031367629</v>
      </c>
      <c r="AP67" s="31">
        <v>0.93939393939393945</v>
      </c>
      <c r="AQ67" s="32">
        <v>0.96617336152219868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2.2082810539523209E-2</v>
      </c>
      <c r="AY67" s="31">
        <v>2.3086574654956081E-2</v>
      </c>
      <c r="AZ67" s="31">
        <v>4.1907151819322461E-2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3772</v>
      </c>
      <c r="F68" s="30">
        <v>3255</v>
      </c>
      <c r="G68" s="31">
        <v>0.86293743372216336</v>
      </c>
      <c r="H68" s="30">
        <v>2010</v>
      </c>
      <c r="I68" s="32">
        <v>0.5328738069989396</v>
      </c>
      <c r="J68" s="30">
        <v>3619</v>
      </c>
      <c r="K68" s="30">
        <v>3521</v>
      </c>
      <c r="L68" s="31">
        <v>0.97299999999999998</v>
      </c>
      <c r="M68" s="30">
        <v>13367</v>
      </c>
      <c r="N68" s="30">
        <v>13604</v>
      </c>
      <c r="O68" s="30">
        <v>13159</v>
      </c>
      <c r="P68" s="31">
        <v>0.98443929079075332</v>
      </c>
      <c r="Q68" s="30">
        <v>38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2830</v>
      </c>
      <c r="X68" s="31">
        <v>0.75026511134676566</v>
      </c>
      <c r="Y68" s="30">
        <v>331</v>
      </c>
      <c r="Z68" s="33">
        <v>8.775185577942736E-2</v>
      </c>
      <c r="AA68" s="30">
        <v>35</v>
      </c>
      <c r="AB68" s="31">
        <v>9.2788971367974548E-3</v>
      </c>
      <c r="AC68" s="30">
        <v>261</v>
      </c>
      <c r="AD68" s="31">
        <v>6.9194061505832447E-2</v>
      </c>
      <c r="AE68" s="30">
        <v>50</v>
      </c>
      <c r="AF68" s="31">
        <v>0.19157088122605359</v>
      </c>
      <c r="AG68" s="30">
        <v>228</v>
      </c>
      <c r="AH68" s="31">
        <v>0.87356321839080464</v>
      </c>
      <c r="AI68" s="34">
        <v>255</v>
      </c>
      <c r="AJ68" s="31">
        <v>6.7603393425238606E-2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5.6468716861081653E-2</v>
      </c>
      <c r="AP68" s="31">
        <v>0.81609195402298851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1.2195121951219509E-2</v>
      </c>
      <c r="AY68" s="31">
        <v>1.2195121951219509E-2</v>
      </c>
      <c r="AZ68" s="31">
        <v>1.8822905620360549E-2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2382</v>
      </c>
      <c r="F69" s="30">
        <v>2081</v>
      </c>
      <c r="G69" s="31">
        <v>0.87363560033585219</v>
      </c>
      <c r="H69" s="30">
        <v>1417</v>
      </c>
      <c r="I69" s="32">
        <v>0.59487825356842994</v>
      </c>
      <c r="J69" s="30">
        <v>2232</v>
      </c>
      <c r="K69" s="30">
        <v>2179</v>
      </c>
      <c r="L69" s="31">
        <v>0.97599999999999998</v>
      </c>
      <c r="M69" s="30">
        <v>8677</v>
      </c>
      <c r="N69" s="30">
        <v>8745</v>
      </c>
      <c r="O69" s="30">
        <v>8533</v>
      </c>
      <c r="P69" s="31">
        <v>0.98340440244324079</v>
      </c>
      <c r="Q69" s="30">
        <v>19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3436</v>
      </c>
      <c r="X69" s="31">
        <v>1.442485306465155</v>
      </c>
      <c r="Y69" s="30">
        <v>319</v>
      </c>
      <c r="Z69" s="33">
        <v>0.13392107472712009</v>
      </c>
      <c r="AA69" s="30">
        <v>9</v>
      </c>
      <c r="AB69" s="31">
        <v>3.778337531486146E-3</v>
      </c>
      <c r="AC69" s="30">
        <v>287</v>
      </c>
      <c r="AD69" s="31">
        <v>0.1204869857262804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0.1192275398824517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9.9076406381192278E-2</v>
      </c>
      <c r="AP69" s="31">
        <v>0.82229965156794427</v>
      </c>
      <c r="AQ69" s="32">
        <v>0.96035242290748901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1.721242653232578E-2</v>
      </c>
      <c r="AY69" s="31">
        <v>1.721242653232578E-2</v>
      </c>
      <c r="AZ69" s="31">
        <v>1.6792611251049541E-2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101</v>
      </c>
      <c r="F70" s="30">
        <v>98</v>
      </c>
      <c r="G70" s="31">
        <v>0.97029702970297027</v>
      </c>
      <c r="H70" s="30">
        <v>44</v>
      </c>
      <c r="I70" s="32">
        <v>0.43564356435643559</v>
      </c>
      <c r="J70" s="30">
        <v>136</v>
      </c>
      <c r="K70" s="30">
        <v>131</v>
      </c>
      <c r="L70" s="31">
        <v>0.96299999999999997</v>
      </c>
      <c r="M70" s="30">
        <v>374</v>
      </c>
      <c r="N70" s="30">
        <v>402</v>
      </c>
      <c r="O70" s="30">
        <v>365</v>
      </c>
      <c r="P70" s="31">
        <v>0.97593582887700536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9.9009900990099011E-3</v>
      </c>
      <c r="Y70" s="30">
        <v>1</v>
      </c>
      <c r="Z70" s="33">
        <v>9.9009900990099011E-3</v>
      </c>
      <c r="AA70" s="30">
        <v>0</v>
      </c>
      <c r="AB70" s="31">
        <v>0</v>
      </c>
      <c r="AC70" s="30">
        <v>15</v>
      </c>
      <c r="AD70" s="31">
        <v>0.14851485148514851</v>
      </c>
      <c r="AE70" s="30">
        <v>10</v>
      </c>
      <c r="AF70" s="31">
        <v>0.66666666666666663</v>
      </c>
      <c r="AG70" s="30">
        <v>15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3340</v>
      </c>
      <c r="F71" s="30">
        <v>3042</v>
      </c>
      <c r="G71" s="31">
        <v>0.91077844311377243</v>
      </c>
      <c r="H71" s="30">
        <v>1758</v>
      </c>
      <c r="I71" s="32">
        <v>0.52634730538922159</v>
      </c>
      <c r="J71" s="30">
        <v>4144</v>
      </c>
      <c r="K71" s="30">
        <v>4046</v>
      </c>
      <c r="L71" s="31">
        <v>0.97599999999999998</v>
      </c>
      <c r="M71" s="30">
        <v>22262</v>
      </c>
      <c r="N71" s="30">
        <v>21731</v>
      </c>
      <c r="O71" s="30">
        <v>21989</v>
      </c>
      <c r="P71" s="31">
        <v>0.9877369508579642</v>
      </c>
      <c r="Q71" s="30">
        <v>20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4849</v>
      </c>
      <c r="X71" s="31">
        <v>1.4517964071856291</v>
      </c>
      <c r="Y71" s="30">
        <v>513</v>
      </c>
      <c r="Z71" s="33">
        <v>0.15359281437125749</v>
      </c>
      <c r="AA71" s="30">
        <v>90</v>
      </c>
      <c r="AB71" s="31">
        <v>2.6946107784431138E-2</v>
      </c>
      <c r="AC71" s="30">
        <v>493</v>
      </c>
      <c r="AD71" s="31">
        <v>0.14760479041916169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0.14730538922155689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0.1335329341317365</v>
      </c>
      <c r="AP71" s="31">
        <v>0.90466531440162268</v>
      </c>
      <c r="AQ71" s="32">
        <v>0.96926229508196726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2.4850299401197609E-2</v>
      </c>
      <c r="AY71" s="31">
        <v>2.4251497005988019E-2</v>
      </c>
      <c r="AZ71" s="31">
        <v>3.8023952095808382E-2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2622</v>
      </c>
      <c r="F72" s="30">
        <v>2309</v>
      </c>
      <c r="G72" s="31">
        <v>0.88062547673531655</v>
      </c>
      <c r="H72" s="30">
        <v>949</v>
      </c>
      <c r="I72" s="32">
        <v>0.36193745232646829</v>
      </c>
      <c r="J72" s="30">
        <v>3111</v>
      </c>
      <c r="K72" s="30">
        <v>3037</v>
      </c>
      <c r="L72" s="31">
        <v>0.97599999999999998</v>
      </c>
      <c r="M72" s="30">
        <v>12002</v>
      </c>
      <c r="N72" s="30">
        <v>11994</v>
      </c>
      <c r="O72" s="30">
        <v>11838</v>
      </c>
      <c r="P72" s="31">
        <v>0.98633561073154474</v>
      </c>
      <c r="Q72" s="30">
        <v>19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3011</v>
      </c>
      <c r="X72" s="31">
        <v>1.1483600305110599</v>
      </c>
      <c r="Y72" s="30">
        <v>398</v>
      </c>
      <c r="Z72" s="33">
        <v>0.1517925247902365</v>
      </c>
      <c r="AA72" s="30">
        <v>30</v>
      </c>
      <c r="AB72" s="31">
        <v>1.1441647597254001E-2</v>
      </c>
      <c r="AC72" s="30">
        <v>232</v>
      </c>
      <c r="AD72" s="31">
        <v>8.8482074752097642E-2</v>
      </c>
      <c r="AE72" s="30">
        <v>48</v>
      </c>
      <c r="AF72" s="31">
        <v>0.2068965517241379</v>
      </c>
      <c r="AG72" s="30">
        <v>208</v>
      </c>
      <c r="AH72" s="31">
        <v>0.89655172413793105</v>
      </c>
      <c r="AI72" s="34">
        <v>248</v>
      </c>
      <c r="AJ72" s="31">
        <v>9.4584286803966439E-2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8.0854309687261636E-2</v>
      </c>
      <c r="AP72" s="31">
        <v>0.91379310344827591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2.0213577421815409E-2</v>
      </c>
      <c r="AY72" s="31">
        <v>2.0594965675057211E-2</v>
      </c>
      <c r="AZ72" s="31">
        <v>3.0129672006102209E-2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3676</v>
      </c>
      <c r="F73" s="30">
        <v>3124</v>
      </c>
      <c r="G73" s="31">
        <v>0.84983677910772581</v>
      </c>
      <c r="H73" s="30">
        <v>2706</v>
      </c>
      <c r="I73" s="32">
        <v>0.73612622415669204</v>
      </c>
      <c r="J73" s="30">
        <v>2976</v>
      </c>
      <c r="K73" s="30">
        <v>2902</v>
      </c>
      <c r="L73" s="31">
        <v>0.97499999999999998</v>
      </c>
      <c r="M73" s="30">
        <v>9380</v>
      </c>
      <c r="N73" s="30">
        <v>9796</v>
      </c>
      <c r="O73" s="30">
        <v>9197</v>
      </c>
      <c r="P73" s="31">
        <v>0.98049040511727081</v>
      </c>
      <c r="Q73" s="30">
        <v>20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3539</v>
      </c>
      <c r="X73" s="31">
        <v>0.96273122959738844</v>
      </c>
      <c r="Y73" s="30">
        <v>459</v>
      </c>
      <c r="Z73" s="33">
        <v>0.12486398258977149</v>
      </c>
      <c r="AA73" s="30">
        <v>16</v>
      </c>
      <c r="AB73" s="31">
        <v>4.3525571273122961E-3</v>
      </c>
      <c r="AC73" s="30">
        <v>264</v>
      </c>
      <c r="AD73" s="31">
        <v>7.181719260065289E-2</v>
      </c>
      <c r="AE73" s="30">
        <v>40</v>
      </c>
      <c r="AF73" s="31">
        <v>0.15151515151515149</v>
      </c>
      <c r="AG73" s="30">
        <v>248</v>
      </c>
      <c r="AH73" s="31">
        <v>0.93939393939393945</v>
      </c>
      <c r="AI73" s="34">
        <v>270</v>
      </c>
      <c r="AJ73" s="31">
        <v>7.3449401523394992E-2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6.2568008705114253E-2</v>
      </c>
      <c r="AP73" s="31">
        <v>0.87121212121212122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7.6169749727965181E-3</v>
      </c>
      <c r="AY73" s="31">
        <v>7.8890097932535364E-3</v>
      </c>
      <c r="AZ73" s="31">
        <v>1.03373231773667E-2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194</v>
      </c>
      <c r="F74" s="30">
        <v>179</v>
      </c>
      <c r="G74" s="31">
        <v>0.92268041237113407</v>
      </c>
      <c r="H74" s="30">
        <v>99</v>
      </c>
      <c r="I74" s="32">
        <v>0.51030927835051543</v>
      </c>
      <c r="J74" s="30">
        <v>202</v>
      </c>
      <c r="K74" s="30">
        <v>196</v>
      </c>
      <c r="L74" s="31">
        <v>0.97</v>
      </c>
      <c r="M74" s="30">
        <v>467</v>
      </c>
      <c r="N74" s="30">
        <v>751</v>
      </c>
      <c r="O74" s="30">
        <v>458</v>
      </c>
      <c r="P74" s="31">
        <v>0.98072805139186292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1.030927835051546E-2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8.7628865979381437E-2</v>
      </c>
      <c r="AE74" s="30">
        <v>15</v>
      </c>
      <c r="AF74" s="31">
        <v>0.88235294117647056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0</v>
      </c>
      <c r="AS74" s="34">
        <v>0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3513</v>
      </c>
      <c r="F75" s="30">
        <v>3177</v>
      </c>
      <c r="G75" s="31">
        <v>0.90435525192143462</v>
      </c>
      <c r="H75" s="30">
        <v>1795</v>
      </c>
      <c r="I75" s="32">
        <v>0.51095929405066898</v>
      </c>
      <c r="J75" s="30">
        <v>3974</v>
      </c>
      <c r="K75" s="30">
        <v>3904</v>
      </c>
      <c r="L75" s="31">
        <v>0.98199999999999998</v>
      </c>
      <c r="M75" s="30">
        <v>22017</v>
      </c>
      <c r="N75" s="30">
        <v>21466</v>
      </c>
      <c r="O75" s="30">
        <v>21747</v>
      </c>
      <c r="P75" s="31">
        <v>0.9877367488758686</v>
      </c>
      <c r="Q75" s="30">
        <v>24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5508</v>
      </c>
      <c r="X75" s="31">
        <v>1.5678906917164821</v>
      </c>
      <c r="Y75" s="30">
        <v>670</v>
      </c>
      <c r="Z75" s="33">
        <v>0.19072018218047249</v>
      </c>
      <c r="AA75" s="30">
        <v>70</v>
      </c>
      <c r="AB75" s="31">
        <v>1.992598918303444E-2</v>
      </c>
      <c r="AC75" s="30">
        <v>507</v>
      </c>
      <c r="AD75" s="31">
        <v>0.14432109308283519</v>
      </c>
      <c r="AE75" s="30">
        <v>78</v>
      </c>
      <c r="AF75" s="31">
        <v>0.15384615384615391</v>
      </c>
      <c r="AG75" s="30">
        <v>453</v>
      </c>
      <c r="AH75" s="31">
        <v>0.89349112426035504</v>
      </c>
      <c r="AI75" s="34">
        <v>490</v>
      </c>
      <c r="AJ75" s="31">
        <v>0.13948192428124109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0.12467976088812981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2.6757756902931969E-2</v>
      </c>
      <c r="AY75" s="31">
        <v>2.8465698832906349E-2</v>
      </c>
      <c r="AZ75" s="31">
        <v>3.9282664389410762E-2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2048</v>
      </c>
      <c r="F76" s="30">
        <v>1833</v>
      </c>
      <c r="G76" s="31">
        <v>0.89501953125</v>
      </c>
      <c r="H76" s="30">
        <v>674</v>
      </c>
      <c r="I76" s="32">
        <v>0.3291015625</v>
      </c>
      <c r="J76" s="30">
        <v>2721</v>
      </c>
      <c r="K76" s="30">
        <v>2625</v>
      </c>
      <c r="L76" s="31">
        <v>0.96499999999999997</v>
      </c>
      <c r="M76" s="30">
        <v>11320</v>
      </c>
      <c r="N76" s="30">
        <v>11148</v>
      </c>
      <c r="O76" s="30">
        <v>11099</v>
      </c>
      <c r="P76" s="31">
        <v>0.98047703180212009</v>
      </c>
      <c r="Q76" s="30">
        <v>19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3365</v>
      </c>
      <c r="X76" s="31">
        <v>1.64306640625</v>
      </c>
      <c r="Y76" s="30">
        <v>574</v>
      </c>
      <c r="Z76" s="33">
        <v>0.2802734375</v>
      </c>
      <c r="AA76" s="30">
        <v>13</v>
      </c>
      <c r="AB76" s="31">
        <v>6.34765625E-3</v>
      </c>
      <c r="AC76" s="30">
        <v>242</v>
      </c>
      <c r="AD76" s="31">
        <v>0.1181640625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0.12255859375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0.107421875</v>
      </c>
      <c r="AP76" s="31">
        <v>0.90909090909090906</v>
      </c>
      <c r="AQ76" s="32">
        <v>0.94907407407407407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2.34375E-2</v>
      </c>
      <c r="AY76" s="31">
        <v>2.5390625E-2</v>
      </c>
      <c r="AZ76" s="31">
        <v>3.759765625E-2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1810</v>
      </c>
      <c r="F77" s="30">
        <v>1594</v>
      </c>
      <c r="G77" s="31">
        <v>0.88066298342541438</v>
      </c>
      <c r="H77" s="30">
        <v>920</v>
      </c>
      <c r="I77" s="32">
        <v>0.50828729281767959</v>
      </c>
      <c r="J77" s="30">
        <v>2487</v>
      </c>
      <c r="K77" s="30">
        <v>2422</v>
      </c>
      <c r="L77" s="31">
        <v>0.97399999999999998</v>
      </c>
      <c r="M77" s="30">
        <v>9161</v>
      </c>
      <c r="N77" s="30">
        <v>9363</v>
      </c>
      <c r="O77" s="30">
        <v>9007</v>
      </c>
      <c r="P77" s="31">
        <v>0.98318960812138412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4469</v>
      </c>
      <c r="X77" s="31">
        <v>2.4690607734806629</v>
      </c>
      <c r="Y77" s="30">
        <v>951</v>
      </c>
      <c r="Z77" s="33">
        <v>0.52541436464088398</v>
      </c>
      <c r="AA77" s="30">
        <v>7</v>
      </c>
      <c r="AB77" s="31">
        <v>3.8674033149171268E-3</v>
      </c>
      <c r="AC77" s="30">
        <v>295</v>
      </c>
      <c r="AD77" s="31">
        <v>0.16298342541436461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0.15635359116022099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0.1270718232044199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2.541436464088398E-2</v>
      </c>
      <c r="AY77" s="31">
        <v>2.541436464088398E-2</v>
      </c>
      <c r="AZ77" s="31">
        <v>2.209944751381215E-2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211</v>
      </c>
      <c r="F78" s="30">
        <v>190</v>
      </c>
      <c r="G78" s="31">
        <v>0.90047393364928907</v>
      </c>
      <c r="H78" s="30">
        <v>90</v>
      </c>
      <c r="I78" s="32">
        <v>0.42654028436018959</v>
      </c>
      <c r="J78" s="30">
        <v>256</v>
      </c>
      <c r="K78" s="30">
        <v>249</v>
      </c>
      <c r="L78" s="31">
        <v>0.97299999999999998</v>
      </c>
      <c r="M78" s="30">
        <v>808</v>
      </c>
      <c r="N78" s="30">
        <v>609</v>
      </c>
      <c r="O78" s="30">
        <v>800</v>
      </c>
      <c r="P78" s="31">
        <v>0.99009900990099009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1.421800947867299E-2</v>
      </c>
      <c r="AA78" s="30">
        <v>0</v>
      </c>
      <c r="AB78" s="31">
        <v>0</v>
      </c>
      <c r="AC78" s="30">
        <v>25</v>
      </c>
      <c r="AD78" s="31">
        <v>0.1184834123222749</v>
      </c>
      <c r="AE78" s="30">
        <v>10</v>
      </c>
      <c r="AF78" s="31">
        <v>0.4</v>
      </c>
      <c r="AG78" s="30">
        <v>24</v>
      </c>
      <c r="AH78" s="31">
        <v>0.96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0.90909090909090906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5153</v>
      </c>
      <c r="F79" s="30">
        <v>4508</v>
      </c>
      <c r="G79" s="31">
        <v>0.8748301960023287</v>
      </c>
      <c r="H79" s="30">
        <v>3556</v>
      </c>
      <c r="I79" s="32">
        <v>0.6900834465359984</v>
      </c>
      <c r="J79" s="30">
        <v>5497</v>
      </c>
      <c r="K79" s="30">
        <v>5372</v>
      </c>
      <c r="L79" s="31">
        <v>0.97699999999999998</v>
      </c>
      <c r="M79" s="30">
        <v>22968</v>
      </c>
      <c r="N79" s="30">
        <v>22832</v>
      </c>
      <c r="O79" s="30">
        <v>22649</v>
      </c>
      <c r="P79" s="31">
        <v>0.98611111111111116</v>
      </c>
      <c r="Q79" s="30">
        <v>22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6039</v>
      </c>
      <c r="X79" s="31">
        <v>1.1719386764991271</v>
      </c>
      <c r="Y79" s="30">
        <v>849</v>
      </c>
      <c r="Z79" s="33">
        <v>0.16475839316902771</v>
      </c>
      <c r="AA79" s="30">
        <v>61</v>
      </c>
      <c r="AB79" s="31">
        <v>1.183776440908209E-2</v>
      </c>
      <c r="AC79" s="30">
        <v>472</v>
      </c>
      <c r="AD79" s="31">
        <v>9.1597127886667962E-2</v>
      </c>
      <c r="AE79" s="30">
        <v>86</v>
      </c>
      <c r="AF79" s="31">
        <v>0.18220338983050849</v>
      </c>
      <c r="AG79" s="30">
        <v>439</v>
      </c>
      <c r="AH79" s="31">
        <v>0.93008474576271183</v>
      </c>
      <c r="AI79" s="34">
        <v>484</v>
      </c>
      <c r="AJ79" s="31">
        <v>9.392586842615952E-2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8.6551523384436252E-2</v>
      </c>
      <c r="AP79" s="31">
        <v>0.94491525423728817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1.358431981370076E-2</v>
      </c>
      <c r="AY79" s="31">
        <v>1.3390258102076461E-2</v>
      </c>
      <c r="AZ79" s="31">
        <v>2.5810207646031438E-2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1814</v>
      </c>
      <c r="F80" s="30">
        <v>1635</v>
      </c>
      <c r="G80" s="31">
        <v>0.90132304299889743</v>
      </c>
      <c r="H80" s="30">
        <v>647</v>
      </c>
      <c r="I80" s="32">
        <v>0.35667034178610812</v>
      </c>
      <c r="J80" s="30">
        <v>2361</v>
      </c>
      <c r="K80" s="30">
        <v>2279</v>
      </c>
      <c r="L80" s="31">
        <v>0.96499999999999997</v>
      </c>
      <c r="M80" s="30">
        <v>11240</v>
      </c>
      <c r="N80" s="30">
        <v>11476</v>
      </c>
      <c r="O80" s="30">
        <v>11075</v>
      </c>
      <c r="P80" s="31">
        <v>0.98532028469750887</v>
      </c>
      <c r="Q80" s="30">
        <v>24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2971</v>
      </c>
      <c r="X80" s="31">
        <v>1.6378169790518191</v>
      </c>
      <c r="Y80" s="30">
        <v>516</v>
      </c>
      <c r="Z80" s="33">
        <v>0.28445424476295478</v>
      </c>
      <c r="AA80" s="30">
        <v>14</v>
      </c>
      <c r="AB80" s="31">
        <v>7.717750826901874E-3</v>
      </c>
      <c r="AC80" s="30">
        <v>283</v>
      </c>
      <c r="AD80" s="31">
        <v>0.1560088202866593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0.15270121278941559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0.133406835722161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3.3627342888643878E-2</v>
      </c>
      <c r="AY80" s="31">
        <v>3.252480705622933E-2</v>
      </c>
      <c r="AZ80" s="31">
        <v>6.1190738699007707E-2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1549</v>
      </c>
      <c r="K81" s="30">
        <v>1502</v>
      </c>
      <c r="L81" s="31">
        <v>0.97</v>
      </c>
      <c r="M81" s="30">
        <v>8666</v>
      </c>
      <c r="N81" s="30">
        <v>8905</v>
      </c>
      <c r="O81" s="30">
        <v>8529</v>
      </c>
      <c r="P81" s="31">
        <v>0.98419109162243246</v>
      </c>
      <c r="Q81" s="30">
        <v>25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4112</v>
      </c>
      <c r="X81" s="31">
        <v>2.337691870380898</v>
      </c>
      <c r="Y81" s="30">
        <v>607</v>
      </c>
      <c r="Z81" s="33">
        <v>0.34508243320068221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250</v>
      </c>
      <c r="AH81" s="31">
        <v>0.90252707581227432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2281</v>
      </c>
      <c r="F82" s="30">
        <v>2024</v>
      </c>
      <c r="G82" s="31">
        <v>0.88733011836913633</v>
      </c>
      <c r="H82" s="30">
        <v>513</v>
      </c>
      <c r="I82" s="32">
        <v>0.2249013590530469</v>
      </c>
      <c r="J82" s="30">
        <v>376</v>
      </c>
      <c r="K82" s="30">
        <v>366</v>
      </c>
      <c r="L82" s="31">
        <v>0.97299999999999998</v>
      </c>
      <c r="M82" s="30">
        <v>940</v>
      </c>
      <c r="N82" s="30">
        <v>1404</v>
      </c>
      <c r="O82" s="30">
        <v>910</v>
      </c>
      <c r="P82" s="31">
        <v>0.96808510638297873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3.0688294607628232E-3</v>
      </c>
      <c r="Y82" s="30">
        <v>38</v>
      </c>
      <c r="Z82" s="33">
        <v>1.665935992985533E-2</v>
      </c>
      <c r="AA82" s="30">
        <v>0</v>
      </c>
      <c r="AB82" s="31">
        <v>0</v>
      </c>
      <c r="AC82" s="30">
        <v>56</v>
      </c>
      <c r="AD82" s="31">
        <v>2.4550635686102589E-2</v>
      </c>
      <c r="AE82" s="30">
        <v>20</v>
      </c>
      <c r="AF82" s="31">
        <v>0.35714285714285721</v>
      </c>
      <c r="AG82" s="30">
        <v>49</v>
      </c>
      <c r="AH82" s="31">
        <v>0.875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383</v>
      </c>
      <c r="AS82" s="34">
        <v>132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4833</v>
      </c>
      <c r="F83" s="30">
        <v>4209</v>
      </c>
      <c r="G83" s="31">
        <v>0.8708876474239603</v>
      </c>
      <c r="H83" s="30">
        <v>3621</v>
      </c>
      <c r="I83" s="32">
        <v>0.74922408441961519</v>
      </c>
      <c r="J83" s="30">
        <v>5424</v>
      </c>
      <c r="K83" s="30">
        <v>5312</v>
      </c>
      <c r="L83" s="31">
        <v>0.97899999999999998</v>
      </c>
      <c r="M83" s="30">
        <v>22967</v>
      </c>
      <c r="N83" s="30">
        <v>23874</v>
      </c>
      <c r="O83" s="30">
        <v>22666</v>
      </c>
      <c r="P83" s="31">
        <v>0.98689423956110944</v>
      </c>
      <c r="Q83" s="30">
        <v>42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5057</v>
      </c>
      <c r="X83" s="31">
        <v>1.0463480240016549</v>
      </c>
      <c r="Y83" s="30">
        <v>767</v>
      </c>
      <c r="Z83" s="33">
        <v>0.1587006000413822</v>
      </c>
      <c r="AA83" s="30">
        <v>58</v>
      </c>
      <c r="AB83" s="31">
        <v>1.2000827643285739E-2</v>
      </c>
      <c r="AC83" s="30">
        <v>540</v>
      </c>
      <c r="AD83" s="31">
        <v>0.111731843575419</v>
      </c>
      <c r="AE83" s="30">
        <v>71</v>
      </c>
      <c r="AF83" s="31">
        <v>0.1314814814814815</v>
      </c>
      <c r="AG83" s="30">
        <v>490</v>
      </c>
      <c r="AH83" s="31">
        <v>0.90740740740740744</v>
      </c>
      <c r="AI83" s="34">
        <v>535</v>
      </c>
      <c r="AJ83" s="31">
        <v>0.1106972894682392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0.10242085661080071</v>
      </c>
      <c r="AP83" s="31">
        <v>0.91666666666666663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1.7794330643492659E-2</v>
      </c>
      <c r="AY83" s="31">
        <v>1.758741982205669E-2</v>
      </c>
      <c r="AZ83" s="31">
        <v>3.2071177322573967E-2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1917</v>
      </c>
      <c r="F84" s="30">
        <v>1743</v>
      </c>
      <c r="G84" s="31">
        <v>0.90923317683881066</v>
      </c>
      <c r="H84" s="30">
        <v>763</v>
      </c>
      <c r="I84" s="32">
        <v>0.39801773604590512</v>
      </c>
      <c r="J84" s="30">
        <v>2164</v>
      </c>
      <c r="K84" s="30">
        <v>2101</v>
      </c>
      <c r="L84" s="31">
        <v>0.97099999999999997</v>
      </c>
      <c r="M84" s="30">
        <v>10962</v>
      </c>
      <c r="N84" s="30">
        <v>10866</v>
      </c>
      <c r="O84" s="30">
        <v>10802</v>
      </c>
      <c r="P84" s="31">
        <v>0.98540412333515781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3232</v>
      </c>
      <c r="X84" s="31">
        <v>1.685967657798644</v>
      </c>
      <c r="Y84" s="30">
        <v>665</v>
      </c>
      <c r="Z84" s="33">
        <v>0.34689619196661448</v>
      </c>
      <c r="AA84" s="30">
        <v>30</v>
      </c>
      <c r="AB84" s="31">
        <v>1.5649452269170579E-2</v>
      </c>
      <c r="AC84" s="30">
        <v>394</v>
      </c>
      <c r="AD84" s="31">
        <v>0.20552947313510689</v>
      </c>
      <c r="AE84" s="30">
        <v>78</v>
      </c>
      <c r="AF84" s="31">
        <v>0.1979695431472081</v>
      </c>
      <c r="AG84" s="30">
        <v>365</v>
      </c>
      <c r="AH84" s="31">
        <v>0.92639593908629436</v>
      </c>
      <c r="AI84" s="34">
        <v>402</v>
      </c>
      <c r="AJ84" s="31">
        <v>0.20970266040688579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0.17996870109546159</v>
      </c>
      <c r="AP84" s="31">
        <v>0.87563451776649748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4.2775169535732918E-2</v>
      </c>
      <c r="AY84" s="31">
        <v>4.0166927490871147E-2</v>
      </c>
      <c r="AZ84" s="31">
        <v>3.9645279081898799E-2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1759</v>
      </c>
      <c r="F85" s="30">
        <v>1627</v>
      </c>
      <c r="G85" s="31">
        <v>0.92495736213757818</v>
      </c>
      <c r="H85" s="30">
        <v>931</v>
      </c>
      <c r="I85" s="32">
        <v>0.52927799886299032</v>
      </c>
      <c r="J85" s="30">
        <v>1583</v>
      </c>
      <c r="K85" s="30">
        <v>1542</v>
      </c>
      <c r="L85" s="31">
        <v>0.97399999999999998</v>
      </c>
      <c r="M85" s="30">
        <v>8852</v>
      </c>
      <c r="N85" s="30">
        <v>8872</v>
      </c>
      <c r="O85" s="30">
        <v>8719</v>
      </c>
      <c r="P85" s="31">
        <v>0.98497514685946674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3074</v>
      </c>
      <c r="X85" s="31">
        <v>1.7475838544627631</v>
      </c>
      <c r="Y85" s="30">
        <v>1016</v>
      </c>
      <c r="Z85" s="33">
        <v>0.57760090960773169</v>
      </c>
      <c r="AA85" s="30">
        <v>17</v>
      </c>
      <c r="AB85" s="31">
        <v>9.6645821489482666E-3</v>
      </c>
      <c r="AC85" s="30">
        <v>523</v>
      </c>
      <c r="AD85" s="31">
        <v>0.29732802728823188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0.30415008527572479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0.25014212620807269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3.7521318931210912E-2</v>
      </c>
      <c r="AY85" s="31">
        <v>3.6384309266628757E-2</v>
      </c>
      <c r="AZ85" s="31">
        <v>2.5014212620807282E-2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1727</v>
      </c>
      <c r="F86" s="30">
        <v>1598</v>
      </c>
      <c r="G86" s="31">
        <v>0.92530399536768959</v>
      </c>
      <c r="H86" s="30">
        <v>424</v>
      </c>
      <c r="I86" s="32">
        <v>0.2455124493341054</v>
      </c>
      <c r="J86" s="30">
        <v>2533</v>
      </c>
      <c r="K86" s="30">
        <v>2479</v>
      </c>
      <c r="L86" s="31">
        <v>0.97899999999999998</v>
      </c>
      <c r="M86" s="30">
        <v>4215</v>
      </c>
      <c r="N86" s="30">
        <v>4192</v>
      </c>
      <c r="O86" s="30">
        <v>4049</v>
      </c>
      <c r="P86" s="31">
        <v>0.96061684460260977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5.7903879559930514E-3</v>
      </c>
      <c r="Y86" s="30">
        <v>74</v>
      </c>
      <c r="Z86" s="33">
        <v>4.2848870874348577E-2</v>
      </c>
      <c r="AA86" s="30">
        <v>0</v>
      </c>
      <c r="AB86" s="31">
        <v>0</v>
      </c>
      <c r="AC86" s="30">
        <v>115</v>
      </c>
      <c r="AD86" s="31">
        <v>6.6589461493920088E-2</v>
      </c>
      <c r="AE86" s="30">
        <v>26</v>
      </c>
      <c r="AF86" s="31">
        <v>0.2260869565217391</v>
      </c>
      <c r="AG86" s="30">
        <v>99</v>
      </c>
      <c r="AH86" s="31">
        <v>0.86086956521739133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217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4406</v>
      </c>
      <c r="F87" s="30">
        <v>3865</v>
      </c>
      <c r="G87" s="31">
        <v>0.87721289151157511</v>
      </c>
      <c r="H87" s="30">
        <v>3467</v>
      </c>
      <c r="I87" s="32">
        <v>0.78688152519291876</v>
      </c>
      <c r="J87" s="30">
        <v>5802</v>
      </c>
      <c r="K87" s="30">
        <v>5733</v>
      </c>
      <c r="L87" s="31">
        <v>0.98799999999999999</v>
      </c>
      <c r="M87" s="30">
        <v>23312</v>
      </c>
      <c r="N87" s="30">
        <v>23865</v>
      </c>
      <c r="O87" s="30">
        <v>23062</v>
      </c>
      <c r="P87" s="31">
        <v>0.98927590940288268</v>
      </c>
      <c r="Q87" s="30">
        <v>22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4766</v>
      </c>
      <c r="X87" s="31">
        <v>1.0817067635043121</v>
      </c>
      <c r="Y87" s="30">
        <v>1006</v>
      </c>
      <c r="Z87" s="33">
        <v>0.22832501134816161</v>
      </c>
      <c r="AA87" s="30">
        <v>75</v>
      </c>
      <c r="AB87" s="31">
        <v>1.7022242396731731E-2</v>
      </c>
      <c r="AC87" s="30">
        <v>747</v>
      </c>
      <c r="AD87" s="31">
        <v>0.169541534271448</v>
      </c>
      <c r="AE87" s="30">
        <v>107</v>
      </c>
      <c r="AF87" s="31">
        <v>0.14323962516733599</v>
      </c>
      <c r="AG87" s="30">
        <v>683</v>
      </c>
      <c r="AH87" s="31">
        <v>0.91432396251673365</v>
      </c>
      <c r="AI87" s="34">
        <v>749</v>
      </c>
      <c r="AJ87" s="31">
        <v>0.1699954607353609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0.1584203359055833</v>
      </c>
      <c r="AP87" s="31">
        <v>0.93440428380187412</v>
      </c>
      <c r="AQ87" s="32">
        <v>0.974609375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2.814344076259646E-2</v>
      </c>
      <c r="AY87" s="31">
        <v>2.7916477530640041E-2</v>
      </c>
      <c r="AZ87" s="31">
        <v>2.405810258738084E-2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1943</v>
      </c>
      <c r="G88" s="31">
        <v>0.90879326473339572</v>
      </c>
      <c r="H88" s="30">
        <v>851</v>
      </c>
      <c r="I88" s="32">
        <v>0.39803554724041162</v>
      </c>
      <c r="J88" s="30">
        <v>2054</v>
      </c>
      <c r="K88" s="30">
        <v>1988</v>
      </c>
      <c r="L88" s="31">
        <v>0.96799999999999997</v>
      </c>
      <c r="M88" s="30">
        <v>10813</v>
      </c>
      <c r="N88" s="30">
        <v>10833</v>
      </c>
      <c r="O88" s="30">
        <v>10684</v>
      </c>
      <c r="P88" s="31">
        <v>0.98806991584204196</v>
      </c>
      <c r="Q88" s="30">
        <v>19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3482</v>
      </c>
      <c r="X88" s="31">
        <v>1.6286248830682879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62</v>
      </c>
      <c r="AF88" s="31">
        <v>0.13507625272331161</v>
      </c>
      <c r="AG88" s="30">
        <v>418</v>
      </c>
      <c r="AH88" s="31">
        <v>0.91067538126361658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1869</v>
      </c>
      <c r="F89" s="30">
        <v>1721</v>
      </c>
      <c r="G89" s="31">
        <v>0.92081326912787587</v>
      </c>
      <c r="H89" s="30">
        <v>1016</v>
      </c>
      <c r="I89" s="32">
        <v>0.54360620652755487</v>
      </c>
      <c r="J89" s="30">
        <v>1572</v>
      </c>
      <c r="K89" s="30">
        <v>1518</v>
      </c>
      <c r="L89" s="31">
        <v>0.96599999999999997</v>
      </c>
      <c r="M89" s="30">
        <v>9160</v>
      </c>
      <c r="N89" s="30">
        <v>9113</v>
      </c>
      <c r="O89" s="30">
        <v>9031</v>
      </c>
      <c r="P89" s="31">
        <v>0.98591703056768554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3056</v>
      </c>
      <c r="X89" s="31">
        <v>1.6350989834135901</v>
      </c>
      <c r="Y89" s="30">
        <v>410</v>
      </c>
      <c r="Z89" s="33">
        <v>0.21936864633493849</v>
      </c>
      <c r="AA89" s="30">
        <v>14</v>
      </c>
      <c r="AB89" s="31">
        <v>7.4906367041198503E-3</v>
      </c>
      <c r="AC89" s="30">
        <v>537</v>
      </c>
      <c r="AD89" s="31">
        <v>0.28731942215088291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0.28303905831995718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0.24505082932049219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5.2434456928838948E-2</v>
      </c>
      <c r="AY89" s="31">
        <v>4.9224184055644729E-2</v>
      </c>
      <c r="AZ89" s="31">
        <v>1.2841091492776889E-2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1523</v>
      </c>
      <c r="F90" s="30">
        <v>1382</v>
      </c>
      <c r="G90" s="31">
        <v>0.90741956664478007</v>
      </c>
      <c r="H90" s="30">
        <v>461</v>
      </c>
      <c r="I90" s="32">
        <v>0.3026920551543007</v>
      </c>
      <c r="J90" s="30">
        <v>1324</v>
      </c>
      <c r="K90" s="30">
        <v>1276</v>
      </c>
      <c r="L90" s="31">
        <v>0.96399999999999997</v>
      </c>
      <c r="M90" s="30">
        <v>2861</v>
      </c>
      <c r="N90" s="30">
        <v>2975</v>
      </c>
      <c r="O90" s="30">
        <v>2745</v>
      </c>
      <c r="P90" s="31">
        <v>0.95945473610625653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5.9093893630991464E-3</v>
      </c>
      <c r="Y90" s="30">
        <v>97</v>
      </c>
      <c r="Z90" s="33">
        <v>6.3690085357846357E-2</v>
      </c>
      <c r="AA90" s="30">
        <v>0</v>
      </c>
      <c r="AB90" s="31">
        <v>0</v>
      </c>
      <c r="AC90" s="30">
        <v>129</v>
      </c>
      <c r="AD90" s="31">
        <v>8.4701247537754432E-2</v>
      </c>
      <c r="AE90" s="30">
        <v>24</v>
      </c>
      <c r="AF90" s="31">
        <v>0.186046511627907</v>
      </c>
      <c r="AG90" s="30">
        <v>115</v>
      </c>
      <c r="AH90" s="31">
        <v>0.89147286821705429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178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4721</v>
      </c>
      <c r="F91" s="30">
        <v>4209</v>
      </c>
      <c r="G91" s="31">
        <v>0.89154840076255026</v>
      </c>
      <c r="H91" s="30">
        <v>3631</v>
      </c>
      <c r="I91" s="32">
        <v>0.76911671256089809</v>
      </c>
      <c r="J91" s="30">
        <v>5418</v>
      </c>
      <c r="K91" s="30">
        <v>5325</v>
      </c>
      <c r="L91" s="31">
        <v>0.98299999999999998</v>
      </c>
      <c r="M91" s="30">
        <v>23484</v>
      </c>
      <c r="N91" s="30">
        <v>23779</v>
      </c>
      <c r="O91" s="30">
        <v>23211</v>
      </c>
      <c r="P91" s="31">
        <v>0.98837506387327545</v>
      </c>
      <c r="Q91" s="30">
        <v>28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4728</v>
      </c>
      <c r="X91" s="31">
        <v>1.001482736708325</v>
      </c>
      <c r="Y91" s="30">
        <v>685</v>
      </c>
      <c r="Z91" s="33">
        <v>0.1450963778860411</v>
      </c>
      <c r="AA91" s="30">
        <v>69</v>
      </c>
      <c r="AB91" s="31">
        <v>1.461554755348443E-2</v>
      </c>
      <c r="AC91" s="30">
        <v>846</v>
      </c>
      <c r="AD91" s="31">
        <v>0.17919932217750481</v>
      </c>
      <c r="AE91" s="30">
        <v>122</v>
      </c>
      <c r="AF91" s="31">
        <v>0.14420803782505909</v>
      </c>
      <c r="AG91" s="30">
        <v>768</v>
      </c>
      <c r="AH91" s="31">
        <v>0.90780141843971629</v>
      </c>
      <c r="AI91" s="34">
        <v>826</v>
      </c>
      <c r="AJ91" s="31">
        <v>0.1749629315822919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0.16183012073713199</v>
      </c>
      <c r="AP91" s="31">
        <v>0.90307328605200943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3.6432959118830759E-2</v>
      </c>
      <c r="AY91" s="31">
        <v>3.516204194026689E-2</v>
      </c>
      <c r="AZ91" s="31">
        <v>1.7581020970133449E-2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3399</v>
      </c>
      <c r="F92" s="30">
        <v>2940</v>
      </c>
      <c r="G92" s="31">
        <v>0.86496028243601064</v>
      </c>
      <c r="H92" s="30">
        <v>1825</v>
      </c>
      <c r="I92" s="32">
        <v>0.53692262430126503</v>
      </c>
      <c r="J92" s="30">
        <v>2267</v>
      </c>
      <c r="K92" s="30">
        <v>2201</v>
      </c>
      <c r="L92" s="31">
        <v>0.97099999999999997</v>
      </c>
      <c r="M92" s="30">
        <v>10929</v>
      </c>
      <c r="N92" s="30">
        <v>10783</v>
      </c>
      <c r="O92" s="30">
        <v>10770</v>
      </c>
      <c r="P92" s="31">
        <v>0.98545155091957182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3460</v>
      </c>
      <c r="X92" s="31">
        <v>1.0179464548396591</v>
      </c>
      <c r="Y92" s="30">
        <v>431</v>
      </c>
      <c r="Z92" s="33">
        <v>0.12680200058840829</v>
      </c>
      <c r="AA92" s="30">
        <v>16</v>
      </c>
      <c r="AB92" s="31">
        <v>4.7072668431891729E-3</v>
      </c>
      <c r="AC92" s="30">
        <v>282</v>
      </c>
      <c r="AD92" s="31">
        <v>8.2965578111209179E-2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8.2965578111209179E-2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6.7372756693145047E-2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1.7946454839658722E-2</v>
      </c>
      <c r="AY92" s="31">
        <v>2.0300088261253312E-2</v>
      </c>
      <c r="AZ92" s="31">
        <v>3.1774051191526917E-2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1821</v>
      </c>
      <c r="F93" s="30">
        <v>1648</v>
      </c>
      <c r="G93" s="31">
        <v>0.90499725425590338</v>
      </c>
      <c r="H93" s="30">
        <v>869</v>
      </c>
      <c r="I93" s="32">
        <v>0.47721032399780339</v>
      </c>
      <c r="J93" s="30">
        <v>1285</v>
      </c>
      <c r="K93" s="30">
        <v>1253</v>
      </c>
      <c r="L93" s="31">
        <v>0.97499999999999998</v>
      </c>
      <c r="M93" s="30">
        <v>8512</v>
      </c>
      <c r="N93" s="30">
        <v>8342</v>
      </c>
      <c r="O93" s="30">
        <v>8393</v>
      </c>
      <c r="P93" s="31">
        <v>0.98601973684210531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2946</v>
      </c>
      <c r="X93" s="31">
        <v>1.6177924217462929</v>
      </c>
      <c r="Y93" s="30">
        <v>1193</v>
      </c>
      <c r="Z93" s="33">
        <v>0.65513454146073591</v>
      </c>
      <c r="AA93" s="30">
        <v>11</v>
      </c>
      <c r="AB93" s="31">
        <v>6.0406370126304216E-3</v>
      </c>
      <c r="AC93" s="30">
        <v>323</v>
      </c>
      <c r="AD93" s="31">
        <v>0.17737506864360239</v>
      </c>
      <c r="AE93" s="30">
        <v>51</v>
      </c>
      <c r="AF93" s="31">
        <v>0.15789473684210531</v>
      </c>
      <c r="AG93" s="30">
        <v>288</v>
      </c>
      <c r="AH93" s="31">
        <v>0.89164086687306499</v>
      </c>
      <c r="AI93" s="34">
        <v>321</v>
      </c>
      <c r="AJ93" s="31">
        <v>0.17627677100494241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0.1504667764964305</v>
      </c>
      <c r="AP93" s="31">
        <v>0.84829721362229105</v>
      </c>
      <c r="AQ93" s="32">
        <v>0.98181818181818181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2.800658978583196E-2</v>
      </c>
      <c r="AY93" s="31">
        <v>2.9654036243822079E-2</v>
      </c>
      <c r="AZ93" s="31">
        <v>4.0087863811092812E-2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1930</v>
      </c>
      <c r="F94" s="30">
        <v>1771</v>
      </c>
      <c r="G94" s="31">
        <v>0.91761658031088078</v>
      </c>
      <c r="H94" s="30">
        <v>348</v>
      </c>
      <c r="I94" s="32">
        <v>0.18031088082901561</v>
      </c>
      <c r="J94" s="30">
        <v>1078</v>
      </c>
      <c r="K94" s="30">
        <v>1038</v>
      </c>
      <c r="L94" s="31">
        <v>0.96299999999999997</v>
      </c>
      <c r="M94" s="30">
        <v>2720</v>
      </c>
      <c r="N94" s="30">
        <v>2723</v>
      </c>
      <c r="O94" s="30">
        <v>2641</v>
      </c>
      <c r="P94" s="31">
        <v>0.97095588235294117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6.2176165803108814E-3</v>
      </c>
      <c r="Y94" s="30">
        <v>85</v>
      </c>
      <c r="Z94" s="33">
        <v>4.4041450777202069E-2</v>
      </c>
      <c r="AA94" s="30">
        <v>0</v>
      </c>
      <c r="AB94" s="31">
        <v>0</v>
      </c>
      <c r="AC94" s="30">
        <v>75</v>
      </c>
      <c r="AD94" s="31">
        <v>3.8860103626942998E-2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0.967741935483871</v>
      </c>
      <c r="AR94" s="34">
        <v>252</v>
      </c>
      <c r="AS94" s="34">
        <v>98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3220</v>
      </c>
      <c r="G95" s="31">
        <v>0.89147286821705429</v>
      </c>
      <c r="H95" s="30">
        <v>2452</v>
      </c>
      <c r="I95" s="32">
        <v>0.67884828349944626</v>
      </c>
      <c r="J95" s="30">
        <v>3406</v>
      </c>
      <c r="K95" s="30">
        <v>3320</v>
      </c>
      <c r="L95" s="31">
        <v>0.97499999999999998</v>
      </c>
      <c r="M95" s="30">
        <v>20768</v>
      </c>
      <c r="N95" s="30">
        <v>20283</v>
      </c>
      <c r="O95" s="30">
        <v>20467</v>
      </c>
      <c r="P95" s="31">
        <v>0.98550654853620956</v>
      </c>
      <c r="Q95" s="30">
        <v>30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4606</v>
      </c>
      <c r="X95" s="31">
        <v>1.275193798449612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464</v>
      </c>
      <c r="AD95" s="31">
        <v>0.1284606866002215</v>
      </c>
      <c r="AE95" s="30">
        <v>54</v>
      </c>
      <c r="AF95" s="31">
        <v>0.1163793103448276</v>
      </c>
      <c r="AG95" s="30">
        <v>423</v>
      </c>
      <c r="AH95" s="31">
        <v>0.91163793103448276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0.92456896551724133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3815</v>
      </c>
      <c r="F96" s="30">
        <v>3284</v>
      </c>
      <c r="G96" s="31">
        <v>0.8608125819134993</v>
      </c>
      <c r="H96" s="30">
        <v>2642</v>
      </c>
      <c r="I96" s="32">
        <v>0.69252948885976406</v>
      </c>
      <c r="J96" s="30">
        <v>4162</v>
      </c>
      <c r="K96" s="30">
        <v>4064</v>
      </c>
      <c r="L96" s="31">
        <v>0.97599999999999998</v>
      </c>
      <c r="M96" s="30">
        <v>12617</v>
      </c>
      <c r="N96" s="30">
        <v>12930</v>
      </c>
      <c r="O96" s="30">
        <v>12407</v>
      </c>
      <c r="P96" s="31">
        <v>0.98335578980740268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3604</v>
      </c>
      <c r="X96" s="31">
        <v>0.94469200524246399</v>
      </c>
      <c r="Y96" s="30">
        <v>488</v>
      </c>
      <c r="Z96" s="33">
        <v>0.12791612057667101</v>
      </c>
      <c r="AA96" s="30">
        <v>26</v>
      </c>
      <c r="AB96" s="31">
        <v>6.8152031454783747E-3</v>
      </c>
      <c r="AC96" s="30">
        <v>276</v>
      </c>
      <c r="AD96" s="31">
        <v>7.2346002621231975E-2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7.6015727391874177E-2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6.2647444298820451E-2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1.6775884665792919E-2</v>
      </c>
      <c r="AY96" s="31">
        <v>1.6775884665792919E-2</v>
      </c>
      <c r="AZ96" s="31">
        <v>2.1756225425950199E-2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1506</v>
      </c>
      <c r="G97" s="31">
        <v>0.88380281690140849</v>
      </c>
      <c r="H97" s="30">
        <v>891</v>
      </c>
      <c r="I97" s="32">
        <v>0.522887323943662</v>
      </c>
      <c r="J97" s="30">
        <v>1926</v>
      </c>
      <c r="K97" s="30">
        <v>1874</v>
      </c>
      <c r="L97" s="31">
        <v>0.97299999999999998</v>
      </c>
      <c r="M97" s="30">
        <v>8647</v>
      </c>
      <c r="N97" s="30">
        <v>8637</v>
      </c>
      <c r="O97" s="30">
        <v>8493</v>
      </c>
      <c r="P97" s="31">
        <v>0.98219035503642882</v>
      </c>
      <c r="Q97" s="30">
        <v>23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3370</v>
      </c>
      <c r="X97" s="31">
        <v>1.977699530516432</v>
      </c>
      <c r="Y97" s="30">
        <v>1055</v>
      </c>
      <c r="Z97" s="33">
        <v>0.619131455399061</v>
      </c>
      <c r="AA97" s="30">
        <v>12</v>
      </c>
      <c r="AB97" s="31">
        <v>7.0422535211267607E-3</v>
      </c>
      <c r="AC97" s="30">
        <v>329</v>
      </c>
      <c r="AD97" s="31">
        <v>0.193075117370892</v>
      </c>
      <c r="AE97" s="30">
        <v>55</v>
      </c>
      <c r="AF97" s="31">
        <v>0.16717325227963531</v>
      </c>
      <c r="AG97" s="30">
        <v>297</v>
      </c>
      <c r="AH97" s="31">
        <v>0.90273556231003038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0.87537993920972645</v>
      </c>
      <c r="AQ97" s="32">
        <v>0.9700996677740864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1914</v>
      </c>
      <c r="F98" s="30">
        <v>1715</v>
      </c>
      <c r="G98" s="31">
        <v>0.89602925809822365</v>
      </c>
      <c r="H98" s="30">
        <v>325</v>
      </c>
      <c r="I98" s="32">
        <v>0.16980146290491119</v>
      </c>
      <c r="J98" s="30">
        <v>1290</v>
      </c>
      <c r="K98" s="30">
        <v>1247</v>
      </c>
      <c r="L98" s="31">
        <v>0.96699999999999997</v>
      </c>
      <c r="M98" s="30">
        <v>3940</v>
      </c>
      <c r="N98" s="30">
        <v>3659</v>
      </c>
      <c r="O98" s="30">
        <v>3835</v>
      </c>
      <c r="P98" s="31">
        <v>0.9733502538071066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15</v>
      </c>
      <c r="X98" s="31">
        <v>7.8369905956112845E-3</v>
      </c>
      <c r="Y98" s="30">
        <v>119</v>
      </c>
      <c r="Z98" s="33">
        <v>6.2173458725182873E-2</v>
      </c>
      <c r="AA98" s="30">
        <v>0</v>
      </c>
      <c r="AB98" s="31">
        <v>0</v>
      </c>
      <c r="AC98" s="30">
        <v>78</v>
      </c>
      <c r="AD98" s="31">
        <v>4.0752351097178681E-2</v>
      </c>
      <c r="AE98" s="30">
        <v>30</v>
      </c>
      <c r="AF98" s="31">
        <v>0.38461538461538458</v>
      </c>
      <c r="AG98" s="30">
        <v>68</v>
      </c>
      <c r="AH98" s="31">
        <v>0.87179487179487181</v>
      </c>
      <c r="AI98" s="34">
        <v>3</v>
      </c>
      <c r="AJ98" s="31">
        <v>1.567398119122257E-3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5.2246603970741907E-4</v>
      </c>
      <c r="AP98" s="31">
        <v>1.282051282051282E-2</v>
      </c>
      <c r="AQ98" s="32">
        <v>0.89473684210526316</v>
      </c>
      <c r="AR98" s="34">
        <v>225</v>
      </c>
      <c r="AS98" s="34">
        <v>84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2175</v>
      </c>
      <c r="F99" s="30">
        <v>1970</v>
      </c>
      <c r="G99" s="31">
        <v>0.90574712643678157</v>
      </c>
      <c r="H99" s="30">
        <v>1435</v>
      </c>
      <c r="I99" s="32">
        <v>0.65977011494252868</v>
      </c>
      <c r="J99" s="30">
        <v>4518</v>
      </c>
      <c r="K99" s="30">
        <v>4438</v>
      </c>
      <c r="L99" s="31">
        <v>0.98199999999999998</v>
      </c>
      <c r="M99" s="30">
        <v>21381</v>
      </c>
      <c r="N99" s="30">
        <v>20693</v>
      </c>
      <c r="O99" s="30">
        <v>21107</v>
      </c>
      <c r="P99" s="31">
        <v>0.98718488377531455</v>
      </c>
      <c r="Q99" s="30">
        <v>20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4726</v>
      </c>
      <c r="X99" s="31">
        <v>2.1728735632183911</v>
      </c>
      <c r="Y99" s="30">
        <v>730</v>
      </c>
      <c r="Z99" s="33">
        <v>0.335632183908046</v>
      </c>
      <c r="AA99" s="30">
        <v>108</v>
      </c>
      <c r="AB99" s="31">
        <v>4.9655172413793101E-2</v>
      </c>
      <c r="AC99" s="30">
        <v>452</v>
      </c>
      <c r="AD99" s="31">
        <v>0.20781609195402301</v>
      </c>
      <c r="AE99" s="30">
        <v>80</v>
      </c>
      <c r="AF99" s="31">
        <v>0.1769911504424779</v>
      </c>
      <c r="AG99" s="30">
        <v>415</v>
      </c>
      <c r="AH99" s="31">
        <v>0.91814159292035402</v>
      </c>
      <c r="AI99" s="34">
        <v>458</v>
      </c>
      <c r="AJ99" s="31">
        <v>0.21057471264367819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0.19402298850574709</v>
      </c>
      <c r="AP99" s="31">
        <v>0.9336283185840708</v>
      </c>
      <c r="AQ99" s="32">
        <v>0.96270396270396275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3.4022988505747129E-2</v>
      </c>
      <c r="AY99" s="31">
        <v>3.4942528735632181E-2</v>
      </c>
      <c r="AZ99" s="31">
        <v>5.0114942528735627E-2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3383</v>
      </c>
      <c r="F100" s="30">
        <v>2871</v>
      </c>
      <c r="G100" s="31">
        <v>0.84865503990540936</v>
      </c>
      <c r="H100" s="30">
        <v>2250</v>
      </c>
      <c r="I100" s="32">
        <v>0.66509015666568139</v>
      </c>
      <c r="J100" s="30">
        <v>4067</v>
      </c>
      <c r="K100" s="30">
        <v>3969</v>
      </c>
      <c r="L100" s="31">
        <v>0.97599999999999998</v>
      </c>
      <c r="M100" s="30">
        <v>12575</v>
      </c>
      <c r="N100" s="30">
        <v>12770</v>
      </c>
      <c r="O100" s="30">
        <v>12369</v>
      </c>
      <c r="P100" s="31">
        <v>0.98361829025844927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3555</v>
      </c>
      <c r="X100" s="31">
        <v>1.050842447531777</v>
      </c>
      <c r="Y100" s="30">
        <v>525</v>
      </c>
      <c r="Z100" s="33">
        <v>0.1551877032219923</v>
      </c>
      <c r="AA100" s="30">
        <v>32</v>
      </c>
      <c r="AB100" s="31">
        <v>9.4590600059119134E-3</v>
      </c>
      <c r="AC100" s="30">
        <v>288</v>
      </c>
      <c r="AD100" s="31">
        <v>8.5131540053207208E-2</v>
      </c>
      <c r="AE100" s="30">
        <v>51</v>
      </c>
      <c r="AF100" s="31">
        <v>0.17708333333333329</v>
      </c>
      <c r="AG100" s="30">
        <v>257</v>
      </c>
      <c r="AH100" s="31">
        <v>0.89236111111111116</v>
      </c>
      <c r="AI100" s="34">
        <v>285</v>
      </c>
      <c r="AJ100" s="31">
        <v>8.4244753177652967E-2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7.8332840673958029E-2</v>
      </c>
      <c r="AP100" s="31">
        <v>0.92013888888888884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1.7735737511084839E-2</v>
      </c>
      <c r="AY100" s="31">
        <v>1.8326928761454329E-2</v>
      </c>
      <c r="AZ100" s="31">
        <v>2.5125628140703519E-2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2284</v>
      </c>
      <c r="F101" s="30">
        <v>2021</v>
      </c>
      <c r="G101" s="31">
        <v>0.88485113835376528</v>
      </c>
      <c r="H101" s="30">
        <v>1347</v>
      </c>
      <c r="I101" s="32">
        <v>0.58975481611208402</v>
      </c>
      <c r="J101" s="30">
        <v>1655</v>
      </c>
      <c r="K101" s="30">
        <v>1585</v>
      </c>
      <c r="L101" s="31">
        <v>0.95799999999999996</v>
      </c>
      <c r="M101" s="30">
        <v>8588</v>
      </c>
      <c r="N101" s="30">
        <v>8659</v>
      </c>
      <c r="O101" s="30">
        <v>8425</v>
      </c>
      <c r="P101" s="31">
        <v>0.9810200279459711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3286</v>
      </c>
      <c r="X101" s="31">
        <v>1.4387040280210159</v>
      </c>
      <c r="Y101" s="30">
        <v>590</v>
      </c>
      <c r="Z101" s="33">
        <v>0.2583187390542907</v>
      </c>
      <c r="AA101" s="30">
        <v>17</v>
      </c>
      <c r="AB101" s="31">
        <v>7.4430823117338004E-3</v>
      </c>
      <c r="AC101" s="30">
        <v>331</v>
      </c>
      <c r="AD101" s="31">
        <v>0.1449211908931699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0.14098073555166371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0.12084063047285459</v>
      </c>
      <c r="AP101" s="31">
        <v>0.83383685800604235</v>
      </c>
      <c r="AQ101" s="32">
        <v>0.97151898734177211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3.5026269702276708E-2</v>
      </c>
      <c r="AY101" s="31">
        <v>3.3712784588441333E-2</v>
      </c>
      <c r="AZ101" s="31">
        <v>2.6269702276707531E-2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1491</v>
      </c>
      <c r="F102" s="30">
        <v>1341</v>
      </c>
      <c r="G102" s="31">
        <v>0.89939637826961771</v>
      </c>
      <c r="H102" s="30">
        <v>326</v>
      </c>
      <c r="I102" s="32">
        <v>0.2186452045606975</v>
      </c>
      <c r="J102" s="30">
        <v>1204</v>
      </c>
      <c r="K102" s="30">
        <v>1161</v>
      </c>
      <c r="L102" s="31">
        <v>0.96399999999999997</v>
      </c>
      <c r="M102" s="30">
        <v>3389</v>
      </c>
      <c r="N102" s="30">
        <v>3371</v>
      </c>
      <c r="O102" s="30">
        <v>3282</v>
      </c>
      <c r="P102" s="31">
        <v>0.96842726467984652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32</v>
      </c>
      <c r="X102" s="31">
        <v>2.1462105969148219E-2</v>
      </c>
      <c r="Y102" s="30">
        <v>192</v>
      </c>
      <c r="Z102" s="33">
        <v>0.12877263581488929</v>
      </c>
      <c r="AA102" s="30">
        <v>0</v>
      </c>
      <c r="AB102" s="31">
        <v>0</v>
      </c>
      <c r="AC102" s="30">
        <v>64</v>
      </c>
      <c r="AD102" s="31">
        <v>4.2924211938296437E-2</v>
      </c>
      <c r="AE102" s="30">
        <v>15</v>
      </c>
      <c r="AF102" s="31">
        <v>0.234375</v>
      </c>
      <c r="AG102" s="30">
        <v>48</v>
      </c>
      <c r="AH102" s="31">
        <v>0.75</v>
      </c>
      <c r="AI102" s="34">
        <v>2</v>
      </c>
      <c r="AJ102" s="31">
        <v>1.3413816230717641E-3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1.3413816230717641E-3</v>
      </c>
      <c r="AP102" s="31">
        <v>3.125E-2</v>
      </c>
      <c r="AQ102" s="32">
        <v>0.95454545454545459</v>
      </c>
      <c r="AR102" s="34">
        <v>221</v>
      </c>
      <c r="AS102" s="34">
        <v>74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2464</v>
      </c>
      <c r="F103" s="30">
        <v>2287</v>
      </c>
      <c r="G103" s="31">
        <v>0.92816558441558439</v>
      </c>
      <c r="H103" s="30">
        <v>1438</v>
      </c>
      <c r="I103" s="32">
        <v>0.58360389610389607</v>
      </c>
      <c r="J103" s="30">
        <v>3315</v>
      </c>
      <c r="K103" s="30">
        <v>3233</v>
      </c>
      <c r="L103" s="31">
        <v>0.97499999999999998</v>
      </c>
      <c r="M103" s="30">
        <v>19790</v>
      </c>
      <c r="N103" s="30">
        <v>19235</v>
      </c>
      <c r="O103" s="30">
        <v>19527</v>
      </c>
      <c r="P103" s="31">
        <v>0.98671045982819605</v>
      </c>
      <c r="Q103" s="30">
        <v>32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5181</v>
      </c>
      <c r="X103" s="31">
        <v>2.1026785714285721</v>
      </c>
      <c r="Y103" s="30">
        <v>826</v>
      </c>
      <c r="Z103" s="33">
        <v>0.33522727272727271</v>
      </c>
      <c r="AA103" s="30">
        <v>118</v>
      </c>
      <c r="AB103" s="31">
        <v>4.7889610389610392E-2</v>
      </c>
      <c r="AC103" s="30">
        <v>478</v>
      </c>
      <c r="AD103" s="31">
        <v>0.1939935064935065</v>
      </c>
      <c r="AE103" s="30">
        <v>88</v>
      </c>
      <c r="AF103" s="31">
        <v>0.18410041841004179</v>
      </c>
      <c r="AG103" s="30">
        <v>441</v>
      </c>
      <c r="AH103" s="31">
        <v>0.92259414225941427</v>
      </c>
      <c r="AI103" s="34">
        <v>511</v>
      </c>
      <c r="AJ103" s="31">
        <v>0.20738636363636359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0.19034090909090909</v>
      </c>
      <c r="AP103" s="31">
        <v>0.98117154811715479</v>
      </c>
      <c r="AQ103" s="32">
        <v>0.96781609195402296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2.6785714285714281E-2</v>
      </c>
      <c r="AY103" s="31">
        <v>2.719155844155844E-2</v>
      </c>
      <c r="AZ103" s="31">
        <v>5.3977272727272728E-2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3183</v>
      </c>
      <c r="F104" s="30">
        <v>2796</v>
      </c>
      <c r="G104" s="31">
        <v>0.87841658812441092</v>
      </c>
      <c r="H104" s="30">
        <v>1410</v>
      </c>
      <c r="I104" s="32">
        <v>0.44297832233741752</v>
      </c>
      <c r="J104" s="30">
        <v>2264</v>
      </c>
      <c r="K104" s="30">
        <v>2173</v>
      </c>
      <c r="L104" s="31">
        <v>0.96</v>
      </c>
      <c r="M104" s="30">
        <v>11078</v>
      </c>
      <c r="N104" s="30">
        <v>11078</v>
      </c>
      <c r="O104" s="30">
        <v>10907</v>
      </c>
      <c r="P104" s="31">
        <v>0.984564000722152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3395</v>
      </c>
      <c r="X104" s="31">
        <v>1.0666038328620799</v>
      </c>
      <c r="Y104" s="30">
        <v>486</v>
      </c>
      <c r="Z104" s="33">
        <v>0.15268614514608861</v>
      </c>
      <c r="AA104" s="30">
        <v>23</v>
      </c>
      <c r="AB104" s="31">
        <v>7.2258875274897891E-3</v>
      </c>
      <c r="AC104" s="30">
        <v>273</v>
      </c>
      <c r="AD104" s="31">
        <v>8.5768143261074459E-2</v>
      </c>
      <c r="AE104" s="30">
        <v>62</v>
      </c>
      <c r="AF104" s="31">
        <v>0.2271062271062271</v>
      </c>
      <c r="AG104" s="30">
        <v>248</v>
      </c>
      <c r="AH104" s="31">
        <v>0.90842490842490842</v>
      </c>
      <c r="AI104" s="34">
        <v>298</v>
      </c>
      <c r="AJ104" s="31">
        <v>9.3622368834432923E-2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7.4143889412503924E-2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2.4191014765944079E-2</v>
      </c>
      <c r="AY104" s="31">
        <v>2.3876845743009741E-2</v>
      </c>
      <c r="AZ104" s="31">
        <v>2.35626767200754E-2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3316</v>
      </c>
      <c r="F105" s="30">
        <v>2925</v>
      </c>
      <c r="G105" s="31">
        <v>0.882086851628468</v>
      </c>
      <c r="H105" s="30">
        <v>2357</v>
      </c>
      <c r="I105" s="32">
        <v>0.71079613992762369</v>
      </c>
      <c r="J105" s="30">
        <v>3736</v>
      </c>
      <c r="K105" s="30">
        <v>3631</v>
      </c>
      <c r="L105" s="31">
        <v>0.97199999999999998</v>
      </c>
      <c r="M105" s="30">
        <v>11222</v>
      </c>
      <c r="N105" s="30">
        <v>11477</v>
      </c>
      <c r="O105" s="30">
        <v>11044</v>
      </c>
      <c r="P105" s="31">
        <v>0.98413829976831224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3250</v>
      </c>
      <c r="X105" s="31">
        <v>0.98009650180940888</v>
      </c>
      <c r="Y105" s="30">
        <v>492</v>
      </c>
      <c r="Z105" s="33">
        <v>0.14837153196622441</v>
      </c>
      <c r="AA105" s="30">
        <v>23</v>
      </c>
      <c r="AB105" s="31">
        <v>6.936067551266586E-3</v>
      </c>
      <c r="AC105" s="30">
        <v>287</v>
      </c>
      <c r="AD105" s="31">
        <v>8.6550060313630883E-2</v>
      </c>
      <c r="AE105" s="30">
        <v>55</v>
      </c>
      <c r="AF105" s="31">
        <v>0.19163763066202091</v>
      </c>
      <c r="AG105" s="30">
        <v>269</v>
      </c>
      <c r="AH105" s="31">
        <v>0.93728222996515675</v>
      </c>
      <c r="AI105" s="34">
        <v>295</v>
      </c>
      <c r="AJ105" s="31">
        <v>8.8962605548854046E-2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7.7503015681544024E-2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1.055488540410133E-2</v>
      </c>
      <c r="AY105" s="31">
        <v>1.176115802171291E-2</v>
      </c>
      <c r="AZ105" s="31">
        <v>1.8094089264173701E-2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1863</v>
      </c>
      <c r="F106" s="30">
        <v>1660</v>
      </c>
      <c r="G106" s="31">
        <v>0.89103596349973158</v>
      </c>
      <c r="H106" s="30">
        <v>362</v>
      </c>
      <c r="I106" s="32">
        <v>0.1943102522812668</v>
      </c>
      <c r="J106" s="30">
        <v>1182</v>
      </c>
      <c r="K106" s="30">
        <v>1140</v>
      </c>
      <c r="L106" s="31">
        <v>0.96399999999999997</v>
      </c>
      <c r="M106" s="30">
        <v>3272</v>
      </c>
      <c r="N106" s="30">
        <v>3400</v>
      </c>
      <c r="O106" s="30">
        <v>3179</v>
      </c>
      <c r="P106" s="31">
        <v>0.9715770171149144</v>
      </c>
      <c r="Q106" s="30">
        <v>16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1.9860440150295221E-2</v>
      </c>
      <c r="Y106" s="30">
        <v>149</v>
      </c>
      <c r="Z106" s="33">
        <v>7.9978529253891567E-2</v>
      </c>
      <c r="AA106" s="30">
        <v>0</v>
      </c>
      <c r="AB106" s="31">
        <v>0</v>
      </c>
      <c r="AC106" s="30">
        <v>101</v>
      </c>
      <c r="AD106" s="31">
        <v>5.4213633923778849E-2</v>
      </c>
      <c r="AE106" s="30">
        <v>21</v>
      </c>
      <c r="AF106" s="31">
        <v>0.20792079207920791</v>
      </c>
      <c r="AG106" s="30">
        <v>84</v>
      </c>
      <c r="AH106" s="31">
        <v>0.83168316831683164</v>
      </c>
      <c r="AI106" s="34">
        <v>2</v>
      </c>
      <c r="AJ106" s="31">
        <v>1.073537305421363E-3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5.3676865271068169E-4</v>
      </c>
      <c r="AP106" s="31">
        <v>9.9009900990099011E-3</v>
      </c>
      <c r="AQ106" s="32">
        <v>0.93333333333333335</v>
      </c>
      <c r="AR106" s="34">
        <v>219</v>
      </c>
      <c r="AS106" s="34">
        <v>91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2688</v>
      </c>
      <c r="F107" s="30">
        <v>2479</v>
      </c>
      <c r="G107" s="31">
        <v>0.92224702380952384</v>
      </c>
      <c r="H107" s="30">
        <v>1559</v>
      </c>
      <c r="I107" s="32">
        <v>0.57998511904761907</v>
      </c>
      <c r="J107" s="30">
        <v>3861</v>
      </c>
      <c r="K107" s="30">
        <v>3775</v>
      </c>
      <c r="L107" s="31">
        <v>0.97799999999999998</v>
      </c>
      <c r="M107" s="30">
        <v>19796</v>
      </c>
      <c r="N107" s="30">
        <v>19644</v>
      </c>
      <c r="O107" s="30">
        <v>19572</v>
      </c>
      <c r="P107" s="31">
        <v>0.98868458274398874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5137</v>
      </c>
      <c r="X107" s="31">
        <v>1.91108630952381</v>
      </c>
      <c r="Y107" s="30">
        <v>776</v>
      </c>
      <c r="Z107" s="33">
        <v>0.28869047619047622</v>
      </c>
      <c r="AA107" s="30">
        <v>106</v>
      </c>
      <c r="AB107" s="31">
        <v>3.9434523809523808E-2</v>
      </c>
      <c r="AC107" s="30">
        <v>525</v>
      </c>
      <c r="AD107" s="31">
        <v>0.1953125</v>
      </c>
      <c r="AE107" s="30">
        <v>94</v>
      </c>
      <c r="AF107" s="31">
        <v>0.17904761904761901</v>
      </c>
      <c r="AG107" s="30">
        <v>474</v>
      </c>
      <c r="AH107" s="31">
        <v>0.9028571428571428</v>
      </c>
      <c r="AI107" s="34">
        <v>533</v>
      </c>
      <c r="AJ107" s="31">
        <v>0.19828869047619049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0.18005952380952381</v>
      </c>
      <c r="AP107" s="31">
        <v>0.92190476190476189</v>
      </c>
      <c r="AQ107" s="32">
        <v>0.97890295358649793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3.050595238095238E-2</v>
      </c>
      <c r="AY107" s="31">
        <v>3.125E-2</v>
      </c>
      <c r="AZ107" s="31">
        <v>5.1339285714285712E-2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3643</v>
      </c>
      <c r="F108" s="30">
        <v>3149</v>
      </c>
      <c r="G108" s="31">
        <v>0.86439747460883887</v>
      </c>
      <c r="H108" s="30">
        <v>2052</v>
      </c>
      <c r="I108" s="32">
        <v>0.56327202854790004</v>
      </c>
      <c r="J108" s="30">
        <v>4208</v>
      </c>
      <c r="K108" s="30">
        <v>4116</v>
      </c>
      <c r="L108" s="31">
        <v>0.97799999999999998</v>
      </c>
      <c r="M108" s="30">
        <v>14769</v>
      </c>
      <c r="N108" s="30">
        <v>14965</v>
      </c>
      <c r="O108" s="30">
        <v>14527</v>
      </c>
      <c r="P108" s="31">
        <v>0.98361432730719756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3020</v>
      </c>
      <c r="X108" s="31">
        <v>0.82898709854515507</v>
      </c>
      <c r="Y108" s="30">
        <v>571</v>
      </c>
      <c r="Z108" s="33">
        <v>0.15673895141367011</v>
      </c>
      <c r="AA108" s="30">
        <v>35</v>
      </c>
      <c r="AB108" s="31">
        <v>9.6074663738676923E-3</v>
      </c>
      <c r="AC108" s="30">
        <v>357</v>
      </c>
      <c r="AD108" s="31">
        <v>9.7996157013450449E-2</v>
      </c>
      <c r="AE108" s="30">
        <v>67</v>
      </c>
      <c r="AF108" s="31">
        <v>0.1876750700280112</v>
      </c>
      <c r="AG108" s="30">
        <v>315</v>
      </c>
      <c r="AH108" s="31">
        <v>0.88235294117647056</v>
      </c>
      <c r="AI108" s="34">
        <v>360</v>
      </c>
      <c r="AJ108" s="31">
        <v>9.8819654131210535E-2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8.2349711776008777E-2</v>
      </c>
      <c r="AP108" s="31">
        <v>0.84033613445378152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1.5920944276695031E-2</v>
      </c>
      <c r="AY108" s="31">
        <v>1.6195443315948389E-2</v>
      </c>
      <c r="AZ108" s="31">
        <v>2.5253911611309361E-2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1914</v>
      </c>
      <c r="F109" s="30">
        <v>1733</v>
      </c>
      <c r="G109" s="31">
        <v>0.90543364681295713</v>
      </c>
      <c r="H109" s="30">
        <v>850</v>
      </c>
      <c r="I109" s="32">
        <v>0.44409613375130619</v>
      </c>
      <c r="J109" s="30">
        <v>1653</v>
      </c>
      <c r="K109" s="30">
        <v>1580</v>
      </c>
      <c r="L109" s="31">
        <v>0.95599999999999996</v>
      </c>
      <c r="M109" s="30">
        <v>9567</v>
      </c>
      <c r="N109" s="30">
        <v>9628</v>
      </c>
      <c r="O109" s="30">
        <v>9316</v>
      </c>
      <c r="P109" s="31">
        <v>0.97376398034911671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3663</v>
      </c>
      <c r="X109" s="31">
        <v>1.913793103448276</v>
      </c>
      <c r="Y109" s="30">
        <v>641</v>
      </c>
      <c r="Z109" s="33">
        <v>0.33490073145245558</v>
      </c>
      <c r="AA109" s="30">
        <v>26</v>
      </c>
      <c r="AB109" s="31">
        <v>1.358411703239289E-2</v>
      </c>
      <c r="AC109" s="30">
        <v>359</v>
      </c>
      <c r="AD109" s="31">
        <v>0.1875653082549634</v>
      </c>
      <c r="AE109" s="30">
        <v>65</v>
      </c>
      <c r="AF109" s="31">
        <v>0.18105849582172701</v>
      </c>
      <c r="AG109" s="30">
        <v>334</v>
      </c>
      <c r="AH109" s="31">
        <v>0.93036211699164351</v>
      </c>
      <c r="AI109" s="34">
        <v>346</v>
      </c>
      <c r="AJ109" s="31">
        <v>0.18077324973876699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0.14524555903866249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2.1421107628004182E-2</v>
      </c>
      <c r="AY109" s="31">
        <v>2.1421107628004182E-2</v>
      </c>
      <c r="AZ109" s="31">
        <v>3.2392894461859979E-2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2025</v>
      </c>
      <c r="F110" s="30">
        <v>1717</v>
      </c>
      <c r="G110" s="31">
        <v>0.84790123456790123</v>
      </c>
      <c r="H110" s="30">
        <v>375</v>
      </c>
      <c r="I110" s="32">
        <v>0.1851851851851852</v>
      </c>
      <c r="J110" s="30">
        <v>1135</v>
      </c>
      <c r="K110" s="30">
        <v>1105</v>
      </c>
      <c r="L110" s="31">
        <v>0.97399999999999998</v>
      </c>
      <c r="M110" s="30">
        <v>3805</v>
      </c>
      <c r="N110" s="30">
        <v>4070</v>
      </c>
      <c r="O110" s="30">
        <v>3723</v>
      </c>
      <c r="P110" s="31">
        <v>0.97844940867279895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1.827160493827161E-2</v>
      </c>
      <c r="Y110" s="30">
        <v>140</v>
      </c>
      <c r="Z110" s="33">
        <v>6.9135802469135796E-2</v>
      </c>
      <c r="AA110" s="30">
        <v>0</v>
      </c>
      <c r="AB110" s="31">
        <v>0</v>
      </c>
      <c r="AC110" s="30">
        <v>111</v>
      </c>
      <c r="AD110" s="31">
        <v>5.4814814814814823E-2</v>
      </c>
      <c r="AE110" s="30">
        <v>39</v>
      </c>
      <c r="AF110" s="31">
        <v>0.35135135135135143</v>
      </c>
      <c r="AG110" s="30">
        <v>95</v>
      </c>
      <c r="AH110" s="31">
        <v>0.85585585585585588</v>
      </c>
      <c r="AI110" s="34">
        <v>12</v>
      </c>
      <c r="AJ110" s="31">
        <v>5.9259259259259256E-3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3.4567901234567899E-3</v>
      </c>
      <c r="AP110" s="31">
        <v>6.3063063063063057E-2</v>
      </c>
      <c r="AQ110" s="32">
        <v>1</v>
      </c>
      <c r="AR110" s="34">
        <v>206</v>
      </c>
      <c r="AS110" s="34">
        <v>74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2941</v>
      </c>
      <c r="F111" s="30">
        <v>2600</v>
      </c>
      <c r="G111" s="31">
        <v>0.88405304318259093</v>
      </c>
      <c r="H111" s="30">
        <v>1967</v>
      </c>
      <c r="I111" s="32">
        <v>0.66882012920775247</v>
      </c>
      <c r="J111" s="30">
        <v>3412</v>
      </c>
      <c r="K111" s="30">
        <v>3325</v>
      </c>
      <c r="L111" s="31">
        <v>0.97499999999999998</v>
      </c>
      <c r="M111" s="30">
        <v>20736</v>
      </c>
      <c r="N111" s="30">
        <v>20838</v>
      </c>
      <c r="O111" s="30">
        <v>20485</v>
      </c>
      <c r="P111" s="31">
        <v>0.98789544753086422</v>
      </c>
      <c r="Q111" s="30">
        <v>71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5170</v>
      </c>
      <c r="X111" s="31">
        <v>1.7579054743284599</v>
      </c>
      <c r="Y111" s="30">
        <v>842</v>
      </c>
      <c r="Z111" s="33">
        <v>0.28629717783066982</v>
      </c>
      <c r="AA111" s="30">
        <v>126</v>
      </c>
      <c r="AB111" s="31">
        <v>4.2842570554233253E-2</v>
      </c>
      <c r="AC111" s="30">
        <v>578</v>
      </c>
      <c r="AD111" s="31">
        <v>0.19653179190751449</v>
      </c>
      <c r="AE111" s="30">
        <v>85</v>
      </c>
      <c r="AF111" s="31">
        <v>0.1470588235294118</v>
      </c>
      <c r="AG111" s="30">
        <v>521</v>
      </c>
      <c r="AH111" s="31">
        <v>0.90138408304498274</v>
      </c>
      <c r="AI111" s="34">
        <v>600</v>
      </c>
      <c r="AJ111" s="31">
        <v>0.2040122407344441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0.18735124107446449</v>
      </c>
      <c r="AP111" s="31">
        <v>0.95328719723183386</v>
      </c>
      <c r="AQ111" s="32">
        <v>0.96192384769539074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2.82216933015981E-2</v>
      </c>
      <c r="AY111" s="31">
        <v>2.7881672900374022E-2</v>
      </c>
      <c r="AZ111" s="31">
        <v>4.4542672560353623E-2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2266</v>
      </c>
      <c r="F112" s="30">
        <v>2011</v>
      </c>
      <c r="G112" s="31">
        <v>0.88746690203000878</v>
      </c>
      <c r="H112" s="30">
        <v>843</v>
      </c>
      <c r="I112" s="32">
        <v>0.37202118270079437</v>
      </c>
      <c r="J112" s="30">
        <v>2343</v>
      </c>
      <c r="K112" s="30">
        <v>2244</v>
      </c>
      <c r="L112" s="31">
        <v>0.95799999999999996</v>
      </c>
      <c r="M112" s="30">
        <v>12339</v>
      </c>
      <c r="N112" s="30">
        <v>12478</v>
      </c>
      <c r="O112" s="30">
        <v>12125</v>
      </c>
      <c r="P112" s="31">
        <v>0.98265661722992137</v>
      </c>
      <c r="Q112" s="30">
        <v>55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2944</v>
      </c>
      <c r="X112" s="31">
        <v>1.2992056487202119</v>
      </c>
      <c r="Y112" s="30">
        <v>476</v>
      </c>
      <c r="Z112" s="33">
        <v>0.21006178287731689</v>
      </c>
      <c r="AA112" s="30">
        <v>57</v>
      </c>
      <c r="AB112" s="31">
        <v>2.5154457193292141E-2</v>
      </c>
      <c r="AC112" s="30">
        <v>431</v>
      </c>
      <c r="AD112" s="31">
        <v>0.19020300088261249</v>
      </c>
      <c r="AE112" s="30">
        <v>65</v>
      </c>
      <c r="AF112" s="31">
        <v>0.1508120649651972</v>
      </c>
      <c r="AG112" s="30">
        <v>389</v>
      </c>
      <c r="AH112" s="31">
        <v>0.90255220417633408</v>
      </c>
      <c r="AI112" s="34">
        <v>459</v>
      </c>
      <c r="AJ112" s="31">
        <v>0.20255957634598409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0.16460723742277139</v>
      </c>
      <c r="AP112" s="31">
        <v>0.86542923433874708</v>
      </c>
      <c r="AQ112" s="32">
        <v>0.95061728395061729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4.2806707855251543E-2</v>
      </c>
      <c r="AY112" s="31">
        <v>4.2806707855251543E-2</v>
      </c>
      <c r="AZ112" s="31">
        <v>2.2065313327449251E-2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2290</v>
      </c>
      <c r="F113" s="30">
        <v>2120</v>
      </c>
      <c r="G113" s="31">
        <v>0.92576419213973804</v>
      </c>
      <c r="H113" s="30">
        <v>1023</v>
      </c>
      <c r="I113" s="32">
        <v>0.4467248908296943</v>
      </c>
      <c r="J113" s="30">
        <v>1781</v>
      </c>
      <c r="K113" s="30">
        <v>1678</v>
      </c>
      <c r="L113" s="31">
        <v>0.94199999999999995</v>
      </c>
      <c r="M113" s="30">
        <v>9508</v>
      </c>
      <c r="N113" s="30">
        <v>9796</v>
      </c>
      <c r="O113" s="30">
        <v>9315</v>
      </c>
      <c r="P113" s="31">
        <v>0.97970130416491374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3469</v>
      </c>
      <c r="X113" s="31">
        <v>1.514847161572052</v>
      </c>
      <c r="Y113" s="30">
        <v>543</v>
      </c>
      <c r="Z113" s="33">
        <v>0.23711790393013099</v>
      </c>
      <c r="AA113" s="30">
        <v>23</v>
      </c>
      <c r="AB113" s="31">
        <v>1.0043668122270741E-2</v>
      </c>
      <c r="AC113" s="30">
        <v>605</v>
      </c>
      <c r="AD113" s="31">
        <v>0.26419213973799133</v>
      </c>
      <c r="AE113" s="30">
        <v>76</v>
      </c>
      <c r="AF113" s="31">
        <v>0.12561983471074381</v>
      </c>
      <c r="AG113" s="30">
        <v>562</v>
      </c>
      <c r="AH113" s="31">
        <v>0.92892561983471078</v>
      </c>
      <c r="AI113" s="34">
        <v>599</v>
      </c>
      <c r="AJ113" s="31">
        <v>0.26157205240174669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0.22139737991266381</v>
      </c>
      <c r="AP113" s="31">
        <v>0.83801652892561984</v>
      </c>
      <c r="AQ113" s="32">
        <v>0.98480243161094227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3.88646288209607E-2</v>
      </c>
      <c r="AY113" s="31">
        <v>3.7554585152838431E-2</v>
      </c>
      <c r="AZ113" s="31">
        <v>1.7030567685589519E-2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2511</v>
      </c>
      <c r="F114" s="30">
        <v>2143</v>
      </c>
      <c r="G114" s="31">
        <v>0.85344484269215448</v>
      </c>
      <c r="H114" s="30">
        <v>593</v>
      </c>
      <c r="I114" s="32">
        <v>0.23616089207487059</v>
      </c>
      <c r="J114" s="30">
        <v>1390</v>
      </c>
      <c r="K114" s="30">
        <v>1364</v>
      </c>
      <c r="L114" s="31">
        <v>0.98099999999999998</v>
      </c>
      <c r="M114" s="30">
        <v>4736</v>
      </c>
      <c r="N114" s="30">
        <v>5206</v>
      </c>
      <c r="O114" s="30">
        <v>4627</v>
      </c>
      <c r="P114" s="31">
        <v>0.97698479729729726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60</v>
      </c>
      <c r="X114" s="31">
        <v>2.3894862604540029E-2</v>
      </c>
      <c r="Y114" s="30">
        <v>191</v>
      </c>
      <c r="Z114" s="33">
        <v>7.6065312624452402E-2</v>
      </c>
      <c r="AA114" s="30">
        <v>1</v>
      </c>
      <c r="AB114" s="31">
        <v>3.9824771007566711E-4</v>
      </c>
      <c r="AC114" s="30">
        <v>241</v>
      </c>
      <c r="AD114" s="31">
        <v>9.5977698128235769E-2</v>
      </c>
      <c r="AE114" s="30">
        <v>83</v>
      </c>
      <c r="AF114" s="31">
        <v>0.34439834024896271</v>
      </c>
      <c r="AG114" s="30">
        <v>217</v>
      </c>
      <c r="AH114" s="31">
        <v>0.90041493775933612</v>
      </c>
      <c r="AI114" s="34">
        <v>113</v>
      </c>
      <c r="AJ114" s="31">
        <v>4.5001991238550379E-2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2.3496614894464359E-2</v>
      </c>
      <c r="AP114" s="31">
        <v>0.24481327800829869</v>
      </c>
      <c r="AQ114" s="32">
        <v>0.95</v>
      </c>
      <c r="AR114" s="34">
        <v>387</v>
      </c>
      <c r="AS114" s="34">
        <v>163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4907</v>
      </c>
      <c r="F115" s="30">
        <v>4339</v>
      </c>
      <c r="G115" s="31">
        <v>0.88424699409007546</v>
      </c>
      <c r="H115" s="30">
        <v>3626</v>
      </c>
      <c r="I115" s="32">
        <v>0.738944365192582</v>
      </c>
      <c r="J115" s="30">
        <v>5213</v>
      </c>
      <c r="K115" s="30">
        <v>5102</v>
      </c>
      <c r="L115" s="31">
        <v>0.97899999999999998</v>
      </c>
      <c r="M115" s="30">
        <v>22294</v>
      </c>
      <c r="N115" s="30">
        <v>23006</v>
      </c>
      <c r="O115" s="30">
        <v>22015</v>
      </c>
      <c r="P115" s="31">
        <v>0.98748542208666013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5319</v>
      </c>
      <c r="X115" s="31">
        <v>1.0839616873853679</v>
      </c>
      <c r="Y115" s="30">
        <v>720</v>
      </c>
      <c r="Z115" s="33">
        <v>0.14672916242103121</v>
      </c>
      <c r="AA115" s="30">
        <v>121</v>
      </c>
      <c r="AB115" s="31">
        <v>2.4658650906867741E-2</v>
      </c>
      <c r="AC115" s="30">
        <v>798</v>
      </c>
      <c r="AD115" s="31">
        <v>0.16262482168330961</v>
      </c>
      <c r="AE115" s="30">
        <v>117</v>
      </c>
      <c r="AF115" s="31">
        <v>0.14661654135338351</v>
      </c>
      <c r="AG115" s="30">
        <v>733</v>
      </c>
      <c r="AH115" s="31">
        <v>0.918546365914787</v>
      </c>
      <c r="AI115" s="34">
        <v>820</v>
      </c>
      <c r="AJ115" s="31">
        <v>0.16710821275728549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0.15182392500509481</v>
      </c>
      <c r="AP115" s="31">
        <v>0.9335839598997494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2.404727939678011E-2</v>
      </c>
      <c r="AY115" s="31">
        <v>2.3843488893417569E-2</v>
      </c>
      <c r="AZ115" s="31">
        <v>1.8544935805991439E-2</v>
      </c>
      <c r="BA115" s="31">
        <v>0.15704697986577179</v>
      </c>
      <c r="BB115" s="34">
        <v>0</v>
      </c>
      <c r="BC115" s="34">
        <v>0</v>
      </c>
      <c r="BD115" s="32">
        <v>0.98913043478260865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2054</v>
      </c>
      <c r="F116" s="30">
        <v>1832</v>
      </c>
      <c r="G116" s="31">
        <v>0.89191820837390456</v>
      </c>
      <c r="H116" s="30">
        <v>806</v>
      </c>
      <c r="I116" s="32">
        <v>0.39240506329113922</v>
      </c>
      <c r="J116" s="30">
        <v>2243</v>
      </c>
      <c r="K116" s="30">
        <v>2173</v>
      </c>
      <c r="L116" s="31">
        <v>0.96899999999999997</v>
      </c>
      <c r="M116" s="30">
        <v>11142</v>
      </c>
      <c r="N116" s="30">
        <v>10988</v>
      </c>
      <c r="O116" s="30">
        <v>10962</v>
      </c>
      <c r="P116" s="31">
        <v>0.98384491114701134</v>
      </c>
      <c r="Q116" s="30">
        <v>27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0.46299902629016548</v>
      </c>
      <c r="Y116" s="30">
        <v>365</v>
      </c>
      <c r="Z116" s="33">
        <v>0.17770204479065241</v>
      </c>
      <c r="AA116" s="30">
        <v>46</v>
      </c>
      <c r="AB116" s="31">
        <v>2.2395326192794551E-2</v>
      </c>
      <c r="AC116" s="30">
        <v>458</v>
      </c>
      <c r="AD116" s="31">
        <v>0.22297955209347611</v>
      </c>
      <c r="AE116" s="30">
        <v>94</v>
      </c>
      <c r="AF116" s="31">
        <v>0.20524017467248909</v>
      </c>
      <c r="AG116" s="30">
        <v>408</v>
      </c>
      <c r="AH116" s="31">
        <v>0.89082969432314407</v>
      </c>
      <c r="AI116" s="34">
        <v>447</v>
      </c>
      <c r="AJ116" s="31">
        <v>0.21762414800389479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0.186952288218111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4.9659201557935732E-2</v>
      </c>
      <c r="AY116" s="31">
        <v>4.9172346640701067E-2</v>
      </c>
      <c r="AZ116" s="31">
        <v>2.58033106134372E-2</v>
      </c>
      <c r="BA116" s="31">
        <v>0.26302083333333331</v>
      </c>
      <c r="BB116" s="34">
        <v>0</v>
      </c>
      <c r="BC116" s="34">
        <v>0</v>
      </c>
      <c r="BD116" s="32">
        <v>0.98305084745762716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2236</v>
      </c>
      <c r="F117" s="30">
        <v>2057</v>
      </c>
      <c r="G117" s="31">
        <v>0.91994633273703041</v>
      </c>
      <c r="H117" s="30">
        <v>970</v>
      </c>
      <c r="I117" s="32">
        <v>0.4338103756708408</v>
      </c>
      <c r="J117" s="30">
        <v>1819</v>
      </c>
      <c r="K117" s="30">
        <v>1716</v>
      </c>
      <c r="L117" s="31">
        <v>0.94299999999999995</v>
      </c>
      <c r="M117" s="30">
        <v>11072</v>
      </c>
      <c r="N117" s="30">
        <v>10519</v>
      </c>
      <c r="O117" s="30">
        <v>10854</v>
      </c>
      <c r="P117" s="31">
        <v>0.98031069364161849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1110</v>
      </c>
      <c r="X117" s="31">
        <v>0.49642218246869407</v>
      </c>
      <c r="Y117" s="30">
        <v>463</v>
      </c>
      <c r="Z117" s="33">
        <v>0.20706618962432921</v>
      </c>
      <c r="AA117" s="30">
        <v>34</v>
      </c>
      <c r="AB117" s="31">
        <v>1.520572450805009E-2</v>
      </c>
      <c r="AC117" s="30">
        <v>538</v>
      </c>
      <c r="AD117" s="31">
        <v>0.240608228980322</v>
      </c>
      <c r="AE117" s="30">
        <v>73</v>
      </c>
      <c r="AF117" s="31">
        <v>0.1356877323420074</v>
      </c>
      <c r="AG117" s="30">
        <v>490</v>
      </c>
      <c r="AH117" s="31">
        <v>0.91078066914498146</v>
      </c>
      <c r="AI117" s="34">
        <v>532</v>
      </c>
      <c r="AJ117" s="31">
        <v>0.23792486583184261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0.20125223613595711</v>
      </c>
      <c r="AP117" s="31">
        <v>0.83643122676579928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3.8461538461538457E-2</v>
      </c>
      <c r="AY117" s="31">
        <v>3.6225402504472273E-2</v>
      </c>
      <c r="AZ117" s="31">
        <v>1.5652951699463329E-2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2974</v>
      </c>
      <c r="F118" s="30">
        <v>2574</v>
      </c>
      <c r="G118" s="31">
        <v>0.86550100874243441</v>
      </c>
      <c r="H118" s="30">
        <v>670</v>
      </c>
      <c r="I118" s="32">
        <v>0.22528581035642231</v>
      </c>
      <c r="J118" s="30">
        <v>1537</v>
      </c>
      <c r="K118" s="30">
        <v>1513</v>
      </c>
      <c r="L118" s="31">
        <v>0.98399999999999999</v>
      </c>
      <c r="M118" s="30">
        <v>4979</v>
      </c>
      <c r="N118" s="30">
        <v>4912</v>
      </c>
      <c r="O118" s="30">
        <v>4870</v>
      </c>
      <c r="P118" s="31">
        <v>0.97810805382606947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2.65635507733692E-2</v>
      </c>
      <c r="Y118" s="30">
        <v>196</v>
      </c>
      <c r="Z118" s="33">
        <v>6.5904505716207124E-2</v>
      </c>
      <c r="AA118" s="30">
        <v>0</v>
      </c>
      <c r="AB118" s="31">
        <v>0</v>
      </c>
      <c r="AC118" s="30">
        <v>232</v>
      </c>
      <c r="AD118" s="31">
        <v>7.8009414929388024E-2</v>
      </c>
      <c r="AE118" s="30">
        <v>59</v>
      </c>
      <c r="AF118" s="31">
        <v>0.25431034482758619</v>
      </c>
      <c r="AG118" s="30">
        <v>202</v>
      </c>
      <c r="AH118" s="31">
        <v>0.87068965517241381</v>
      </c>
      <c r="AI118" s="34">
        <v>118</v>
      </c>
      <c r="AJ118" s="31">
        <v>3.9677202420981841E-2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2.0174848688634839E-2</v>
      </c>
      <c r="AP118" s="31">
        <v>0.25862068965517238</v>
      </c>
      <c r="AQ118" s="32">
        <v>0.96078431372549022</v>
      </c>
      <c r="AR118" s="34">
        <v>354</v>
      </c>
      <c r="AS118" s="34">
        <v>130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4828</v>
      </c>
      <c r="F119" s="30">
        <v>4319</v>
      </c>
      <c r="G119" s="31">
        <v>0.89457332228666109</v>
      </c>
      <c r="H119" s="30">
        <v>3630</v>
      </c>
      <c r="I119" s="32">
        <v>0.75186412593206298</v>
      </c>
      <c r="J119" s="30">
        <v>5378</v>
      </c>
      <c r="K119" s="30">
        <v>5287</v>
      </c>
      <c r="L119" s="31">
        <v>0.98299999999999998</v>
      </c>
      <c r="M119" s="30">
        <v>22924</v>
      </c>
      <c r="N119" s="30">
        <v>23030</v>
      </c>
      <c r="O119" s="30">
        <v>22616</v>
      </c>
      <c r="P119" s="31">
        <v>0.98656429942418422</v>
      </c>
      <c r="Q119" s="30">
        <v>36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2073</v>
      </c>
      <c r="X119" s="31">
        <v>0.42937033968516991</v>
      </c>
      <c r="Y119" s="30">
        <v>536</v>
      </c>
      <c r="Z119" s="33">
        <v>0.1110190555095278</v>
      </c>
      <c r="AA119" s="30">
        <v>131</v>
      </c>
      <c r="AB119" s="31">
        <v>2.713338856669428E-2</v>
      </c>
      <c r="AC119" s="30">
        <v>780</v>
      </c>
      <c r="AD119" s="31">
        <v>0.1615575807787904</v>
      </c>
      <c r="AE119" s="30">
        <v>115</v>
      </c>
      <c r="AF119" s="31">
        <v>0.14743589743589741</v>
      </c>
      <c r="AG119" s="30">
        <v>706</v>
      </c>
      <c r="AH119" s="31">
        <v>0.90512820512820513</v>
      </c>
      <c r="AI119" s="34">
        <v>781</v>
      </c>
      <c r="AJ119" s="31">
        <v>0.16176470588235289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0.1499585749792875</v>
      </c>
      <c r="AP119" s="31">
        <v>0.92820512820512824</v>
      </c>
      <c r="AQ119" s="32">
        <v>0.96592398427260817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3.3140016570008278E-2</v>
      </c>
      <c r="AY119" s="31">
        <v>3.2932891466445742E-2</v>
      </c>
      <c r="AZ119" s="31">
        <v>1.9884009942004972E-2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2779</v>
      </c>
      <c r="F120" s="30">
        <v>2438</v>
      </c>
      <c r="G120" s="31">
        <v>0.87729399064411662</v>
      </c>
      <c r="H120" s="30">
        <v>1593</v>
      </c>
      <c r="I120" s="32">
        <v>0.57322777977689821</v>
      </c>
      <c r="J120" s="30">
        <v>2928</v>
      </c>
      <c r="K120" s="30">
        <v>2845</v>
      </c>
      <c r="L120" s="31">
        <v>0.97199999999999998</v>
      </c>
      <c r="M120" s="30">
        <v>13240</v>
      </c>
      <c r="N120" s="30">
        <v>12578</v>
      </c>
      <c r="O120" s="30">
        <v>12982</v>
      </c>
      <c r="P120" s="31">
        <v>0.9805135951661631</v>
      </c>
      <c r="Q120" s="30">
        <v>48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5186</v>
      </c>
      <c r="X120" s="31">
        <v>1.8661388988844909</v>
      </c>
      <c r="Y120" s="30">
        <v>404</v>
      </c>
      <c r="Z120" s="33">
        <v>0.1453760345448003</v>
      </c>
      <c r="AA120" s="30">
        <v>53</v>
      </c>
      <c r="AB120" s="31">
        <v>1.90716084922634E-2</v>
      </c>
      <c r="AC120" s="30">
        <v>309</v>
      </c>
      <c r="AD120" s="31">
        <v>0.1111910759265923</v>
      </c>
      <c r="AE120" s="30">
        <v>69</v>
      </c>
      <c r="AF120" s="31">
        <v>0.22330097087378639</v>
      </c>
      <c r="AG120" s="30">
        <v>238</v>
      </c>
      <c r="AH120" s="31">
        <v>0.77022653721682843</v>
      </c>
      <c r="AI120" s="34">
        <v>275</v>
      </c>
      <c r="AJ120" s="31">
        <v>9.8956459157970494E-2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7.9884850665707094E-2</v>
      </c>
      <c r="AP120" s="31">
        <v>0.71844660194174759</v>
      </c>
      <c r="AQ120" s="32">
        <v>0.96577017114914421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2.3389708528247569E-2</v>
      </c>
      <c r="AY120" s="31">
        <v>2.3029866858582219E-2</v>
      </c>
      <c r="AZ120" s="31">
        <v>3.2385750269881247E-2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2887</v>
      </c>
      <c r="F121" s="30">
        <v>2596</v>
      </c>
      <c r="G121" s="31">
        <v>0.89920332525112578</v>
      </c>
      <c r="H121" s="30">
        <v>1566</v>
      </c>
      <c r="I121" s="32">
        <v>0.54243158988569451</v>
      </c>
      <c r="J121" s="30">
        <v>1998</v>
      </c>
      <c r="K121" s="30">
        <v>1930</v>
      </c>
      <c r="L121" s="31">
        <v>0.96599999999999997</v>
      </c>
      <c r="M121" s="30">
        <v>10055</v>
      </c>
      <c r="N121" s="30">
        <v>9570</v>
      </c>
      <c r="O121" s="30">
        <v>9849</v>
      </c>
      <c r="P121" s="31">
        <v>0.97951268025857785</v>
      </c>
      <c r="Q121" s="30">
        <v>60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5787</v>
      </c>
      <c r="X121" s="31">
        <v>2.004502944232768</v>
      </c>
      <c r="Y121" s="30">
        <v>516</v>
      </c>
      <c r="Z121" s="33">
        <v>0.17873224800831311</v>
      </c>
      <c r="AA121" s="30">
        <v>31</v>
      </c>
      <c r="AB121" s="31">
        <v>1.073779009352269E-2</v>
      </c>
      <c r="AC121" s="30">
        <v>320</v>
      </c>
      <c r="AD121" s="31">
        <v>0.1108417041912019</v>
      </c>
      <c r="AE121" s="30">
        <v>59</v>
      </c>
      <c r="AF121" s="31">
        <v>0.18437500000000001</v>
      </c>
      <c r="AG121" s="30">
        <v>269</v>
      </c>
      <c r="AH121" s="31">
        <v>0.84062499999999996</v>
      </c>
      <c r="AI121" s="34">
        <v>312</v>
      </c>
      <c r="AJ121" s="31">
        <v>0.1080706615864219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8.9019743678559055E-2</v>
      </c>
      <c r="AP121" s="31">
        <v>0.80312499999999998</v>
      </c>
      <c r="AQ121" s="32">
        <v>0.95983935742971882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2.3553862140630408E-2</v>
      </c>
      <c r="AY121" s="31">
        <v>2.4939383443020439E-2</v>
      </c>
      <c r="AZ121" s="31">
        <v>2.805680637339799E-2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2418</v>
      </c>
      <c r="F122" s="30">
        <v>2121</v>
      </c>
      <c r="G122" s="31">
        <v>0.87717121588089331</v>
      </c>
      <c r="H122" s="30">
        <v>723</v>
      </c>
      <c r="I122" s="32">
        <v>0.29900744416873448</v>
      </c>
      <c r="J122" s="30">
        <v>1739</v>
      </c>
      <c r="K122" s="30">
        <v>1693</v>
      </c>
      <c r="L122" s="31">
        <v>0.97399999999999998</v>
      </c>
      <c r="M122" s="30">
        <v>5553</v>
      </c>
      <c r="N122" s="30">
        <v>4876</v>
      </c>
      <c r="O122" s="30">
        <v>5406</v>
      </c>
      <c r="P122" s="31">
        <v>0.97352782279848726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1.9023986765922249E-2</v>
      </c>
      <c r="Y122" s="30">
        <v>185</v>
      </c>
      <c r="Z122" s="33">
        <v>7.6509511993382961E-2</v>
      </c>
      <c r="AA122" s="30">
        <v>0</v>
      </c>
      <c r="AB122" s="31">
        <v>0</v>
      </c>
      <c r="AC122" s="30">
        <v>183</v>
      </c>
      <c r="AD122" s="31">
        <v>7.5682382133995044E-2</v>
      </c>
      <c r="AE122" s="30">
        <v>59</v>
      </c>
      <c r="AF122" s="31">
        <v>0.32240437158469948</v>
      </c>
      <c r="AG122" s="30">
        <v>159</v>
      </c>
      <c r="AH122" s="31">
        <v>0.86885245901639341</v>
      </c>
      <c r="AI122" s="34">
        <v>100</v>
      </c>
      <c r="AJ122" s="31">
        <v>4.1356492969396197E-2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2.8949545078577339E-2</v>
      </c>
      <c r="AP122" s="31">
        <v>0.38251366120218577</v>
      </c>
      <c r="AQ122" s="32">
        <v>0.94666666666666666</v>
      </c>
      <c r="AR122" s="34">
        <v>223</v>
      </c>
      <c r="AS122" s="34">
        <v>98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3166</v>
      </c>
      <c r="F123" s="30">
        <v>2858</v>
      </c>
      <c r="G123" s="31">
        <v>0.90271636133922928</v>
      </c>
      <c r="H123" s="30">
        <v>1941</v>
      </c>
      <c r="I123" s="32">
        <v>0.61307643714466198</v>
      </c>
      <c r="J123" s="30">
        <v>4388</v>
      </c>
      <c r="K123" s="30">
        <v>4302</v>
      </c>
      <c r="L123" s="31">
        <v>0.98</v>
      </c>
      <c r="M123" s="30">
        <v>21115</v>
      </c>
      <c r="N123" s="30">
        <v>20580</v>
      </c>
      <c r="O123" s="30">
        <v>20783</v>
      </c>
      <c r="P123" s="31">
        <v>0.98427658062988399</v>
      </c>
      <c r="Q123" s="30">
        <v>71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8673</v>
      </c>
      <c r="X123" s="31">
        <v>2.7394188250157931</v>
      </c>
      <c r="Y123" s="30">
        <v>557</v>
      </c>
      <c r="Z123" s="33">
        <v>0.17593177511054961</v>
      </c>
      <c r="AA123" s="30">
        <v>151</v>
      </c>
      <c r="AB123" s="31">
        <v>4.7694251421351863E-2</v>
      </c>
      <c r="AC123" s="30">
        <v>551</v>
      </c>
      <c r="AD123" s="31">
        <v>0.17403663929248259</v>
      </c>
      <c r="AE123" s="30">
        <v>116</v>
      </c>
      <c r="AF123" s="31">
        <v>0.2105263157894737</v>
      </c>
      <c r="AG123" s="30">
        <v>491</v>
      </c>
      <c r="AH123" s="31">
        <v>0.89110707803992739</v>
      </c>
      <c r="AI123" s="34">
        <v>562</v>
      </c>
      <c r="AJ123" s="31">
        <v>0.17751105495893871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0.16266582438408089</v>
      </c>
      <c r="AP123" s="31">
        <v>0.93466424682395643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3.0638029058749211E-2</v>
      </c>
      <c r="AY123" s="31">
        <v>3.0006317119393559E-2</v>
      </c>
      <c r="AZ123" s="31">
        <v>5.022109917877448E-2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3303</v>
      </c>
      <c r="F124" s="30">
        <v>2807</v>
      </c>
      <c r="G124" s="31">
        <v>0.84983348471086895</v>
      </c>
      <c r="H124" s="30">
        <v>1361</v>
      </c>
      <c r="I124" s="32">
        <v>0.4120496518316682</v>
      </c>
      <c r="J124" s="30">
        <v>2706</v>
      </c>
      <c r="K124" s="30">
        <v>2582</v>
      </c>
      <c r="L124" s="31">
        <v>0.95399999999999996</v>
      </c>
      <c r="M124" s="30">
        <v>11699</v>
      </c>
      <c r="N124" s="30">
        <v>11442</v>
      </c>
      <c r="O124" s="30">
        <v>11408</v>
      </c>
      <c r="P124" s="31">
        <v>0.97512607915206428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6014</v>
      </c>
      <c r="X124" s="31">
        <v>1.820768997880714</v>
      </c>
      <c r="Y124" s="30">
        <v>491</v>
      </c>
      <c r="Z124" s="33">
        <v>0.1486527399333939</v>
      </c>
      <c r="AA124" s="30">
        <v>43</v>
      </c>
      <c r="AB124" s="31">
        <v>1.301846805933999E-2</v>
      </c>
      <c r="AC124" s="30">
        <v>277</v>
      </c>
      <c r="AD124" s="31">
        <v>8.386315470784135E-2</v>
      </c>
      <c r="AE124" s="30">
        <v>53</v>
      </c>
      <c r="AF124" s="31">
        <v>0.19133574007220219</v>
      </c>
      <c r="AG124" s="30">
        <v>234</v>
      </c>
      <c r="AH124" s="31">
        <v>0.84476534296028882</v>
      </c>
      <c r="AI124" s="34">
        <v>262</v>
      </c>
      <c r="AJ124" s="31">
        <v>7.9321828640629727E-2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6.7514380865879506E-2</v>
      </c>
      <c r="AP124" s="31">
        <v>0.80505415162454874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1.9376324553436269E-2</v>
      </c>
      <c r="AY124" s="31">
        <v>1.8770814411141389E-2</v>
      </c>
      <c r="AZ124" s="31">
        <v>3.754162882228277E-2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2500</v>
      </c>
      <c r="F125" s="30">
        <v>2263</v>
      </c>
      <c r="G125" s="31">
        <v>0.9052</v>
      </c>
      <c r="H125" s="30">
        <v>1147</v>
      </c>
      <c r="I125" s="32">
        <v>0.45879999999999999</v>
      </c>
      <c r="J125" s="30">
        <v>2356</v>
      </c>
      <c r="K125" s="30">
        <v>2263</v>
      </c>
      <c r="L125" s="31">
        <v>0.96099999999999997</v>
      </c>
      <c r="M125" s="30">
        <v>9501</v>
      </c>
      <c r="N125" s="30">
        <v>9421</v>
      </c>
      <c r="O125" s="30">
        <v>9257</v>
      </c>
      <c r="P125" s="31">
        <v>0.97431849279023264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5975</v>
      </c>
      <c r="X125" s="31">
        <v>2.39</v>
      </c>
      <c r="Y125" s="30">
        <v>536</v>
      </c>
      <c r="Z125" s="33">
        <v>0.21440000000000001</v>
      </c>
      <c r="AA125" s="30">
        <v>22</v>
      </c>
      <c r="AB125" s="31">
        <v>8.8000000000000005E-3</v>
      </c>
      <c r="AC125" s="30">
        <v>314</v>
      </c>
      <c r="AD125" s="31">
        <v>0.12559999999999999</v>
      </c>
      <c r="AE125" s="30">
        <v>42</v>
      </c>
      <c r="AF125" s="31">
        <v>0.13375796178343949</v>
      </c>
      <c r="AG125" s="30">
        <v>264</v>
      </c>
      <c r="AH125" s="31">
        <v>0.84076433121019112</v>
      </c>
      <c r="AI125" s="34">
        <v>300</v>
      </c>
      <c r="AJ125" s="31">
        <v>0.12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2.0400000000000001E-2</v>
      </c>
      <c r="AY125" s="31">
        <v>2.12E-2</v>
      </c>
      <c r="AZ125" s="31">
        <v>4.2000000000000003E-2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1937</v>
      </c>
      <c r="F126" s="30">
        <v>1777</v>
      </c>
      <c r="G126" s="31">
        <v>0.91739803820340737</v>
      </c>
      <c r="H126" s="30">
        <v>402</v>
      </c>
      <c r="I126" s="32">
        <v>0.2075374290139391</v>
      </c>
      <c r="J126" s="30">
        <v>1053</v>
      </c>
      <c r="K126" s="30">
        <v>1009</v>
      </c>
      <c r="L126" s="31">
        <v>0.95799999999999996</v>
      </c>
      <c r="M126" s="30">
        <v>4689</v>
      </c>
      <c r="N126" s="30">
        <v>4528</v>
      </c>
      <c r="O126" s="30">
        <v>4547</v>
      </c>
      <c r="P126" s="31">
        <v>0.96971635743228835</v>
      </c>
      <c r="Q126" s="30">
        <v>13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2.8910686628807431E-2</v>
      </c>
      <c r="Y126" s="30">
        <v>184</v>
      </c>
      <c r="Z126" s="33">
        <v>9.4992256066081568E-2</v>
      </c>
      <c r="AA126" s="30">
        <v>0</v>
      </c>
      <c r="AB126" s="31">
        <v>0</v>
      </c>
      <c r="AC126" s="30">
        <v>201</v>
      </c>
      <c r="AD126" s="31">
        <v>0.10376871450696951</v>
      </c>
      <c r="AE126" s="30">
        <v>71</v>
      </c>
      <c r="AF126" s="31">
        <v>0.35323383084577109</v>
      </c>
      <c r="AG126" s="30">
        <v>171</v>
      </c>
      <c r="AH126" s="31">
        <v>0.85074626865671643</v>
      </c>
      <c r="AI126" s="34">
        <v>160</v>
      </c>
      <c r="AJ126" s="31">
        <v>8.2601961796592668E-2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5.2658750645327823E-2</v>
      </c>
      <c r="AP126" s="31">
        <v>0.5074626865671642</v>
      </c>
      <c r="AQ126" s="32">
        <v>0.9464285714285714</v>
      </c>
      <c r="AR126" s="34">
        <v>199</v>
      </c>
      <c r="AS126" s="34">
        <v>86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3574</v>
      </c>
      <c r="F127" s="30">
        <v>3185</v>
      </c>
      <c r="G127" s="31">
        <v>0.89115836597649689</v>
      </c>
      <c r="H127" s="30">
        <v>2319</v>
      </c>
      <c r="I127" s="32">
        <v>0.64885282596530502</v>
      </c>
      <c r="J127" s="30">
        <v>3726</v>
      </c>
      <c r="K127" s="30">
        <v>3615</v>
      </c>
      <c r="L127" s="31">
        <v>0.97</v>
      </c>
      <c r="M127" s="30">
        <v>21396</v>
      </c>
      <c r="N127" s="30">
        <v>20910</v>
      </c>
      <c r="O127" s="30">
        <v>20989</v>
      </c>
      <c r="P127" s="31">
        <v>0.9809777528510002</v>
      </c>
      <c r="Q127" s="30">
        <v>56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9716</v>
      </c>
      <c r="X127" s="31">
        <v>2.7185226636821489</v>
      </c>
      <c r="Y127" s="30">
        <v>730</v>
      </c>
      <c r="Z127" s="33">
        <v>0.20425293788472301</v>
      </c>
      <c r="AA127" s="30">
        <v>115</v>
      </c>
      <c r="AB127" s="31">
        <v>3.2176832680470058E-2</v>
      </c>
      <c r="AC127" s="30">
        <v>497</v>
      </c>
      <c r="AD127" s="31">
        <v>0.13905987688864019</v>
      </c>
      <c r="AE127" s="30">
        <v>93</v>
      </c>
      <c r="AF127" s="31">
        <v>0.1871227364185111</v>
      </c>
      <c r="AG127" s="30">
        <v>429</v>
      </c>
      <c r="AH127" s="31">
        <v>0.86317907444668007</v>
      </c>
      <c r="AI127" s="34">
        <v>491</v>
      </c>
      <c r="AJ127" s="31">
        <v>0.1373810856183548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0.1236709569110241</v>
      </c>
      <c r="AP127" s="31">
        <v>0.88933601609657953</v>
      </c>
      <c r="AQ127" s="32">
        <v>0.97206703910614523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2.406267487409065E-2</v>
      </c>
      <c r="AY127" s="31">
        <v>2.4902070509233348E-2</v>
      </c>
      <c r="AZ127" s="31">
        <v>5.6799104644655853E-2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2621</v>
      </c>
      <c r="F128" s="30">
        <v>2286</v>
      </c>
      <c r="G128" s="31">
        <v>0.87218618847768026</v>
      </c>
      <c r="H128" s="30">
        <v>1107</v>
      </c>
      <c r="I128" s="32">
        <v>0.42235787867226249</v>
      </c>
      <c r="J128" s="30">
        <v>2266</v>
      </c>
      <c r="K128" s="30">
        <v>2215</v>
      </c>
      <c r="L128" s="31">
        <v>0.97699999999999998</v>
      </c>
      <c r="M128" s="30">
        <v>10509</v>
      </c>
      <c r="N128" s="30">
        <v>10624</v>
      </c>
      <c r="O128" s="30">
        <v>10350</v>
      </c>
      <c r="P128" s="31">
        <v>0.98487011133314306</v>
      </c>
      <c r="Q128" s="30">
        <v>39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3162</v>
      </c>
      <c r="X128" s="31">
        <v>1.206409767264403</v>
      </c>
      <c r="Y128" s="30">
        <v>308</v>
      </c>
      <c r="Z128" s="33">
        <v>0.1175123998473865</v>
      </c>
      <c r="AA128" s="30">
        <v>43</v>
      </c>
      <c r="AB128" s="31">
        <v>1.6405951926745519E-2</v>
      </c>
      <c r="AC128" s="30">
        <v>249</v>
      </c>
      <c r="AD128" s="31">
        <v>9.5001907668828697E-2</v>
      </c>
      <c r="AE128" s="30">
        <v>44</v>
      </c>
      <c r="AF128" s="31">
        <v>0.17670682730923701</v>
      </c>
      <c r="AG128" s="30">
        <v>236</v>
      </c>
      <c r="AH128" s="31">
        <v>0.94779116465863456</v>
      </c>
      <c r="AI128" s="34">
        <v>255</v>
      </c>
      <c r="AJ128" s="31">
        <v>9.7291110263258304E-2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8.4700495993895467E-2</v>
      </c>
      <c r="AP128" s="31">
        <v>0.89156626506024095</v>
      </c>
      <c r="AQ128" s="32">
        <v>0.98015873015873012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1.8695154521175119E-2</v>
      </c>
      <c r="AY128" s="31">
        <v>2.022128958412819E-2</v>
      </c>
      <c r="AZ128" s="31">
        <v>2.8233498664631821E-2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2256</v>
      </c>
      <c r="F129" s="30">
        <v>2067</v>
      </c>
      <c r="G129" s="31">
        <v>0.91622340425531912</v>
      </c>
      <c r="H129" s="30">
        <v>992</v>
      </c>
      <c r="I129" s="32">
        <v>0.43971631205673761</v>
      </c>
      <c r="J129" s="30">
        <v>1631</v>
      </c>
      <c r="K129" s="30">
        <v>1507</v>
      </c>
      <c r="L129" s="31">
        <v>0.92400000000000004</v>
      </c>
      <c r="M129" s="30">
        <v>8967</v>
      </c>
      <c r="N129" s="30">
        <v>8891</v>
      </c>
      <c r="O129" s="30">
        <v>8767</v>
      </c>
      <c r="P129" s="31">
        <v>0.9776959964313594</v>
      </c>
      <c r="Q129" s="30">
        <v>68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2938</v>
      </c>
      <c r="X129" s="31">
        <v>1.302304964539007</v>
      </c>
      <c r="Y129" s="30">
        <v>564</v>
      </c>
      <c r="Z129" s="33">
        <v>0.25</v>
      </c>
      <c r="AA129" s="30">
        <v>33</v>
      </c>
      <c r="AB129" s="31">
        <v>1.4627659574468091E-2</v>
      </c>
      <c r="AC129" s="30">
        <v>273</v>
      </c>
      <c r="AD129" s="31">
        <v>0.1210106382978723</v>
      </c>
      <c r="AE129" s="30">
        <v>29</v>
      </c>
      <c r="AF129" s="31">
        <v>0.1062271062271062</v>
      </c>
      <c r="AG129" s="30">
        <v>248</v>
      </c>
      <c r="AH129" s="31">
        <v>0.90842490842490842</v>
      </c>
      <c r="AI129" s="34">
        <v>257</v>
      </c>
      <c r="AJ129" s="31">
        <v>0.1139184397163121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0.10106382978723399</v>
      </c>
      <c r="AP129" s="31">
        <v>0.8351648351648352</v>
      </c>
      <c r="AQ129" s="32">
        <v>0.97499999999999998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1.50709219858156E-2</v>
      </c>
      <c r="AY129" s="31">
        <v>1.6400709219858159E-2</v>
      </c>
      <c r="AZ129" s="31">
        <v>2.3492907801418439E-2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2045</v>
      </c>
      <c r="F130" s="30">
        <v>1908</v>
      </c>
      <c r="G130" s="31">
        <v>0.93300733496332522</v>
      </c>
      <c r="H130" s="30">
        <v>420</v>
      </c>
      <c r="I130" s="32">
        <v>0.2053789731051345</v>
      </c>
      <c r="J130" s="30">
        <v>1181</v>
      </c>
      <c r="K130" s="30">
        <v>1134</v>
      </c>
      <c r="L130" s="31">
        <v>0.96</v>
      </c>
      <c r="M130" s="30">
        <v>4748</v>
      </c>
      <c r="N130" s="30">
        <v>4819</v>
      </c>
      <c r="O130" s="30">
        <v>4629</v>
      </c>
      <c r="P130" s="31">
        <v>0.97493681550126365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2.9828850855745721E-2</v>
      </c>
      <c r="Y130" s="30">
        <v>196</v>
      </c>
      <c r="Z130" s="33">
        <v>9.5843520782396094E-2</v>
      </c>
      <c r="AA130" s="30">
        <v>0</v>
      </c>
      <c r="AB130" s="31">
        <v>0</v>
      </c>
      <c r="AC130" s="30">
        <v>312</v>
      </c>
      <c r="AD130" s="31">
        <v>0.15256723716381421</v>
      </c>
      <c r="AE130" s="30">
        <v>172</v>
      </c>
      <c r="AF130" s="31">
        <v>0.55128205128205132</v>
      </c>
      <c r="AG130" s="30">
        <v>291</v>
      </c>
      <c r="AH130" s="31">
        <v>0.93269230769230771</v>
      </c>
      <c r="AI130" s="34">
        <v>332</v>
      </c>
      <c r="AJ130" s="31">
        <v>0.16234718826405869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0.112958435207824</v>
      </c>
      <c r="AP130" s="31">
        <v>0.74038461538461542</v>
      </c>
      <c r="AQ130" s="32">
        <v>0.9526627218934911</v>
      </c>
      <c r="AR130" s="34">
        <v>216</v>
      </c>
      <c r="AS130" s="34">
        <v>82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0.97368421052631582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2809</v>
      </c>
      <c r="F131" s="30">
        <v>2539</v>
      </c>
      <c r="G131" s="31">
        <v>0.90388038447846208</v>
      </c>
      <c r="H131" s="30">
        <v>1766</v>
      </c>
      <c r="I131" s="32">
        <v>0.62869348522605906</v>
      </c>
      <c r="J131" s="30">
        <v>3783</v>
      </c>
      <c r="K131" s="30">
        <v>3718</v>
      </c>
      <c r="L131" s="31">
        <v>0.98299999999999998</v>
      </c>
      <c r="M131" s="30">
        <v>19508</v>
      </c>
      <c r="N131" s="30">
        <v>18981</v>
      </c>
      <c r="O131" s="30">
        <v>19221</v>
      </c>
      <c r="P131" s="31">
        <v>0.98528808693869185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4725</v>
      </c>
      <c r="X131" s="31">
        <v>1.682093271626913</v>
      </c>
      <c r="Y131" s="30">
        <v>512</v>
      </c>
      <c r="Z131" s="33">
        <v>0.18227127091491641</v>
      </c>
      <c r="AA131" s="30">
        <v>117</v>
      </c>
      <c r="AB131" s="31">
        <v>4.1651833392666433E-2</v>
      </c>
      <c r="AC131" s="30">
        <v>408</v>
      </c>
      <c r="AD131" s="31">
        <v>0.14524741901032401</v>
      </c>
      <c r="AE131" s="30">
        <v>46</v>
      </c>
      <c r="AF131" s="31">
        <v>0.1127450980392157</v>
      </c>
      <c r="AG131" s="30">
        <v>387</v>
      </c>
      <c r="AH131" s="31">
        <v>0.94852941176470584</v>
      </c>
      <c r="AI131" s="34">
        <v>404</v>
      </c>
      <c r="AJ131" s="31">
        <v>0.14382342470630119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0.12958348166607331</v>
      </c>
      <c r="AP131" s="31">
        <v>0.89215686274509809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1.673193307226771E-2</v>
      </c>
      <c r="AY131" s="31">
        <v>1.7443930224279099E-2</v>
      </c>
      <c r="AZ131" s="31">
        <v>2.9191883232467072E-2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2384</v>
      </c>
      <c r="F132" s="30">
        <v>2014</v>
      </c>
      <c r="G132" s="31">
        <v>0.84479865771812079</v>
      </c>
      <c r="H132" s="30">
        <v>941</v>
      </c>
      <c r="I132" s="32">
        <v>0.39471476510067122</v>
      </c>
      <c r="J132" s="30">
        <v>2008</v>
      </c>
      <c r="K132" s="30">
        <v>1952</v>
      </c>
      <c r="L132" s="31">
        <v>0.97199999999999998</v>
      </c>
      <c r="M132" s="30">
        <v>10943</v>
      </c>
      <c r="N132" s="30">
        <v>10964</v>
      </c>
      <c r="O132" s="30">
        <v>10769</v>
      </c>
      <c r="P132" s="31">
        <v>0.98409942428950015</v>
      </c>
      <c r="Q132" s="30">
        <v>20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2052</v>
      </c>
      <c r="X132" s="31">
        <v>0.86073825503355705</v>
      </c>
      <c r="Y132" s="30">
        <v>684</v>
      </c>
      <c r="Z132" s="33">
        <v>0.28691275167785241</v>
      </c>
      <c r="AA132" s="30">
        <v>35</v>
      </c>
      <c r="AB132" s="31">
        <v>1.468120805369127E-2</v>
      </c>
      <c r="AC132" s="30">
        <v>236</v>
      </c>
      <c r="AD132" s="31">
        <v>9.8993288590604023E-2</v>
      </c>
      <c r="AE132" s="30">
        <v>56</v>
      </c>
      <c r="AF132" s="31">
        <v>0.23728813559322029</v>
      </c>
      <c r="AG132" s="30">
        <v>215</v>
      </c>
      <c r="AH132" s="31">
        <v>0.91101694915254239</v>
      </c>
      <c r="AI132" s="34">
        <v>229</v>
      </c>
      <c r="AJ132" s="31">
        <v>9.6057046979865765E-2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7.9697986577181204E-2</v>
      </c>
      <c r="AP132" s="31">
        <v>0.80508474576271183</v>
      </c>
      <c r="AQ132" s="32">
        <v>0.9695652173913043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1.971476510067114E-2</v>
      </c>
      <c r="AY132" s="31">
        <v>1.8875838926174501E-2</v>
      </c>
      <c r="AZ132" s="31">
        <v>2.5167785234899331E-2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2330</v>
      </c>
      <c r="F133" s="30">
        <v>2071</v>
      </c>
      <c r="G133" s="31">
        <v>0.88884120171673819</v>
      </c>
      <c r="H133" s="30">
        <v>1342</v>
      </c>
      <c r="I133" s="32">
        <v>0.57596566523605153</v>
      </c>
      <c r="J133" s="30">
        <v>2278</v>
      </c>
      <c r="K133" s="30">
        <v>2188</v>
      </c>
      <c r="L133" s="31">
        <v>0.96</v>
      </c>
      <c r="M133" s="30">
        <v>9816</v>
      </c>
      <c r="N133" s="30">
        <v>9820</v>
      </c>
      <c r="O133" s="30">
        <v>9621</v>
      </c>
      <c r="P133" s="31">
        <v>0.98013447432762835</v>
      </c>
      <c r="Q133" s="30">
        <v>57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2018</v>
      </c>
      <c r="X133" s="31">
        <v>0.86609442060085839</v>
      </c>
      <c r="Y133" s="30">
        <v>944</v>
      </c>
      <c r="Z133" s="33">
        <v>0.40515021459227468</v>
      </c>
      <c r="AA133" s="30">
        <v>27</v>
      </c>
      <c r="AB133" s="31">
        <v>1.158798283261803E-2</v>
      </c>
      <c r="AC133" s="30">
        <v>252</v>
      </c>
      <c r="AD133" s="31">
        <v>0.10815450643776819</v>
      </c>
      <c r="AE133" s="30">
        <v>54</v>
      </c>
      <c r="AF133" s="31">
        <v>0.2142857142857143</v>
      </c>
      <c r="AG133" s="30">
        <v>234</v>
      </c>
      <c r="AH133" s="31">
        <v>0.9285714285714286</v>
      </c>
      <c r="AI133" s="34">
        <v>235</v>
      </c>
      <c r="AJ133" s="31">
        <v>0.1008583690987124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8.6266094420600861E-2</v>
      </c>
      <c r="AP133" s="31">
        <v>0.79761904761904767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1.759656652360515E-2</v>
      </c>
      <c r="AY133" s="31">
        <v>1.8025751072961369E-2</v>
      </c>
      <c r="AZ133" s="31">
        <v>1.545064377682403E-2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3325</v>
      </c>
      <c r="F134" s="30">
        <v>2931</v>
      </c>
      <c r="G134" s="31">
        <v>0.88150375939849623</v>
      </c>
      <c r="H134" s="30">
        <v>1423</v>
      </c>
      <c r="I134" s="32">
        <v>0.42796992481203011</v>
      </c>
      <c r="J134" s="30">
        <v>1071</v>
      </c>
      <c r="K134" s="30">
        <v>1038</v>
      </c>
      <c r="L134" s="31">
        <v>0.96899999999999997</v>
      </c>
      <c r="M134" s="30">
        <v>5090</v>
      </c>
      <c r="N134" s="30">
        <v>5710</v>
      </c>
      <c r="O134" s="30">
        <v>4978</v>
      </c>
      <c r="P134" s="31">
        <v>0.97799607072691552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2.3458646616541349E-2</v>
      </c>
      <c r="Y134" s="30">
        <v>196</v>
      </c>
      <c r="Z134" s="33">
        <v>5.894736842105263E-2</v>
      </c>
      <c r="AA134" s="30">
        <v>0</v>
      </c>
      <c r="AB134" s="31">
        <v>0</v>
      </c>
      <c r="AC134" s="30">
        <v>559</v>
      </c>
      <c r="AD134" s="31">
        <v>0.1681203007518797</v>
      </c>
      <c r="AE134" s="30">
        <v>285</v>
      </c>
      <c r="AF134" s="31">
        <v>0.50983899821109124</v>
      </c>
      <c r="AG134" s="30">
        <v>504</v>
      </c>
      <c r="AH134" s="31">
        <v>0.90161001788908768</v>
      </c>
      <c r="AI134" s="34">
        <v>656</v>
      </c>
      <c r="AJ134" s="31">
        <v>0.1972932330827068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0.15187969924812031</v>
      </c>
      <c r="AP134" s="31">
        <v>0.90339892665474064</v>
      </c>
      <c r="AQ134" s="32">
        <v>0.9634831460674157</v>
      </c>
      <c r="AR134" s="34">
        <v>223</v>
      </c>
      <c r="AS134" s="34">
        <v>96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2539</v>
      </c>
      <c r="F135" s="30">
        <v>2309</v>
      </c>
      <c r="G135" s="31">
        <v>0.90941315478534857</v>
      </c>
      <c r="H135" s="30">
        <v>1698</v>
      </c>
      <c r="I135" s="32">
        <v>0.66876723119338322</v>
      </c>
      <c r="J135" s="30">
        <v>2884</v>
      </c>
      <c r="K135" s="30">
        <v>2844</v>
      </c>
      <c r="L135" s="31">
        <v>0.98599999999999999</v>
      </c>
      <c r="M135" s="30">
        <v>18264</v>
      </c>
      <c r="N135" s="30">
        <v>18021</v>
      </c>
      <c r="O135" s="30">
        <v>18022</v>
      </c>
      <c r="P135" s="31">
        <v>0.98674989049496276</v>
      </c>
      <c r="Q135" s="30">
        <v>36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3009</v>
      </c>
      <c r="X135" s="31">
        <v>1.1851122489168959</v>
      </c>
      <c r="Y135" s="30">
        <v>911</v>
      </c>
      <c r="Z135" s="33">
        <v>0.35880267821977158</v>
      </c>
      <c r="AA135" s="30">
        <v>102</v>
      </c>
      <c r="AB135" s="31">
        <v>4.0173296573454108E-2</v>
      </c>
      <c r="AC135" s="30">
        <v>396</v>
      </c>
      <c r="AD135" s="31">
        <v>0.1559669161087042</v>
      </c>
      <c r="AE135" s="30">
        <v>88</v>
      </c>
      <c r="AF135" s="31">
        <v>0.22222222222222221</v>
      </c>
      <c r="AG135" s="30">
        <v>364</v>
      </c>
      <c r="AH135" s="31">
        <v>0.91919191919191923</v>
      </c>
      <c r="AI135" s="34">
        <v>387</v>
      </c>
      <c r="AJ135" s="31">
        <v>0.15242221346987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0.1433635289484049</v>
      </c>
      <c r="AP135" s="31">
        <v>0.91919191919191923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1.654194564789287E-2</v>
      </c>
      <c r="AY135" s="31">
        <v>1.693580149665223E-2</v>
      </c>
      <c r="AZ135" s="31">
        <v>3.0720756203229619E-2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2343</v>
      </c>
      <c r="F136" s="30">
        <v>2097</v>
      </c>
      <c r="G136" s="31">
        <v>0.89500640204865556</v>
      </c>
      <c r="H136" s="30">
        <v>1123</v>
      </c>
      <c r="I136" s="32">
        <v>0.47930004268032439</v>
      </c>
      <c r="J136" s="30">
        <v>1928</v>
      </c>
      <c r="K136" s="30">
        <v>1877</v>
      </c>
      <c r="L136" s="31">
        <v>0.97399999999999998</v>
      </c>
      <c r="M136" s="30">
        <v>11039</v>
      </c>
      <c r="N136" s="30">
        <v>10921</v>
      </c>
      <c r="O136" s="30">
        <v>10861</v>
      </c>
      <c r="P136" s="31">
        <v>0.98387535102817281</v>
      </c>
      <c r="Q136" s="30">
        <v>30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0.75074690567648317</v>
      </c>
      <c r="Y136" s="30">
        <v>330</v>
      </c>
      <c r="Z136" s="33">
        <v>0.14084507042253519</v>
      </c>
      <c r="AA136" s="30">
        <v>27</v>
      </c>
      <c r="AB136" s="31">
        <v>1.152368758002561E-2</v>
      </c>
      <c r="AC136" s="30">
        <v>182</v>
      </c>
      <c r="AD136" s="31">
        <v>7.7678190354246696E-2</v>
      </c>
      <c r="AE136" s="30">
        <v>31</v>
      </c>
      <c r="AF136" s="31">
        <v>0.17032967032967031</v>
      </c>
      <c r="AG136" s="30">
        <v>169</v>
      </c>
      <c r="AH136" s="31">
        <v>0.9285714285714286</v>
      </c>
      <c r="AI136" s="34">
        <v>187</v>
      </c>
      <c r="AJ136" s="31">
        <v>7.9812206572769953E-2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6.9995731967562952E-2</v>
      </c>
      <c r="AP136" s="31">
        <v>0.90109890109890112</v>
      </c>
      <c r="AQ136" s="32">
        <v>0.96698113207547165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1.7925736235595392E-2</v>
      </c>
      <c r="AY136" s="31">
        <v>1.6218523260776781E-2</v>
      </c>
      <c r="AZ136" s="31">
        <v>2.987622705932565E-2</v>
      </c>
      <c r="BA136" s="31">
        <v>0.23170731707317069</v>
      </c>
      <c r="BB136" s="34">
        <v>0</v>
      </c>
      <c r="BC136" s="34">
        <v>0</v>
      </c>
      <c r="BD136" s="32">
        <v>0.967741935483871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2131</v>
      </c>
      <c r="F137" s="30">
        <v>1955</v>
      </c>
      <c r="G137" s="31">
        <v>0.91740966682308778</v>
      </c>
      <c r="H137" s="30">
        <v>1147</v>
      </c>
      <c r="I137" s="32">
        <v>0.53824495541999062</v>
      </c>
      <c r="J137" s="30">
        <v>1922</v>
      </c>
      <c r="K137" s="30">
        <v>1839</v>
      </c>
      <c r="L137" s="31">
        <v>0.95699999999999996</v>
      </c>
      <c r="M137" s="30">
        <v>9613</v>
      </c>
      <c r="N137" s="30">
        <v>9640</v>
      </c>
      <c r="O137" s="30">
        <v>9429</v>
      </c>
      <c r="P137" s="31">
        <v>0.98085925309476751</v>
      </c>
      <c r="Q137" s="30">
        <v>65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1702</v>
      </c>
      <c r="X137" s="31">
        <v>0.79868606288127642</v>
      </c>
      <c r="Y137" s="30">
        <v>508</v>
      </c>
      <c r="Z137" s="33">
        <v>0.2383857343969967</v>
      </c>
      <c r="AA137" s="30">
        <v>23</v>
      </c>
      <c r="AB137" s="31">
        <v>1.079305490380103E-2</v>
      </c>
      <c r="AC137" s="30">
        <v>249</v>
      </c>
      <c r="AD137" s="31">
        <v>0.11684655091506339</v>
      </c>
      <c r="AE137" s="30">
        <v>31</v>
      </c>
      <c r="AF137" s="31">
        <v>0.12449799196787149</v>
      </c>
      <c r="AG137" s="30">
        <v>230</v>
      </c>
      <c r="AH137" s="31">
        <v>0.92369477911646591</v>
      </c>
      <c r="AI137" s="34">
        <v>241</v>
      </c>
      <c r="AJ137" s="31">
        <v>0.1130924448615673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0.10089160018770529</v>
      </c>
      <c r="AP137" s="31">
        <v>0.86345381526104414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1.548568747067105E-2</v>
      </c>
      <c r="AY137" s="31">
        <v>1.7362740497419048E-2</v>
      </c>
      <c r="AZ137" s="31">
        <v>2.768653214453308E-2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2582</v>
      </c>
      <c r="F138" s="30">
        <v>2444</v>
      </c>
      <c r="G138" s="31">
        <v>0.94655305964368708</v>
      </c>
      <c r="H138" s="30">
        <v>755</v>
      </c>
      <c r="I138" s="32">
        <v>0.29240898528272657</v>
      </c>
      <c r="J138" s="30">
        <v>2021</v>
      </c>
      <c r="K138" s="30">
        <v>1967</v>
      </c>
      <c r="L138" s="31">
        <v>0.97299999999999998</v>
      </c>
      <c r="M138" s="30">
        <v>6841</v>
      </c>
      <c r="N138" s="30">
        <v>7012</v>
      </c>
      <c r="O138" s="30">
        <v>6693</v>
      </c>
      <c r="P138" s="31">
        <v>0.97836573600350829</v>
      </c>
      <c r="Q138" s="30">
        <v>26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82</v>
      </c>
      <c r="X138" s="31">
        <v>3.1758326878388837E-2</v>
      </c>
      <c r="Y138" s="30">
        <v>249</v>
      </c>
      <c r="Z138" s="33">
        <v>9.6436870642912467E-2</v>
      </c>
      <c r="AA138" s="30">
        <v>0</v>
      </c>
      <c r="AB138" s="31">
        <v>0</v>
      </c>
      <c r="AC138" s="30">
        <v>725</v>
      </c>
      <c r="AD138" s="31">
        <v>0.28079008520526721</v>
      </c>
      <c r="AE138" s="30">
        <v>340</v>
      </c>
      <c r="AF138" s="31">
        <v>0.4689655172413793</v>
      </c>
      <c r="AG138" s="30">
        <v>653</v>
      </c>
      <c r="AH138" s="31">
        <v>0.90068965517241384</v>
      </c>
      <c r="AI138" s="34">
        <v>865</v>
      </c>
      <c r="AJ138" s="31">
        <v>0.33501161890007752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0.2831138652207591</v>
      </c>
      <c r="AP138" s="31">
        <v>1.008275862068966</v>
      </c>
      <c r="AQ138" s="32">
        <v>0.94224924012158051</v>
      </c>
      <c r="AR138" s="34">
        <v>249</v>
      </c>
      <c r="AS138" s="34">
        <v>109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2514</v>
      </c>
      <c r="F139" s="30">
        <v>2278</v>
      </c>
      <c r="G139" s="31">
        <v>0.9061256961018298</v>
      </c>
      <c r="H139" s="30">
        <v>1673</v>
      </c>
      <c r="I139" s="32">
        <v>0.66547334924423229</v>
      </c>
      <c r="J139" s="30">
        <v>3760</v>
      </c>
      <c r="K139" s="30">
        <v>3687</v>
      </c>
      <c r="L139" s="31">
        <v>0.98099999999999998</v>
      </c>
      <c r="M139" s="30">
        <v>19692</v>
      </c>
      <c r="N139" s="30">
        <v>19644</v>
      </c>
      <c r="O139" s="30">
        <v>19234</v>
      </c>
      <c r="P139" s="31">
        <v>0.97674182409100141</v>
      </c>
      <c r="Q139" s="30">
        <v>43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2562</v>
      </c>
      <c r="X139" s="31">
        <v>1.0190930787589501</v>
      </c>
      <c r="Y139" s="30">
        <v>523</v>
      </c>
      <c r="Z139" s="33">
        <v>0.2080350039777247</v>
      </c>
      <c r="AA139" s="30">
        <v>122</v>
      </c>
      <c r="AB139" s="31">
        <v>4.8528241845664281E-2</v>
      </c>
      <c r="AC139" s="30">
        <v>416</v>
      </c>
      <c r="AD139" s="31">
        <v>0.16547334924423229</v>
      </c>
      <c r="AE139" s="30">
        <v>53</v>
      </c>
      <c r="AF139" s="31">
        <v>0.12740384615384609</v>
      </c>
      <c r="AG139" s="30">
        <v>390</v>
      </c>
      <c r="AH139" s="31">
        <v>0.9375</v>
      </c>
      <c r="AI139" s="34">
        <v>425</v>
      </c>
      <c r="AJ139" s="31">
        <v>0.16905330151153539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0.15712012728719171</v>
      </c>
      <c r="AP139" s="31">
        <v>0.94951923076923073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2.1081941129673831E-2</v>
      </c>
      <c r="AY139" s="31">
        <v>1.9888623707239459E-2</v>
      </c>
      <c r="AZ139" s="31">
        <v>4.41527446300716E-2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3078</v>
      </c>
      <c r="F140" s="30">
        <v>2713</v>
      </c>
      <c r="G140" s="31">
        <v>0.8814165042235218</v>
      </c>
      <c r="H140" s="30">
        <v>2173</v>
      </c>
      <c r="I140" s="32">
        <v>0.70597790773229374</v>
      </c>
      <c r="J140" s="30">
        <v>3433</v>
      </c>
      <c r="K140" s="30">
        <v>3354</v>
      </c>
      <c r="L140" s="31">
        <v>0.97699999999999998</v>
      </c>
      <c r="M140" s="30">
        <v>12099</v>
      </c>
      <c r="N140" s="30">
        <v>12794</v>
      </c>
      <c r="O140" s="30">
        <v>11912</v>
      </c>
      <c r="P140" s="31">
        <v>0.98454417720472764</v>
      </c>
      <c r="Q140" s="30">
        <v>36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1770</v>
      </c>
      <c r="X140" s="31">
        <v>0.57504873294346981</v>
      </c>
      <c r="Y140" s="30">
        <v>972</v>
      </c>
      <c r="Z140" s="33">
        <v>0.31578947368421051</v>
      </c>
      <c r="AA140" s="30">
        <v>41</v>
      </c>
      <c r="AB140" s="31">
        <v>1.332033788174139E-2</v>
      </c>
      <c r="AC140" s="30">
        <v>402</v>
      </c>
      <c r="AD140" s="31">
        <v>0.13060428849902531</v>
      </c>
      <c r="AE140" s="30">
        <v>44</v>
      </c>
      <c r="AF140" s="31">
        <v>0.109452736318408</v>
      </c>
      <c r="AG140" s="30">
        <v>371</v>
      </c>
      <c r="AH140" s="31">
        <v>0.92288557213930345</v>
      </c>
      <c r="AI140" s="34">
        <v>398</v>
      </c>
      <c r="AJ140" s="31">
        <v>0.12930474333983111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0.1098115659519168</v>
      </c>
      <c r="AP140" s="31">
        <v>0.84079601990049746</v>
      </c>
      <c r="AQ140" s="32">
        <v>0.95263157894736838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2.1117608836907081E-2</v>
      </c>
      <c r="AY140" s="31">
        <v>2.1117608836907081E-2</v>
      </c>
      <c r="AZ140" s="31">
        <v>1.494476933073424E-2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1806</v>
      </c>
      <c r="F141" s="30">
        <v>1689</v>
      </c>
      <c r="G141" s="31">
        <v>0.93521594684385378</v>
      </c>
      <c r="H141" s="30">
        <v>866</v>
      </c>
      <c r="I141" s="32">
        <v>0.47951273532668881</v>
      </c>
      <c r="J141" s="30">
        <v>1479</v>
      </c>
      <c r="K141" s="30">
        <v>1408</v>
      </c>
      <c r="L141" s="31">
        <v>0.95199999999999996</v>
      </c>
      <c r="M141" s="30">
        <v>8614</v>
      </c>
      <c r="N141" s="30">
        <v>8938</v>
      </c>
      <c r="O141" s="30">
        <v>8463</v>
      </c>
      <c r="P141" s="31">
        <v>0.9824703970280938</v>
      </c>
      <c r="Q141" s="30">
        <v>50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2149</v>
      </c>
      <c r="X141" s="31">
        <v>1.1899224806201549</v>
      </c>
      <c r="Y141" s="30">
        <v>2351</v>
      </c>
      <c r="Z141" s="33">
        <v>1.301771871539313</v>
      </c>
      <c r="AA141" s="30">
        <v>22</v>
      </c>
      <c r="AB141" s="31">
        <v>1.2181616832779621E-2</v>
      </c>
      <c r="AC141" s="30">
        <v>477</v>
      </c>
      <c r="AD141" s="31">
        <v>0.26411960132890372</v>
      </c>
      <c r="AE141" s="30">
        <v>57</v>
      </c>
      <c r="AF141" s="31">
        <v>0.11949685534591201</v>
      </c>
      <c r="AG141" s="30">
        <v>438</v>
      </c>
      <c r="AH141" s="31">
        <v>0.91823899371069184</v>
      </c>
      <c r="AI141" s="34">
        <v>457</v>
      </c>
      <c r="AJ141" s="31">
        <v>0.25304540420819488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0.21650055370985599</v>
      </c>
      <c r="AP141" s="31">
        <v>0.81970649895178194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2.6024363233665561E-2</v>
      </c>
      <c r="AY141" s="31">
        <v>2.3809523809523812E-2</v>
      </c>
      <c r="AZ141" s="31">
        <v>1.052048726467331E-2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3039</v>
      </c>
      <c r="F142" s="30">
        <v>2848</v>
      </c>
      <c r="G142" s="31">
        <v>0.93715037841395199</v>
      </c>
      <c r="H142" s="30">
        <v>1123</v>
      </c>
      <c r="I142" s="32">
        <v>0.36952945047713059</v>
      </c>
      <c r="J142" s="30">
        <v>1501</v>
      </c>
      <c r="K142" s="30">
        <v>1440</v>
      </c>
      <c r="L142" s="31">
        <v>0.95899999999999996</v>
      </c>
      <c r="M142" s="30">
        <v>7027</v>
      </c>
      <c r="N142" s="30">
        <v>7719</v>
      </c>
      <c r="O142" s="30">
        <v>6858</v>
      </c>
      <c r="P142" s="31">
        <v>0.97594990749964428</v>
      </c>
      <c r="Q142" s="30">
        <v>21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2.9944060546232311E-2</v>
      </c>
      <c r="Y142" s="30">
        <v>322</v>
      </c>
      <c r="Z142" s="33">
        <v>0.10595590654820659</v>
      </c>
      <c r="AA142" s="30">
        <v>0</v>
      </c>
      <c r="AB142" s="31">
        <v>0</v>
      </c>
      <c r="AC142" s="30">
        <v>1248</v>
      </c>
      <c r="AD142" s="31">
        <v>0.4106614017769003</v>
      </c>
      <c r="AE142" s="30">
        <v>401</v>
      </c>
      <c r="AF142" s="31">
        <v>0.32131410256410259</v>
      </c>
      <c r="AG142" s="30">
        <v>1152</v>
      </c>
      <c r="AH142" s="31">
        <v>0.92307692307692313</v>
      </c>
      <c r="AI142" s="34">
        <v>1386</v>
      </c>
      <c r="AJ142" s="31">
        <v>0.45607107601184599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0.38334978611385317</v>
      </c>
      <c r="AP142" s="31">
        <v>0.93349358974358976</v>
      </c>
      <c r="AQ142" s="32">
        <v>0.95991091314031185</v>
      </c>
      <c r="AR142" s="34">
        <v>475</v>
      </c>
      <c r="AS142" s="34">
        <v>195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0.98015873015873012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2242</v>
      </c>
      <c r="F143" s="30">
        <v>2072</v>
      </c>
      <c r="G143" s="31">
        <v>0.92417484388938442</v>
      </c>
      <c r="H143" s="30">
        <v>1475</v>
      </c>
      <c r="I143" s="32">
        <v>0.65789473684210531</v>
      </c>
      <c r="J143" s="30">
        <v>2826</v>
      </c>
      <c r="K143" s="30">
        <v>2744</v>
      </c>
      <c r="L143" s="31">
        <v>0.97099999999999997</v>
      </c>
      <c r="M143" s="30">
        <v>18277</v>
      </c>
      <c r="N143" s="30">
        <v>19116</v>
      </c>
      <c r="O143" s="30">
        <v>18005</v>
      </c>
      <c r="P143" s="31">
        <v>0.98511790775291352</v>
      </c>
      <c r="Q143" s="30">
        <v>65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2318</v>
      </c>
      <c r="X143" s="31">
        <v>1.0338983050847459</v>
      </c>
      <c r="Y143" s="30">
        <v>1442</v>
      </c>
      <c r="Z143" s="33">
        <v>0.64317573595004462</v>
      </c>
      <c r="AA143" s="30">
        <v>110</v>
      </c>
      <c r="AB143" s="31">
        <v>4.906333630686887E-2</v>
      </c>
      <c r="AC143" s="30">
        <v>750</v>
      </c>
      <c r="AD143" s="31">
        <v>0.3345227475468332</v>
      </c>
      <c r="AE143" s="30">
        <v>97</v>
      </c>
      <c r="AF143" s="31">
        <v>0.1293333333333333</v>
      </c>
      <c r="AG143" s="30">
        <v>676</v>
      </c>
      <c r="AH143" s="31">
        <v>0.90133333333333332</v>
      </c>
      <c r="AI143" s="34">
        <v>736</v>
      </c>
      <c r="AJ143" s="31">
        <v>0.32827832292595899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0.30642283675289922</v>
      </c>
      <c r="AP143" s="31">
        <v>0.91600000000000004</v>
      </c>
      <c r="AQ143" s="32">
        <v>0.96402877697841727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3.8804638715432653E-2</v>
      </c>
      <c r="AY143" s="31">
        <v>3.6574487065120433E-2</v>
      </c>
      <c r="AZ143" s="31">
        <v>2.809991079393399E-2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2809</v>
      </c>
      <c r="F144" s="30">
        <v>2513</v>
      </c>
      <c r="G144" s="31">
        <v>0.89462442150231403</v>
      </c>
      <c r="H144" s="30">
        <v>2038</v>
      </c>
      <c r="I144" s="32">
        <v>0.7255250978996084</v>
      </c>
      <c r="J144" s="30">
        <v>3196</v>
      </c>
      <c r="K144" s="30">
        <v>3117</v>
      </c>
      <c r="L144" s="31">
        <v>0.97499999999999998</v>
      </c>
      <c r="M144" s="30">
        <v>12027</v>
      </c>
      <c r="N144" s="30">
        <v>12350</v>
      </c>
      <c r="O144" s="30">
        <v>11821</v>
      </c>
      <c r="P144" s="31">
        <v>0.98287187162218337</v>
      </c>
      <c r="Q144" s="30">
        <v>51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495</v>
      </c>
      <c r="X144" s="31">
        <v>0.1762192951228195</v>
      </c>
      <c r="Y144" s="30">
        <v>551</v>
      </c>
      <c r="Z144" s="33">
        <v>0.19615521537913849</v>
      </c>
      <c r="AA144" s="30">
        <v>47</v>
      </c>
      <c r="AB144" s="31">
        <v>1.673193307226771E-2</v>
      </c>
      <c r="AC144" s="30">
        <v>402</v>
      </c>
      <c r="AD144" s="31">
        <v>0.14311142755428979</v>
      </c>
      <c r="AE144" s="30">
        <v>53</v>
      </c>
      <c r="AF144" s="31">
        <v>0.13184079601990051</v>
      </c>
      <c r="AG144" s="30">
        <v>363</v>
      </c>
      <c r="AH144" s="31">
        <v>0.90298507462686572</v>
      </c>
      <c r="AI144" s="34">
        <v>395</v>
      </c>
      <c r="AJ144" s="31">
        <v>0.1406194375222499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0.1242435030259879</v>
      </c>
      <c r="AP144" s="31">
        <v>0.86815920398009949</v>
      </c>
      <c r="AQ144" s="32">
        <v>0.97361477572559363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2.385190459238163E-2</v>
      </c>
      <c r="AY144" s="31">
        <v>2.6699893200427201E-2</v>
      </c>
      <c r="AZ144" s="31">
        <v>1.1035955856176579E-2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1905</v>
      </c>
      <c r="F145" s="30">
        <v>1771</v>
      </c>
      <c r="G145" s="31">
        <v>0.92965879265091866</v>
      </c>
      <c r="H145" s="30">
        <v>898</v>
      </c>
      <c r="I145" s="32">
        <v>0.47139107611548559</v>
      </c>
      <c r="J145" s="30">
        <v>1308</v>
      </c>
      <c r="K145" s="30">
        <v>1225</v>
      </c>
      <c r="L145" s="31">
        <v>0.93700000000000006</v>
      </c>
      <c r="M145" s="30">
        <v>9002</v>
      </c>
      <c r="N145" s="30">
        <v>8699</v>
      </c>
      <c r="O145" s="30">
        <v>8810</v>
      </c>
      <c r="P145" s="31">
        <v>0.97867140635414351</v>
      </c>
      <c r="Q145" s="30">
        <v>61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0.25039370078740159</v>
      </c>
      <c r="Y145" s="30">
        <v>566</v>
      </c>
      <c r="Z145" s="33">
        <v>0.29711286089238848</v>
      </c>
      <c r="AA145" s="30">
        <v>27</v>
      </c>
      <c r="AB145" s="31">
        <v>1.4173228346456689E-2</v>
      </c>
      <c r="AC145" s="30">
        <v>386</v>
      </c>
      <c r="AD145" s="31">
        <v>0.2026246719160105</v>
      </c>
      <c r="AE145" s="30">
        <v>60</v>
      </c>
      <c r="AF145" s="31">
        <v>0.15544041450777199</v>
      </c>
      <c r="AG145" s="30">
        <v>353</v>
      </c>
      <c r="AH145" s="31">
        <v>0.91450777202072542</v>
      </c>
      <c r="AI145" s="34">
        <v>389</v>
      </c>
      <c r="AJ145" s="31">
        <v>0.20419947506561681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0.1769028871391076</v>
      </c>
      <c r="AP145" s="31">
        <v>0.87305699481865284</v>
      </c>
      <c r="AQ145" s="32">
        <v>0.9634703196347032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2.0472440944881889E-2</v>
      </c>
      <c r="AY145" s="31">
        <v>2.0472440944881889E-2</v>
      </c>
      <c r="AZ145" s="31">
        <v>3.6745406824146981E-3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3127</v>
      </c>
      <c r="F146" s="30">
        <v>2958</v>
      </c>
      <c r="G146" s="31">
        <v>0.94595458906299967</v>
      </c>
      <c r="H146" s="30">
        <v>1146</v>
      </c>
      <c r="I146" s="32">
        <v>0.36648544931243998</v>
      </c>
      <c r="J146" s="30">
        <v>1559</v>
      </c>
      <c r="K146" s="30">
        <v>1491</v>
      </c>
      <c r="L146" s="31">
        <v>0.95599999999999996</v>
      </c>
      <c r="M146" s="30">
        <v>8091</v>
      </c>
      <c r="N146" s="30">
        <v>7954</v>
      </c>
      <c r="O146" s="30">
        <v>7897</v>
      </c>
      <c r="P146" s="31">
        <v>0.97602274131751332</v>
      </c>
      <c r="Q146" s="30">
        <v>26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125</v>
      </c>
      <c r="X146" s="31">
        <v>3.9974416373520949E-2</v>
      </c>
      <c r="Y146" s="30">
        <v>302</v>
      </c>
      <c r="Z146" s="33">
        <v>9.6578189958426611E-2</v>
      </c>
      <c r="AA146" s="30">
        <v>0</v>
      </c>
      <c r="AB146" s="31">
        <v>0</v>
      </c>
      <c r="AC146" s="30">
        <v>1167</v>
      </c>
      <c r="AD146" s="31">
        <v>0.37320115126319148</v>
      </c>
      <c r="AE146" s="30">
        <v>366</v>
      </c>
      <c r="AF146" s="31">
        <v>0.31362467866323912</v>
      </c>
      <c r="AG146" s="30">
        <v>1060</v>
      </c>
      <c r="AH146" s="31">
        <v>0.90831191088260499</v>
      </c>
      <c r="AI146" s="34">
        <v>1315</v>
      </c>
      <c r="AJ146" s="31">
        <v>0.42053086024944042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0.35721138471378322</v>
      </c>
      <c r="AP146" s="31">
        <v>0.9571550985432733</v>
      </c>
      <c r="AQ146" s="32">
        <v>0.96483516483516485</v>
      </c>
      <c r="AR146" s="34">
        <v>519</v>
      </c>
      <c r="AS146" s="34">
        <v>226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2287</v>
      </c>
      <c r="G147" s="31">
        <v>0.94037828947368418</v>
      </c>
      <c r="H147" s="30">
        <v>1585</v>
      </c>
      <c r="I147" s="32">
        <v>0.65172697368421051</v>
      </c>
      <c r="J147" s="30">
        <v>2961</v>
      </c>
      <c r="K147" s="30">
        <v>2901</v>
      </c>
      <c r="L147" s="31">
        <v>0.98</v>
      </c>
      <c r="M147" s="30">
        <v>18127</v>
      </c>
      <c r="N147" s="30">
        <v>18058</v>
      </c>
      <c r="O147" s="30">
        <v>17896</v>
      </c>
      <c r="P147" s="31">
        <v>0.98725657858443205</v>
      </c>
      <c r="Q147" s="30">
        <v>51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547</v>
      </c>
      <c r="X147" s="31">
        <v>0.22491776315789469</v>
      </c>
      <c r="Y147" s="30">
        <v>622</v>
      </c>
      <c r="Z147" s="33">
        <v>0.25575657894736842</v>
      </c>
      <c r="AA147" s="30">
        <v>114</v>
      </c>
      <c r="AB147" s="31">
        <v>4.6875E-2</v>
      </c>
      <c r="AC147" s="30">
        <v>748</v>
      </c>
      <c r="AD147" s="31">
        <v>0.30756578947368418</v>
      </c>
      <c r="AE147" s="30">
        <v>79</v>
      </c>
      <c r="AF147" s="31">
        <v>0.10561497326203211</v>
      </c>
      <c r="AG147" s="30">
        <v>691</v>
      </c>
      <c r="AH147" s="31">
        <v>0.9237967914438503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0.91310160427807485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1918</v>
      </c>
      <c r="F148" s="30">
        <v>1751</v>
      </c>
      <c r="G148" s="31">
        <v>0.91293013555787283</v>
      </c>
      <c r="H148" s="30">
        <v>871</v>
      </c>
      <c r="I148" s="32">
        <v>0.45411887382690302</v>
      </c>
      <c r="J148" s="30">
        <v>2237</v>
      </c>
      <c r="K148" s="30">
        <v>2183</v>
      </c>
      <c r="L148" s="31">
        <v>0.97599999999999998</v>
      </c>
      <c r="M148" s="30">
        <v>11295</v>
      </c>
      <c r="N148" s="30">
        <v>11015</v>
      </c>
      <c r="O148" s="30">
        <v>11144</v>
      </c>
      <c r="P148" s="31">
        <v>0.98663125276671093</v>
      </c>
      <c r="Q148" s="30">
        <v>37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2082</v>
      </c>
      <c r="X148" s="31">
        <v>1.085505735140772</v>
      </c>
      <c r="Y148" s="30">
        <v>519</v>
      </c>
      <c r="Z148" s="33">
        <v>0.27059436913451512</v>
      </c>
      <c r="AA148" s="30">
        <v>42</v>
      </c>
      <c r="AB148" s="31">
        <v>2.18978102189781E-2</v>
      </c>
      <c r="AC148" s="30">
        <v>347</v>
      </c>
      <c r="AD148" s="31">
        <v>0.18091762252346191</v>
      </c>
      <c r="AE148" s="30">
        <v>46</v>
      </c>
      <c r="AF148" s="31">
        <v>0.1325648414985591</v>
      </c>
      <c r="AG148" s="30">
        <v>318</v>
      </c>
      <c r="AH148" s="31">
        <v>0.91642651296829969</v>
      </c>
      <c r="AI148" s="34">
        <v>336</v>
      </c>
      <c r="AJ148" s="31">
        <v>0.1751824817518248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0.1564129301355579</v>
      </c>
      <c r="AP148" s="31">
        <v>0.86455331412103742</v>
      </c>
      <c r="AQ148" s="32">
        <v>0.97368421052631582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4.5359749739311783E-2</v>
      </c>
      <c r="AY148" s="31">
        <v>4.3795620437956213E-2</v>
      </c>
      <c r="AZ148" s="31">
        <v>1.9290928050052138E-2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2845</v>
      </c>
      <c r="F149" s="30">
        <v>2561</v>
      </c>
      <c r="G149" s="31">
        <v>0.90017574692442881</v>
      </c>
      <c r="H149" s="30">
        <v>2071</v>
      </c>
      <c r="I149" s="32">
        <v>0.72794376098418279</v>
      </c>
      <c r="J149" s="30">
        <v>2629</v>
      </c>
      <c r="K149" s="30">
        <v>2554</v>
      </c>
      <c r="L149" s="31">
        <v>0.97099999999999997</v>
      </c>
      <c r="M149" s="30">
        <v>10267</v>
      </c>
      <c r="N149" s="30">
        <v>10196</v>
      </c>
      <c r="O149" s="30">
        <v>10105</v>
      </c>
      <c r="P149" s="31">
        <v>0.98422129151650917</v>
      </c>
      <c r="Q149" s="30">
        <v>54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2204</v>
      </c>
      <c r="X149" s="31">
        <v>0.77469244288224959</v>
      </c>
      <c r="Y149" s="30">
        <v>608</v>
      </c>
      <c r="Z149" s="33">
        <v>0.21370826010544819</v>
      </c>
      <c r="AA149" s="30">
        <v>29</v>
      </c>
      <c r="AB149" s="31">
        <v>1.01933216168717E-2</v>
      </c>
      <c r="AC149" s="30">
        <v>397</v>
      </c>
      <c r="AD149" s="31">
        <v>0.13954305799648509</v>
      </c>
      <c r="AE149" s="30">
        <v>70</v>
      </c>
      <c r="AF149" s="31">
        <v>0.17632241813602009</v>
      </c>
      <c r="AG149" s="30">
        <v>359</v>
      </c>
      <c r="AH149" s="31">
        <v>0.90428211586901763</v>
      </c>
      <c r="AI149" s="34">
        <v>395</v>
      </c>
      <c r="AJ149" s="31">
        <v>0.1388400702987698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0.11915641476274159</v>
      </c>
      <c r="AP149" s="31">
        <v>0.853904282115869</v>
      </c>
      <c r="AQ149" s="32">
        <v>0.9651474530831099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2.0035149384885761E-2</v>
      </c>
      <c r="AY149" s="31">
        <v>1.9683655536028119E-2</v>
      </c>
      <c r="AZ149" s="31">
        <v>5.9753954305799646E-3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2817</v>
      </c>
      <c r="F150" s="30">
        <v>2652</v>
      </c>
      <c r="G150" s="31">
        <v>0.94142705005324812</v>
      </c>
      <c r="H150" s="30">
        <v>1136</v>
      </c>
      <c r="I150" s="32">
        <v>0.40326588569400068</v>
      </c>
      <c r="J150" s="30">
        <v>1765</v>
      </c>
      <c r="K150" s="30">
        <v>1712</v>
      </c>
      <c r="L150" s="31">
        <v>0.97</v>
      </c>
      <c r="M150" s="30">
        <v>8823</v>
      </c>
      <c r="N150" s="30">
        <v>8774</v>
      </c>
      <c r="O150" s="30">
        <v>8611</v>
      </c>
      <c r="P150" s="31">
        <v>0.97597189164683218</v>
      </c>
      <c r="Q150" s="30">
        <v>27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110</v>
      </c>
      <c r="X150" s="31">
        <v>3.9048633297834583E-2</v>
      </c>
      <c r="Y150" s="30">
        <v>294</v>
      </c>
      <c r="Z150" s="33">
        <v>0.1043663471778488</v>
      </c>
      <c r="AA150" s="30">
        <v>0</v>
      </c>
      <c r="AB150" s="31">
        <v>0</v>
      </c>
      <c r="AC150" s="30">
        <v>1238</v>
      </c>
      <c r="AD150" s="31">
        <v>0.43947461838835639</v>
      </c>
      <c r="AE150" s="30">
        <v>382</v>
      </c>
      <c r="AF150" s="31">
        <v>0.30856219709208399</v>
      </c>
      <c r="AG150" s="30">
        <v>1132</v>
      </c>
      <c r="AH150" s="31">
        <v>0.91437802907915988</v>
      </c>
      <c r="AI150" s="34">
        <v>1357</v>
      </c>
      <c r="AJ150" s="31">
        <v>0.4817181398651047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0.41391551295704648</v>
      </c>
      <c r="AP150" s="31">
        <v>0.94184168012924074</v>
      </c>
      <c r="AQ150" s="32">
        <v>0.95107033639143734</v>
      </c>
      <c r="AR150" s="34">
        <v>626</v>
      </c>
      <c r="AS150" s="34">
        <v>270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0.98023715415019763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2704</v>
      </c>
      <c r="F151" s="30">
        <v>2494</v>
      </c>
      <c r="G151" s="31">
        <v>0.9223372781065089</v>
      </c>
      <c r="H151" s="30">
        <v>1680</v>
      </c>
      <c r="I151" s="32">
        <v>0.62130177514792895</v>
      </c>
      <c r="J151" s="30">
        <v>3138</v>
      </c>
      <c r="K151" s="30">
        <v>3079</v>
      </c>
      <c r="L151" s="31">
        <v>0.98099999999999998</v>
      </c>
      <c r="M151" s="30">
        <v>18685</v>
      </c>
      <c r="N151" s="30">
        <v>18176</v>
      </c>
      <c r="O151" s="30">
        <v>18458</v>
      </c>
      <c r="P151" s="31">
        <v>0.98785121755418781</v>
      </c>
      <c r="Q151" s="30">
        <v>64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3622</v>
      </c>
      <c r="X151" s="31">
        <v>1.3394970414201179</v>
      </c>
      <c r="Y151" s="30">
        <v>670</v>
      </c>
      <c r="Z151" s="33">
        <v>0.24778106508875741</v>
      </c>
      <c r="AA151" s="30">
        <v>128</v>
      </c>
      <c r="AB151" s="31">
        <v>4.7337278106508868E-2</v>
      </c>
      <c r="AC151" s="30">
        <v>608</v>
      </c>
      <c r="AD151" s="31">
        <v>0.2248520710059172</v>
      </c>
      <c r="AE151" s="30">
        <v>92</v>
      </c>
      <c r="AF151" s="31">
        <v>0.15131578947368421</v>
      </c>
      <c r="AG151" s="30">
        <v>564</v>
      </c>
      <c r="AH151" s="31">
        <v>0.92763157894736847</v>
      </c>
      <c r="AI151" s="34">
        <v>606</v>
      </c>
      <c r="AJ151" s="31">
        <v>0.22411242603550299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0.2107988165680473</v>
      </c>
      <c r="AP151" s="31">
        <v>0.9375</v>
      </c>
      <c r="AQ151" s="32">
        <v>0.97872340425531912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3.4763313609467453E-2</v>
      </c>
      <c r="AY151" s="31">
        <v>3.6612426035502958E-2</v>
      </c>
      <c r="AZ151" s="31">
        <v>1.442307692307692E-2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1566</v>
      </c>
      <c r="F152" s="30">
        <v>1429</v>
      </c>
      <c r="G152" s="31">
        <v>0.91251596424010217</v>
      </c>
      <c r="H152" s="30">
        <v>542</v>
      </c>
      <c r="I152" s="32">
        <v>0.34610472541507031</v>
      </c>
      <c r="J152" s="30">
        <v>1801</v>
      </c>
      <c r="K152" s="30">
        <v>1741</v>
      </c>
      <c r="L152" s="31">
        <v>0.96699999999999997</v>
      </c>
      <c r="M152" s="30">
        <v>10748</v>
      </c>
      <c r="N152" s="30">
        <v>10311</v>
      </c>
      <c r="O152" s="30">
        <v>10586</v>
      </c>
      <c r="P152" s="31">
        <v>0.98492742835876446</v>
      </c>
      <c r="Q152" s="30">
        <v>46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1805</v>
      </c>
      <c r="X152" s="31">
        <v>1.1526181353767559</v>
      </c>
      <c r="Y152" s="30">
        <v>368</v>
      </c>
      <c r="Z152" s="33">
        <v>0.2349936143039591</v>
      </c>
      <c r="AA152" s="30">
        <v>41</v>
      </c>
      <c r="AB152" s="31">
        <v>2.6181353767560669E-2</v>
      </c>
      <c r="AC152" s="30">
        <v>202</v>
      </c>
      <c r="AD152" s="31">
        <v>0.12899106002554281</v>
      </c>
      <c r="AE152" s="30">
        <v>23</v>
      </c>
      <c r="AF152" s="31">
        <v>0.11386138613861389</v>
      </c>
      <c r="AG152" s="30">
        <v>186</v>
      </c>
      <c r="AH152" s="31">
        <v>0.92079207920792083</v>
      </c>
      <c r="AI152" s="34">
        <v>205</v>
      </c>
      <c r="AJ152" s="31">
        <v>0.13090676883780331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0.111749680715198</v>
      </c>
      <c r="AP152" s="31">
        <v>0.86633663366336633</v>
      </c>
      <c r="AQ152" s="32">
        <v>0.96699669966996704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3.6398467432950193E-2</v>
      </c>
      <c r="AY152" s="31">
        <v>3.6398467432950193E-2</v>
      </c>
      <c r="AZ152" s="31">
        <v>4.7254150702426563E-2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2913</v>
      </c>
      <c r="F153" s="30">
        <v>2653</v>
      </c>
      <c r="G153" s="31">
        <v>0.91074493649158939</v>
      </c>
      <c r="H153" s="30">
        <v>1771</v>
      </c>
      <c r="I153" s="32">
        <v>0.60796429797459661</v>
      </c>
      <c r="J153" s="30">
        <v>2436</v>
      </c>
      <c r="K153" s="30">
        <v>2326</v>
      </c>
      <c r="L153" s="31">
        <v>0.95499999999999996</v>
      </c>
      <c r="M153" s="30">
        <v>9756</v>
      </c>
      <c r="N153" s="30">
        <v>9641</v>
      </c>
      <c r="O153" s="30">
        <v>9551</v>
      </c>
      <c r="P153" s="31">
        <v>0.97898728987289874</v>
      </c>
      <c r="Q153" s="30">
        <v>57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1946</v>
      </c>
      <c r="X153" s="31">
        <v>0.66803982148987295</v>
      </c>
      <c r="Y153" s="30">
        <v>428</v>
      </c>
      <c r="Z153" s="33">
        <v>0.14692756608307589</v>
      </c>
      <c r="AA153" s="30">
        <v>20</v>
      </c>
      <c r="AB153" s="31">
        <v>6.8657741160315826E-3</v>
      </c>
      <c r="AC153" s="30">
        <v>238</v>
      </c>
      <c r="AD153" s="31">
        <v>8.1702711980775833E-2</v>
      </c>
      <c r="AE153" s="30">
        <v>30</v>
      </c>
      <c r="AF153" s="31">
        <v>0.1260504201680672</v>
      </c>
      <c r="AG153" s="30">
        <v>224</v>
      </c>
      <c r="AH153" s="31">
        <v>0.94117647058823528</v>
      </c>
      <c r="AI153" s="34">
        <v>238</v>
      </c>
      <c r="AJ153" s="31">
        <v>8.1702711980775833E-2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7.0030895983522148E-2</v>
      </c>
      <c r="AP153" s="31">
        <v>0.8571428571428571</v>
      </c>
      <c r="AQ153" s="32">
        <v>0.97382198952879584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1.4074836937864739E-2</v>
      </c>
      <c r="AY153" s="31">
        <v>1.441812564366632E-2</v>
      </c>
      <c r="AZ153" s="31">
        <v>1.5104703055269481E-2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3791</v>
      </c>
      <c r="F154" s="30">
        <v>3603</v>
      </c>
      <c r="G154" s="31">
        <v>0.95040886309680828</v>
      </c>
      <c r="H154" s="30">
        <v>965</v>
      </c>
      <c r="I154" s="32">
        <v>0.25455025059351089</v>
      </c>
      <c r="J154" s="30">
        <v>1716</v>
      </c>
      <c r="K154" s="30">
        <v>1652</v>
      </c>
      <c r="L154" s="31">
        <v>0.96299999999999997</v>
      </c>
      <c r="M154" s="30">
        <v>9076</v>
      </c>
      <c r="N154" s="30">
        <v>8865</v>
      </c>
      <c r="O154" s="30">
        <v>8824</v>
      </c>
      <c r="P154" s="31">
        <v>0.97223446452181583</v>
      </c>
      <c r="Q154" s="30">
        <v>40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3.5346874175679242E-2</v>
      </c>
      <c r="Y154" s="30">
        <v>303</v>
      </c>
      <c r="Z154" s="33">
        <v>7.992614085993141E-2</v>
      </c>
      <c r="AA154" s="30">
        <v>0</v>
      </c>
      <c r="AB154" s="31">
        <v>0</v>
      </c>
      <c r="AC154" s="30">
        <v>910</v>
      </c>
      <c r="AD154" s="31">
        <v>0.24004220522289629</v>
      </c>
      <c r="AE154" s="30">
        <v>340</v>
      </c>
      <c r="AF154" s="31">
        <v>0.37362637362637358</v>
      </c>
      <c r="AG154" s="30">
        <v>832</v>
      </c>
      <c r="AH154" s="31">
        <v>0.91428571428571426</v>
      </c>
      <c r="AI154" s="34">
        <v>1040</v>
      </c>
      <c r="AJ154" s="31">
        <v>0.27433394882616718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0.2424162490108151</v>
      </c>
      <c r="AP154" s="31">
        <v>1.0098901098901101</v>
      </c>
      <c r="AQ154" s="32">
        <v>0.97018348623853212</v>
      </c>
      <c r="AR154" s="34">
        <v>884</v>
      </c>
      <c r="AS154" s="34">
        <v>432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0.96875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3026</v>
      </c>
      <c r="F155" s="30">
        <v>2759</v>
      </c>
      <c r="G155" s="31">
        <v>0.91176470588235292</v>
      </c>
      <c r="H155" s="30">
        <v>1984</v>
      </c>
      <c r="I155" s="32">
        <v>0.65565102445472567</v>
      </c>
      <c r="J155" s="30">
        <v>3794</v>
      </c>
      <c r="K155" s="30">
        <v>3728</v>
      </c>
      <c r="L155" s="31">
        <v>0.98299999999999998</v>
      </c>
      <c r="M155" s="30">
        <v>18309</v>
      </c>
      <c r="N155" s="30">
        <v>17779</v>
      </c>
      <c r="O155" s="30">
        <v>18028</v>
      </c>
      <c r="P155" s="31">
        <v>0.98465235676443275</v>
      </c>
      <c r="Q155" s="30">
        <v>73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2870</v>
      </c>
      <c r="X155" s="31">
        <v>0.9484467944481163</v>
      </c>
      <c r="Y155" s="30">
        <v>455</v>
      </c>
      <c r="Z155" s="33">
        <v>0.15036351619299401</v>
      </c>
      <c r="AA155" s="30">
        <v>114</v>
      </c>
      <c r="AB155" s="31">
        <v>3.767349636483807E-2</v>
      </c>
      <c r="AC155" s="30">
        <v>398</v>
      </c>
      <c r="AD155" s="31">
        <v>0.131526768010575</v>
      </c>
      <c r="AE155" s="30">
        <v>78</v>
      </c>
      <c r="AF155" s="31">
        <v>0.1959798994974874</v>
      </c>
      <c r="AG155" s="30">
        <v>373</v>
      </c>
      <c r="AH155" s="31">
        <v>0.93718592964824121</v>
      </c>
      <c r="AI155" s="34">
        <v>432</v>
      </c>
      <c r="AJ155" s="31">
        <v>0.1427627230667548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0.13417052214144079</v>
      </c>
      <c r="AP155" s="31">
        <v>1.0201005025125629</v>
      </c>
      <c r="AQ155" s="32">
        <v>0.95117845117845112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1.6523463317911439E-2</v>
      </c>
      <c r="AY155" s="31">
        <v>1.8506278916060812E-2</v>
      </c>
      <c r="AZ155" s="31">
        <v>3.1064111037673491E-2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1845</v>
      </c>
      <c r="F156" s="30">
        <v>1637</v>
      </c>
      <c r="G156" s="31">
        <v>0.88726287262872627</v>
      </c>
      <c r="H156" s="30">
        <v>963</v>
      </c>
      <c r="I156" s="32">
        <v>0.52195121951219514</v>
      </c>
      <c r="J156" s="30">
        <v>2582</v>
      </c>
      <c r="K156" s="30">
        <v>2488</v>
      </c>
      <c r="L156" s="31">
        <v>0.96399999999999997</v>
      </c>
      <c r="M156" s="30">
        <v>11427</v>
      </c>
      <c r="N156" s="30">
        <v>11202</v>
      </c>
      <c r="O156" s="30">
        <v>11184</v>
      </c>
      <c r="P156" s="31">
        <v>0.97873457600420055</v>
      </c>
      <c r="Q156" s="30">
        <v>63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1683</v>
      </c>
      <c r="X156" s="31">
        <v>0.91219512195121955</v>
      </c>
      <c r="Y156" s="30">
        <v>497</v>
      </c>
      <c r="Z156" s="33">
        <v>0.26937669376693768</v>
      </c>
      <c r="AA156" s="30">
        <v>58</v>
      </c>
      <c r="AB156" s="31">
        <v>3.1436314363143633E-2</v>
      </c>
      <c r="AC156" s="30">
        <v>204</v>
      </c>
      <c r="AD156" s="31">
        <v>0.11056910569105689</v>
      </c>
      <c r="AE156" s="30">
        <v>47</v>
      </c>
      <c r="AF156" s="31">
        <v>0.23039215686274511</v>
      </c>
      <c r="AG156" s="30">
        <v>178</v>
      </c>
      <c r="AH156" s="31">
        <v>0.87254901960784315</v>
      </c>
      <c r="AI156" s="34">
        <v>201</v>
      </c>
      <c r="AJ156" s="31">
        <v>0.1089430894308943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9.322493224932249E-2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2.9810298102981029E-2</v>
      </c>
      <c r="AY156" s="31">
        <v>3.1436314363143633E-2</v>
      </c>
      <c r="AZ156" s="31">
        <v>4.3360433604336043E-2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2047</v>
      </c>
      <c r="F157" s="30">
        <v>1897</v>
      </c>
      <c r="G157" s="31">
        <v>0.92672203224230576</v>
      </c>
      <c r="H157" s="30">
        <v>1120</v>
      </c>
      <c r="I157" s="32">
        <v>0.54714215925744991</v>
      </c>
      <c r="J157" s="30">
        <v>2611</v>
      </c>
      <c r="K157" s="30">
        <v>2537</v>
      </c>
      <c r="L157" s="31">
        <v>0.97199999999999998</v>
      </c>
      <c r="M157" s="30">
        <v>9621</v>
      </c>
      <c r="N157" s="30">
        <v>9733</v>
      </c>
      <c r="O157" s="30">
        <v>9452</v>
      </c>
      <c r="P157" s="31">
        <v>0.98243425839309839</v>
      </c>
      <c r="Q157" s="30">
        <v>49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1691</v>
      </c>
      <c r="X157" s="31">
        <v>0.82608695652173914</v>
      </c>
      <c r="Y157" s="30">
        <v>950</v>
      </c>
      <c r="Z157" s="33">
        <v>0.46409379579872978</v>
      </c>
      <c r="AA157" s="30">
        <v>24</v>
      </c>
      <c r="AB157" s="31">
        <v>1.172447484123107E-2</v>
      </c>
      <c r="AC157" s="30">
        <v>210</v>
      </c>
      <c r="AD157" s="31">
        <v>0.1025891548607719</v>
      </c>
      <c r="AE157" s="30">
        <v>29</v>
      </c>
      <c r="AF157" s="31">
        <v>0.1380952380952381</v>
      </c>
      <c r="AG157" s="30">
        <v>180</v>
      </c>
      <c r="AH157" s="31">
        <v>0.8571428571428571</v>
      </c>
      <c r="AI157" s="34">
        <v>201</v>
      </c>
      <c r="AJ157" s="31">
        <v>9.8192476795310207E-2</v>
      </c>
      <c r="AK157" s="34">
        <v>1</v>
      </c>
      <c r="AL157" s="31">
        <v>0.82587064676616917</v>
      </c>
      <c r="AM157" s="34">
        <v>201</v>
      </c>
      <c r="AN157" s="34">
        <v>166</v>
      </c>
      <c r="AO157" s="31">
        <v>8.1094284318514898E-2</v>
      </c>
      <c r="AP157" s="31">
        <v>0.79047619047619044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1.7586712261846601E-2</v>
      </c>
      <c r="AY157" s="31">
        <v>1.9052271617000491E-2</v>
      </c>
      <c r="AZ157" s="31">
        <v>1.9540791402051779E-2</v>
      </c>
      <c r="BA157" s="31">
        <v>0.23493975903614461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9867</v>
      </c>
      <c r="F158" s="30">
        <v>9119</v>
      </c>
      <c r="G158" s="31">
        <v>0.92419175027870681</v>
      </c>
      <c r="H158" s="30">
        <v>3165</v>
      </c>
      <c r="I158" s="32">
        <v>0.32076619033140769</v>
      </c>
      <c r="J158" s="30">
        <v>3097</v>
      </c>
      <c r="K158" s="30">
        <v>2997</v>
      </c>
      <c r="L158" s="31">
        <v>0.96799999999999997</v>
      </c>
      <c r="M158" s="30">
        <v>12261</v>
      </c>
      <c r="N158" s="30">
        <v>15068</v>
      </c>
      <c r="O158" s="30">
        <v>11848</v>
      </c>
      <c r="P158" s="31">
        <v>0.96631596117771801</v>
      </c>
      <c r="Q158" s="30">
        <v>81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305</v>
      </c>
      <c r="X158" s="31">
        <v>3.0911117867639611E-2</v>
      </c>
      <c r="Y158" s="30">
        <v>510</v>
      </c>
      <c r="Z158" s="33">
        <v>5.1687442991790823E-2</v>
      </c>
      <c r="AA158" s="30">
        <v>0</v>
      </c>
      <c r="AB158" s="31">
        <v>0</v>
      </c>
      <c r="AC158" s="30">
        <v>1037</v>
      </c>
      <c r="AD158" s="31">
        <v>0.1050978007499747</v>
      </c>
      <c r="AE158" s="30">
        <v>368</v>
      </c>
      <c r="AF158" s="31">
        <v>0.35486981677917068</v>
      </c>
      <c r="AG158" s="30">
        <v>888</v>
      </c>
      <c r="AH158" s="31">
        <v>0.85631629701060752</v>
      </c>
      <c r="AI158" s="34">
        <v>1134</v>
      </c>
      <c r="AJ158" s="31">
        <v>0.1149285497111584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9.9320968886186273E-2</v>
      </c>
      <c r="AP158" s="31">
        <v>0.94503375120540023</v>
      </c>
      <c r="AQ158" s="32">
        <v>0.95817490494296575</v>
      </c>
      <c r="AR158" s="34">
        <v>1513</v>
      </c>
      <c r="AS158" s="34">
        <v>690</v>
      </c>
      <c r="AT158" s="34">
        <v>409</v>
      </c>
      <c r="AU158" s="34">
        <v>394</v>
      </c>
      <c r="AV158" s="34">
        <v>218</v>
      </c>
      <c r="AW158" s="34">
        <v>0</v>
      </c>
      <c r="AX158" s="31">
        <v>3.993108340934428E-2</v>
      </c>
      <c r="AY158" s="31">
        <v>2.20938481808047E-2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0.98529411764705888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2907</v>
      </c>
      <c r="F159" s="30">
        <v>2658</v>
      </c>
      <c r="G159" s="31">
        <v>0.91434468524251811</v>
      </c>
      <c r="H159" s="30">
        <v>1830</v>
      </c>
      <c r="I159" s="32">
        <v>0.62951496388028894</v>
      </c>
      <c r="J159" s="30">
        <v>3818</v>
      </c>
      <c r="K159" s="30">
        <v>3740</v>
      </c>
      <c r="L159" s="31">
        <v>0.98</v>
      </c>
      <c r="M159" s="30">
        <v>17578</v>
      </c>
      <c r="N159" s="30">
        <v>17629</v>
      </c>
      <c r="O159" s="30">
        <v>17311</v>
      </c>
      <c r="P159" s="31">
        <v>0.98481055865286149</v>
      </c>
      <c r="Q159" s="30">
        <v>69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2578</v>
      </c>
      <c r="X159" s="31">
        <v>0.88682490540075676</v>
      </c>
      <c r="Y159" s="30">
        <v>784</v>
      </c>
      <c r="Z159" s="33">
        <v>0.26969384244926042</v>
      </c>
      <c r="AA159" s="30">
        <v>112</v>
      </c>
      <c r="AB159" s="31">
        <v>3.8527691778465767E-2</v>
      </c>
      <c r="AC159" s="30">
        <v>401</v>
      </c>
      <c r="AD159" s="31">
        <v>0.13794289645682831</v>
      </c>
      <c r="AE159" s="30">
        <v>52</v>
      </c>
      <c r="AF159" s="31">
        <v>0.12967581047381549</v>
      </c>
      <c r="AG159" s="30">
        <v>370</v>
      </c>
      <c r="AH159" s="31">
        <v>0.92269326683291775</v>
      </c>
      <c r="AI159" s="34">
        <v>405</v>
      </c>
      <c r="AJ159" s="31">
        <v>0.13931888544891641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0.13312693498452011</v>
      </c>
      <c r="AP159" s="31">
        <v>0.96508728179551118</v>
      </c>
      <c r="AQ159" s="32">
        <v>0.97317073170731705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1.926384588923289E-2</v>
      </c>
      <c r="AY159" s="31">
        <v>1.995184038527692E-2</v>
      </c>
      <c r="AZ159" s="31">
        <v>2.4767801857585141E-2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1842</v>
      </c>
      <c r="F160" s="30">
        <v>1693</v>
      </c>
      <c r="G160" s="31">
        <v>0.91910966340933764</v>
      </c>
      <c r="H160" s="30">
        <v>692</v>
      </c>
      <c r="I160" s="32">
        <v>0.3756786102062975</v>
      </c>
      <c r="J160" s="30">
        <v>2164</v>
      </c>
      <c r="K160" s="30">
        <v>2116</v>
      </c>
      <c r="L160" s="31">
        <v>0.97799999999999998</v>
      </c>
      <c r="M160" s="30">
        <v>10545</v>
      </c>
      <c r="N160" s="30">
        <v>10305</v>
      </c>
      <c r="O160" s="30">
        <v>10418</v>
      </c>
      <c r="P160" s="31">
        <v>0.98795637743006159</v>
      </c>
      <c r="Q160" s="30">
        <v>36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1137</v>
      </c>
      <c r="X160" s="31">
        <v>0.61726384364820852</v>
      </c>
      <c r="Y160" s="30">
        <v>508</v>
      </c>
      <c r="Z160" s="33">
        <v>0.27578718783930511</v>
      </c>
      <c r="AA160" s="30">
        <v>48</v>
      </c>
      <c r="AB160" s="31">
        <v>2.6058631921824109E-2</v>
      </c>
      <c r="AC160" s="30">
        <v>167</v>
      </c>
      <c r="AD160" s="31">
        <v>9.0662323561346361E-2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8.577633007600434E-2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7.600434310532031E-2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1.8458197611292079E-2</v>
      </c>
      <c r="AY160" s="31">
        <v>1.6286644951140069E-2</v>
      </c>
      <c r="AZ160" s="31">
        <v>3.8002171552660162E-2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1931</v>
      </c>
      <c r="F161" s="30">
        <v>1804</v>
      </c>
      <c r="G161" s="31">
        <v>0.93423096841015019</v>
      </c>
      <c r="H161" s="30">
        <v>895</v>
      </c>
      <c r="I161" s="32">
        <v>0.46349041947177633</v>
      </c>
      <c r="J161" s="30">
        <v>1865</v>
      </c>
      <c r="K161" s="30">
        <v>1806</v>
      </c>
      <c r="L161" s="31">
        <v>0.96799999999999997</v>
      </c>
      <c r="M161" s="30">
        <v>9694</v>
      </c>
      <c r="N161" s="30">
        <v>9516</v>
      </c>
      <c r="O161" s="30">
        <v>9540</v>
      </c>
      <c r="P161" s="31">
        <v>0.98411388487724361</v>
      </c>
      <c r="Q161" s="30">
        <v>34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1617</v>
      </c>
      <c r="X161" s="31">
        <v>0.83738995339202482</v>
      </c>
      <c r="Y161" s="30">
        <v>579</v>
      </c>
      <c r="Z161" s="33">
        <v>0.2998446400828586</v>
      </c>
      <c r="AA161" s="30">
        <v>25</v>
      </c>
      <c r="AB161" s="31">
        <v>1.294665976178146E-2</v>
      </c>
      <c r="AC161" s="30">
        <v>232</v>
      </c>
      <c r="AD161" s="31">
        <v>0.120145002589332</v>
      </c>
      <c r="AE161" s="30">
        <v>32</v>
      </c>
      <c r="AF161" s="31">
        <v>0.13793103448275859</v>
      </c>
      <c r="AG161" s="30">
        <v>205</v>
      </c>
      <c r="AH161" s="31">
        <v>0.88362068965517238</v>
      </c>
      <c r="AI161" s="34">
        <v>211</v>
      </c>
      <c r="AJ161" s="31">
        <v>0.10926980838943549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9.2180217503883999E-2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2.589331952356292E-2</v>
      </c>
      <c r="AY161" s="31">
        <v>2.3821853961677891E-2</v>
      </c>
      <c r="AZ161" s="31">
        <v>1.9161056447436559E-2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7814</v>
      </c>
      <c r="F162" s="30">
        <v>7247</v>
      </c>
      <c r="G162" s="31">
        <v>0.92743793191707191</v>
      </c>
      <c r="H162" s="30">
        <v>3581</v>
      </c>
      <c r="I162" s="32">
        <v>0.45828001023803427</v>
      </c>
      <c r="J162" s="30">
        <v>10801</v>
      </c>
      <c r="K162" s="30">
        <v>10621</v>
      </c>
      <c r="L162" s="31">
        <v>0.98299999999999998</v>
      </c>
      <c r="M162" s="30">
        <v>21550</v>
      </c>
      <c r="N162" s="30">
        <v>22436</v>
      </c>
      <c r="O162" s="30">
        <v>21160</v>
      </c>
      <c r="P162" s="31">
        <v>0.98190255220417633</v>
      </c>
      <c r="Q162" s="30">
        <v>64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215</v>
      </c>
      <c r="X162" s="31">
        <v>2.7514717174302539E-2</v>
      </c>
      <c r="Y162" s="30">
        <v>757</v>
      </c>
      <c r="Z162" s="33">
        <v>9.687739953928845E-2</v>
      </c>
      <c r="AA162" s="30">
        <v>2</v>
      </c>
      <c r="AB162" s="31">
        <v>2.5595085743537239E-4</v>
      </c>
      <c r="AC162" s="30">
        <v>1620</v>
      </c>
      <c r="AD162" s="31">
        <v>0.20732019452265171</v>
      </c>
      <c r="AE162" s="30">
        <v>361</v>
      </c>
      <c r="AF162" s="31">
        <v>0.22283950617283951</v>
      </c>
      <c r="AG162" s="30">
        <v>1426</v>
      </c>
      <c r="AH162" s="31">
        <v>0.88024691358024687</v>
      </c>
      <c r="AI162" s="34">
        <v>1669</v>
      </c>
      <c r="AJ162" s="31">
        <v>0.21359099052981831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0.17558228820066549</v>
      </c>
      <c r="AP162" s="31">
        <v>0.84691358024691354</v>
      </c>
      <c r="AQ162" s="32">
        <v>0.95283926852743017</v>
      </c>
      <c r="AR162" s="34">
        <v>0</v>
      </c>
      <c r="AS162" s="34">
        <v>0</v>
      </c>
      <c r="AT162" s="34">
        <v>369</v>
      </c>
      <c r="AU162" s="34">
        <v>327</v>
      </c>
      <c r="AV162" s="34">
        <v>327</v>
      </c>
      <c r="AW162" s="34">
        <v>0</v>
      </c>
      <c r="AX162" s="31">
        <v>4.1847965190683387E-2</v>
      </c>
      <c r="AY162" s="31">
        <v>4.1847965190683387E-2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2792</v>
      </c>
      <c r="F163" s="30">
        <v>2576</v>
      </c>
      <c r="G163" s="31">
        <v>0.92263610315186251</v>
      </c>
      <c r="H163" s="30">
        <v>1681</v>
      </c>
      <c r="I163" s="32">
        <v>0.60207736389684818</v>
      </c>
      <c r="J163" s="30">
        <v>3424</v>
      </c>
      <c r="K163" s="30">
        <v>3344</v>
      </c>
      <c r="L163" s="31">
        <v>0.97699999999999998</v>
      </c>
      <c r="M163" s="30">
        <v>17207</v>
      </c>
      <c r="N163" s="30">
        <v>16657</v>
      </c>
      <c r="O163" s="30">
        <v>16976</v>
      </c>
      <c r="P163" s="31">
        <v>0.98657523101063516</v>
      </c>
      <c r="Q163" s="30">
        <v>62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1848</v>
      </c>
      <c r="X163" s="31">
        <v>0.66189111747851004</v>
      </c>
      <c r="Y163" s="30">
        <v>641</v>
      </c>
      <c r="Z163" s="33">
        <v>0.22958452722063041</v>
      </c>
      <c r="AA163" s="30">
        <v>89</v>
      </c>
      <c r="AB163" s="31">
        <v>3.1876790830945557E-2</v>
      </c>
      <c r="AC163" s="30">
        <v>354</v>
      </c>
      <c r="AD163" s="31">
        <v>0.12679083094555871</v>
      </c>
      <c r="AE163" s="30">
        <v>39</v>
      </c>
      <c r="AF163" s="31">
        <v>0.1101694915254237</v>
      </c>
      <c r="AG163" s="30">
        <v>311</v>
      </c>
      <c r="AH163" s="31">
        <v>0.87853107344632764</v>
      </c>
      <c r="AI163" s="34">
        <v>330</v>
      </c>
      <c r="AJ163" s="31">
        <v>0.1181948424068768</v>
      </c>
      <c r="AK163" s="34">
        <v>1</v>
      </c>
      <c r="AL163" s="31">
        <v>0.95454545454545459</v>
      </c>
      <c r="AM163" s="34">
        <v>330</v>
      </c>
      <c r="AN163" s="34">
        <v>315</v>
      </c>
      <c r="AO163" s="31">
        <v>0.1128223495702006</v>
      </c>
      <c r="AP163" s="31">
        <v>0.88983050847457623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1.934097421203438E-2</v>
      </c>
      <c r="AY163" s="31">
        <v>1.898280802292264E-2</v>
      </c>
      <c r="AZ163" s="31">
        <v>2.2922636103151858E-2</v>
      </c>
      <c r="BA163" s="31">
        <v>0.16825396825396829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2037</v>
      </c>
      <c r="F164" s="30">
        <v>1854</v>
      </c>
      <c r="G164" s="31">
        <v>0.91016200294550809</v>
      </c>
      <c r="H164" s="30">
        <v>1173</v>
      </c>
      <c r="I164" s="32">
        <v>0.57584683357879229</v>
      </c>
      <c r="J164" s="30">
        <v>2602</v>
      </c>
      <c r="K164" s="30">
        <v>2518</v>
      </c>
      <c r="L164" s="31">
        <v>0.96799999999999997</v>
      </c>
      <c r="M164" s="30">
        <v>10941</v>
      </c>
      <c r="N164" s="30">
        <v>11130</v>
      </c>
      <c r="O164" s="30">
        <v>10752</v>
      </c>
      <c r="P164" s="31">
        <v>0.98272552783109401</v>
      </c>
      <c r="Q164" s="30">
        <v>61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1726</v>
      </c>
      <c r="X164" s="31">
        <v>0.84732449680903288</v>
      </c>
      <c r="Y164" s="30">
        <v>485</v>
      </c>
      <c r="Z164" s="33">
        <v>0.23809523809523811</v>
      </c>
      <c r="AA164" s="30">
        <v>42</v>
      </c>
      <c r="AB164" s="31">
        <v>2.0618556701030931E-2</v>
      </c>
      <c r="AC164" s="30">
        <v>189</v>
      </c>
      <c r="AD164" s="31">
        <v>9.2783505154639179E-2</v>
      </c>
      <c r="AE164" s="30">
        <v>34</v>
      </c>
      <c r="AF164" s="31">
        <v>0.17989417989417991</v>
      </c>
      <c r="AG164" s="30">
        <v>169</v>
      </c>
      <c r="AH164" s="31">
        <v>0.89417989417989419</v>
      </c>
      <c r="AI164" s="34">
        <v>189</v>
      </c>
      <c r="AJ164" s="31">
        <v>9.2783505154639179E-2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7.7565046637211588E-2</v>
      </c>
      <c r="AP164" s="31">
        <v>0.83597883597883593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2.3564064801178199E-2</v>
      </c>
      <c r="AY164" s="31">
        <v>2.4054982817869421E-2</v>
      </c>
      <c r="AZ164" s="31">
        <v>3.8782523318605787E-2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2077</v>
      </c>
      <c r="F165" s="30">
        <v>1874</v>
      </c>
      <c r="G165" s="31">
        <v>0.90226287915262393</v>
      </c>
      <c r="H165" s="30">
        <v>1440</v>
      </c>
      <c r="I165" s="32">
        <v>0.69330765527202698</v>
      </c>
      <c r="J165" s="30">
        <v>2990</v>
      </c>
      <c r="K165" s="30">
        <v>2904</v>
      </c>
      <c r="L165" s="31">
        <v>0.97099999999999997</v>
      </c>
      <c r="M165" s="30">
        <v>11023</v>
      </c>
      <c r="N165" s="30">
        <v>11090</v>
      </c>
      <c r="O165" s="30">
        <v>10817</v>
      </c>
      <c r="P165" s="31">
        <v>0.98131180259457496</v>
      </c>
      <c r="Q165" s="30">
        <v>54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1555</v>
      </c>
      <c r="X165" s="31">
        <v>0.74867597496389027</v>
      </c>
      <c r="Y165" s="30">
        <v>551</v>
      </c>
      <c r="Z165" s="33">
        <v>0.26528647087144919</v>
      </c>
      <c r="AA165" s="30">
        <v>21</v>
      </c>
      <c r="AB165" s="31">
        <v>1.011073663938373E-2</v>
      </c>
      <c r="AC165" s="30">
        <v>196</v>
      </c>
      <c r="AD165" s="31">
        <v>9.4366875300914782E-2</v>
      </c>
      <c r="AE165" s="30">
        <v>36</v>
      </c>
      <c r="AF165" s="31">
        <v>0.18367346938775511</v>
      </c>
      <c r="AG165" s="30">
        <v>173</v>
      </c>
      <c r="AH165" s="31">
        <v>0.88265306122448983</v>
      </c>
      <c r="AI165" s="34">
        <v>184</v>
      </c>
      <c r="AJ165" s="31">
        <v>8.8589311506981225E-2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7.799711121810303E-2</v>
      </c>
      <c r="AP165" s="31">
        <v>0.82653061224489799</v>
      </c>
      <c r="AQ165" s="32">
        <v>0.93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2.214732787674531E-2</v>
      </c>
      <c r="AY165" s="31">
        <v>2.4073182474723159E-2</v>
      </c>
      <c r="AZ165" s="31">
        <v>2.022147327876745E-2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6664</v>
      </c>
      <c r="F166" s="30">
        <v>6227</v>
      </c>
      <c r="G166" s="31">
        <v>0.93442376950780315</v>
      </c>
      <c r="H166" s="30">
        <v>2857</v>
      </c>
      <c r="I166" s="32">
        <v>0.42872148859543818</v>
      </c>
      <c r="J166" s="30">
        <v>9476</v>
      </c>
      <c r="K166" s="30">
        <v>9338</v>
      </c>
      <c r="L166" s="31">
        <v>0.98499999999999999</v>
      </c>
      <c r="M166" s="30">
        <v>21257</v>
      </c>
      <c r="N166" s="30">
        <v>22479</v>
      </c>
      <c r="O166" s="30">
        <v>20890</v>
      </c>
      <c r="P166" s="31">
        <v>0.98273509902620315</v>
      </c>
      <c r="Q166" s="30">
        <v>50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595</v>
      </c>
      <c r="X166" s="31">
        <v>8.9285714285714288E-2</v>
      </c>
      <c r="Y166" s="30">
        <v>578</v>
      </c>
      <c r="Z166" s="33">
        <v>8.673469387755102E-2</v>
      </c>
      <c r="AA166" s="30">
        <v>0</v>
      </c>
      <c r="AB166" s="31">
        <v>0</v>
      </c>
      <c r="AC166" s="30">
        <v>1594</v>
      </c>
      <c r="AD166" s="31">
        <v>0.2391956782713085</v>
      </c>
      <c r="AE166" s="30">
        <v>335</v>
      </c>
      <c r="AF166" s="31">
        <v>0.21016311166875781</v>
      </c>
      <c r="AG166" s="30">
        <v>1412</v>
      </c>
      <c r="AH166" s="31">
        <v>0.88582183186951069</v>
      </c>
      <c r="AI166" s="34">
        <v>1633</v>
      </c>
      <c r="AJ166" s="31">
        <v>0.2450480192076831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0.1979291716686675</v>
      </c>
      <c r="AP166" s="31">
        <v>0.82747804265997493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3.7815126050420172E-2</v>
      </c>
      <c r="AY166" s="31">
        <v>3.9465786314525811E-2</v>
      </c>
      <c r="AZ166" s="31">
        <v>6.0024009603841532E-4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2140</v>
      </c>
      <c r="F167" s="30">
        <v>2040</v>
      </c>
      <c r="G167" s="31">
        <v>0.95327102803738317</v>
      </c>
      <c r="H167" s="30">
        <v>1124</v>
      </c>
      <c r="I167" s="32">
        <v>0.52523364485981305</v>
      </c>
      <c r="J167" s="30">
        <v>3104</v>
      </c>
      <c r="K167" s="30">
        <v>3027</v>
      </c>
      <c r="L167" s="31">
        <v>0.97499999999999998</v>
      </c>
      <c r="M167" s="30">
        <v>17701</v>
      </c>
      <c r="N167" s="30">
        <v>17727</v>
      </c>
      <c r="O167" s="30">
        <v>17449</v>
      </c>
      <c r="P167" s="31">
        <v>0.98576351618552627</v>
      </c>
      <c r="Q167" s="30">
        <v>84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2848</v>
      </c>
      <c r="X167" s="31">
        <v>1.3308411214953271</v>
      </c>
      <c r="Y167" s="30">
        <v>634</v>
      </c>
      <c r="Z167" s="33">
        <v>0.29626168224299071</v>
      </c>
      <c r="AA167" s="30">
        <v>98</v>
      </c>
      <c r="AB167" s="31">
        <v>4.5794392523364487E-2</v>
      </c>
      <c r="AC167" s="30">
        <v>404</v>
      </c>
      <c r="AD167" s="31">
        <v>0.18878504672897201</v>
      </c>
      <c r="AE167" s="30">
        <v>51</v>
      </c>
      <c r="AF167" s="31">
        <v>0.12623762376237621</v>
      </c>
      <c r="AG167" s="30">
        <v>361</v>
      </c>
      <c r="AH167" s="31">
        <v>0.89356435643564358</v>
      </c>
      <c r="AI167" s="34">
        <v>394</v>
      </c>
      <c r="AJ167" s="31">
        <v>0.1841121495327103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0.17149532710280371</v>
      </c>
      <c r="AP167" s="31">
        <v>0.90841584158415845</v>
      </c>
      <c r="AQ167" s="32">
        <v>0.96119402985074631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2.897196261682243E-2</v>
      </c>
      <c r="AY167" s="31">
        <v>2.850467289719626E-2</v>
      </c>
      <c r="AZ167" s="31">
        <v>4.4392523364485979E-2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1989</v>
      </c>
      <c r="F168" s="30">
        <v>1823</v>
      </c>
      <c r="G168" s="31">
        <v>0.91654097536450474</v>
      </c>
      <c r="H168" s="30">
        <v>940</v>
      </c>
      <c r="I168" s="32">
        <v>0.47259929612870788</v>
      </c>
      <c r="J168" s="30">
        <v>2800</v>
      </c>
      <c r="K168" s="30">
        <v>2727</v>
      </c>
      <c r="L168" s="31">
        <v>0.97399999999999998</v>
      </c>
      <c r="M168" s="30">
        <v>12115</v>
      </c>
      <c r="N168" s="30">
        <v>12134</v>
      </c>
      <c r="O168" s="30">
        <v>11897</v>
      </c>
      <c r="P168" s="31">
        <v>0.98200577796120514</v>
      </c>
      <c r="Q168" s="30">
        <v>60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2291</v>
      </c>
      <c r="X168" s="31">
        <v>1.1518350930115639</v>
      </c>
      <c r="Y168" s="30">
        <v>855</v>
      </c>
      <c r="Z168" s="33">
        <v>0.42986425339366519</v>
      </c>
      <c r="AA168" s="30">
        <v>244</v>
      </c>
      <c r="AB168" s="31">
        <v>0.12267471091000499</v>
      </c>
      <c r="AC168" s="30">
        <v>307</v>
      </c>
      <c r="AD168" s="31">
        <v>0.15434891905480139</v>
      </c>
      <c r="AE168" s="30">
        <v>44</v>
      </c>
      <c r="AF168" s="31">
        <v>0.14332247557003261</v>
      </c>
      <c r="AG168" s="30">
        <v>265</v>
      </c>
      <c r="AH168" s="31">
        <v>0.8631921824104235</v>
      </c>
      <c r="AI168" s="34">
        <v>301</v>
      </c>
      <c r="AJ168" s="31">
        <v>0.151332327802916</v>
      </c>
      <c r="AK168" s="34">
        <v>0</v>
      </c>
      <c r="AL168" s="31">
        <v>0.84717607973421927</v>
      </c>
      <c r="AM168" s="34">
        <v>300</v>
      </c>
      <c r="AN168" s="34">
        <v>255</v>
      </c>
      <c r="AO168" s="31">
        <v>0.12820512820512819</v>
      </c>
      <c r="AP168" s="31">
        <v>0.83061889250814336</v>
      </c>
      <c r="AQ168" s="32">
        <v>0.96470588235294119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3.1171442936148819E-2</v>
      </c>
      <c r="AY168" s="31">
        <v>2.9160382101558569E-2</v>
      </c>
      <c r="AZ168" s="31">
        <v>3.0165912518853699E-2</v>
      </c>
      <c r="BA168" s="31">
        <v>0.22745098039215689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2283</v>
      </c>
      <c r="F169" s="30">
        <v>2034</v>
      </c>
      <c r="G169" s="31">
        <v>0.89093298291721423</v>
      </c>
      <c r="H169" s="30">
        <v>1001</v>
      </c>
      <c r="I169" s="32">
        <v>0.4384581690757775</v>
      </c>
      <c r="J169" s="30">
        <v>1798</v>
      </c>
      <c r="K169" s="30">
        <v>1751</v>
      </c>
      <c r="L169" s="31">
        <v>0.97399999999999998</v>
      </c>
      <c r="M169" s="30">
        <v>9742</v>
      </c>
      <c r="N169" s="30">
        <v>10064</v>
      </c>
      <c r="O169" s="30">
        <v>9574</v>
      </c>
      <c r="P169" s="31">
        <v>0.98275508109217824</v>
      </c>
      <c r="Q169" s="30">
        <v>46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2053</v>
      </c>
      <c r="X169" s="31">
        <v>0.89925536574682441</v>
      </c>
      <c r="Y169" s="30">
        <v>850</v>
      </c>
      <c r="Z169" s="33">
        <v>0.37231712658782312</v>
      </c>
      <c r="AA169" s="30">
        <v>131</v>
      </c>
      <c r="AB169" s="31">
        <v>5.7380639509417443E-2</v>
      </c>
      <c r="AC169" s="30">
        <v>396</v>
      </c>
      <c r="AD169" s="31">
        <v>0.17345597897503279</v>
      </c>
      <c r="AE169" s="30">
        <v>36</v>
      </c>
      <c r="AF169" s="31">
        <v>9.0909090909090912E-2</v>
      </c>
      <c r="AG169" s="30">
        <v>343</v>
      </c>
      <c r="AH169" s="31">
        <v>0.86616161616161613</v>
      </c>
      <c r="AI169" s="34">
        <v>385</v>
      </c>
      <c r="AJ169" s="31">
        <v>0.1686377573368375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0.14148050810337279</v>
      </c>
      <c r="AP169" s="31">
        <v>0.81565656565656564</v>
      </c>
      <c r="AQ169" s="32">
        <v>0.97252747252747251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3.0661410424879541E-2</v>
      </c>
      <c r="AY169" s="31">
        <v>2.803328953131844E-2</v>
      </c>
      <c r="AZ169" s="31">
        <v>1.3578624616732369E-2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9549</v>
      </c>
      <c r="F170" s="30">
        <v>8434</v>
      </c>
      <c r="G170" s="31">
        <v>0.88323384647607084</v>
      </c>
      <c r="H170" s="30">
        <v>3473</v>
      </c>
      <c r="I170" s="32">
        <v>0.36370300555031942</v>
      </c>
      <c r="J170" s="30">
        <v>7028</v>
      </c>
      <c r="K170" s="30">
        <v>6877</v>
      </c>
      <c r="L170" s="31">
        <v>0.97899999999999998</v>
      </c>
      <c r="M170" s="30">
        <v>21792</v>
      </c>
      <c r="N170" s="30">
        <v>25730</v>
      </c>
      <c r="O170" s="30">
        <v>21389</v>
      </c>
      <c r="P170" s="31">
        <v>0.98150697503671069</v>
      </c>
      <c r="Q170" s="30">
        <v>90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998</v>
      </c>
      <c r="X170" s="31">
        <v>0.10451356162949001</v>
      </c>
      <c r="Y170" s="30">
        <v>915</v>
      </c>
      <c r="Z170" s="33">
        <v>9.5821551994973289E-2</v>
      </c>
      <c r="AA170" s="30">
        <v>0</v>
      </c>
      <c r="AB170" s="31">
        <v>0</v>
      </c>
      <c r="AC170" s="30">
        <v>2680</v>
      </c>
      <c r="AD170" s="31">
        <v>0.28065766048800922</v>
      </c>
      <c r="AE170" s="30">
        <v>544</v>
      </c>
      <c r="AF170" s="31">
        <v>0.20298507462686571</v>
      </c>
      <c r="AG170" s="30">
        <v>2341</v>
      </c>
      <c r="AH170" s="31">
        <v>0.8735074626865672</v>
      </c>
      <c r="AI170" s="34">
        <v>2739</v>
      </c>
      <c r="AJ170" s="31">
        <v>0.28683631793905118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0.22379306733689391</v>
      </c>
      <c r="AP170" s="31">
        <v>0.79738805970149251</v>
      </c>
      <c r="AQ170" s="32">
        <v>0.96649810366624522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5.9273222326945228E-2</v>
      </c>
      <c r="AY170" s="31">
        <v>6.1681851502775158E-2</v>
      </c>
      <c r="AZ170" s="31">
        <v>1.047230076447795E-3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3624</v>
      </c>
      <c r="F171" s="30">
        <v>3351</v>
      </c>
      <c r="G171" s="31">
        <v>0.92466887417218546</v>
      </c>
      <c r="H171" s="30">
        <v>2063</v>
      </c>
      <c r="I171" s="32">
        <v>0.56926048565121412</v>
      </c>
      <c r="J171" s="30">
        <v>3808</v>
      </c>
      <c r="K171" s="30">
        <v>3725</v>
      </c>
      <c r="L171" s="31">
        <v>0.97799999999999998</v>
      </c>
      <c r="M171" s="30">
        <v>18568</v>
      </c>
      <c r="N171" s="30">
        <v>18935</v>
      </c>
      <c r="O171" s="30">
        <v>18295</v>
      </c>
      <c r="P171" s="31">
        <v>0.98529728565273589</v>
      </c>
      <c r="Q171" s="30">
        <v>74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3602</v>
      </c>
      <c r="X171" s="31">
        <v>0.99392935982339958</v>
      </c>
      <c r="Y171" s="30">
        <v>1211</v>
      </c>
      <c r="Z171" s="33">
        <v>0.33416114790286983</v>
      </c>
      <c r="AA171" s="30">
        <v>257</v>
      </c>
      <c r="AB171" s="31">
        <v>7.0916114790286977E-2</v>
      </c>
      <c r="AC171" s="30">
        <v>625</v>
      </c>
      <c r="AD171" s="31">
        <v>0.1724613686534216</v>
      </c>
      <c r="AE171" s="30">
        <v>75</v>
      </c>
      <c r="AF171" s="31">
        <v>0.12</v>
      </c>
      <c r="AG171" s="30">
        <v>545</v>
      </c>
      <c r="AH171" s="31">
        <v>0.872</v>
      </c>
      <c r="AI171" s="34">
        <v>586</v>
      </c>
      <c r="AJ171" s="31">
        <v>0.16169977924944809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0.1498344370860927</v>
      </c>
      <c r="AP171" s="31">
        <v>0.86880000000000002</v>
      </c>
      <c r="AQ171" s="32">
        <v>0.97193877551020413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2.6490066225165559E-2</v>
      </c>
      <c r="AY171" s="31">
        <v>2.621412803532009E-2</v>
      </c>
      <c r="AZ171" s="31">
        <v>1.7935982339955851E-2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2576</v>
      </c>
      <c r="F172" s="30">
        <v>2431</v>
      </c>
      <c r="G172" s="31">
        <v>0.94371118012422361</v>
      </c>
      <c r="H172" s="30">
        <v>663</v>
      </c>
      <c r="I172" s="32">
        <v>0.25737577639751552</v>
      </c>
      <c r="J172" s="30">
        <v>2388</v>
      </c>
      <c r="K172" s="30">
        <v>2309</v>
      </c>
      <c r="L172" s="31">
        <v>0.96699999999999997</v>
      </c>
      <c r="M172" s="30">
        <v>10857</v>
      </c>
      <c r="N172" s="30">
        <v>11122</v>
      </c>
      <c r="O172" s="30">
        <v>10693</v>
      </c>
      <c r="P172" s="31">
        <v>0.98489453808602745</v>
      </c>
      <c r="Q172" s="30">
        <v>58</v>
      </c>
      <c r="R172" s="30">
        <v>0</v>
      </c>
      <c r="S172" s="30">
        <v>0</v>
      </c>
      <c r="T172" s="31">
        <v>0</v>
      </c>
      <c r="U172" s="30">
        <v>0</v>
      </c>
      <c r="V172" s="31">
        <v>0</v>
      </c>
      <c r="W172" s="30">
        <v>2024</v>
      </c>
      <c r="X172" s="31">
        <v>0.7857142857142857</v>
      </c>
      <c r="Y172" s="30">
        <v>904</v>
      </c>
      <c r="Z172" s="33">
        <v>0.35093167701863348</v>
      </c>
      <c r="AA172" s="30">
        <v>526</v>
      </c>
      <c r="AB172" s="31">
        <v>0.20419254658385089</v>
      </c>
      <c r="AC172" s="30">
        <v>315</v>
      </c>
      <c r="AD172" s="31">
        <v>0.1222826086956522</v>
      </c>
      <c r="AE172" s="30">
        <v>32</v>
      </c>
      <c r="AF172" s="31">
        <v>0.1015873015873016</v>
      </c>
      <c r="AG172" s="30">
        <v>274</v>
      </c>
      <c r="AH172" s="31">
        <v>0.86984126984126986</v>
      </c>
      <c r="AI172" s="34">
        <v>302</v>
      </c>
      <c r="AJ172" s="31">
        <v>0.1172360248447205</v>
      </c>
      <c r="AK172" s="34">
        <v>1</v>
      </c>
      <c r="AL172" s="31">
        <v>0.8443708609271523</v>
      </c>
      <c r="AM172" s="34">
        <v>300</v>
      </c>
      <c r="AN172" s="34">
        <v>255</v>
      </c>
      <c r="AO172" s="31">
        <v>9.8990683229813664E-2</v>
      </c>
      <c r="AP172" s="31">
        <v>0.80952380952380953</v>
      </c>
      <c r="AQ172" s="32">
        <v>0.94565217391304346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2.872670807453416E-2</v>
      </c>
      <c r="AY172" s="31">
        <v>2.872670807453416E-2</v>
      </c>
      <c r="AZ172" s="31">
        <v>1.746894409937888E-2</v>
      </c>
      <c r="BA172" s="31">
        <v>0.29019607843137257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2966</v>
      </c>
      <c r="F173" s="30">
        <v>2630</v>
      </c>
      <c r="G173" s="31">
        <v>0.88671611598111932</v>
      </c>
      <c r="H173" s="30">
        <v>1679</v>
      </c>
      <c r="I173" s="32">
        <v>0.56608226567768039</v>
      </c>
      <c r="J173" s="30">
        <v>2903</v>
      </c>
      <c r="K173" s="30">
        <v>2838</v>
      </c>
      <c r="L173" s="31">
        <v>0.97799999999999998</v>
      </c>
      <c r="M173" s="30">
        <v>11040</v>
      </c>
      <c r="N173" s="30">
        <v>11480</v>
      </c>
      <c r="O173" s="30">
        <v>10891</v>
      </c>
      <c r="P173" s="31">
        <v>0.98650362318840579</v>
      </c>
      <c r="Q173" s="30">
        <v>49</v>
      </c>
      <c r="R173" s="30">
        <v>0</v>
      </c>
      <c r="S173" s="30">
        <v>0</v>
      </c>
      <c r="T173" s="31">
        <v>0</v>
      </c>
      <c r="U173" s="30">
        <v>0</v>
      </c>
      <c r="V173" s="31">
        <v>0</v>
      </c>
      <c r="W173" s="30">
        <v>1720</v>
      </c>
      <c r="X173" s="31">
        <v>0.57990559676331765</v>
      </c>
      <c r="Y173" s="30">
        <v>813</v>
      </c>
      <c r="Z173" s="33">
        <v>0.27410654079568442</v>
      </c>
      <c r="AA173" s="30">
        <v>475</v>
      </c>
      <c r="AB173" s="31">
        <v>0.16014834794335811</v>
      </c>
      <c r="AC173" s="30">
        <v>394</v>
      </c>
      <c r="AD173" s="31">
        <v>0.13283884018880651</v>
      </c>
      <c r="AE173" s="30">
        <v>45</v>
      </c>
      <c r="AF173" s="31">
        <v>0.1142131979695431</v>
      </c>
      <c r="AG173" s="30">
        <v>342</v>
      </c>
      <c r="AH173" s="31">
        <v>0.86802030456852797</v>
      </c>
      <c r="AI173" s="34">
        <v>366</v>
      </c>
      <c r="AJ173" s="31">
        <v>0.1233985165205664</v>
      </c>
      <c r="AK173" s="34">
        <v>4</v>
      </c>
      <c r="AL173" s="31">
        <v>0.85792349726775952</v>
      </c>
      <c r="AM173" s="34">
        <v>367</v>
      </c>
      <c r="AN173" s="34">
        <v>314</v>
      </c>
      <c r="AO173" s="31">
        <v>0.1058664868509777</v>
      </c>
      <c r="AP173" s="31">
        <v>0.79695431472081213</v>
      </c>
      <c r="AQ173" s="32">
        <v>0.95492957746478868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2.2589345920431561E-2</v>
      </c>
      <c r="AY173" s="31">
        <v>2.2252191503708701E-2</v>
      </c>
      <c r="AZ173" s="31">
        <v>7.7545515846257594E-3</v>
      </c>
      <c r="BA173" s="31">
        <v>0.21019108280254781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10264</v>
      </c>
      <c r="F174" s="30">
        <v>9347</v>
      </c>
      <c r="G174" s="31">
        <v>0.91065861262665626</v>
      </c>
      <c r="H174" s="30">
        <v>3593</v>
      </c>
      <c r="I174" s="32">
        <v>0.35005845674201091</v>
      </c>
      <c r="J174" s="30">
        <v>10295</v>
      </c>
      <c r="K174" s="30">
        <v>10126</v>
      </c>
      <c r="L174" s="31">
        <v>0.98399999999999999</v>
      </c>
      <c r="M174" s="30">
        <v>29665</v>
      </c>
      <c r="N174" s="30">
        <v>30856</v>
      </c>
      <c r="O174" s="30">
        <v>29256</v>
      </c>
      <c r="P174" s="31">
        <v>0.98621270857913368</v>
      </c>
      <c r="Q174" s="30">
        <v>97</v>
      </c>
      <c r="R174" s="30">
        <v>0</v>
      </c>
      <c r="S174" s="30">
        <v>0</v>
      </c>
      <c r="T174" s="31">
        <v>0</v>
      </c>
      <c r="U174" s="30">
        <v>0</v>
      </c>
      <c r="V174" s="31">
        <v>0</v>
      </c>
      <c r="W174" s="30">
        <v>916</v>
      </c>
      <c r="X174" s="31">
        <v>8.924395946999221E-2</v>
      </c>
      <c r="Y174" s="30">
        <v>1220</v>
      </c>
      <c r="Z174" s="33">
        <v>0.1188620420888542</v>
      </c>
      <c r="AA174" s="30">
        <v>5</v>
      </c>
      <c r="AB174" s="31">
        <v>4.8713951675759942E-4</v>
      </c>
      <c r="AC174" s="30">
        <v>2695</v>
      </c>
      <c r="AD174" s="31">
        <v>0.26256819953234611</v>
      </c>
      <c r="AE174" s="30">
        <v>491</v>
      </c>
      <c r="AF174" s="31">
        <v>0.18218923933209649</v>
      </c>
      <c r="AG174" s="30">
        <v>2291</v>
      </c>
      <c r="AH174" s="31">
        <v>0.85009276437847869</v>
      </c>
      <c r="AI174" s="34">
        <v>2658</v>
      </c>
      <c r="AJ174" s="31">
        <v>0.25896336710833978</v>
      </c>
      <c r="AK174" s="34">
        <v>22</v>
      </c>
      <c r="AL174" s="31">
        <v>0.79044394281414598</v>
      </c>
      <c r="AM174" s="34">
        <v>2651</v>
      </c>
      <c r="AN174" s="34">
        <v>2101</v>
      </c>
      <c r="AO174" s="31">
        <v>0.20469602494154329</v>
      </c>
      <c r="AP174" s="31">
        <v>0.7795918367346939</v>
      </c>
      <c r="AQ174" s="32">
        <v>0.97282394643560455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0.1280202650038971</v>
      </c>
      <c r="AY174" s="31">
        <v>8.6126266562743567E-2</v>
      </c>
      <c r="AZ174" s="31">
        <v>1.0717069368667189E-3</v>
      </c>
      <c r="BA174" s="31">
        <v>0.42075202284626367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3428</v>
      </c>
      <c r="F175" s="30">
        <v>3178</v>
      </c>
      <c r="G175" s="31">
        <v>0.92707117852975496</v>
      </c>
      <c r="H175" s="30">
        <v>1690</v>
      </c>
      <c r="I175" s="32">
        <v>0.49299883313885651</v>
      </c>
      <c r="J175" s="30">
        <v>3113</v>
      </c>
      <c r="K175" s="30">
        <v>3029</v>
      </c>
      <c r="L175" s="31">
        <v>0.97299999999999998</v>
      </c>
      <c r="M175" s="30">
        <v>17412</v>
      </c>
      <c r="N175" s="30">
        <v>17837</v>
      </c>
      <c r="O175" s="30">
        <v>17208</v>
      </c>
      <c r="P175" s="31">
        <v>0.98828394210889037</v>
      </c>
      <c r="Q175" s="30">
        <v>66</v>
      </c>
      <c r="R175" s="30">
        <v>0</v>
      </c>
      <c r="S175" s="30">
        <v>0</v>
      </c>
      <c r="T175" s="31">
        <v>0</v>
      </c>
      <c r="U175" s="30">
        <v>0</v>
      </c>
      <c r="V175" s="31">
        <v>0</v>
      </c>
      <c r="W175" s="30">
        <v>2716</v>
      </c>
      <c r="X175" s="31">
        <v>0.79229871645274208</v>
      </c>
      <c r="Y175" s="30">
        <v>1128</v>
      </c>
      <c r="Z175" s="33">
        <v>0.32905484247374561</v>
      </c>
      <c r="AA175" s="30">
        <v>559</v>
      </c>
      <c r="AB175" s="31">
        <v>0.16306884480746789</v>
      </c>
      <c r="AC175" s="30">
        <v>622</v>
      </c>
      <c r="AD175" s="31">
        <v>0.18144690781796971</v>
      </c>
      <c r="AE175" s="30">
        <v>68</v>
      </c>
      <c r="AF175" s="31">
        <v>0.10932475884244371</v>
      </c>
      <c r="AG175" s="30">
        <v>550</v>
      </c>
      <c r="AH175" s="31">
        <v>0.88424437299035374</v>
      </c>
      <c r="AI175" s="34">
        <v>623</v>
      </c>
      <c r="AJ175" s="31">
        <v>0.18173862310385061</v>
      </c>
      <c r="AK175" s="34">
        <v>2</v>
      </c>
      <c r="AL175" s="31">
        <v>0.9357945425361156</v>
      </c>
      <c r="AM175" s="34">
        <v>621</v>
      </c>
      <c r="AN175" s="34">
        <v>583</v>
      </c>
      <c r="AO175" s="31">
        <v>0.17007001166861141</v>
      </c>
      <c r="AP175" s="31">
        <v>0.93729903536977488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3.3838973162193697E-2</v>
      </c>
      <c r="AY175" s="31">
        <v>3.2672112018669777E-2</v>
      </c>
      <c r="AZ175" s="31">
        <v>1.516919486581097E-2</v>
      </c>
      <c r="BA175" s="31">
        <v>0.19210977701543741</v>
      </c>
      <c r="BB175" s="34">
        <v>0</v>
      </c>
      <c r="BC175" s="34">
        <v>1</v>
      </c>
      <c r="BD175" s="32">
        <v>0.98333333333333328</v>
      </c>
      <c r="BE175" s="32">
        <v>0.91666666666666663</v>
      </c>
      <c r="BF175" s="32" t="s">
        <v>335</v>
      </c>
    </row>
    <row r="176" spans="1:58" ht="19.5" customHeight="1">
      <c r="A176" s="35">
        <v>173</v>
      </c>
      <c r="B176" s="30" t="s">
        <v>5</v>
      </c>
      <c r="C176" s="36">
        <v>46125</v>
      </c>
      <c r="D176" s="30" t="s">
        <v>2</v>
      </c>
      <c r="E176" s="30">
        <v>1864</v>
      </c>
      <c r="F176" s="30">
        <v>1806</v>
      </c>
      <c r="G176" s="31">
        <v>0.9688841201716738</v>
      </c>
      <c r="H176" s="30">
        <v>559</v>
      </c>
      <c r="I176" s="32">
        <v>0.29989270386266093</v>
      </c>
      <c r="J176" s="30">
        <v>2201</v>
      </c>
      <c r="K176" s="30">
        <v>2127</v>
      </c>
      <c r="L176" s="31">
        <v>0.96599999999999997</v>
      </c>
      <c r="M176" s="30">
        <v>10503</v>
      </c>
      <c r="N176" s="30">
        <v>9855</v>
      </c>
      <c r="O176" s="30">
        <v>10333</v>
      </c>
      <c r="P176" s="31">
        <v>0.98381414833856995</v>
      </c>
      <c r="Q176" s="30">
        <v>94</v>
      </c>
      <c r="R176" s="30">
        <v>134088</v>
      </c>
      <c r="S176" s="30">
        <v>71374</v>
      </c>
      <c r="T176" s="31">
        <v>0.53229222600083526</v>
      </c>
      <c r="U176" s="30">
        <v>28246</v>
      </c>
      <c r="V176" s="31">
        <v>0.21065270568581829</v>
      </c>
      <c r="W176" s="30">
        <v>1747</v>
      </c>
      <c r="X176" s="31">
        <v>0.9372317596566524</v>
      </c>
      <c r="Y176" s="30">
        <v>1349</v>
      </c>
      <c r="Z176" s="33">
        <v>0.72371244635193133</v>
      </c>
      <c r="AA176" s="30">
        <v>349</v>
      </c>
      <c r="AB176" s="31">
        <v>0.1872317596566524</v>
      </c>
      <c r="AC176" s="30">
        <v>184</v>
      </c>
      <c r="AD176" s="31">
        <v>9.8712446351931327E-2</v>
      </c>
      <c r="AE176" s="30">
        <v>18</v>
      </c>
      <c r="AF176" s="31">
        <v>9.7826086956521743E-2</v>
      </c>
      <c r="AG176" s="30">
        <v>154</v>
      </c>
      <c r="AH176" s="31">
        <v>0.83695652173913049</v>
      </c>
      <c r="AI176" s="34">
        <v>173</v>
      </c>
      <c r="AJ176" s="31">
        <v>9.2811158798283264E-2</v>
      </c>
      <c r="AK176" s="34">
        <v>0</v>
      </c>
      <c r="AL176" s="31">
        <v>0.76878612716763006</v>
      </c>
      <c r="AM176" s="34">
        <v>173</v>
      </c>
      <c r="AN176" s="34">
        <v>133</v>
      </c>
      <c r="AO176" s="31">
        <v>7.1351931330472101E-2</v>
      </c>
      <c r="AP176" s="31">
        <v>0.72282608695652173</v>
      </c>
      <c r="AQ176" s="32">
        <v>0.97909407665505221</v>
      </c>
      <c r="AR176" s="34">
        <v>0</v>
      </c>
      <c r="AS176" s="34">
        <v>0</v>
      </c>
      <c r="AT176" s="34">
        <v>60</v>
      </c>
      <c r="AU176" s="34">
        <v>54</v>
      </c>
      <c r="AV176" s="34">
        <v>56</v>
      </c>
      <c r="AW176" s="34">
        <v>70</v>
      </c>
      <c r="AX176" s="31">
        <v>2.896995708154506E-2</v>
      </c>
      <c r="AY176" s="31">
        <v>3.0042918454935619E-2</v>
      </c>
      <c r="AZ176" s="31">
        <v>3.755364806866953E-2</v>
      </c>
      <c r="BA176" s="31">
        <v>0.42105263157894729</v>
      </c>
      <c r="BB176" s="34">
        <v>0</v>
      </c>
      <c r="BC176" s="34">
        <v>0</v>
      </c>
      <c r="BD176" s="32">
        <v>0.96296296296296291</v>
      </c>
      <c r="BE176" s="32">
        <v>1</v>
      </c>
      <c r="BF176" s="32" t="s">
        <v>335</v>
      </c>
    </row>
    <row r="177" spans="1:58" ht="19.5" customHeight="1">
      <c r="A177" s="35">
        <v>174</v>
      </c>
      <c r="B177" s="30" t="s">
        <v>5</v>
      </c>
      <c r="C177" s="36">
        <v>46125</v>
      </c>
      <c r="D177" s="30" t="s">
        <v>285</v>
      </c>
      <c r="E177" s="30">
        <v>2307</v>
      </c>
      <c r="F177" s="30">
        <v>2220</v>
      </c>
      <c r="G177" s="31">
        <v>0.96228868660598177</v>
      </c>
      <c r="H177" s="30">
        <v>1463</v>
      </c>
      <c r="I177" s="32">
        <v>0.63415691374078886</v>
      </c>
      <c r="J177" s="30">
        <v>2440</v>
      </c>
      <c r="K177" s="30">
        <v>2388</v>
      </c>
      <c r="L177" s="31">
        <v>0.97899999999999998</v>
      </c>
      <c r="M177" s="30">
        <v>10643</v>
      </c>
      <c r="N177" s="30">
        <v>9825</v>
      </c>
      <c r="O177" s="30">
        <v>10475</v>
      </c>
      <c r="P177" s="31">
        <v>0.98421497698017479</v>
      </c>
      <c r="Q177" s="30">
        <v>108</v>
      </c>
      <c r="R177" s="30">
        <v>334406</v>
      </c>
      <c r="S177" s="30">
        <v>161379</v>
      </c>
      <c r="T177" s="31">
        <v>0.48258404454465531</v>
      </c>
      <c r="U177" s="30">
        <v>56399</v>
      </c>
      <c r="V177" s="31">
        <v>0.1686542705573465</v>
      </c>
      <c r="W177" s="30">
        <v>1464</v>
      </c>
      <c r="X177" s="31">
        <v>0.63459037711313393</v>
      </c>
      <c r="Y177" s="30">
        <v>1255</v>
      </c>
      <c r="Z177" s="33">
        <v>0.54399653229302125</v>
      </c>
      <c r="AA177" s="30">
        <v>728</v>
      </c>
      <c r="AB177" s="31">
        <v>0.31556133506718681</v>
      </c>
      <c r="AC177" s="30">
        <v>201</v>
      </c>
      <c r="AD177" s="31">
        <v>8.7126137841352411E-2</v>
      </c>
      <c r="AE177" s="30">
        <v>31</v>
      </c>
      <c r="AF177" s="31">
        <v>0.154228855721393</v>
      </c>
      <c r="AG177" s="30">
        <v>159</v>
      </c>
      <c r="AH177" s="31">
        <v>0.79104477611940294</v>
      </c>
      <c r="AI177" s="34">
        <v>172</v>
      </c>
      <c r="AJ177" s="31">
        <v>7.4555700043346343E-2</v>
      </c>
      <c r="AK177" s="34">
        <v>0</v>
      </c>
      <c r="AL177" s="31">
        <v>0.7558139534883721</v>
      </c>
      <c r="AM177" s="34">
        <v>172</v>
      </c>
      <c r="AN177" s="34">
        <v>130</v>
      </c>
      <c r="AO177" s="31">
        <v>5.6350238404854792E-2</v>
      </c>
      <c r="AP177" s="31">
        <v>0.64676616915422891</v>
      </c>
      <c r="AQ177" s="32">
        <v>0.96264367816091956</v>
      </c>
      <c r="AR177" s="34">
        <v>0</v>
      </c>
      <c r="AS177" s="34">
        <v>0</v>
      </c>
      <c r="AT177" s="34">
        <v>63</v>
      </c>
      <c r="AU177" s="34">
        <v>53</v>
      </c>
      <c r="AV177" s="34">
        <v>55</v>
      </c>
      <c r="AW177" s="34">
        <v>49</v>
      </c>
      <c r="AX177" s="31">
        <v>2.2973558734286949E-2</v>
      </c>
      <c r="AY177" s="31">
        <v>2.384048547897703E-2</v>
      </c>
      <c r="AZ177" s="31">
        <v>2.1239705244906801E-2</v>
      </c>
      <c r="BA177" s="31">
        <v>0.42307692307692307</v>
      </c>
      <c r="BB177" s="34">
        <v>0</v>
      </c>
      <c r="BC177" s="34">
        <v>0</v>
      </c>
      <c r="BD177" s="32">
        <v>0.95454545454545459</v>
      </c>
      <c r="BE177" s="32">
        <v>1</v>
      </c>
      <c r="BF177" s="32" t="s">
        <v>335</v>
      </c>
    </row>
    <row r="178" spans="1:58" ht="19.5" customHeight="1">
      <c r="A178" s="35">
        <v>175</v>
      </c>
      <c r="B178" s="30" t="s">
        <v>5</v>
      </c>
      <c r="C178" s="36">
        <v>46125</v>
      </c>
      <c r="D178" s="30" t="s">
        <v>25</v>
      </c>
      <c r="E178" s="30">
        <v>7544</v>
      </c>
      <c r="F178" s="30">
        <v>7328</v>
      </c>
      <c r="G178" s="31">
        <v>0.97136797454931068</v>
      </c>
      <c r="H178" s="30">
        <v>3193</v>
      </c>
      <c r="I178" s="32">
        <v>0.42325026511134678</v>
      </c>
      <c r="J178" s="30">
        <v>9881</v>
      </c>
      <c r="K178" s="30">
        <v>9638</v>
      </c>
      <c r="L178" s="31">
        <v>0.97499999999999998</v>
      </c>
      <c r="M178" s="30">
        <v>27097</v>
      </c>
      <c r="N178" s="30">
        <v>23898</v>
      </c>
      <c r="O178" s="30">
        <v>26645</v>
      </c>
      <c r="P178" s="31">
        <v>0.98331918662582574</v>
      </c>
      <c r="Q178" s="30">
        <v>208</v>
      </c>
      <c r="R178" s="30">
        <v>87790</v>
      </c>
      <c r="S178" s="30">
        <v>49548</v>
      </c>
      <c r="T178" s="31">
        <v>0.56439229980635608</v>
      </c>
      <c r="U178" s="30">
        <v>20194</v>
      </c>
      <c r="V178" s="31">
        <v>0.23002619888369971</v>
      </c>
      <c r="W178" s="30">
        <v>873</v>
      </c>
      <c r="X178" s="31">
        <v>0.1157211028632025</v>
      </c>
      <c r="Y178" s="30">
        <v>1323</v>
      </c>
      <c r="Z178" s="33">
        <v>0.17537115588547189</v>
      </c>
      <c r="AA178" s="30">
        <v>4</v>
      </c>
      <c r="AB178" s="31">
        <v>5.3022269353128319E-4</v>
      </c>
      <c r="AC178" s="30">
        <v>1325</v>
      </c>
      <c r="AD178" s="31">
        <v>0.17563626723223749</v>
      </c>
      <c r="AE178" s="30">
        <v>228</v>
      </c>
      <c r="AF178" s="31">
        <v>0.17207547169811321</v>
      </c>
      <c r="AG178" s="30">
        <v>1048</v>
      </c>
      <c r="AH178" s="31">
        <v>0.79094339622641507</v>
      </c>
      <c r="AI178" s="34">
        <v>1328</v>
      </c>
      <c r="AJ178" s="31">
        <v>0.176033934252386</v>
      </c>
      <c r="AK178" s="34">
        <v>1</v>
      </c>
      <c r="AL178" s="31">
        <v>0.71837349397590367</v>
      </c>
      <c r="AM178" s="34">
        <v>1328</v>
      </c>
      <c r="AN178" s="34">
        <v>954</v>
      </c>
      <c r="AO178" s="31">
        <v>0.126458112407211</v>
      </c>
      <c r="AP178" s="31">
        <v>0.72</v>
      </c>
      <c r="AQ178" s="32">
        <v>0.97635835752799671</v>
      </c>
      <c r="AR178" s="34">
        <v>0</v>
      </c>
      <c r="AS178" s="34">
        <v>0</v>
      </c>
      <c r="AT178" s="34">
        <v>72</v>
      </c>
      <c r="AU178" s="34">
        <v>-43</v>
      </c>
      <c r="AV178" s="34">
        <v>129</v>
      </c>
      <c r="AW178" s="34">
        <v>10</v>
      </c>
      <c r="AX178" s="31">
        <v>-5.6998939554612944E-3</v>
      </c>
      <c r="AY178" s="31">
        <v>1.709968186638388E-2</v>
      </c>
      <c r="AZ178" s="31">
        <v>1.3255567338282079E-3</v>
      </c>
      <c r="BA178" s="31">
        <v>0.13522012578616349</v>
      </c>
      <c r="BB178" s="34">
        <v>0</v>
      </c>
      <c r="BC178" s="34">
        <v>0</v>
      </c>
      <c r="BD178" s="32">
        <v>0.98019801980198018</v>
      </c>
      <c r="BE178" s="32">
        <v>0.98245614035087714</v>
      </c>
      <c r="BF178" s="32" t="s">
        <v>335</v>
      </c>
    </row>
    <row r="179" spans="1:58" ht="19.5" customHeight="1">
      <c r="A179" s="35">
        <v>176</v>
      </c>
      <c r="B179" s="30" t="s">
        <v>5</v>
      </c>
      <c r="C179" s="36">
        <v>46125</v>
      </c>
      <c r="D179" s="30" t="s">
        <v>287</v>
      </c>
      <c r="E179" s="30">
        <v>2755</v>
      </c>
      <c r="F179" s="30">
        <v>2660</v>
      </c>
      <c r="G179" s="31">
        <v>0.96551724137931039</v>
      </c>
      <c r="H179" s="30">
        <v>1453</v>
      </c>
      <c r="I179" s="32">
        <v>0.52740471869328498</v>
      </c>
      <c r="J179" s="30">
        <v>4186</v>
      </c>
      <c r="K179" s="30">
        <v>4074</v>
      </c>
      <c r="L179" s="31">
        <v>0.97299999999999998</v>
      </c>
      <c r="M179" s="30">
        <v>18301</v>
      </c>
      <c r="N179" s="30">
        <v>17335</v>
      </c>
      <c r="O179" s="30">
        <v>18044</v>
      </c>
      <c r="P179" s="31">
        <v>0.985957051527239</v>
      </c>
      <c r="Q179" s="30">
        <v>131</v>
      </c>
      <c r="R179" s="30">
        <v>181679</v>
      </c>
      <c r="S179" s="30">
        <v>88910</v>
      </c>
      <c r="T179" s="31">
        <v>0.48937962009918601</v>
      </c>
      <c r="U179" s="30">
        <v>44078</v>
      </c>
      <c r="V179" s="31">
        <v>0.24261472156936131</v>
      </c>
      <c r="W179" s="30">
        <v>2161</v>
      </c>
      <c r="X179" s="31">
        <v>0.78439201451905627</v>
      </c>
      <c r="Y179" s="30">
        <v>1959</v>
      </c>
      <c r="Z179" s="33">
        <v>0.71107078039927407</v>
      </c>
      <c r="AA179" s="30">
        <v>779</v>
      </c>
      <c r="AB179" s="31">
        <v>0.28275862068965518</v>
      </c>
      <c r="AC179" s="30">
        <v>381</v>
      </c>
      <c r="AD179" s="31">
        <v>0.13829401088929219</v>
      </c>
      <c r="AE179" s="30">
        <v>63</v>
      </c>
      <c r="AF179" s="31">
        <v>0.1653543307086614</v>
      </c>
      <c r="AG179" s="30">
        <v>303</v>
      </c>
      <c r="AH179" s="31">
        <v>0.79527559055118113</v>
      </c>
      <c r="AI179" s="34">
        <v>375</v>
      </c>
      <c r="AJ179" s="31">
        <v>0.1361161524500907</v>
      </c>
      <c r="AK179" s="34">
        <v>0</v>
      </c>
      <c r="AL179" s="31">
        <v>0.94933333333333336</v>
      </c>
      <c r="AM179" s="34">
        <v>370</v>
      </c>
      <c r="AN179" s="34">
        <v>356</v>
      </c>
      <c r="AO179" s="31">
        <v>0.12921960072595279</v>
      </c>
      <c r="AP179" s="31">
        <v>0.93438320209973758</v>
      </c>
      <c r="AQ179" s="32">
        <v>0.94630872483221473</v>
      </c>
      <c r="AR179" s="34">
        <v>0</v>
      </c>
      <c r="AS179" s="34">
        <v>0</v>
      </c>
      <c r="AT179" s="34">
        <v>62</v>
      </c>
      <c r="AU179" s="34">
        <v>50</v>
      </c>
      <c r="AV179" s="34">
        <v>53</v>
      </c>
      <c r="AW179" s="34">
        <v>95</v>
      </c>
      <c r="AX179" s="31">
        <v>1.814882032667877E-2</v>
      </c>
      <c r="AY179" s="31">
        <v>1.9237749546279489E-2</v>
      </c>
      <c r="AZ179" s="31">
        <v>3.4482758620689648E-2</v>
      </c>
      <c r="BA179" s="31">
        <v>0.148876404494382</v>
      </c>
      <c r="BB179" s="34">
        <v>0</v>
      </c>
      <c r="BC179" s="34">
        <v>0</v>
      </c>
      <c r="BD179" s="32">
        <v>1</v>
      </c>
      <c r="BE179" s="32">
        <v>1</v>
      </c>
      <c r="BF179" s="32" t="s">
        <v>335</v>
      </c>
    </row>
  </sheetData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6"/>
  <sheetViews>
    <sheetView workbookViewId="0">
      <selection activeCell="G34" sqref="G34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983023</v>
      </c>
      <c r="D2" s="11">
        <v>985212</v>
      </c>
      <c r="E2" s="11">
        <v>919477</v>
      </c>
      <c r="F2" s="11">
        <v>65735</v>
      </c>
      <c r="G2" s="11">
        <v>700570</v>
      </c>
      <c r="H2" s="11">
        <v>47887</v>
      </c>
      <c r="I2" s="11">
        <v>22797</v>
      </c>
      <c r="J2" s="11">
        <v>17678</v>
      </c>
      <c r="K2" s="12">
        <v>40374</v>
      </c>
      <c r="L2" s="11">
        <v>66174</v>
      </c>
      <c r="M2" s="10" t="s">
        <v>686</v>
      </c>
      <c r="N2" s="10" t="s">
        <v>527</v>
      </c>
      <c r="O2" s="10" t="s">
        <v>221</v>
      </c>
      <c r="P2" s="10" t="s">
        <v>687</v>
      </c>
      <c r="Q2" s="10" t="s">
        <v>131</v>
      </c>
      <c r="R2" s="10" t="s">
        <v>668</v>
      </c>
      <c r="S2" s="10" t="s">
        <v>669</v>
      </c>
      <c r="T2" s="10" t="s">
        <v>688</v>
      </c>
      <c r="U2" s="10" t="s">
        <v>689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449</v>
      </c>
      <c r="N3" s="10" t="s">
        <v>450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451</v>
      </c>
      <c r="N4" s="10" t="s">
        <v>434</v>
      </c>
      <c r="O4" s="10" t="s">
        <v>452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453</v>
      </c>
      <c r="N5" s="10" t="s">
        <v>454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455</v>
      </c>
      <c r="N6" s="10" t="s">
        <v>456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457</v>
      </c>
      <c r="N7" s="10" t="s">
        <v>458</v>
      </c>
      <c r="O7" s="10" t="s">
        <v>459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460</v>
      </c>
      <c r="N8" s="10" t="s">
        <v>461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462</v>
      </c>
      <c r="N9" s="10" t="s">
        <v>463</v>
      </c>
      <c r="O9" s="10" t="s">
        <v>464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465</v>
      </c>
      <c r="N10" s="10" t="s">
        <v>439</v>
      </c>
      <c r="O10" s="10" t="s">
        <v>454</v>
      </c>
      <c r="P10" s="10" t="s">
        <v>181</v>
      </c>
      <c r="Q10" s="10" t="s">
        <v>440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466</v>
      </c>
      <c r="N11" s="10" t="s">
        <v>181</v>
      </c>
      <c r="O11" s="10" t="s">
        <v>467</v>
      </c>
      <c r="P11" s="10" t="s">
        <v>216</v>
      </c>
      <c r="Q11" s="10" t="s">
        <v>468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469</v>
      </c>
      <c r="N12" s="10" t="s">
        <v>470</v>
      </c>
      <c r="O12" s="10" t="s">
        <v>471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472</v>
      </c>
      <c r="N13" s="10" t="s">
        <v>473</v>
      </c>
      <c r="O13" s="10" t="s">
        <v>474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475</v>
      </c>
      <c r="N14" s="10" t="s">
        <v>476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477</v>
      </c>
      <c r="N15" s="10" t="s">
        <v>478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479</v>
      </c>
      <c r="N16" s="10" t="s">
        <v>480</v>
      </c>
      <c r="O16" s="10" t="s">
        <v>481</v>
      </c>
      <c r="P16" s="10" t="s">
        <v>227</v>
      </c>
      <c r="Q16" s="10" t="s">
        <v>482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483</v>
      </c>
      <c r="N17" s="10" t="s">
        <v>484</v>
      </c>
      <c r="O17" s="10" t="s">
        <v>485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486</v>
      </c>
      <c r="N18" s="10" t="s">
        <v>487</v>
      </c>
      <c r="O18" s="10" t="s">
        <v>488</v>
      </c>
      <c r="P18" s="10" t="s">
        <v>232</v>
      </c>
      <c r="Q18" s="10" t="s">
        <v>489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490</v>
      </c>
      <c r="N19" s="10" t="s">
        <v>491</v>
      </c>
      <c r="O19" s="10" t="s">
        <v>492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493</v>
      </c>
      <c r="N20" s="10" t="s">
        <v>447</v>
      </c>
      <c r="O20" s="10" t="s">
        <v>494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495</v>
      </c>
      <c r="N21" s="10" t="s">
        <v>496</v>
      </c>
      <c r="O21" s="10" t="s">
        <v>438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497</v>
      </c>
      <c r="N22" s="10" t="s">
        <v>498</v>
      </c>
      <c r="O22" s="10" t="s">
        <v>499</v>
      </c>
      <c r="P22" s="10" t="s">
        <v>282</v>
      </c>
      <c r="Q22" s="10" t="s">
        <v>500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501</v>
      </c>
      <c r="N23" s="10" t="s">
        <v>502</v>
      </c>
      <c r="O23" s="10" t="s">
        <v>425</v>
      </c>
      <c r="P23" s="10" t="s">
        <v>380</v>
      </c>
      <c r="Q23" s="10" t="s">
        <v>503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504</v>
      </c>
      <c r="N24" s="10" t="s">
        <v>505</v>
      </c>
      <c r="O24" s="10" t="s">
        <v>506</v>
      </c>
      <c r="P24" s="10" t="s">
        <v>507</v>
      </c>
      <c r="Q24" s="10" t="s">
        <v>508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509</v>
      </c>
      <c r="N25" s="10" t="s">
        <v>510</v>
      </c>
      <c r="O25" s="10" t="s">
        <v>511</v>
      </c>
      <c r="P25" s="10" t="s">
        <v>399</v>
      </c>
      <c r="Q25" s="10" t="s">
        <v>512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513</v>
      </c>
      <c r="N26" s="10" t="s">
        <v>514</v>
      </c>
      <c r="O26" s="10" t="s">
        <v>515</v>
      </c>
      <c r="P26" s="10" t="s">
        <v>384</v>
      </c>
      <c r="Q26" s="10" t="s">
        <v>516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517</v>
      </c>
      <c r="N27" s="10" t="s">
        <v>518</v>
      </c>
      <c r="O27" s="10" t="s">
        <v>128</v>
      </c>
      <c r="P27" s="10" t="s">
        <v>390</v>
      </c>
      <c r="Q27" s="10" t="s">
        <v>431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519</v>
      </c>
      <c r="N28" s="10" t="s">
        <v>412</v>
      </c>
      <c r="O28" s="10" t="s">
        <v>92</v>
      </c>
      <c r="P28" s="10" t="s">
        <v>391</v>
      </c>
      <c r="Q28" s="10" t="s">
        <v>520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521</v>
      </c>
      <c r="N29" s="10" t="s">
        <v>522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523</v>
      </c>
      <c r="N30" s="10" t="s">
        <v>524</v>
      </c>
      <c r="O30" s="10" t="s">
        <v>525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526</v>
      </c>
      <c r="N31" s="10" t="s">
        <v>527</v>
      </c>
      <c r="O31" s="10" t="s">
        <v>528</v>
      </c>
      <c r="P31" s="10" t="s">
        <v>202</v>
      </c>
      <c r="Q31" s="10" t="s">
        <v>170</v>
      </c>
      <c r="R31" s="10" t="s">
        <v>529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530</v>
      </c>
      <c r="N32" s="10" t="s">
        <v>531</v>
      </c>
      <c r="O32" s="10" t="s">
        <v>450</v>
      </c>
      <c r="P32" s="10" t="s">
        <v>402</v>
      </c>
      <c r="Q32" s="10" t="s">
        <v>532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533</v>
      </c>
      <c r="N33" s="10" t="s">
        <v>534</v>
      </c>
      <c r="O33" s="10" t="s">
        <v>535</v>
      </c>
      <c r="P33" s="10" t="s">
        <v>408</v>
      </c>
      <c r="Q33" s="10" t="s">
        <v>536</v>
      </c>
      <c r="R33" s="10" t="s">
        <v>409</v>
      </c>
      <c r="S33" s="10" t="s">
        <v>537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11934</v>
      </c>
      <c r="H34" s="11">
        <v>412</v>
      </c>
      <c r="I34" s="11">
        <v>44</v>
      </c>
      <c r="J34" s="11">
        <v>25</v>
      </c>
      <c r="K34" s="12">
        <v>344</v>
      </c>
      <c r="L34" s="11">
        <v>914</v>
      </c>
      <c r="M34" s="10" t="s">
        <v>690</v>
      </c>
      <c r="N34" s="10" t="s">
        <v>691</v>
      </c>
      <c r="O34" s="10" t="s">
        <v>148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12366</v>
      </c>
      <c r="H35" s="11">
        <v>367</v>
      </c>
      <c r="I35" s="11">
        <v>41</v>
      </c>
      <c r="J35" s="11">
        <v>14</v>
      </c>
      <c r="K35" s="12">
        <v>187</v>
      </c>
      <c r="L35" s="11">
        <v>849</v>
      </c>
      <c r="M35" s="10" t="s">
        <v>692</v>
      </c>
      <c r="N35" s="10" t="s">
        <v>693</v>
      </c>
      <c r="O35" s="10" t="s">
        <v>672</v>
      </c>
      <c r="P35" s="10" t="s">
        <v>111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538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13902</v>
      </c>
      <c r="H36" s="11">
        <v>425</v>
      </c>
      <c r="I36" s="11">
        <v>45</v>
      </c>
      <c r="J36" s="11">
        <v>-10</v>
      </c>
      <c r="K36" s="12">
        <v>178</v>
      </c>
      <c r="L36" s="11">
        <v>1077</v>
      </c>
      <c r="M36" s="10" t="s">
        <v>694</v>
      </c>
      <c r="N36" s="10" t="s">
        <v>695</v>
      </c>
      <c r="O36" s="10" t="s">
        <v>419</v>
      </c>
      <c r="P36" s="10" t="s">
        <v>654</v>
      </c>
      <c r="Q36" s="10" t="s">
        <v>388</v>
      </c>
      <c r="R36" s="10" t="s">
        <v>655</v>
      </c>
      <c r="S36" s="10" t="s">
        <v>212</v>
      </c>
      <c r="T36" s="10" t="s">
        <v>540</v>
      </c>
      <c r="U36" s="10" t="s">
        <v>541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14999</v>
      </c>
      <c r="H37" s="11">
        <v>649</v>
      </c>
      <c r="I37" s="11">
        <v>42</v>
      </c>
      <c r="J37" s="11">
        <v>10</v>
      </c>
      <c r="K37" s="12">
        <v>142</v>
      </c>
      <c r="L37" s="11">
        <v>1130</v>
      </c>
      <c r="M37" s="10" t="s">
        <v>696</v>
      </c>
      <c r="N37" s="10" t="s">
        <v>697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542</v>
      </c>
      <c r="U37" s="10" t="s">
        <v>543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17101</v>
      </c>
      <c r="H38" s="11">
        <v>844</v>
      </c>
      <c r="I38" s="11">
        <v>39</v>
      </c>
      <c r="J38" s="11">
        <v>6</v>
      </c>
      <c r="K38" s="12">
        <v>93</v>
      </c>
      <c r="L38" s="11">
        <v>1171</v>
      </c>
      <c r="M38" s="10" t="s">
        <v>698</v>
      </c>
      <c r="N38" s="10" t="s">
        <v>699</v>
      </c>
      <c r="O38" s="10" t="s">
        <v>247</v>
      </c>
      <c r="P38" s="10" t="s">
        <v>193</v>
      </c>
      <c r="Q38" s="10" t="s">
        <v>700</v>
      </c>
      <c r="R38" s="10" t="s">
        <v>673</v>
      </c>
      <c r="S38" s="10" t="s">
        <v>427</v>
      </c>
      <c r="T38" s="10" t="s">
        <v>544</v>
      </c>
      <c r="U38" s="10" t="s">
        <v>80</v>
      </c>
    </row>
    <row r="39" spans="1:21">
      <c r="A39" s="10" t="s">
        <v>63</v>
      </c>
      <c r="B39" s="13">
        <v>46118</v>
      </c>
      <c r="C39" s="11">
        <v>21349</v>
      </c>
      <c r="D39" s="11">
        <v>21742</v>
      </c>
      <c r="E39" s="11">
        <v>20364</v>
      </c>
      <c r="F39" s="11">
        <v>1378</v>
      </c>
      <c r="G39" s="11">
        <v>16368</v>
      </c>
      <c r="H39" s="11">
        <v>680</v>
      </c>
      <c r="I39" s="11">
        <v>79</v>
      </c>
      <c r="J39" s="11">
        <v>23</v>
      </c>
      <c r="K39" s="12">
        <v>125</v>
      </c>
      <c r="L39" s="11">
        <v>1029</v>
      </c>
      <c r="M39" s="10" t="s">
        <v>701</v>
      </c>
      <c r="N39" s="10" t="s">
        <v>702</v>
      </c>
      <c r="O39" s="10" t="s">
        <v>245</v>
      </c>
      <c r="P39" s="10" t="s">
        <v>185</v>
      </c>
      <c r="Q39" s="10" t="s">
        <v>195</v>
      </c>
      <c r="R39" s="10" t="s">
        <v>629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626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15612</v>
      </c>
      <c r="H40" s="11">
        <v>521</v>
      </c>
      <c r="I40" s="11">
        <v>89</v>
      </c>
      <c r="J40" s="11">
        <v>0</v>
      </c>
      <c r="K40" s="12">
        <v>188</v>
      </c>
      <c r="L40" s="11">
        <v>805</v>
      </c>
      <c r="M40" s="10" t="s">
        <v>703</v>
      </c>
      <c r="N40" s="10" t="s">
        <v>238</v>
      </c>
      <c r="O40" s="10" t="s">
        <v>104</v>
      </c>
      <c r="P40" s="10" t="s">
        <v>27</v>
      </c>
      <c r="Q40" s="10" t="s">
        <v>27</v>
      </c>
      <c r="R40" s="10" t="s">
        <v>671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15501</v>
      </c>
      <c r="H41" s="11">
        <v>525</v>
      </c>
      <c r="I41" s="11">
        <v>117</v>
      </c>
      <c r="J41" s="11">
        <v>17</v>
      </c>
      <c r="K41" s="12">
        <v>191</v>
      </c>
      <c r="L41" s="11">
        <v>759</v>
      </c>
      <c r="M41" s="10" t="s">
        <v>704</v>
      </c>
      <c r="N41" s="10" t="s">
        <v>518</v>
      </c>
      <c r="O41" s="10" t="s">
        <v>129</v>
      </c>
      <c r="P41" s="10" t="s">
        <v>165</v>
      </c>
      <c r="Q41" s="10" t="s">
        <v>250</v>
      </c>
      <c r="R41" s="10" t="s">
        <v>674</v>
      </c>
      <c r="S41" s="10" t="s">
        <v>424</v>
      </c>
      <c r="T41" s="10" t="s">
        <v>258</v>
      </c>
      <c r="U41" s="10" t="s">
        <v>659</v>
      </c>
    </row>
    <row r="42" spans="1:21">
      <c r="A42" s="10" t="s">
        <v>660</v>
      </c>
      <c r="B42" s="13">
        <v>46121</v>
      </c>
      <c r="C42" s="11">
        <v>19630</v>
      </c>
      <c r="D42" s="11">
        <v>19081</v>
      </c>
      <c r="E42" s="11">
        <v>17832</v>
      </c>
      <c r="F42" s="11">
        <v>1249</v>
      </c>
      <c r="G42" s="11">
        <v>15848</v>
      </c>
      <c r="H42" s="11">
        <v>440</v>
      </c>
      <c r="I42" s="11">
        <v>78</v>
      </c>
      <c r="J42" s="11">
        <v>-18</v>
      </c>
      <c r="K42" s="12">
        <v>112</v>
      </c>
      <c r="L42" s="11">
        <v>660</v>
      </c>
      <c r="M42" s="10" t="s">
        <v>705</v>
      </c>
      <c r="N42" s="10" t="s">
        <v>685</v>
      </c>
      <c r="O42" s="10" t="s">
        <v>706</v>
      </c>
      <c r="P42" s="10" t="s">
        <v>663</v>
      </c>
      <c r="Q42" s="10" t="s">
        <v>225</v>
      </c>
      <c r="R42" s="10" t="s">
        <v>655</v>
      </c>
      <c r="S42" s="10" t="s">
        <v>664</v>
      </c>
      <c r="T42" s="10" t="s">
        <v>665</v>
      </c>
      <c r="U42" s="10" t="s">
        <v>666</v>
      </c>
    </row>
    <row r="43" spans="1:21">
      <c r="A43" s="10" t="s">
        <v>667</v>
      </c>
      <c r="B43" s="13">
        <v>46122</v>
      </c>
      <c r="C43" s="11">
        <v>17885</v>
      </c>
      <c r="D43" s="11">
        <v>18300</v>
      </c>
      <c r="E43" s="11">
        <v>17031</v>
      </c>
      <c r="F43" s="11">
        <v>1269</v>
      </c>
      <c r="G43" s="11">
        <v>14944</v>
      </c>
      <c r="H43" s="11">
        <v>448</v>
      </c>
      <c r="I43" s="11">
        <v>105</v>
      </c>
      <c r="J43" s="11">
        <v>12</v>
      </c>
      <c r="K43" s="12">
        <v>226</v>
      </c>
      <c r="L43" s="11">
        <v>547</v>
      </c>
      <c r="M43" s="10" t="s">
        <v>707</v>
      </c>
      <c r="N43" s="10" t="s">
        <v>708</v>
      </c>
      <c r="O43" s="10" t="s">
        <v>562</v>
      </c>
      <c r="P43" s="10" t="s">
        <v>658</v>
      </c>
      <c r="Q43" s="10" t="s">
        <v>389</v>
      </c>
      <c r="R43" s="10" t="s">
        <v>89</v>
      </c>
      <c r="S43" s="10" t="s">
        <v>675</v>
      </c>
      <c r="T43" s="10" t="s">
        <v>194</v>
      </c>
      <c r="U43" s="10" t="s">
        <v>676</v>
      </c>
    </row>
    <row r="44" spans="1:21">
      <c r="A44" s="10" t="s">
        <v>677</v>
      </c>
      <c r="B44" s="13">
        <v>46123</v>
      </c>
      <c r="C44" s="11">
        <v>18887</v>
      </c>
      <c r="D44" s="11">
        <v>18176</v>
      </c>
      <c r="E44" s="11">
        <v>16983</v>
      </c>
      <c r="F44" s="11">
        <v>1193</v>
      </c>
      <c r="G44" s="11">
        <v>16127</v>
      </c>
      <c r="H44" s="11">
        <v>690</v>
      </c>
      <c r="I44" s="11">
        <v>107</v>
      </c>
      <c r="J44" s="11">
        <v>33</v>
      </c>
      <c r="K44" s="12">
        <v>217</v>
      </c>
      <c r="L44" s="11">
        <v>308</v>
      </c>
      <c r="M44" s="10" t="s">
        <v>709</v>
      </c>
      <c r="N44" s="10" t="s">
        <v>710</v>
      </c>
      <c r="O44" s="10" t="s">
        <v>711</v>
      </c>
      <c r="P44" s="10" t="s">
        <v>712</v>
      </c>
      <c r="Q44" s="10" t="s">
        <v>182</v>
      </c>
      <c r="R44" s="10" t="s">
        <v>713</v>
      </c>
      <c r="S44" s="10" t="s">
        <v>104</v>
      </c>
      <c r="T44" s="10" t="s">
        <v>427</v>
      </c>
      <c r="U44" s="10" t="s">
        <v>678</v>
      </c>
    </row>
    <row r="45" spans="1:21">
      <c r="A45" s="10" t="s">
        <v>679</v>
      </c>
      <c r="B45" s="13">
        <v>46124</v>
      </c>
      <c r="C45" s="11">
        <v>19876</v>
      </c>
      <c r="D45" s="11">
        <v>19079</v>
      </c>
      <c r="E45" s="11">
        <v>17853</v>
      </c>
      <c r="F45" s="11">
        <v>1226</v>
      </c>
      <c r="G45" s="11">
        <v>17063</v>
      </c>
      <c r="H45" s="11">
        <v>964</v>
      </c>
      <c r="I45" s="11">
        <v>204</v>
      </c>
      <c r="J45" s="11">
        <v>54</v>
      </c>
      <c r="K45" s="12">
        <v>187</v>
      </c>
      <c r="L45" s="11">
        <v>254</v>
      </c>
      <c r="M45" s="10" t="s">
        <v>714</v>
      </c>
      <c r="N45" s="10" t="s">
        <v>488</v>
      </c>
      <c r="O45" s="10" t="s">
        <v>83</v>
      </c>
      <c r="P45" s="10" t="s">
        <v>715</v>
      </c>
      <c r="Q45" s="10" t="s">
        <v>419</v>
      </c>
      <c r="R45" s="10" t="s">
        <v>434</v>
      </c>
      <c r="S45" s="10" t="s">
        <v>716</v>
      </c>
      <c r="T45" s="10" t="s">
        <v>717</v>
      </c>
      <c r="U45" s="10" t="s">
        <v>718</v>
      </c>
    </row>
    <row r="46" spans="1:21">
      <c r="A46" s="10" t="s">
        <v>719</v>
      </c>
      <c r="B46" s="13">
        <v>46125</v>
      </c>
      <c r="C46" s="11">
        <v>19730</v>
      </c>
      <c r="D46" s="11">
        <v>19806</v>
      </c>
      <c r="E46" s="11">
        <v>18213</v>
      </c>
      <c r="F46" s="11">
        <v>1593</v>
      </c>
      <c r="G46" s="11">
        <v>17964</v>
      </c>
      <c r="H46" s="11">
        <v>739</v>
      </c>
      <c r="I46" s="11">
        <v>309</v>
      </c>
      <c r="J46" s="11">
        <v>48</v>
      </c>
      <c r="K46" s="12">
        <v>223</v>
      </c>
      <c r="L46" s="11">
        <v>127</v>
      </c>
      <c r="M46" s="10" t="s">
        <v>720</v>
      </c>
      <c r="N46" s="10" t="s">
        <v>721</v>
      </c>
      <c r="O46" s="10" t="s">
        <v>452</v>
      </c>
      <c r="P46" s="10" t="s">
        <v>722</v>
      </c>
      <c r="Q46" s="10" t="s">
        <v>717</v>
      </c>
      <c r="R46" s="10" t="s">
        <v>723</v>
      </c>
      <c r="S46" s="10" t="s">
        <v>631</v>
      </c>
      <c r="T46" s="10" t="s">
        <v>212</v>
      </c>
      <c r="U46" s="10" t="s">
        <v>724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6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84538</v>
      </c>
      <c r="D2" s="11">
        <v>84937</v>
      </c>
      <c r="E2" s="11">
        <v>75140</v>
      </c>
      <c r="F2" s="11">
        <v>9797</v>
      </c>
      <c r="G2" s="11">
        <v>61647</v>
      </c>
      <c r="H2" s="11">
        <v>3688</v>
      </c>
      <c r="I2" s="11">
        <v>1264</v>
      </c>
      <c r="J2" s="11">
        <v>1011</v>
      </c>
      <c r="K2" s="12">
        <v>40374</v>
      </c>
      <c r="L2" s="11">
        <v>5372</v>
      </c>
      <c r="M2" s="10" t="s">
        <v>725</v>
      </c>
      <c r="N2" s="10" t="s">
        <v>726</v>
      </c>
      <c r="O2" s="10" t="s">
        <v>592</v>
      </c>
      <c r="P2" s="10" t="s">
        <v>727</v>
      </c>
      <c r="Q2" s="10" t="s">
        <v>528</v>
      </c>
      <c r="R2" s="10" t="s">
        <v>614</v>
      </c>
      <c r="S2" s="10" t="s">
        <v>728</v>
      </c>
      <c r="T2" s="10" t="s">
        <v>83</v>
      </c>
      <c r="U2" s="10" t="s">
        <v>89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545</v>
      </c>
      <c r="N3" s="10" t="s">
        <v>546</v>
      </c>
      <c r="O3" s="10" t="s">
        <v>192</v>
      </c>
      <c r="P3" s="10" t="s">
        <v>106</v>
      </c>
      <c r="Q3" s="10" t="s">
        <v>468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547</v>
      </c>
      <c r="N4" s="10" t="s">
        <v>548</v>
      </c>
      <c r="O4" s="10" t="s">
        <v>549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550</v>
      </c>
      <c r="N5" s="10" t="s">
        <v>395</v>
      </c>
      <c r="O5" s="10" t="s">
        <v>551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552</v>
      </c>
      <c r="N6" s="10" t="s">
        <v>553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554</v>
      </c>
      <c r="N7" s="10" t="s">
        <v>555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556</v>
      </c>
      <c r="N8" s="10" t="s">
        <v>557</v>
      </c>
      <c r="O8" s="10" t="s">
        <v>558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432</v>
      </c>
      <c r="N9" s="10" t="s">
        <v>559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560</v>
      </c>
      <c r="N10" s="10" t="s">
        <v>561</v>
      </c>
      <c r="O10" s="10" t="s">
        <v>562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563</v>
      </c>
      <c r="N11" s="10" t="s">
        <v>564</v>
      </c>
      <c r="O11" s="10" t="s">
        <v>436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565</v>
      </c>
      <c r="N12" s="10" t="s">
        <v>522</v>
      </c>
      <c r="O12" s="10" t="s">
        <v>79</v>
      </c>
      <c r="P12" s="10" t="s">
        <v>260</v>
      </c>
      <c r="Q12" s="10" t="s">
        <v>566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567</v>
      </c>
      <c r="N13" s="10" t="s">
        <v>492</v>
      </c>
      <c r="O13" s="10" t="s">
        <v>436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568</v>
      </c>
      <c r="N14" s="10" t="s">
        <v>569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570</v>
      </c>
      <c r="N15" s="10" t="s">
        <v>571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479</v>
      </c>
      <c r="N16" s="10" t="s">
        <v>416</v>
      </c>
      <c r="O16" s="10" t="s">
        <v>572</v>
      </c>
      <c r="P16" s="10" t="s">
        <v>136</v>
      </c>
      <c r="Q16" s="10" t="s">
        <v>573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574</v>
      </c>
      <c r="O17" s="10" t="s">
        <v>423</v>
      </c>
      <c r="P17" s="10" t="s">
        <v>266</v>
      </c>
      <c r="Q17" s="10" t="s">
        <v>575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576</v>
      </c>
      <c r="N18" s="10" t="s">
        <v>577</v>
      </c>
      <c r="O18" s="10" t="s">
        <v>578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579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580</v>
      </c>
      <c r="N20" s="10" t="s">
        <v>581</v>
      </c>
      <c r="O20" s="10" t="s">
        <v>582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583</v>
      </c>
      <c r="N21" s="10" t="s">
        <v>584</v>
      </c>
      <c r="O21" s="10" t="s">
        <v>103</v>
      </c>
      <c r="P21" s="10" t="s">
        <v>274</v>
      </c>
      <c r="Q21" s="10" t="s">
        <v>435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585</v>
      </c>
      <c r="N22" s="10" t="s">
        <v>586</v>
      </c>
      <c r="O22" s="10" t="s">
        <v>441</v>
      </c>
      <c r="P22" s="10" t="s">
        <v>275</v>
      </c>
      <c r="Q22" s="10" t="s">
        <v>587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588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589</v>
      </c>
      <c r="N24" s="10" t="s">
        <v>590</v>
      </c>
      <c r="O24" s="10" t="s">
        <v>591</v>
      </c>
      <c r="P24" s="10" t="s">
        <v>375</v>
      </c>
      <c r="Q24" s="10" t="s">
        <v>592</v>
      </c>
      <c r="R24" s="10" t="s">
        <v>593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594</v>
      </c>
      <c r="N25" s="10" t="s">
        <v>595</v>
      </c>
      <c r="O25" s="10" t="s">
        <v>596</v>
      </c>
      <c r="P25" s="10" t="s">
        <v>376</v>
      </c>
      <c r="Q25" s="10" t="s">
        <v>597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594</v>
      </c>
      <c r="N26" s="10" t="s">
        <v>598</v>
      </c>
      <c r="O26" s="10" t="s">
        <v>599</v>
      </c>
      <c r="P26" s="10" t="s">
        <v>377</v>
      </c>
      <c r="Q26" s="10" t="s">
        <v>600</v>
      </c>
      <c r="R26" s="10" t="s">
        <v>405</v>
      </c>
      <c r="S26" s="10" t="s">
        <v>601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602</v>
      </c>
      <c r="N27" s="10" t="s">
        <v>433</v>
      </c>
      <c r="O27" s="10" t="s">
        <v>155</v>
      </c>
      <c r="P27" s="10" t="s">
        <v>72</v>
      </c>
      <c r="Q27" s="10" t="s">
        <v>196</v>
      </c>
      <c r="R27" s="10" t="s">
        <v>437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603</v>
      </c>
      <c r="N28" s="10" t="s">
        <v>604</v>
      </c>
      <c r="O28" s="10" t="s">
        <v>148</v>
      </c>
      <c r="P28" s="10" t="s">
        <v>279</v>
      </c>
      <c r="Q28" s="10" t="s">
        <v>388</v>
      </c>
      <c r="R28" s="10" t="s">
        <v>605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551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606</v>
      </c>
      <c r="N30" s="10" t="s">
        <v>607</v>
      </c>
      <c r="O30" s="10" t="s">
        <v>608</v>
      </c>
      <c r="P30" s="10" t="s">
        <v>86</v>
      </c>
      <c r="Q30" s="10" t="s">
        <v>444</v>
      </c>
      <c r="R30" s="10" t="s">
        <v>609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610</v>
      </c>
      <c r="N31" s="10" t="s">
        <v>450</v>
      </c>
      <c r="O31" s="10" t="s">
        <v>146</v>
      </c>
      <c r="P31" s="10" t="s">
        <v>84</v>
      </c>
      <c r="Q31" s="10" t="s">
        <v>389</v>
      </c>
      <c r="R31" s="10" t="s">
        <v>611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612</v>
      </c>
      <c r="N32" s="10" t="s">
        <v>613</v>
      </c>
      <c r="O32" s="10" t="s">
        <v>614</v>
      </c>
      <c r="P32" s="10" t="s">
        <v>385</v>
      </c>
      <c r="Q32" s="10" t="s">
        <v>446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615</v>
      </c>
      <c r="N33" s="10" t="s">
        <v>616</v>
      </c>
      <c r="O33" s="10" t="s">
        <v>617</v>
      </c>
      <c r="P33" s="10" t="s">
        <v>407</v>
      </c>
      <c r="Q33" s="10" t="s">
        <v>618</v>
      </c>
      <c r="R33" s="10" t="s">
        <v>619</v>
      </c>
      <c r="S33" s="10" t="s">
        <v>620</v>
      </c>
      <c r="T33" s="10" t="s">
        <v>621</v>
      </c>
      <c r="U33" s="10" t="s">
        <v>93</v>
      </c>
    </row>
    <row r="34" spans="1:21">
      <c r="A34" s="10" t="s">
        <v>58</v>
      </c>
      <c r="B34" s="13">
        <v>46113</v>
      </c>
      <c r="C34" s="11">
        <v>1291</v>
      </c>
      <c r="D34" s="11">
        <v>1238</v>
      </c>
      <c r="E34" s="11">
        <v>1113</v>
      </c>
      <c r="F34" s="11">
        <v>125</v>
      </c>
      <c r="G34" s="11">
        <v>971</v>
      </c>
      <c r="H34" s="11">
        <v>33</v>
      </c>
      <c r="I34" s="11">
        <v>3</v>
      </c>
      <c r="J34" s="11">
        <v>8</v>
      </c>
      <c r="K34" s="12">
        <v>344</v>
      </c>
      <c r="L34" s="11">
        <v>56</v>
      </c>
      <c r="M34" s="10" t="s">
        <v>729</v>
      </c>
      <c r="N34" s="10" t="s">
        <v>263</v>
      </c>
      <c r="O34" s="10" t="s">
        <v>625</v>
      </c>
      <c r="P34" s="10" t="s">
        <v>622</v>
      </c>
      <c r="Q34" s="10" t="s">
        <v>680</v>
      </c>
      <c r="R34" s="10" t="s">
        <v>656</v>
      </c>
      <c r="S34" s="10" t="s">
        <v>247</v>
      </c>
      <c r="T34" s="10" t="s">
        <v>440</v>
      </c>
      <c r="U34" s="10" t="s">
        <v>100</v>
      </c>
    </row>
    <row r="35" spans="1:21">
      <c r="A35" s="10" t="s">
        <v>59</v>
      </c>
      <c r="B35" s="13">
        <v>46114</v>
      </c>
      <c r="C35" s="11">
        <v>1058</v>
      </c>
      <c r="D35" s="11">
        <v>1170</v>
      </c>
      <c r="E35" s="11">
        <v>1057</v>
      </c>
      <c r="F35" s="11">
        <v>113</v>
      </c>
      <c r="G35" s="11">
        <v>805</v>
      </c>
      <c r="H35" s="11">
        <v>41</v>
      </c>
      <c r="I35" s="11">
        <v>1</v>
      </c>
      <c r="J35" s="11">
        <v>2</v>
      </c>
      <c r="K35" s="12">
        <v>187</v>
      </c>
      <c r="L35" s="11">
        <v>56</v>
      </c>
      <c r="M35" s="10" t="s">
        <v>730</v>
      </c>
      <c r="N35" s="10" t="s">
        <v>731</v>
      </c>
      <c r="O35" s="10" t="s">
        <v>246</v>
      </c>
      <c r="P35" s="10" t="s">
        <v>443</v>
      </c>
      <c r="Q35" s="10" t="s">
        <v>356</v>
      </c>
      <c r="R35" s="10" t="s">
        <v>681</v>
      </c>
      <c r="S35" s="10" t="s">
        <v>258</v>
      </c>
      <c r="T35" s="10" t="s">
        <v>444</v>
      </c>
      <c r="U35" s="10" t="s">
        <v>418</v>
      </c>
    </row>
    <row r="36" spans="1:21">
      <c r="A36" s="10" t="s">
        <v>60</v>
      </c>
      <c r="B36" s="13">
        <v>46115</v>
      </c>
      <c r="C36" s="11">
        <v>1174</v>
      </c>
      <c r="D36" s="11">
        <v>1142</v>
      </c>
      <c r="E36" s="11">
        <v>1055</v>
      </c>
      <c r="F36" s="11">
        <v>87</v>
      </c>
      <c r="G36" s="11">
        <v>879</v>
      </c>
      <c r="H36" s="11">
        <v>36</v>
      </c>
      <c r="I36" s="11">
        <v>2</v>
      </c>
      <c r="J36" s="11">
        <v>-2</v>
      </c>
      <c r="K36" s="12">
        <v>178</v>
      </c>
      <c r="L36" s="11">
        <v>37</v>
      </c>
      <c r="M36" s="10" t="s">
        <v>732</v>
      </c>
      <c r="N36" s="10" t="s">
        <v>733</v>
      </c>
      <c r="O36" s="10" t="s">
        <v>247</v>
      </c>
      <c r="P36" s="10" t="s">
        <v>445</v>
      </c>
      <c r="Q36" s="10" t="s">
        <v>734</v>
      </c>
      <c r="R36" s="10" t="s">
        <v>657</v>
      </c>
      <c r="S36" s="10" t="s">
        <v>427</v>
      </c>
      <c r="T36" s="10" t="s">
        <v>623</v>
      </c>
      <c r="U36" s="10" t="s">
        <v>624</v>
      </c>
    </row>
    <row r="37" spans="1:21">
      <c r="A37" s="10" t="s">
        <v>61</v>
      </c>
      <c r="B37" s="13">
        <v>46116</v>
      </c>
      <c r="C37" s="11">
        <v>1074</v>
      </c>
      <c r="D37" s="11">
        <v>1087</v>
      </c>
      <c r="E37" s="11">
        <v>1006</v>
      </c>
      <c r="F37" s="11">
        <v>81</v>
      </c>
      <c r="G37" s="11">
        <v>804</v>
      </c>
      <c r="H37" s="11">
        <v>37</v>
      </c>
      <c r="I37" s="11">
        <v>2</v>
      </c>
      <c r="J37" s="11">
        <v>0</v>
      </c>
      <c r="K37" s="12">
        <v>142</v>
      </c>
      <c r="L37" s="11">
        <v>42</v>
      </c>
      <c r="M37" s="10" t="s">
        <v>735</v>
      </c>
      <c r="N37" s="10" t="s">
        <v>251</v>
      </c>
      <c r="O37" s="10" t="s">
        <v>356</v>
      </c>
      <c r="P37" s="10" t="s">
        <v>27</v>
      </c>
      <c r="Q37" s="10" t="s">
        <v>27</v>
      </c>
      <c r="R37" s="10" t="s">
        <v>691</v>
      </c>
      <c r="S37" s="10" t="s">
        <v>444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1191</v>
      </c>
      <c r="D38" s="11">
        <v>1104</v>
      </c>
      <c r="E38" s="11">
        <v>1021</v>
      </c>
      <c r="F38" s="11">
        <v>83</v>
      </c>
      <c r="G38" s="11">
        <v>915</v>
      </c>
      <c r="H38" s="11">
        <v>58</v>
      </c>
      <c r="I38" s="11">
        <v>3</v>
      </c>
      <c r="J38" s="11">
        <v>0</v>
      </c>
      <c r="K38" s="12">
        <v>93</v>
      </c>
      <c r="L38" s="11">
        <v>45</v>
      </c>
      <c r="M38" s="10" t="s">
        <v>736</v>
      </c>
      <c r="N38" s="10" t="s">
        <v>737</v>
      </c>
      <c r="O38" s="10" t="s">
        <v>672</v>
      </c>
      <c r="P38" s="10" t="s">
        <v>27</v>
      </c>
      <c r="Q38" s="10" t="s">
        <v>27</v>
      </c>
      <c r="R38" s="10" t="s">
        <v>668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1246</v>
      </c>
      <c r="D39" s="11">
        <v>1153</v>
      </c>
      <c r="E39" s="11">
        <v>1050</v>
      </c>
      <c r="F39" s="11">
        <v>103</v>
      </c>
      <c r="G39" s="11">
        <v>996</v>
      </c>
      <c r="H39" s="11">
        <v>61</v>
      </c>
      <c r="I39" s="11">
        <v>3</v>
      </c>
      <c r="J39" s="11">
        <v>1</v>
      </c>
      <c r="K39" s="12">
        <v>125</v>
      </c>
      <c r="L39" s="11">
        <v>43</v>
      </c>
      <c r="M39" s="10" t="s">
        <v>738</v>
      </c>
      <c r="N39" s="10" t="s">
        <v>739</v>
      </c>
      <c r="O39" s="10" t="s">
        <v>160</v>
      </c>
      <c r="P39" s="10" t="s">
        <v>528</v>
      </c>
      <c r="Q39" s="10" t="s">
        <v>442</v>
      </c>
      <c r="R39" s="10" t="s">
        <v>417</v>
      </c>
      <c r="S39" s="10" t="s">
        <v>212</v>
      </c>
      <c r="T39" s="10" t="s">
        <v>389</v>
      </c>
      <c r="U39" s="10" t="s">
        <v>558</v>
      </c>
    </row>
    <row r="40" spans="1:21">
      <c r="A40" s="10" t="s">
        <v>626</v>
      </c>
      <c r="B40" s="13">
        <v>46119</v>
      </c>
      <c r="C40" s="11">
        <v>1200</v>
      </c>
      <c r="D40" s="11">
        <v>1238</v>
      </c>
      <c r="E40" s="11">
        <v>1137</v>
      </c>
      <c r="F40" s="11">
        <v>101</v>
      </c>
      <c r="G40" s="11">
        <v>950</v>
      </c>
      <c r="H40" s="11">
        <v>30</v>
      </c>
      <c r="I40" s="11">
        <v>5</v>
      </c>
      <c r="J40" s="11">
        <v>0</v>
      </c>
      <c r="K40" s="12">
        <v>188</v>
      </c>
      <c r="L40" s="11">
        <v>30</v>
      </c>
      <c r="M40" s="10" t="s">
        <v>740</v>
      </c>
      <c r="N40" s="10" t="s">
        <v>162</v>
      </c>
      <c r="O40" s="10" t="s">
        <v>741</v>
      </c>
      <c r="P40" s="10" t="s">
        <v>27</v>
      </c>
      <c r="Q40" s="10" t="s">
        <v>27</v>
      </c>
      <c r="R40" s="10" t="s">
        <v>89</v>
      </c>
      <c r="S40" s="10" t="s">
        <v>627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1042</v>
      </c>
      <c r="D41" s="11">
        <v>1174</v>
      </c>
      <c r="E41" s="11">
        <v>1058</v>
      </c>
      <c r="F41" s="11">
        <v>116</v>
      </c>
      <c r="G41" s="11">
        <v>860</v>
      </c>
      <c r="H41" s="11">
        <v>34</v>
      </c>
      <c r="I41" s="11">
        <v>4</v>
      </c>
      <c r="J41" s="11">
        <v>3</v>
      </c>
      <c r="K41" s="12">
        <v>191</v>
      </c>
      <c r="L41" s="11">
        <v>26</v>
      </c>
      <c r="M41" s="10" t="s">
        <v>742</v>
      </c>
      <c r="N41" s="10" t="s">
        <v>571</v>
      </c>
      <c r="O41" s="10" t="s">
        <v>122</v>
      </c>
      <c r="P41" s="10" t="s">
        <v>682</v>
      </c>
      <c r="Q41" s="10" t="s">
        <v>520</v>
      </c>
      <c r="R41" s="10" t="s">
        <v>159</v>
      </c>
      <c r="S41" s="10" t="s">
        <v>105</v>
      </c>
      <c r="T41" s="10" t="s">
        <v>539</v>
      </c>
      <c r="U41" s="10" t="s">
        <v>631</v>
      </c>
    </row>
    <row r="42" spans="1:21">
      <c r="A42" s="10" t="s">
        <v>660</v>
      </c>
      <c r="B42" s="13">
        <v>46121</v>
      </c>
      <c r="C42" s="11">
        <v>1164</v>
      </c>
      <c r="D42" s="11">
        <v>1120</v>
      </c>
      <c r="E42" s="11">
        <v>1009</v>
      </c>
      <c r="F42" s="11">
        <v>111</v>
      </c>
      <c r="G42" s="11">
        <v>972</v>
      </c>
      <c r="H42" s="11">
        <v>26</v>
      </c>
      <c r="I42" s="11">
        <v>3</v>
      </c>
      <c r="J42" s="11">
        <v>1</v>
      </c>
      <c r="K42" s="12">
        <v>112</v>
      </c>
      <c r="L42" s="11">
        <v>21</v>
      </c>
      <c r="M42" s="10" t="s">
        <v>743</v>
      </c>
      <c r="N42" s="10" t="s">
        <v>744</v>
      </c>
      <c r="O42" s="10" t="s">
        <v>625</v>
      </c>
      <c r="P42" s="10" t="s">
        <v>446</v>
      </c>
      <c r="Q42" s="10" t="s">
        <v>442</v>
      </c>
      <c r="R42" s="10" t="s">
        <v>429</v>
      </c>
      <c r="S42" s="10" t="s">
        <v>170</v>
      </c>
      <c r="T42" s="10" t="s">
        <v>258</v>
      </c>
      <c r="U42" s="10" t="s">
        <v>670</v>
      </c>
    </row>
    <row r="43" spans="1:21">
      <c r="A43" s="10" t="s">
        <v>667</v>
      </c>
      <c r="B43" s="13">
        <v>46122</v>
      </c>
      <c r="C43" s="11">
        <v>1214</v>
      </c>
      <c r="D43" s="11">
        <v>1086</v>
      </c>
      <c r="E43" s="11">
        <v>970</v>
      </c>
      <c r="F43" s="11">
        <v>116</v>
      </c>
      <c r="G43" s="11">
        <v>1036</v>
      </c>
      <c r="H43" s="11">
        <v>32</v>
      </c>
      <c r="I43" s="11">
        <v>5</v>
      </c>
      <c r="J43" s="11">
        <v>5</v>
      </c>
      <c r="K43" s="12">
        <v>226</v>
      </c>
      <c r="L43" s="11">
        <v>30</v>
      </c>
      <c r="M43" s="10" t="s">
        <v>745</v>
      </c>
      <c r="N43" s="10" t="s">
        <v>746</v>
      </c>
      <c r="O43" s="10" t="s">
        <v>245</v>
      </c>
      <c r="P43" s="10" t="s">
        <v>683</v>
      </c>
      <c r="Q43" s="10" t="s">
        <v>245</v>
      </c>
      <c r="R43" s="10" t="s">
        <v>747</v>
      </c>
      <c r="S43" s="10" t="s">
        <v>139</v>
      </c>
      <c r="T43" s="10" t="s">
        <v>139</v>
      </c>
      <c r="U43" s="10" t="s">
        <v>661</v>
      </c>
    </row>
    <row r="44" spans="1:21">
      <c r="A44" s="10" t="s">
        <v>677</v>
      </c>
      <c r="B44" s="13">
        <v>46123</v>
      </c>
      <c r="C44" s="11">
        <v>1390</v>
      </c>
      <c r="D44" s="11">
        <v>1345</v>
      </c>
      <c r="E44" s="11">
        <v>1251</v>
      </c>
      <c r="F44" s="11">
        <v>94</v>
      </c>
      <c r="G44" s="11">
        <v>1183</v>
      </c>
      <c r="H44" s="11">
        <v>42</v>
      </c>
      <c r="I44" s="11">
        <v>3</v>
      </c>
      <c r="J44" s="11">
        <v>2</v>
      </c>
      <c r="K44" s="12">
        <v>217</v>
      </c>
      <c r="L44" s="11">
        <v>21</v>
      </c>
      <c r="M44" s="10" t="s">
        <v>748</v>
      </c>
      <c r="N44" s="10" t="s">
        <v>183</v>
      </c>
      <c r="O44" s="10" t="s">
        <v>356</v>
      </c>
      <c r="P44" s="10" t="s">
        <v>684</v>
      </c>
      <c r="Q44" s="10" t="s">
        <v>427</v>
      </c>
      <c r="R44" s="10" t="s">
        <v>379</v>
      </c>
      <c r="S44" s="10" t="s">
        <v>662</v>
      </c>
      <c r="T44" s="10" t="s">
        <v>195</v>
      </c>
      <c r="U44" s="10" t="s">
        <v>431</v>
      </c>
    </row>
    <row r="45" spans="1:21">
      <c r="A45" s="10" t="s">
        <v>679</v>
      </c>
      <c r="B45" s="13">
        <v>46124</v>
      </c>
      <c r="C45" s="11">
        <v>1682</v>
      </c>
      <c r="D45" s="11">
        <v>1360</v>
      </c>
      <c r="E45" s="11">
        <v>1247</v>
      </c>
      <c r="F45" s="11">
        <v>113</v>
      </c>
      <c r="G45" s="11">
        <v>1513</v>
      </c>
      <c r="H45" s="11">
        <v>46</v>
      </c>
      <c r="I45" s="11">
        <v>3</v>
      </c>
      <c r="J45" s="11">
        <v>0</v>
      </c>
      <c r="K45" s="12">
        <v>187</v>
      </c>
      <c r="L45" s="11">
        <v>23</v>
      </c>
      <c r="M45" s="10" t="s">
        <v>749</v>
      </c>
      <c r="N45" s="10" t="s">
        <v>750</v>
      </c>
      <c r="O45" s="10" t="s">
        <v>182</v>
      </c>
      <c r="P45" s="10" t="s">
        <v>27</v>
      </c>
      <c r="Q45" s="10" t="s">
        <v>27</v>
      </c>
      <c r="R45" s="10" t="s">
        <v>751</v>
      </c>
      <c r="S45" s="10" t="s">
        <v>357</v>
      </c>
      <c r="T45" s="10" t="s">
        <v>27</v>
      </c>
      <c r="U45" s="10" t="s">
        <v>27</v>
      </c>
    </row>
    <row r="46" spans="1:21">
      <c r="A46" s="10" t="s">
        <v>719</v>
      </c>
      <c r="B46" s="13">
        <v>46125</v>
      </c>
      <c r="C46" s="11">
        <v>2203</v>
      </c>
      <c r="D46" s="11">
        <v>2597</v>
      </c>
      <c r="E46" s="11">
        <v>2166</v>
      </c>
      <c r="F46" s="11">
        <v>431</v>
      </c>
      <c r="G46" s="11">
        <v>2005</v>
      </c>
      <c r="H46" s="11">
        <v>34</v>
      </c>
      <c r="I46" s="11">
        <v>1</v>
      </c>
      <c r="J46" s="11">
        <v>0</v>
      </c>
      <c r="K46" s="12">
        <v>223</v>
      </c>
      <c r="L46" s="11">
        <v>20</v>
      </c>
      <c r="M46" s="10" t="s">
        <v>752</v>
      </c>
      <c r="N46" s="10" t="s">
        <v>413</v>
      </c>
      <c r="O46" s="10" t="s">
        <v>542</v>
      </c>
      <c r="P46" s="10" t="s">
        <v>27</v>
      </c>
      <c r="Q46" s="10" t="s">
        <v>27</v>
      </c>
      <c r="R46" s="10" t="s">
        <v>96</v>
      </c>
      <c r="S46" s="10" t="s">
        <v>542</v>
      </c>
      <c r="T46" s="10" t="s">
        <v>27</v>
      </c>
      <c r="U46" s="10" t="s">
        <v>27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2026-04-14T09:10:08Z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